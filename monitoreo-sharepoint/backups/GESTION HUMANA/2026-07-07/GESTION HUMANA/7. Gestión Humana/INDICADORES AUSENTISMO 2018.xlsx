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charts/colors1.xml" ContentType="application/vnd.ms-office.chartcolorstyl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style1.xml" ContentType="application/vnd.ms-office.chartstyle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226"/>
  <workbookPr hidePivotFieldList="1"/>
  <mc:AlternateContent xmlns:mc="http://schemas.openxmlformats.org/markup-compatibility/2006">
    <mc:Choice Requires="x15">
      <x15ac:absPath xmlns:x15ac="http://schemas.microsoft.com/office/spreadsheetml/2010/11/ac" url="D:\INF MENSUALES\CALIDAD\BIOSTEEL SGC\Procesos SGC\7. Gestión Humana\"/>
    </mc:Choice>
  </mc:AlternateContent>
  <xr:revisionPtr revIDLastSave="0" documentId="13_ncr:20001_{06351D81-A7B9-4A01-94C5-534BDE28A7E8}" xr6:coauthVersionLast="32" xr6:coauthVersionMax="32" xr10:uidLastSave="{00000000-0000-0000-0000-000000000000}"/>
  <bookViews>
    <workbookView xWindow="0" yWindow="0" windowWidth="20490" windowHeight="9045" activeTab="1" xr2:uid="{00000000-000D-0000-FFFF-FFFF00000000}"/>
  </bookViews>
  <sheets>
    <sheet name="PARAMETROS" sheetId="1" r:id="rId1"/>
    <sheet name="NOVEDADES" sheetId="3" r:id="rId2"/>
    <sheet name="CONSULTA" sheetId="4" state="hidden" r:id="rId3"/>
  </sheets>
  <definedNames>
    <definedName name="_xlnm._FilterDatabase" localSheetId="2" hidden="1">CONSULTA!$B$7:$F$149</definedName>
    <definedName name="_xlnm._FilterDatabase" localSheetId="1" hidden="1">NOVEDADES!$A$3:$F$225</definedName>
    <definedName name="_xlnm._FilterDatabase" localSheetId="0" hidden="1">PARAMETROS!$A$2:$C$100</definedName>
    <definedName name="AÑO">PARAMETROS!$H$3:$H$7</definedName>
    <definedName name="BD_AÑO_FINAL">OFFSET(NOVEDADES!$L$4,0,0,NOVEDADES!$A$2,1)</definedName>
    <definedName name="BD_AÑO_INICIO">OFFSET(NOVEDADES!$I$4,0,0,NOVEDADES!$A$2,1)</definedName>
    <definedName name="BD_DIA_FINAL">OFFSET(NOVEDADES!$J$4,0,0,NOVEDADES!$A$2,1)</definedName>
    <definedName name="BD_DIA_INCIO">OFFSET(NOVEDADES!$G$4,0,0,NOVEDADES!$A$2,1)</definedName>
    <definedName name="BD_DIAS_NOVEDAD">OFFSET(NOVEDADES!#REF!,0,0,NOVEDADES!$A$2,1)</definedName>
    <definedName name="BD_MES_FINAL">OFFSET(NOVEDADES!$K$4,0,0,NOVEDADES!$A$2,1)</definedName>
    <definedName name="BD_MES_INICIO">OFFSET(NOVEDADES!$H$4,0,0,NOVEDADES!$A$2,1)</definedName>
    <definedName name="BD_NOMBRE">OFFSET(NOVEDADES!$A$4,0,0,NOVEDADES!$A$2,1)</definedName>
    <definedName name="BD_NOVEDAD">OFFSET(NOVEDADES!$D$4,0,0,NOVEDADES!$A$2,1)</definedName>
    <definedName name="FECHA_FINAL">OFFSET(NOVEDADES!$F$4,0,0,NOVEDADES!$A$2,1)</definedName>
    <definedName name="FECHA_INICIO">OFFSET(NOVEDADES!$E$4,0,0,NOVEDADES!$A$2,1)</definedName>
    <definedName name="MESES">PARAMETROS!$E$3:$E$14</definedName>
    <definedName name="MTZ_CARGO">OFFSET(PARAMETROS!$A$3,0,0,PARAMETROS!$A$1,3)</definedName>
    <definedName name="MTZ_DIAS_NOVEDAD">OFFSET(NOVEDADES!$A$4,0,0,NOVEDADES!$A$2,8)</definedName>
    <definedName name="MTZ_DPTO">OFFSET(PARAMETROS!$A$3,0,0,PARAMETROS!$A$1,2)</definedName>
    <definedName name="MTZ_NOMBRE">OFFSET(PARAMETROS!$A$3,0,0,PARAMETROS!$A$1,1)</definedName>
    <definedName name="MTZ_NOVEDAD">OFFSET(NOVEDADES!$D$4,0,0,NOVEDADES!$A$2,5)</definedName>
    <definedName name="NOVEDADES">OFFSET(PARAMETROS!$G$4,0,0,PARAMETROS!$G$3,1)</definedName>
  </definedNames>
  <calcPr calcId="179017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9" i="4" l="1"/>
  <c r="C149" i="4"/>
  <c r="D148" i="4"/>
  <c r="C148" i="4"/>
  <c r="D147" i="4"/>
  <c r="C147" i="4"/>
  <c r="D146" i="4"/>
  <c r="C146" i="4"/>
  <c r="D145" i="4"/>
  <c r="C145" i="4"/>
  <c r="D144" i="4"/>
  <c r="C144" i="4"/>
  <c r="D143" i="4"/>
  <c r="C143" i="4"/>
  <c r="D142" i="4"/>
  <c r="C142" i="4"/>
  <c r="D141" i="4"/>
  <c r="C141" i="4"/>
  <c r="D140" i="4"/>
  <c r="C140" i="4"/>
  <c r="D139" i="4"/>
  <c r="C139" i="4"/>
  <c r="D138" i="4"/>
  <c r="C138" i="4"/>
  <c r="D137" i="4"/>
  <c r="C137" i="4"/>
  <c r="D136" i="4"/>
  <c r="C136" i="4"/>
  <c r="D135" i="4"/>
  <c r="C135" i="4"/>
  <c r="D134" i="4"/>
  <c r="C134" i="4"/>
  <c r="D133" i="4"/>
  <c r="C133" i="4"/>
  <c r="D132" i="4"/>
  <c r="C132" i="4"/>
  <c r="D131" i="4"/>
  <c r="C131" i="4"/>
  <c r="D130" i="4"/>
  <c r="C130" i="4"/>
  <c r="D129" i="4"/>
  <c r="C129" i="4"/>
  <c r="D128" i="4"/>
  <c r="C128" i="4"/>
  <c r="D127" i="4"/>
  <c r="C127" i="4"/>
  <c r="D126" i="4"/>
  <c r="C126" i="4"/>
  <c r="D125" i="4"/>
  <c r="C125" i="4"/>
  <c r="D124" i="4"/>
  <c r="C124" i="4"/>
  <c r="D123" i="4"/>
  <c r="C123" i="4"/>
  <c r="D122" i="4"/>
  <c r="C122" i="4"/>
  <c r="D121" i="4"/>
  <c r="C121" i="4"/>
  <c r="D120" i="4"/>
  <c r="C120" i="4"/>
  <c r="D119" i="4"/>
  <c r="C119" i="4"/>
  <c r="D118" i="4"/>
  <c r="C118" i="4"/>
  <c r="D117" i="4"/>
  <c r="C117" i="4"/>
  <c r="D116" i="4"/>
  <c r="C116" i="4"/>
  <c r="D115" i="4"/>
  <c r="C115" i="4"/>
  <c r="D114" i="4"/>
  <c r="C114" i="4"/>
  <c r="D113" i="4"/>
  <c r="C113" i="4"/>
  <c r="D112" i="4"/>
  <c r="C112" i="4"/>
  <c r="D111" i="4"/>
  <c r="C111" i="4"/>
  <c r="D110" i="4"/>
  <c r="C110" i="4"/>
  <c r="D109" i="4"/>
  <c r="C109" i="4"/>
  <c r="D108" i="4"/>
  <c r="C108" i="4"/>
  <c r="D107" i="4"/>
  <c r="C107" i="4"/>
  <c r="D106" i="4"/>
  <c r="C106" i="4"/>
  <c r="D105" i="4"/>
  <c r="C105" i="4"/>
  <c r="D104" i="4"/>
  <c r="C104" i="4"/>
  <c r="D103" i="4"/>
  <c r="C103" i="4"/>
  <c r="D102" i="4"/>
  <c r="C102" i="4"/>
  <c r="D101" i="4"/>
  <c r="C101" i="4"/>
  <c r="D100" i="4"/>
  <c r="C100" i="4"/>
  <c r="D99" i="4"/>
  <c r="C99" i="4"/>
  <c r="D98" i="4"/>
  <c r="C98" i="4"/>
  <c r="D97" i="4"/>
  <c r="C97" i="4"/>
  <c r="D96" i="4"/>
  <c r="C96" i="4"/>
  <c r="D95" i="4"/>
  <c r="C95" i="4"/>
  <c r="D94" i="4"/>
  <c r="C94" i="4"/>
  <c r="D93" i="4"/>
  <c r="C93" i="4"/>
  <c r="D92" i="4"/>
  <c r="C92" i="4"/>
  <c r="D91" i="4"/>
  <c r="C91" i="4"/>
  <c r="D90" i="4"/>
  <c r="C90" i="4"/>
  <c r="D89" i="4"/>
  <c r="C89" i="4"/>
  <c r="D88" i="4"/>
  <c r="C88" i="4"/>
  <c r="D87" i="4"/>
  <c r="C87" i="4"/>
  <c r="D86" i="4"/>
  <c r="C86" i="4"/>
  <c r="D85" i="4"/>
  <c r="C85" i="4"/>
  <c r="D84" i="4"/>
  <c r="C84" i="4"/>
  <c r="D83" i="4"/>
  <c r="C83" i="4"/>
  <c r="D82" i="4"/>
  <c r="C82" i="4"/>
  <c r="D81" i="4"/>
  <c r="C81" i="4"/>
  <c r="D80" i="4"/>
  <c r="C80" i="4"/>
  <c r="D79" i="4"/>
  <c r="C79" i="4"/>
  <c r="D78" i="4"/>
  <c r="C78" i="4"/>
  <c r="D77" i="4"/>
  <c r="C77" i="4"/>
  <c r="D76" i="4"/>
  <c r="C76" i="4"/>
  <c r="D75" i="4"/>
  <c r="C75" i="4"/>
  <c r="D74" i="4"/>
  <c r="C74" i="4"/>
  <c r="D73" i="4"/>
  <c r="C73" i="4"/>
  <c r="D72" i="4"/>
  <c r="C72" i="4"/>
  <c r="D71" i="4"/>
  <c r="C71" i="4"/>
  <c r="D70" i="4"/>
  <c r="C70" i="4"/>
  <c r="D69" i="4"/>
  <c r="C69" i="4"/>
  <c r="D68" i="4"/>
  <c r="C68" i="4"/>
  <c r="D67" i="4"/>
  <c r="C67" i="4"/>
  <c r="D66" i="4"/>
  <c r="C66" i="4"/>
  <c r="D65" i="4"/>
  <c r="C65" i="4"/>
  <c r="D64" i="4"/>
  <c r="C64" i="4"/>
  <c r="D63" i="4"/>
  <c r="C63" i="4"/>
  <c r="D62" i="4"/>
  <c r="C62" i="4"/>
  <c r="D61" i="4"/>
  <c r="C61" i="4"/>
  <c r="D60" i="4"/>
  <c r="C60" i="4"/>
  <c r="D59" i="4"/>
  <c r="C59" i="4"/>
  <c r="D58" i="4"/>
  <c r="C58" i="4"/>
  <c r="D57" i="4"/>
  <c r="C57" i="4"/>
  <c r="D56" i="4"/>
  <c r="C56" i="4"/>
  <c r="D55" i="4"/>
  <c r="C55" i="4"/>
  <c r="D54" i="4"/>
  <c r="C54" i="4"/>
  <c r="D53" i="4"/>
  <c r="C53" i="4"/>
  <c r="D52" i="4"/>
  <c r="C52" i="4"/>
  <c r="D51" i="4"/>
  <c r="C51" i="4"/>
  <c r="D50" i="4"/>
  <c r="C50" i="4"/>
  <c r="D49" i="4"/>
  <c r="C49" i="4"/>
  <c r="D48" i="4"/>
  <c r="C48" i="4"/>
  <c r="D47" i="4"/>
  <c r="C47" i="4"/>
  <c r="D46" i="4"/>
  <c r="C46" i="4"/>
  <c r="D45" i="4"/>
  <c r="C45" i="4"/>
  <c r="D44" i="4"/>
  <c r="C44" i="4"/>
  <c r="D43" i="4"/>
  <c r="C43" i="4"/>
  <c r="D42" i="4"/>
  <c r="C42" i="4"/>
  <c r="D41" i="4"/>
  <c r="C41" i="4"/>
  <c r="D40" i="4"/>
  <c r="C40" i="4"/>
  <c r="D39" i="4"/>
  <c r="C39" i="4"/>
  <c r="D38" i="4"/>
  <c r="C38" i="4"/>
  <c r="D37" i="4"/>
  <c r="C37" i="4"/>
  <c r="D36" i="4"/>
  <c r="C36" i="4"/>
  <c r="D35" i="4"/>
  <c r="C35" i="4"/>
  <c r="D34" i="4"/>
  <c r="C34" i="4"/>
  <c r="D33" i="4"/>
  <c r="C33" i="4"/>
  <c r="D32" i="4"/>
  <c r="C32" i="4"/>
  <c r="D31" i="4"/>
  <c r="C31" i="4"/>
  <c r="D30" i="4"/>
  <c r="C30" i="4"/>
  <c r="D29" i="4"/>
  <c r="C29" i="4"/>
  <c r="D28" i="4"/>
  <c r="C28" i="4"/>
  <c r="D27" i="4"/>
  <c r="C27" i="4"/>
  <c r="D26" i="4"/>
  <c r="C26" i="4"/>
  <c r="D25" i="4"/>
  <c r="C25" i="4"/>
  <c r="D24" i="4"/>
  <c r="C24" i="4"/>
  <c r="D23" i="4"/>
  <c r="C23" i="4"/>
  <c r="B23" i="4"/>
  <c r="D22" i="4"/>
  <c r="C22" i="4"/>
  <c r="B22" i="4"/>
  <c r="D21" i="4"/>
  <c r="C21" i="4"/>
  <c r="B21" i="4"/>
  <c r="D20" i="4"/>
  <c r="C20" i="4"/>
  <c r="B20" i="4"/>
  <c r="D19" i="4"/>
  <c r="C19" i="4"/>
  <c r="B19" i="4"/>
  <c r="D18" i="4"/>
  <c r="C18" i="4"/>
  <c r="B18" i="4"/>
  <c r="D17" i="4"/>
  <c r="C17" i="4"/>
  <c r="B17" i="4"/>
  <c r="D16" i="4"/>
  <c r="C16" i="4"/>
  <c r="B16" i="4"/>
  <c r="D15" i="4"/>
  <c r="C15" i="4"/>
  <c r="B15" i="4"/>
  <c r="D14" i="4"/>
  <c r="C14" i="4"/>
  <c r="B14" i="4"/>
  <c r="D13" i="4"/>
  <c r="C13" i="4"/>
  <c r="B13" i="4"/>
  <c r="D12" i="4"/>
  <c r="C12" i="4"/>
  <c r="B12" i="4"/>
  <c r="D11" i="4"/>
  <c r="C11" i="4"/>
  <c r="B11" i="4"/>
  <c r="D10" i="4"/>
  <c r="C10" i="4"/>
  <c r="B10" i="4"/>
  <c r="D9" i="4"/>
  <c r="C9" i="4"/>
  <c r="B9" i="4"/>
  <c r="D8" i="4"/>
  <c r="C8" i="4"/>
  <c r="B8" i="4"/>
  <c r="F6" i="4"/>
  <c r="C225" i="3"/>
  <c r="B225" i="3"/>
  <c r="C224" i="3"/>
  <c r="B224" i="3"/>
  <c r="C223" i="3"/>
  <c r="B223" i="3"/>
  <c r="C222" i="3"/>
  <c r="B222" i="3"/>
  <c r="C221" i="3"/>
  <c r="B221" i="3"/>
  <c r="C220" i="3"/>
  <c r="B220" i="3"/>
  <c r="C219" i="3"/>
  <c r="B219" i="3"/>
  <c r="C218" i="3"/>
  <c r="B218" i="3"/>
  <c r="L142" i="3"/>
  <c r="K142" i="3"/>
  <c r="J142" i="3"/>
  <c r="I142" i="3"/>
  <c r="H142" i="3"/>
  <c r="G142" i="3"/>
  <c r="L141" i="3"/>
  <c r="K141" i="3"/>
  <c r="J141" i="3"/>
  <c r="I141" i="3"/>
  <c r="H141" i="3"/>
  <c r="G141" i="3"/>
  <c r="L140" i="3"/>
  <c r="K140" i="3"/>
  <c r="J140" i="3"/>
  <c r="I140" i="3"/>
  <c r="H140" i="3"/>
  <c r="G140" i="3"/>
  <c r="L139" i="3"/>
  <c r="K139" i="3"/>
  <c r="J139" i="3"/>
  <c r="I139" i="3"/>
  <c r="H139" i="3"/>
  <c r="G139" i="3"/>
  <c r="L138" i="3"/>
  <c r="K138" i="3"/>
  <c r="J138" i="3"/>
  <c r="I138" i="3"/>
  <c r="H138" i="3"/>
  <c r="G138" i="3"/>
  <c r="L137" i="3"/>
  <c r="K137" i="3"/>
  <c r="J137" i="3"/>
  <c r="I137" i="3"/>
  <c r="H137" i="3"/>
  <c r="G137" i="3"/>
  <c r="L136" i="3"/>
  <c r="K136" i="3"/>
  <c r="J136" i="3"/>
  <c r="I136" i="3"/>
  <c r="H136" i="3"/>
  <c r="G136" i="3"/>
  <c r="L135" i="3"/>
  <c r="K135" i="3"/>
  <c r="J135" i="3"/>
  <c r="I135" i="3"/>
  <c r="H135" i="3"/>
  <c r="G135" i="3"/>
  <c r="L134" i="3"/>
  <c r="K134" i="3"/>
  <c r="J134" i="3"/>
  <c r="I134" i="3"/>
  <c r="H134" i="3"/>
  <c r="G134" i="3"/>
  <c r="L133" i="3"/>
  <c r="K133" i="3"/>
  <c r="J133" i="3"/>
  <c r="I133" i="3"/>
  <c r="H133" i="3"/>
  <c r="G133" i="3"/>
  <c r="L132" i="3"/>
  <c r="K132" i="3"/>
  <c r="J132" i="3"/>
  <c r="I132" i="3"/>
  <c r="H132" i="3"/>
  <c r="G132" i="3"/>
  <c r="L131" i="3"/>
  <c r="K131" i="3"/>
  <c r="J131" i="3"/>
  <c r="I131" i="3"/>
  <c r="H131" i="3"/>
  <c r="G131" i="3"/>
  <c r="L130" i="3"/>
  <c r="K130" i="3"/>
  <c r="J130" i="3"/>
  <c r="I130" i="3"/>
  <c r="H130" i="3"/>
  <c r="G130" i="3"/>
  <c r="L129" i="3"/>
  <c r="K129" i="3"/>
  <c r="J129" i="3"/>
  <c r="I129" i="3"/>
  <c r="H129" i="3"/>
  <c r="G129" i="3"/>
  <c r="L128" i="3"/>
  <c r="K128" i="3"/>
  <c r="J128" i="3"/>
  <c r="I128" i="3"/>
  <c r="H128" i="3"/>
  <c r="G128" i="3"/>
  <c r="L127" i="3"/>
  <c r="K127" i="3"/>
  <c r="J127" i="3"/>
  <c r="I127" i="3"/>
  <c r="H127" i="3"/>
  <c r="G127" i="3"/>
  <c r="L126" i="3"/>
  <c r="K126" i="3"/>
  <c r="J126" i="3"/>
  <c r="I126" i="3"/>
  <c r="H126" i="3"/>
  <c r="G126" i="3"/>
  <c r="L125" i="3"/>
  <c r="K125" i="3"/>
  <c r="J125" i="3"/>
  <c r="I125" i="3"/>
  <c r="H125" i="3"/>
  <c r="G125" i="3"/>
  <c r="L124" i="3"/>
  <c r="K124" i="3"/>
  <c r="J124" i="3"/>
  <c r="I124" i="3"/>
  <c r="H124" i="3"/>
  <c r="G124" i="3"/>
  <c r="L123" i="3"/>
  <c r="K123" i="3"/>
  <c r="J123" i="3"/>
  <c r="I123" i="3"/>
  <c r="H123" i="3"/>
  <c r="G123" i="3"/>
  <c r="L122" i="3"/>
  <c r="K122" i="3"/>
  <c r="J122" i="3"/>
  <c r="I122" i="3"/>
  <c r="H122" i="3"/>
  <c r="G122" i="3"/>
  <c r="L121" i="3"/>
  <c r="K121" i="3"/>
  <c r="J121" i="3"/>
  <c r="I121" i="3"/>
  <c r="H121" i="3"/>
  <c r="G121" i="3"/>
  <c r="L120" i="3"/>
  <c r="K120" i="3"/>
  <c r="J120" i="3"/>
  <c r="I120" i="3"/>
  <c r="H120" i="3"/>
  <c r="G120" i="3"/>
  <c r="L119" i="3"/>
  <c r="K119" i="3"/>
  <c r="J119" i="3"/>
  <c r="I119" i="3"/>
  <c r="H119" i="3"/>
  <c r="G119" i="3"/>
  <c r="L118" i="3"/>
  <c r="K118" i="3"/>
  <c r="J118" i="3"/>
  <c r="I118" i="3"/>
  <c r="H118" i="3"/>
  <c r="G118" i="3"/>
  <c r="L117" i="3"/>
  <c r="K117" i="3"/>
  <c r="J117" i="3"/>
  <c r="I117" i="3"/>
  <c r="H117" i="3"/>
  <c r="G117" i="3"/>
  <c r="L116" i="3"/>
  <c r="K116" i="3"/>
  <c r="J116" i="3"/>
  <c r="I116" i="3"/>
  <c r="H116" i="3"/>
  <c r="G116" i="3"/>
  <c r="L115" i="3"/>
  <c r="K115" i="3"/>
  <c r="J115" i="3"/>
  <c r="I115" i="3"/>
  <c r="H115" i="3"/>
  <c r="G115" i="3"/>
  <c r="L114" i="3"/>
  <c r="K114" i="3"/>
  <c r="J114" i="3"/>
  <c r="I114" i="3"/>
  <c r="H114" i="3"/>
  <c r="G114" i="3"/>
  <c r="L113" i="3"/>
  <c r="K113" i="3"/>
  <c r="J113" i="3"/>
  <c r="I113" i="3"/>
  <c r="H113" i="3"/>
  <c r="G113" i="3"/>
  <c r="L112" i="3"/>
  <c r="K112" i="3"/>
  <c r="J112" i="3"/>
  <c r="I112" i="3"/>
  <c r="H112" i="3"/>
  <c r="G112" i="3"/>
  <c r="L111" i="3"/>
  <c r="K111" i="3"/>
  <c r="J111" i="3"/>
  <c r="I111" i="3"/>
  <c r="H111" i="3"/>
  <c r="G111" i="3"/>
  <c r="L110" i="3"/>
  <c r="K110" i="3"/>
  <c r="J110" i="3"/>
  <c r="I110" i="3"/>
  <c r="H110" i="3"/>
  <c r="G110" i="3"/>
  <c r="L109" i="3"/>
  <c r="K109" i="3"/>
  <c r="J109" i="3"/>
  <c r="I109" i="3"/>
  <c r="H109" i="3"/>
  <c r="G109" i="3"/>
  <c r="L108" i="3"/>
  <c r="K108" i="3"/>
  <c r="J108" i="3"/>
  <c r="I108" i="3"/>
  <c r="H108" i="3"/>
  <c r="G108" i="3"/>
  <c r="L107" i="3"/>
  <c r="K107" i="3"/>
  <c r="J107" i="3"/>
  <c r="I107" i="3"/>
  <c r="H107" i="3"/>
  <c r="G107" i="3"/>
  <c r="L106" i="3"/>
  <c r="K106" i="3"/>
  <c r="J106" i="3"/>
  <c r="I106" i="3"/>
  <c r="H106" i="3"/>
  <c r="G106" i="3"/>
  <c r="L105" i="3"/>
  <c r="K105" i="3"/>
  <c r="J105" i="3"/>
  <c r="I105" i="3"/>
  <c r="H105" i="3"/>
  <c r="G105" i="3"/>
  <c r="L104" i="3"/>
  <c r="K104" i="3"/>
  <c r="J104" i="3"/>
  <c r="I104" i="3"/>
  <c r="H104" i="3"/>
  <c r="G104" i="3"/>
  <c r="L103" i="3"/>
  <c r="K103" i="3"/>
  <c r="J103" i="3"/>
  <c r="I103" i="3"/>
  <c r="H103" i="3"/>
  <c r="G103" i="3"/>
  <c r="L102" i="3"/>
  <c r="K102" i="3"/>
  <c r="J102" i="3"/>
  <c r="I102" i="3"/>
  <c r="H102" i="3"/>
  <c r="G102" i="3"/>
  <c r="L101" i="3"/>
  <c r="K101" i="3"/>
  <c r="J101" i="3"/>
  <c r="I101" i="3"/>
  <c r="H101" i="3"/>
  <c r="G101" i="3"/>
  <c r="L100" i="3"/>
  <c r="K100" i="3"/>
  <c r="J100" i="3"/>
  <c r="I100" i="3"/>
  <c r="H100" i="3"/>
  <c r="G100" i="3"/>
  <c r="L99" i="3"/>
  <c r="K99" i="3"/>
  <c r="J99" i="3"/>
  <c r="I99" i="3"/>
  <c r="H99" i="3"/>
  <c r="G99" i="3"/>
  <c r="L98" i="3"/>
  <c r="K98" i="3"/>
  <c r="J98" i="3"/>
  <c r="I98" i="3"/>
  <c r="H98" i="3"/>
  <c r="G98" i="3"/>
  <c r="L97" i="3"/>
  <c r="K97" i="3"/>
  <c r="J97" i="3"/>
  <c r="I97" i="3"/>
  <c r="H97" i="3"/>
  <c r="G97" i="3"/>
  <c r="L96" i="3"/>
  <c r="K96" i="3"/>
  <c r="J96" i="3"/>
  <c r="I96" i="3"/>
  <c r="H96" i="3"/>
  <c r="G96" i="3"/>
  <c r="L93" i="3"/>
  <c r="K93" i="3"/>
  <c r="J93" i="3"/>
  <c r="I93" i="3"/>
  <c r="H93" i="3"/>
  <c r="G93" i="3"/>
  <c r="L92" i="3"/>
  <c r="K92" i="3"/>
  <c r="J92" i="3"/>
  <c r="I92" i="3"/>
  <c r="H92" i="3"/>
  <c r="G92" i="3"/>
  <c r="L91" i="3"/>
  <c r="K91" i="3"/>
  <c r="J91" i="3"/>
  <c r="I91" i="3"/>
  <c r="H91" i="3"/>
  <c r="G91" i="3"/>
  <c r="L90" i="3"/>
  <c r="K90" i="3"/>
  <c r="J90" i="3"/>
  <c r="I90" i="3"/>
  <c r="H90" i="3"/>
  <c r="G90" i="3"/>
  <c r="L89" i="3"/>
  <c r="K89" i="3"/>
  <c r="J89" i="3"/>
  <c r="I89" i="3"/>
  <c r="H89" i="3"/>
  <c r="G89" i="3"/>
  <c r="L88" i="3"/>
  <c r="K88" i="3"/>
  <c r="J88" i="3"/>
  <c r="I88" i="3"/>
  <c r="H88" i="3"/>
  <c r="G88" i="3"/>
  <c r="L87" i="3"/>
  <c r="K87" i="3"/>
  <c r="J87" i="3"/>
  <c r="I87" i="3"/>
  <c r="H87" i="3"/>
  <c r="G87" i="3"/>
  <c r="L86" i="3"/>
  <c r="K86" i="3"/>
  <c r="J86" i="3"/>
  <c r="I86" i="3"/>
  <c r="H86" i="3"/>
  <c r="G86" i="3"/>
  <c r="L85" i="3"/>
  <c r="K85" i="3"/>
  <c r="J85" i="3"/>
  <c r="I85" i="3"/>
  <c r="H85" i="3"/>
  <c r="G85" i="3"/>
  <c r="L84" i="3"/>
  <c r="K84" i="3"/>
  <c r="J84" i="3"/>
  <c r="I84" i="3"/>
  <c r="H84" i="3"/>
  <c r="G84" i="3"/>
  <c r="L83" i="3"/>
  <c r="K83" i="3"/>
  <c r="J83" i="3"/>
  <c r="I83" i="3"/>
  <c r="H83" i="3"/>
  <c r="G83" i="3"/>
  <c r="L82" i="3"/>
  <c r="K82" i="3"/>
  <c r="J82" i="3"/>
  <c r="I82" i="3"/>
  <c r="H82" i="3"/>
  <c r="G82" i="3"/>
  <c r="L81" i="3"/>
  <c r="K81" i="3"/>
  <c r="J81" i="3"/>
  <c r="I81" i="3"/>
  <c r="H81" i="3"/>
  <c r="G81" i="3"/>
  <c r="L80" i="3"/>
  <c r="K80" i="3"/>
  <c r="J80" i="3"/>
  <c r="I80" i="3"/>
  <c r="H80" i="3"/>
  <c r="G80" i="3"/>
  <c r="L79" i="3"/>
  <c r="K79" i="3"/>
  <c r="J79" i="3"/>
  <c r="I79" i="3"/>
  <c r="H79" i="3"/>
  <c r="G79" i="3"/>
  <c r="L78" i="3"/>
  <c r="K78" i="3"/>
  <c r="J78" i="3"/>
  <c r="I78" i="3"/>
  <c r="H78" i="3"/>
  <c r="G78" i="3"/>
  <c r="L77" i="3"/>
  <c r="K77" i="3"/>
  <c r="J77" i="3"/>
  <c r="I77" i="3"/>
  <c r="H77" i="3"/>
  <c r="G77" i="3"/>
  <c r="L76" i="3"/>
  <c r="K76" i="3"/>
  <c r="J76" i="3"/>
  <c r="I76" i="3"/>
  <c r="H76" i="3"/>
  <c r="G76" i="3"/>
  <c r="L75" i="3"/>
  <c r="K75" i="3"/>
  <c r="J75" i="3"/>
  <c r="I75" i="3"/>
  <c r="H75" i="3"/>
  <c r="G75" i="3"/>
  <c r="L74" i="3"/>
  <c r="K74" i="3"/>
  <c r="J74" i="3"/>
  <c r="I74" i="3"/>
  <c r="H74" i="3"/>
  <c r="G74" i="3"/>
  <c r="L73" i="3"/>
  <c r="K73" i="3"/>
  <c r="J73" i="3"/>
  <c r="I73" i="3"/>
  <c r="H73" i="3"/>
  <c r="G73" i="3"/>
  <c r="L72" i="3"/>
  <c r="K72" i="3"/>
  <c r="J72" i="3"/>
  <c r="I72" i="3"/>
  <c r="H72" i="3"/>
  <c r="G72" i="3"/>
  <c r="L71" i="3"/>
  <c r="K71" i="3"/>
  <c r="J71" i="3"/>
  <c r="I71" i="3"/>
  <c r="H71" i="3"/>
  <c r="G71" i="3"/>
  <c r="L70" i="3"/>
  <c r="K70" i="3"/>
  <c r="J70" i="3"/>
  <c r="I70" i="3"/>
  <c r="H70" i="3"/>
  <c r="G70" i="3"/>
  <c r="L68" i="3"/>
  <c r="K68" i="3"/>
  <c r="J68" i="3"/>
  <c r="I68" i="3"/>
  <c r="H68" i="3"/>
  <c r="G68" i="3"/>
  <c r="L67" i="3"/>
  <c r="K67" i="3"/>
  <c r="J67" i="3"/>
  <c r="I67" i="3"/>
  <c r="H67" i="3"/>
  <c r="G67" i="3"/>
  <c r="L66" i="3"/>
  <c r="K66" i="3"/>
  <c r="J66" i="3"/>
  <c r="I66" i="3"/>
  <c r="H66" i="3"/>
  <c r="G66" i="3"/>
  <c r="L65" i="3"/>
  <c r="K65" i="3"/>
  <c r="J65" i="3"/>
  <c r="I65" i="3"/>
  <c r="H65" i="3"/>
  <c r="G65" i="3"/>
  <c r="L64" i="3"/>
  <c r="K64" i="3"/>
  <c r="J64" i="3"/>
  <c r="I64" i="3"/>
  <c r="H64" i="3"/>
  <c r="G64" i="3"/>
  <c r="L63" i="3"/>
  <c r="K63" i="3"/>
  <c r="J63" i="3"/>
  <c r="I63" i="3"/>
  <c r="H63" i="3"/>
  <c r="G63" i="3"/>
  <c r="L62" i="3"/>
  <c r="K62" i="3"/>
  <c r="J62" i="3"/>
  <c r="I62" i="3"/>
  <c r="H62" i="3"/>
  <c r="G62" i="3"/>
  <c r="L61" i="3"/>
  <c r="K61" i="3"/>
  <c r="J61" i="3"/>
  <c r="I61" i="3"/>
  <c r="H61" i="3"/>
  <c r="G61" i="3"/>
  <c r="L60" i="3"/>
  <c r="K60" i="3"/>
  <c r="J60" i="3"/>
  <c r="I60" i="3"/>
  <c r="H60" i="3"/>
  <c r="G60" i="3"/>
  <c r="L59" i="3"/>
  <c r="K59" i="3"/>
  <c r="J59" i="3"/>
  <c r="I59" i="3"/>
  <c r="H59" i="3"/>
  <c r="G59" i="3"/>
  <c r="L58" i="3"/>
  <c r="K58" i="3"/>
  <c r="J58" i="3"/>
  <c r="I58" i="3"/>
  <c r="H58" i="3"/>
  <c r="G58" i="3"/>
  <c r="L57" i="3"/>
  <c r="K57" i="3"/>
  <c r="J57" i="3"/>
  <c r="I57" i="3"/>
  <c r="H57" i="3"/>
  <c r="G57" i="3"/>
  <c r="L56" i="3"/>
  <c r="K56" i="3"/>
  <c r="J56" i="3"/>
  <c r="I56" i="3"/>
  <c r="H56" i="3"/>
  <c r="G56" i="3"/>
  <c r="L55" i="3"/>
  <c r="K55" i="3"/>
  <c r="J55" i="3"/>
  <c r="I55" i="3"/>
  <c r="H55" i="3"/>
  <c r="G55" i="3"/>
  <c r="L54" i="3"/>
  <c r="K54" i="3"/>
  <c r="J54" i="3"/>
  <c r="I54" i="3"/>
  <c r="H54" i="3"/>
  <c r="G54" i="3"/>
  <c r="L53" i="3"/>
  <c r="K53" i="3"/>
  <c r="J53" i="3"/>
  <c r="I53" i="3"/>
  <c r="H53" i="3"/>
  <c r="G53" i="3"/>
  <c r="L52" i="3"/>
  <c r="K52" i="3"/>
  <c r="J52" i="3"/>
  <c r="I52" i="3"/>
  <c r="H52" i="3"/>
  <c r="G52" i="3"/>
  <c r="L51" i="3"/>
  <c r="K51" i="3"/>
  <c r="J51" i="3"/>
  <c r="I51" i="3"/>
  <c r="H51" i="3"/>
  <c r="G51" i="3"/>
  <c r="L50" i="3"/>
  <c r="K50" i="3"/>
  <c r="J50" i="3"/>
  <c r="I50" i="3"/>
  <c r="H50" i="3"/>
  <c r="G50" i="3"/>
  <c r="L49" i="3"/>
  <c r="K49" i="3"/>
  <c r="J49" i="3"/>
  <c r="I49" i="3"/>
  <c r="H49" i="3"/>
  <c r="G49" i="3"/>
  <c r="L48" i="3"/>
  <c r="K48" i="3"/>
  <c r="J48" i="3"/>
  <c r="I48" i="3"/>
  <c r="H48" i="3"/>
  <c r="G48" i="3"/>
  <c r="L47" i="3"/>
  <c r="K47" i="3"/>
  <c r="J47" i="3"/>
  <c r="I47" i="3"/>
  <c r="H47" i="3"/>
  <c r="G47" i="3"/>
  <c r="L46" i="3"/>
  <c r="K46" i="3"/>
  <c r="J46" i="3"/>
  <c r="I46" i="3"/>
  <c r="H46" i="3"/>
  <c r="G46" i="3"/>
  <c r="L45" i="3"/>
  <c r="K45" i="3"/>
  <c r="J45" i="3"/>
  <c r="I45" i="3"/>
  <c r="H45" i="3"/>
  <c r="G45" i="3"/>
  <c r="L44" i="3"/>
  <c r="K44" i="3"/>
  <c r="J44" i="3"/>
  <c r="I44" i="3"/>
  <c r="H44" i="3"/>
  <c r="G44" i="3"/>
  <c r="L43" i="3"/>
  <c r="K43" i="3"/>
  <c r="J43" i="3"/>
  <c r="I43" i="3"/>
  <c r="H43" i="3"/>
  <c r="G43" i="3"/>
  <c r="L42" i="3"/>
  <c r="K42" i="3"/>
  <c r="J42" i="3"/>
  <c r="I42" i="3"/>
  <c r="H42" i="3"/>
  <c r="G42" i="3"/>
  <c r="L41" i="3"/>
  <c r="K41" i="3"/>
  <c r="J41" i="3"/>
  <c r="I41" i="3"/>
  <c r="H41" i="3"/>
  <c r="G41" i="3"/>
  <c r="L40" i="3"/>
  <c r="K40" i="3"/>
  <c r="J40" i="3"/>
  <c r="I40" i="3"/>
  <c r="H40" i="3"/>
  <c r="G40" i="3"/>
  <c r="L38" i="3"/>
  <c r="K38" i="3"/>
  <c r="J38" i="3"/>
  <c r="I38" i="3"/>
  <c r="H38" i="3"/>
  <c r="G38" i="3"/>
  <c r="L37" i="3"/>
  <c r="K37" i="3"/>
  <c r="J37" i="3"/>
  <c r="I37" i="3"/>
  <c r="H37" i="3"/>
  <c r="G37" i="3"/>
  <c r="L36" i="3"/>
  <c r="K36" i="3"/>
  <c r="J36" i="3"/>
  <c r="I36" i="3"/>
  <c r="H36" i="3"/>
  <c r="G36" i="3"/>
  <c r="L35" i="3"/>
  <c r="K35" i="3"/>
  <c r="J35" i="3"/>
  <c r="I35" i="3"/>
  <c r="H35" i="3"/>
  <c r="G35" i="3"/>
  <c r="L34" i="3"/>
  <c r="K34" i="3"/>
  <c r="J34" i="3"/>
  <c r="I34" i="3"/>
  <c r="H34" i="3"/>
  <c r="G34" i="3"/>
  <c r="L33" i="3"/>
  <c r="K33" i="3"/>
  <c r="J33" i="3"/>
  <c r="I33" i="3"/>
  <c r="H33" i="3"/>
  <c r="G33" i="3"/>
  <c r="L32" i="3"/>
  <c r="K32" i="3"/>
  <c r="J32" i="3"/>
  <c r="I32" i="3"/>
  <c r="H32" i="3"/>
  <c r="G32" i="3"/>
  <c r="L31" i="3"/>
  <c r="K31" i="3"/>
  <c r="J31" i="3"/>
  <c r="I31" i="3"/>
  <c r="H31" i="3"/>
  <c r="G31" i="3"/>
  <c r="L30" i="3"/>
  <c r="K30" i="3"/>
  <c r="J30" i="3"/>
  <c r="I30" i="3"/>
  <c r="H30" i="3"/>
  <c r="G30" i="3"/>
  <c r="L29" i="3"/>
  <c r="K29" i="3"/>
  <c r="J29" i="3"/>
  <c r="I29" i="3"/>
  <c r="H29" i="3"/>
  <c r="G29" i="3"/>
  <c r="L27" i="3"/>
  <c r="K27" i="3"/>
  <c r="J27" i="3"/>
  <c r="I27" i="3"/>
  <c r="H27" i="3"/>
  <c r="G27" i="3"/>
  <c r="L26" i="3"/>
  <c r="K26" i="3"/>
  <c r="J26" i="3"/>
  <c r="I26" i="3"/>
  <c r="H26" i="3"/>
  <c r="G26" i="3"/>
  <c r="L24" i="3"/>
  <c r="K24" i="3"/>
  <c r="J24" i="3"/>
  <c r="I24" i="3"/>
  <c r="H24" i="3"/>
  <c r="G24" i="3"/>
  <c r="L23" i="3"/>
  <c r="K23" i="3"/>
  <c r="J23" i="3"/>
  <c r="I23" i="3"/>
  <c r="H23" i="3"/>
  <c r="G23" i="3"/>
  <c r="L22" i="3"/>
  <c r="K22" i="3"/>
  <c r="J22" i="3"/>
  <c r="I22" i="3"/>
  <c r="H22" i="3"/>
  <c r="G22" i="3"/>
  <c r="L21" i="3"/>
  <c r="K21" i="3"/>
  <c r="J21" i="3"/>
  <c r="I21" i="3"/>
  <c r="H21" i="3"/>
  <c r="G21" i="3"/>
  <c r="L20" i="3"/>
  <c r="K20" i="3"/>
  <c r="J20" i="3"/>
  <c r="I20" i="3"/>
  <c r="H20" i="3"/>
  <c r="G20" i="3"/>
  <c r="L19" i="3"/>
  <c r="K19" i="3"/>
  <c r="J19" i="3"/>
  <c r="I19" i="3"/>
  <c r="H19" i="3"/>
  <c r="G19" i="3"/>
  <c r="L18" i="3"/>
  <c r="K18" i="3"/>
  <c r="J18" i="3"/>
  <c r="I18" i="3"/>
  <c r="H18" i="3"/>
  <c r="G18" i="3"/>
  <c r="L17" i="3"/>
  <c r="K17" i="3"/>
  <c r="J17" i="3"/>
  <c r="I17" i="3"/>
  <c r="H17" i="3"/>
  <c r="G17" i="3"/>
  <c r="L16" i="3"/>
  <c r="K16" i="3"/>
  <c r="J16" i="3"/>
  <c r="I16" i="3"/>
  <c r="H16" i="3"/>
  <c r="G16" i="3"/>
  <c r="L15" i="3"/>
  <c r="K15" i="3"/>
  <c r="J15" i="3"/>
  <c r="I15" i="3"/>
  <c r="H15" i="3"/>
  <c r="G15" i="3"/>
  <c r="L14" i="3"/>
  <c r="K14" i="3"/>
  <c r="J14" i="3"/>
  <c r="I14" i="3"/>
  <c r="H14" i="3"/>
  <c r="G14" i="3"/>
  <c r="L13" i="3"/>
  <c r="K13" i="3"/>
  <c r="J13" i="3"/>
  <c r="I13" i="3"/>
  <c r="H13" i="3"/>
  <c r="G13" i="3"/>
  <c r="L12" i="3"/>
  <c r="K12" i="3"/>
  <c r="J12" i="3"/>
  <c r="I12" i="3"/>
  <c r="H12" i="3"/>
  <c r="G12" i="3"/>
  <c r="L11" i="3"/>
  <c r="K11" i="3"/>
  <c r="J11" i="3"/>
  <c r="I11" i="3"/>
  <c r="H11" i="3"/>
  <c r="G11" i="3"/>
  <c r="L10" i="3"/>
  <c r="K10" i="3"/>
  <c r="J10" i="3"/>
  <c r="I10" i="3"/>
  <c r="H10" i="3"/>
  <c r="G10" i="3"/>
  <c r="L9" i="3"/>
  <c r="K9" i="3"/>
  <c r="J9" i="3"/>
  <c r="I9" i="3"/>
  <c r="H9" i="3"/>
  <c r="G9" i="3"/>
  <c r="L8" i="3"/>
  <c r="K8" i="3"/>
  <c r="J8" i="3"/>
  <c r="I8" i="3"/>
  <c r="H8" i="3"/>
  <c r="G8" i="3"/>
  <c r="L7" i="3"/>
  <c r="K7" i="3"/>
  <c r="J7" i="3"/>
  <c r="I7" i="3"/>
  <c r="H7" i="3"/>
  <c r="G7" i="3"/>
  <c r="L6" i="3"/>
  <c r="K6" i="3"/>
  <c r="J6" i="3"/>
  <c r="I6" i="3"/>
  <c r="H6" i="3"/>
  <c r="G6" i="3"/>
  <c r="L5" i="3"/>
  <c r="K5" i="3"/>
  <c r="J5" i="3"/>
  <c r="I5" i="3"/>
  <c r="H5" i="3"/>
  <c r="G5" i="3"/>
  <c r="L4" i="3"/>
  <c r="K4" i="3"/>
  <c r="J4" i="3"/>
  <c r="I4" i="3"/>
  <c r="H4" i="3"/>
  <c r="G4" i="3"/>
  <c r="A2" i="3"/>
  <c r="F16" i="4" s="1"/>
  <c r="G16" i="4" s="1"/>
  <c r="G3" i="1"/>
  <c r="A1" i="1"/>
  <c r="F24" i="4" l="1"/>
  <c r="G24" i="4" s="1"/>
  <c r="F56" i="4"/>
  <c r="G56" i="4" s="1"/>
  <c r="F88" i="4"/>
  <c r="G88" i="4" s="1"/>
  <c r="F120" i="4"/>
  <c r="G120" i="4" s="1"/>
  <c r="F28" i="4"/>
  <c r="G28" i="4" s="1"/>
  <c r="F60" i="4"/>
  <c r="G60" i="4" s="1"/>
  <c r="F92" i="4"/>
  <c r="G92" i="4" s="1"/>
  <c r="F124" i="4"/>
  <c r="G124" i="4" s="1"/>
  <c r="F9" i="4"/>
  <c r="G9" i="4" s="1"/>
  <c r="F32" i="4"/>
  <c r="G32" i="4" s="1"/>
  <c r="F64" i="4"/>
  <c r="G64" i="4" s="1"/>
  <c r="F96" i="4"/>
  <c r="G96" i="4" s="1"/>
  <c r="F128" i="4"/>
  <c r="G128" i="4" s="1"/>
  <c r="F17" i="4"/>
  <c r="G17" i="4" s="1"/>
  <c r="F36" i="4"/>
  <c r="G36" i="4" s="1"/>
  <c r="F68" i="4"/>
  <c r="G68" i="4" s="1"/>
  <c r="F100" i="4"/>
  <c r="G100" i="4" s="1"/>
  <c r="F132" i="4"/>
  <c r="G132" i="4" s="1"/>
  <c r="F40" i="4"/>
  <c r="G40" i="4" s="1"/>
  <c r="F72" i="4"/>
  <c r="G72" i="4" s="1"/>
  <c r="F104" i="4"/>
  <c r="G104" i="4" s="1"/>
  <c r="F136" i="4"/>
  <c r="G136" i="4" s="1"/>
  <c r="F44" i="4"/>
  <c r="G44" i="4" s="1"/>
  <c r="F76" i="4"/>
  <c r="G76" i="4" s="1"/>
  <c r="F108" i="4"/>
  <c r="G108" i="4" s="1"/>
  <c r="F144" i="4"/>
  <c r="G144" i="4" s="1"/>
  <c r="F48" i="4"/>
  <c r="G48" i="4" s="1"/>
  <c r="F80" i="4"/>
  <c r="G80" i="4" s="1"/>
  <c r="F112" i="4"/>
  <c r="G112" i="4" s="1"/>
  <c r="F52" i="4"/>
  <c r="G52" i="4" s="1"/>
  <c r="F84" i="4"/>
  <c r="G84" i="4" s="1"/>
  <c r="F116" i="4"/>
  <c r="G116" i="4" s="1"/>
  <c r="F15" i="4"/>
  <c r="G15" i="4" s="1"/>
  <c r="F23" i="4"/>
  <c r="G23" i="4" s="1"/>
  <c r="F27" i="4"/>
  <c r="G27" i="4" s="1"/>
  <c r="F31" i="4"/>
  <c r="G31" i="4" s="1"/>
  <c r="F35" i="4"/>
  <c r="G35" i="4" s="1"/>
  <c r="F39" i="4"/>
  <c r="G39" i="4" s="1"/>
  <c r="F43" i="4"/>
  <c r="G43" i="4" s="1"/>
  <c r="F47" i="4"/>
  <c r="G47" i="4" s="1"/>
  <c r="F51" i="4"/>
  <c r="G51" i="4" s="1"/>
  <c r="F55" i="4"/>
  <c r="G55" i="4" s="1"/>
  <c r="F59" i="4"/>
  <c r="G59" i="4" s="1"/>
  <c r="F63" i="4"/>
  <c r="G63" i="4" s="1"/>
  <c r="F67" i="4"/>
  <c r="G67" i="4" s="1"/>
  <c r="F71" i="4"/>
  <c r="G71" i="4" s="1"/>
  <c r="F75" i="4"/>
  <c r="G75" i="4" s="1"/>
  <c r="F79" i="4"/>
  <c r="G79" i="4" s="1"/>
  <c r="F83" i="4"/>
  <c r="G83" i="4" s="1"/>
  <c r="F87" i="4"/>
  <c r="G87" i="4" s="1"/>
  <c r="F91" i="4"/>
  <c r="G91" i="4" s="1"/>
  <c r="F95" i="4"/>
  <c r="G95" i="4" s="1"/>
  <c r="F99" i="4"/>
  <c r="G99" i="4" s="1"/>
  <c r="F103" i="4"/>
  <c r="G103" i="4" s="1"/>
  <c r="F107" i="4"/>
  <c r="G107" i="4" s="1"/>
  <c r="F111" i="4"/>
  <c r="G111" i="4" s="1"/>
  <c r="F115" i="4"/>
  <c r="G115" i="4" s="1"/>
  <c r="F119" i="4"/>
  <c r="G119" i="4" s="1"/>
  <c r="F123" i="4"/>
  <c r="G123" i="4" s="1"/>
  <c r="F127" i="4"/>
  <c r="G127" i="4" s="1"/>
  <c r="F131" i="4"/>
  <c r="G131" i="4" s="1"/>
  <c r="F135" i="4"/>
  <c r="G135" i="4" s="1"/>
  <c r="F139" i="4"/>
  <c r="G139" i="4" s="1"/>
  <c r="F143" i="4"/>
  <c r="G143" i="4" s="1"/>
  <c r="F147" i="4"/>
  <c r="G147" i="4" s="1"/>
  <c r="F14" i="4"/>
  <c r="G14" i="4" s="1"/>
  <c r="F22" i="4"/>
  <c r="G22" i="4" s="1"/>
  <c r="F13" i="4"/>
  <c r="G13" i="4" s="1"/>
  <c r="F21" i="4"/>
  <c r="G21" i="4" s="1"/>
  <c r="F26" i="4"/>
  <c r="G26" i="4" s="1"/>
  <c r="F30" i="4"/>
  <c r="G30" i="4" s="1"/>
  <c r="F34" i="4"/>
  <c r="G34" i="4" s="1"/>
  <c r="F38" i="4"/>
  <c r="G38" i="4" s="1"/>
  <c r="F42" i="4"/>
  <c r="G42" i="4" s="1"/>
  <c r="F46" i="4"/>
  <c r="G46" i="4" s="1"/>
  <c r="F50" i="4"/>
  <c r="G50" i="4" s="1"/>
  <c r="F54" i="4"/>
  <c r="G54" i="4" s="1"/>
  <c r="F58" i="4"/>
  <c r="G58" i="4" s="1"/>
  <c r="F62" i="4"/>
  <c r="G62" i="4" s="1"/>
  <c r="F66" i="4"/>
  <c r="G66" i="4" s="1"/>
  <c r="F70" i="4"/>
  <c r="G70" i="4" s="1"/>
  <c r="F74" i="4"/>
  <c r="G74" i="4" s="1"/>
  <c r="F78" i="4"/>
  <c r="G78" i="4" s="1"/>
  <c r="F82" i="4"/>
  <c r="G82" i="4" s="1"/>
  <c r="F86" i="4"/>
  <c r="G86" i="4" s="1"/>
  <c r="F90" i="4"/>
  <c r="G90" i="4" s="1"/>
  <c r="F94" i="4"/>
  <c r="G94" i="4" s="1"/>
  <c r="F98" i="4"/>
  <c r="G98" i="4" s="1"/>
  <c r="F102" i="4"/>
  <c r="G102" i="4" s="1"/>
  <c r="F106" i="4"/>
  <c r="G106" i="4" s="1"/>
  <c r="F110" i="4"/>
  <c r="G110" i="4" s="1"/>
  <c r="F114" i="4"/>
  <c r="G114" i="4" s="1"/>
  <c r="F118" i="4"/>
  <c r="G118" i="4" s="1"/>
  <c r="F122" i="4"/>
  <c r="G122" i="4" s="1"/>
  <c r="F126" i="4"/>
  <c r="G126" i="4" s="1"/>
  <c r="F130" i="4"/>
  <c r="G130" i="4" s="1"/>
  <c r="F134" i="4"/>
  <c r="G134" i="4" s="1"/>
  <c r="F138" i="4"/>
  <c r="G138" i="4" s="1"/>
  <c r="F142" i="4"/>
  <c r="G142" i="4" s="1"/>
  <c r="F146" i="4"/>
  <c r="G146" i="4" s="1"/>
  <c r="F12" i="4"/>
  <c r="G12" i="4" s="1"/>
  <c r="F20" i="4"/>
  <c r="G20" i="4" s="1"/>
  <c r="F11" i="4"/>
  <c r="G11" i="4" s="1"/>
  <c r="F19" i="4"/>
  <c r="G19" i="4" s="1"/>
  <c r="F25" i="4"/>
  <c r="G25" i="4" s="1"/>
  <c r="F29" i="4"/>
  <c r="G29" i="4" s="1"/>
  <c r="F33" i="4"/>
  <c r="G33" i="4" s="1"/>
  <c r="F37" i="4"/>
  <c r="G37" i="4" s="1"/>
  <c r="F41" i="4"/>
  <c r="G41" i="4" s="1"/>
  <c r="F45" i="4"/>
  <c r="G45" i="4" s="1"/>
  <c r="F49" i="4"/>
  <c r="G49" i="4" s="1"/>
  <c r="F53" i="4"/>
  <c r="G53" i="4" s="1"/>
  <c r="F57" i="4"/>
  <c r="G57" i="4" s="1"/>
  <c r="F61" i="4"/>
  <c r="G61" i="4" s="1"/>
  <c r="F65" i="4"/>
  <c r="G65" i="4" s="1"/>
  <c r="F69" i="4"/>
  <c r="G69" i="4" s="1"/>
  <c r="F73" i="4"/>
  <c r="G73" i="4" s="1"/>
  <c r="F77" i="4"/>
  <c r="G77" i="4" s="1"/>
  <c r="F81" i="4"/>
  <c r="G81" i="4" s="1"/>
  <c r="F85" i="4"/>
  <c r="G85" i="4" s="1"/>
  <c r="F89" i="4"/>
  <c r="G89" i="4" s="1"/>
  <c r="F93" i="4"/>
  <c r="G93" i="4" s="1"/>
  <c r="F97" i="4"/>
  <c r="G97" i="4" s="1"/>
  <c r="F101" i="4"/>
  <c r="G101" i="4" s="1"/>
  <c r="F105" i="4"/>
  <c r="G105" i="4" s="1"/>
  <c r="F109" i="4"/>
  <c r="G109" i="4" s="1"/>
  <c r="F113" i="4"/>
  <c r="G113" i="4" s="1"/>
  <c r="F117" i="4"/>
  <c r="G117" i="4" s="1"/>
  <c r="F121" i="4"/>
  <c r="G121" i="4" s="1"/>
  <c r="F125" i="4"/>
  <c r="G125" i="4" s="1"/>
  <c r="F129" i="4"/>
  <c r="G129" i="4" s="1"/>
  <c r="F133" i="4"/>
  <c r="G133" i="4" s="1"/>
  <c r="F137" i="4"/>
  <c r="G137" i="4" s="1"/>
  <c r="F141" i="4"/>
  <c r="G141" i="4" s="1"/>
  <c r="F145" i="4"/>
  <c r="G145" i="4" s="1"/>
  <c r="F149" i="4"/>
  <c r="G149" i="4" s="1"/>
  <c r="F10" i="4"/>
  <c r="G10" i="4" s="1"/>
  <c r="F18" i="4"/>
  <c r="G18" i="4" s="1"/>
  <c r="F148" i="4"/>
  <c r="G148" i="4" s="1"/>
  <c r="F140" i="4"/>
  <c r="G140" i="4" s="1"/>
  <c r="F8" i="4"/>
  <c r="G8" i="4" s="1"/>
  <c r="I149" i="4" l="1"/>
  <c r="I145" i="4"/>
  <c r="I141" i="4"/>
  <c r="I137" i="4"/>
  <c r="I133" i="4"/>
  <c r="I129" i="4"/>
  <c r="I125" i="4"/>
  <c r="I121" i="4"/>
  <c r="I117" i="4"/>
  <c r="I113" i="4"/>
  <c r="I109" i="4"/>
  <c r="I105" i="4"/>
  <c r="I101" i="4"/>
  <c r="I97" i="4"/>
  <c r="I93" i="4"/>
  <c r="I89" i="4"/>
  <c r="I85" i="4"/>
  <c r="I81" i="4"/>
  <c r="I77" i="4"/>
  <c r="I73" i="4"/>
  <c r="I69" i="4"/>
  <c r="I65" i="4"/>
  <c r="I61" i="4"/>
  <c r="I57" i="4"/>
  <c r="I53" i="4"/>
  <c r="I49" i="4"/>
  <c r="I45" i="4"/>
  <c r="I41" i="4"/>
  <c r="I37" i="4"/>
  <c r="I33" i="4"/>
  <c r="I29" i="4"/>
  <c r="I25" i="4"/>
  <c r="I19" i="4"/>
  <c r="H18" i="4"/>
  <c r="I11" i="4"/>
  <c r="H10" i="4"/>
  <c r="H145" i="4"/>
  <c r="H141" i="4"/>
  <c r="H137" i="4"/>
  <c r="H125" i="4"/>
  <c r="H113" i="4"/>
  <c r="H109" i="4"/>
  <c r="H57" i="4"/>
  <c r="H53" i="4"/>
  <c r="I12" i="4"/>
  <c r="H149" i="4"/>
  <c r="I146" i="4"/>
  <c r="I142" i="4"/>
  <c r="I138" i="4"/>
  <c r="I134" i="4"/>
  <c r="I130" i="4"/>
  <c r="I126" i="4"/>
  <c r="I122" i="4"/>
  <c r="I118" i="4"/>
  <c r="I114" i="4"/>
  <c r="I110" i="4"/>
  <c r="I106" i="4"/>
  <c r="I102" i="4"/>
  <c r="I98" i="4"/>
  <c r="I94" i="4"/>
  <c r="I90" i="4"/>
  <c r="I86" i="4"/>
  <c r="I82" i="4"/>
  <c r="I78" i="4"/>
  <c r="I74" i="4"/>
  <c r="I70" i="4"/>
  <c r="I66" i="4"/>
  <c r="I62" i="4"/>
  <c r="I58" i="4"/>
  <c r="I54" i="4"/>
  <c r="I50" i="4"/>
  <c r="I46" i="4"/>
  <c r="I42" i="4"/>
  <c r="I38" i="4"/>
  <c r="I34" i="4"/>
  <c r="I30" i="4"/>
  <c r="I26" i="4"/>
  <c r="I21" i="4"/>
  <c r="H20" i="4"/>
  <c r="I13" i="4"/>
  <c r="H12" i="4"/>
  <c r="H133" i="4"/>
  <c r="H129" i="4"/>
  <c r="H89" i="4"/>
  <c r="H85" i="4"/>
  <c r="H81" i="4"/>
  <c r="H45" i="4"/>
  <c r="H41" i="4"/>
  <c r="H29" i="4"/>
  <c r="H25" i="4"/>
  <c r="H146" i="4"/>
  <c r="H142" i="4"/>
  <c r="H138" i="4"/>
  <c r="H134" i="4"/>
  <c r="H130" i="4"/>
  <c r="H126" i="4"/>
  <c r="H122" i="4"/>
  <c r="H118" i="4"/>
  <c r="H114" i="4"/>
  <c r="H110" i="4"/>
  <c r="H106" i="4"/>
  <c r="H102" i="4"/>
  <c r="H98" i="4"/>
  <c r="H94" i="4"/>
  <c r="H90" i="4"/>
  <c r="H86" i="4"/>
  <c r="H82" i="4"/>
  <c r="H78" i="4"/>
  <c r="H74" i="4"/>
  <c r="H70" i="4"/>
  <c r="H66" i="4"/>
  <c r="H62" i="4"/>
  <c r="H58" i="4"/>
  <c r="H54" i="4"/>
  <c r="H50" i="4"/>
  <c r="H46" i="4"/>
  <c r="H42" i="4"/>
  <c r="H38" i="4"/>
  <c r="H34" i="4"/>
  <c r="H30" i="4"/>
  <c r="H26" i="4"/>
  <c r="I22" i="4"/>
  <c r="H21" i="4"/>
  <c r="I14" i="4"/>
  <c r="H13" i="4"/>
  <c r="H105" i="4"/>
  <c r="H19" i="4"/>
  <c r="I147" i="4"/>
  <c r="I143" i="4"/>
  <c r="I139" i="4"/>
  <c r="I135" i="4"/>
  <c r="I131" i="4"/>
  <c r="I127" i="4"/>
  <c r="I123" i="4"/>
  <c r="I119" i="4"/>
  <c r="I115" i="4"/>
  <c r="I111" i="4"/>
  <c r="I107" i="4"/>
  <c r="I103" i="4"/>
  <c r="I99" i="4"/>
  <c r="I95" i="4"/>
  <c r="I91" i="4"/>
  <c r="I87" i="4"/>
  <c r="I83" i="4"/>
  <c r="I79" i="4"/>
  <c r="I75" i="4"/>
  <c r="I71" i="4"/>
  <c r="I67" i="4"/>
  <c r="I63" i="4"/>
  <c r="I59" i="4"/>
  <c r="I55" i="4"/>
  <c r="I51" i="4"/>
  <c r="I47" i="4"/>
  <c r="I43" i="4"/>
  <c r="I39" i="4"/>
  <c r="I35" i="4"/>
  <c r="I31" i="4"/>
  <c r="I27" i="4"/>
  <c r="I23" i="4"/>
  <c r="H22" i="4"/>
  <c r="I15" i="4"/>
  <c r="H14" i="4"/>
  <c r="H101" i="4"/>
  <c r="H93" i="4"/>
  <c r="H77" i="4"/>
  <c r="H73" i="4"/>
  <c r="H69" i="4"/>
  <c r="H65" i="4"/>
  <c r="H49" i="4"/>
  <c r="H33" i="4"/>
  <c r="H11" i="4"/>
  <c r="H147" i="4"/>
  <c r="H143" i="4"/>
  <c r="H139" i="4"/>
  <c r="H135" i="4"/>
  <c r="H131" i="4"/>
  <c r="H127" i="4"/>
  <c r="H123" i="4"/>
  <c r="H119" i="4"/>
  <c r="H115" i="4"/>
  <c r="H111" i="4"/>
  <c r="H107" i="4"/>
  <c r="H103" i="4"/>
  <c r="H99" i="4"/>
  <c r="H95" i="4"/>
  <c r="H91" i="4"/>
  <c r="H87" i="4"/>
  <c r="H83" i="4"/>
  <c r="H79" i="4"/>
  <c r="H75" i="4"/>
  <c r="H71" i="4"/>
  <c r="H67" i="4"/>
  <c r="H63" i="4"/>
  <c r="H59" i="4"/>
  <c r="H55" i="4"/>
  <c r="H51" i="4"/>
  <c r="H47" i="4"/>
  <c r="H43" i="4"/>
  <c r="H39" i="4"/>
  <c r="H35" i="4"/>
  <c r="H31" i="4"/>
  <c r="H27" i="4"/>
  <c r="H23" i="4"/>
  <c r="I16" i="4"/>
  <c r="H15" i="4"/>
  <c r="I8" i="4"/>
  <c r="H121" i="4"/>
  <c r="H97" i="4"/>
  <c r="I148" i="4"/>
  <c r="I144" i="4"/>
  <c r="I140" i="4"/>
  <c r="I136" i="4"/>
  <c r="I132" i="4"/>
  <c r="I128" i="4"/>
  <c r="I124" i="4"/>
  <c r="I120" i="4"/>
  <c r="I116" i="4"/>
  <c r="I112" i="4"/>
  <c r="I108" i="4"/>
  <c r="I104" i="4"/>
  <c r="I100" i="4"/>
  <c r="I96" i="4"/>
  <c r="I92" i="4"/>
  <c r="I88" i="4"/>
  <c r="I84" i="4"/>
  <c r="I80" i="4"/>
  <c r="I76" i="4"/>
  <c r="I72" i="4"/>
  <c r="I68" i="4"/>
  <c r="I64" i="4"/>
  <c r="I60" i="4"/>
  <c r="I56" i="4"/>
  <c r="I52" i="4"/>
  <c r="I48" i="4"/>
  <c r="I44" i="4"/>
  <c r="I40" i="4"/>
  <c r="I36" i="4"/>
  <c r="I32" i="4"/>
  <c r="I28" i="4"/>
  <c r="I24" i="4"/>
  <c r="I17" i="4"/>
  <c r="H16" i="4"/>
  <c r="I9" i="4"/>
  <c r="H8" i="4"/>
  <c r="H117" i="4"/>
  <c r="H37" i="4"/>
  <c r="H148" i="4"/>
  <c r="H144" i="4"/>
  <c r="H140" i="4"/>
  <c r="H136" i="4"/>
  <c r="H132" i="4"/>
  <c r="H128" i="4"/>
  <c r="H124" i="4"/>
  <c r="H120" i="4"/>
  <c r="H116" i="4"/>
  <c r="H112" i="4"/>
  <c r="H108" i="4"/>
  <c r="H104" i="4"/>
  <c r="H100" i="4"/>
  <c r="H96" i="4"/>
  <c r="H92" i="4"/>
  <c r="H88" i="4"/>
  <c r="H84" i="4"/>
  <c r="H80" i="4"/>
  <c r="H76" i="4"/>
  <c r="H72" i="4"/>
  <c r="H68" i="4"/>
  <c r="H64" i="4"/>
  <c r="H60" i="4"/>
  <c r="H56" i="4"/>
  <c r="H52" i="4"/>
  <c r="H48" i="4"/>
  <c r="H44" i="4"/>
  <c r="H40" i="4"/>
  <c r="H36" i="4"/>
  <c r="H32" i="4"/>
  <c r="H28" i="4"/>
  <c r="H24" i="4"/>
  <c r="I18" i="4"/>
  <c r="H17" i="4"/>
  <c r="I10" i="4"/>
  <c r="H9" i="4"/>
  <c r="H61" i="4"/>
  <c r="I20" i="4"/>
</calcChain>
</file>

<file path=xl/sharedStrings.xml><?xml version="1.0" encoding="utf-8"?>
<sst xmlns="http://schemas.openxmlformats.org/spreadsheetml/2006/main" count="397" uniqueCount="147">
  <si>
    <t>MAYO</t>
  </si>
  <si>
    <t>INCAPACIDAD</t>
  </si>
  <si>
    <t>DEPARTAMENTO</t>
  </si>
  <si>
    <t>NOMBRE</t>
  </si>
  <si>
    <t>CARGO</t>
  </si>
  <si>
    <t>NOVEDAD</t>
  </si>
  <si>
    <t>CANTIDAD</t>
  </si>
  <si>
    <t>MES</t>
  </si>
  <si>
    <t>AÑO</t>
  </si>
  <si>
    <t>Stefany Uribe</t>
  </si>
  <si>
    <t>Karina Jimenez</t>
  </si>
  <si>
    <t>Paula De Leon</t>
  </si>
  <si>
    <t>Martha Orozco</t>
  </si>
  <si>
    <t>Jeissy Gutierrez</t>
  </si>
  <si>
    <t>Frank Egurrola</t>
  </si>
  <si>
    <t>Melissa Charris</t>
  </si>
  <si>
    <t>Yanina Vargas</t>
  </si>
  <si>
    <t xml:space="preserve">Anthony Orrego </t>
  </si>
  <si>
    <t>Andreina Cequea</t>
  </si>
  <si>
    <t>Zullys Bernal</t>
  </si>
  <si>
    <t>Angelica Rivera</t>
  </si>
  <si>
    <t>Angie Ulchur</t>
  </si>
  <si>
    <t>Julian Montealegre</t>
  </si>
  <si>
    <t>Mercedes Moreno</t>
  </si>
  <si>
    <t xml:space="preserve">Loreley Jimenez </t>
  </si>
  <si>
    <t>Asistencial</t>
  </si>
  <si>
    <t>Contabilidad</t>
  </si>
  <si>
    <t>Almacen</t>
  </si>
  <si>
    <t>Facturacion</t>
  </si>
  <si>
    <t>Administrativa Cali</t>
  </si>
  <si>
    <t>Coordinadora</t>
  </si>
  <si>
    <t>Auxiliar</t>
  </si>
  <si>
    <t>Lider</t>
  </si>
  <si>
    <t>Instrumentadora</t>
  </si>
  <si>
    <t xml:space="preserve">Instrumentador </t>
  </si>
  <si>
    <t>Carlos Orrego</t>
  </si>
  <si>
    <t>Ronnie Figueroa</t>
  </si>
  <si>
    <t>Natalia Tovar</t>
  </si>
  <si>
    <t>Silia Diaz</t>
  </si>
  <si>
    <t>Maria Angelica Parejo</t>
  </si>
  <si>
    <t>Jorge Gomez</t>
  </si>
  <si>
    <t>Adriana De La Cruz</t>
  </si>
  <si>
    <t>Kerlys Carrat</t>
  </si>
  <si>
    <t>Flor Herrera</t>
  </si>
  <si>
    <t>Jose Henao</t>
  </si>
  <si>
    <t>Karine De Aguas</t>
  </si>
  <si>
    <t>Gerencia</t>
  </si>
  <si>
    <t>Calidad</t>
  </si>
  <si>
    <t>Servicios Generales</t>
  </si>
  <si>
    <t>Recepcion</t>
  </si>
  <si>
    <t>Gestion Humana</t>
  </si>
  <si>
    <t>Gerente</t>
  </si>
  <si>
    <t>Cotizaciones</t>
  </si>
  <si>
    <t>German Miranda</t>
  </si>
  <si>
    <t>Fahyzully Rios</t>
  </si>
  <si>
    <t>Fahy rouz Maldonado</t>
  </si>
  <si>
    <t>Liceth Vertel</t>
  </si>
  <si>
    <t>Yeltsin Solano</t>
  </si>
  <si>
    <t>Marcela Avila</t>
  </si>
  <si>
    <t>Natalia Perez</t>
  </si>
  <si>
    <t>Kristina Berrocal</t>
  </si>
  <si>
    <t>Brayan Calderon</t>
  </si>
  <si>
    <t>Cristian Arango</t>
  </si>
  <si>
    <t>Maira Alejandra</t>
  </si>
  <si>
    <t>Instrumentador</t>
  </si>
  <si>
    <t>Sandra Cano</t>
  </si>
  <si>
    <t>Sandra de la hoz</t>
  </si>
  <si>
    <t>Mayerli Viloria</t>
  </si>
  <si>
    <t>Jose Diaz</t>
  </si>
  <si>
    <t>Keyla Perez</t>
  </si>
  <si>
    <t>Emiro Vega</t>
  </si>
  <si>
    <t>Coordinador</t>
  </si>
  <si>
    <t>Examenes Medicos</t>
  </si>
  <si>
    <t>Diligencia Personal</t>
  </si>
  <si>
    <t>Universidad</t>
  </si>
  <si>
    <t>Cita Medica</t>
  </si>
  <si>
    <t>Enfermedad Familiar</t>
  </si>
  <si>
    <t>Registro Civil</t>
  </si>
  <si>
    <t>Permiso Diligencia de la Empresa</t>
  </si>
  <si>
    <t>Compromiso Familiar</t>
  </si>
  <si>
    <t xml:space="preserve">Dia compensatorio </t>
  </si>
  <si>
    <t>Control Prenatal</t>
  </si>
  <si>
    <t>Felix orrejanegra</t>
  </si>
  <si>
    <t>Malestar General</t>
  </si>
  <si>
    <t>Jesny Lombo</t>
  </si>
  <si>
    <t>Jurado de votacion</t>
  </si>
  <si>
    <t>MOTIVO DEL PERMISO</t>
  </si>
  <si>
    <t>FECHA</t>
  </si>
  <si>
    <t>No PERMISOS</t>
  </si>
  <si>
    <t>Otros</t>
  </si>
  <si>
    <t>lider</t>
  </si>
  <si>
    <t>muerte de familiar</t>
  </si>
  <si>
    <t>Maria Jose Pardo</t>
  </si>
  <si>
    <t xml:space="preserve">Rosario de la puente </t>
  </si>
  <si>
    <t>instrumentador</t>
  </si>
  <si>
    <t>Antony Orrego</t>
  </si>
  <si>
    <t>JORGE GOMEZ</t>
  </si>
  <si>
    <t>FACTURACION</t>
  </si>
  <si>
    <t>ENERO</t>
  </si>
  <si>
    <t>JESNY LOMBO</t>
  </si>
  <si>
    <t>ASISTENCIA TECNICA</t>
  </si>
  <si>
    <t>PROCESO</t>
  </si>
  <si>
    <t>LIDER ASESORIA QUIRURGICA</t>
  </si>
  <si>
    <t>AUX DE FACTURACION</t>
  </si>
  <si>
    <t>ANA FAHYZULLY RIOS</t>
  </si>
  <si>
    <t>NIURKA MARTINEZ NIETO</t>
  </si>
  <si>
    <t>CONTABILIDAD</t>
  </si>
  <si>
    <t>AUX CONTABLE</t>
  </si>
  <si>
    <t>FEBRERO</t>
  </si>
  <si>
    <t>MARIA ANGELICA PAREJO</t>
  </si>
  <si>
    <t>LIDER DE FACTURACION</t>
  </si>
  <si>
    <t>EMIRO VEGA</t>
  </si>
  <si>
    <t>ASESOR QUIRURGICO</t>
  </si>
  <si>
    <t>MELISSA CHARRIS</t>
  </si>
  <si>
    <t>Adquisicion de vivienda</t>
  </si>
  <si>
    <t>ALMACEN</t>
  </si>
  <si>
    <t>AUX DE ALMACEN</t>
  </si>
  <si>
    <t>MARZO</t>
  </si>
  <si>
    <t>JOSE CARLOS HENAO</t>
  </si>
  <si>
    <t>CALIDAD</t>
  </si>
  <si>
    <t>AUX DE CALIDAD</t>
  </si>
  <si>
    <t>ALEXANDER FIGUEROA</t>
  </si>
  <si>
    <t>KARINA JIMENEZ</t>
  </si>
  <si>
    <t>ABRIL</t>
  </si>
  <si>
    <t>KERLYS CARATT</t>
  </si>
  <si>
    <t>JEINS TORTELLO</t>
  </si>
  <si>
    <t>ANGELICA RIVERA</t>
  </si>
  <si>
    <t>YURY LOZANO</t>
  </si>
  <si>
    <t>MARIO OROZCO</t>
  </si>
  <si>
    <t>Curso de conduccion</t>
  </si>
  <si>
    <t>Calamidad domestica</t>
  </si>
  <si>
    <t>SANDRA NIEBLES</t>
  </si>
  <si>
    <t>Sufragio elecciones</t>
  </si>
  <si>
    <t>KEYLA PEREZ</t>
  </si>
  <si>
    <t>COORDINADOR ASISTENCIAL</t>
  </si>
  <si>
    <t>Cita odontologica</t>
  </si>
  <si>
    <t>SIGILFREDO SANTANA</t>
  </si>
  <si>
    <t>GESTION HUMANA</t>
  </si>
  <si>
    <t>AUX SISTEMAS</t>
  </si>
  <si>
    <t>FRANK EGURROLA</t>
  </si>
  <si>
    <t>LIDER DE ASESORIA QUIRURGICA</t>
  </si>
  <si>
    <t>MARIO OROZCO TRILLO</t>
  </si>
  <si>
    <t>NIURKA MARTINEZ</t>
  </si>
  <si>
    <t>AUX DE CONTABILIDAD</t>
  </si>
  <si>
    <t>SANDRA  NIEBLES</t>
  </si>
  <si>
    <t>AUX DE SISTEMAS</t>
  </si>
  <si>
    <t>INDICADOR DE AUSENTISMO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</si>
</sst>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4626B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0" xfId="0" applyFill="1" applyBorder="1"/>
    <xf numFmtId="14" fontId="0" fillId="0" borderId="0" xfId="0" applyNumberFormat="1"/>
    <xf numFmtId="0" fontId="0" fillId="0" borderId="0" xfId="0" applyBorder="1" applyAlignment="1">
      <alignment horizontal="left"/>
    </xf>
    <xf numFmtId="0" fontId="0" fillId="0" borderId="0" xfId="0" applyBorder="1"/>
    <xf numFmtId="0" fontId="1" fillId="0" borderId="0" xfId="0" applyFont="1" applyBorder="1"/>
    <xf numFmtId="14" fontId="0" fillId="0" borderId="0" xfId="0" applyNumberFormat="1" applyBorder="1"/>
    <xf numFmtId="0" fontId="0" fillId="2" borderId="0" xfId="0" applyFill="1"/>
    <xf numFmtId="3" fontId="2" fillId="0" borderId="0" xfId="0" applyNumberFormat="1" applyFont="1"/>
    <xf numFmtId="0" fontId="2" fillId="0" borderId="0" xfId="0" applyFont="1"/>
    <xf numFmtId="0" fontId="0" fillId="0" borderId="0" xfId="0" applyFill="1" applyBorder="1" applyAlignment="1">
      <alignment horizontal="left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0" fillId="0" borderId="3" xfId="0" applyFill="1" applyBorder="1"/>
    <xf numFmtId="14" fontId="0" fillId="0" borderId="1" xfId="0" applyNumberFormat="1" applyBorder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1" xfId="0" applyFill="1" applyBorder="1"/>
    <xf numFmtId="0" fontId="2" fillId="0" borderId="1" xfId="0" applyFont="1" applyFill="1" applyBorder="1"/>
    <xf numFmtId="0" fontId="2" fillId="0" borderId="3" xfId="0" applyFont="1" applyFill="1" applyBorder="1"/>
    <xf numFmtId="14" fontId="0" fillId="0" borderId="1" xfId="0" applyNumberFormat="1" applyBorder="1"/>
    <xf numFmtId="0" fontId="0" fillId="3" borderId="0" xfId="0" applyFill="1" applyBorder="1"/>
    <xf numFmtId="14" fontId="0" fillId="3" borderId="0" xfId="0" applyNumberFormat="1" applyFill="1" applyBorder="1" applyAlignment="1">
      <alignment horizontal="left"/>
    </xf>
    <xf numFmtId="14" fontId="0" fillId="3" borderId="0" xfId="0" applyNumberFormat="1" applyFill="1" applyBorder="1"/>
    <xf numFmtId="0" fontId="0" fillId="3" borderId="1" xfId="0" applyFill="1" applyBorder="1"/>
    <xf numFmtId="0" fontId="0" fillId="3" borderId="3" xfId="0" applyFill="1" applyBorder="1"/>
    <xf numFmtId="0" fontId="1" fillId="0" borderId="0" xfId="0" applyFont="1"/>
    <xf numFmtId="0" fontId="1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</cellXfs>
  <cellStyles count="1">
    <cellStyle name="Normal" xfId="0" builtinId="0"/>
  </cellStyles>
  <dxfs count="80"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8"/>
          </stop>
          <stop position="1">
            <color theme="0"/>
          </stop>
        </gradient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4626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5.2387952580730535E-2"/>
          <c:y val="0.15710892969284071"/>
          <c:w val="0.93587619916670728"/>
          <c:h val="0.633497239011967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NOVEDADES!$Q$3</c:f>
              <c:strCache>
                <c:ptCount val="1"/>
                <c:pt idx="0">
                  <c:v>No PERMISOS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NOVEDADES!$N$4:$N$24</c:f>
              <c:strCache>
                <c:ptCount val="19"/>
                <c:pt idx="0">
                  <c:v>JORGE GOMEZ</c:v>
                </c:pt>
                <c:pt idx="1">
                  <c:v>JESNY LOMBO</c:v>
                </c:pt>
                <c:pt idx="2">
                  <c:v>ANA FAHYZULLY RIOS</c:v>
                </c:pt>
                <c:pt idx="3">
                  <c:v>NIURKA MARTINEZ</c:v>
                </c:pt>
                <c:pt idx="4">
                  <c:v>MARIA ANGELICA PAREJO</c:v>
                </c:pt>
                <c:pt idx="5">
                  <c:v>EMIRO VEGA</c:v>
                </c:pt>
                <c:pt idx="6">
                  <c:v>MELISSA CHARRIS</c:v>
                </c:pt>
                <c:pt idx="7">
                  <c:v>JOSE CARLOS HENAO</c:v>
                </c:pt>
                <c:pt idx="8">
                  <c:v>ALEXANDER FIGUEROA</c:v>
                </c:pt>
                <c:pt idx="9">
                  <c:v>KARINA JIMENEZ</c:v>
                </c:pt>
                <c:pt idx="10">
                  <c:v>KERLYS CARATT</c:v>
                </c:pt>
                <c:pt idx="11">
                  <c:v>JEINS TORTELLO</c:v>
                </c:pt>
                <c:pt idx="12">
                  <c:v>ANGELICA RIVERA</c:v>
                </c:pt>
                <c:pt idx="13">
                  <c:v>MARIO OROZCO TRILLO</c:v>
                </c:pt>
                <c:pt idx="14">
                  <c:v>YURY LOZANO</c:v>
                </c:pt>
                <c:pt idx="15">
                  <c:v>SANDRA  NIEBLES</c:v>
                </c:pt>
                <c:pt idx="16">
                  <c:v>KEYLA PEREZ</c:v>
                </c:pt>
                <c:pt idx="17">
                  <c:v>SIGILFREDO SANTANA</c:v>
                </c:pt>
                <c:pt idx="18">
                  <c:v>FRANK EGURROLA</c:v>
                </c:pt>
              </c:strCache>
            </c:strRef>
          </c:cat>
          <c:val>
            <c:numRef>
              <c:f>NOVEDADES!$Q$4:$Q$24</c:f>
              <c:numCache>
                <c:formatCode>General</c:formatCode>
                <c:ptCount val="21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4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DE-4E3D-9CD5-1B5AC37EE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0600272"/>
        <c:axId val="262933824"/>
      </c:barChart>
      <c:catAx>
        <c:axId val="24060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62933824"/>
        <c:crosses val="autoZero"/>
        <c:auto val="1"/>
        <c:lblAlgn val="ctr"/>
        <c:lblOffset val="100"/>
        <c:noMultiLvlLbl val="0"/>
      </c:catAx>
      <c:valAx>
        <c:axId val="26293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40600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209340</xdr:colOff>
      <xdr:row>22</xdr:row>
      <xdr:rowOff>161764</xdr:rowOff>
    </xdr:from>
    <xdr:to>
      <xdr:col>21</xdr:col>
      <xdr:colOff>31400</xdr:colOff>
      <xdr:row>49</xdr:row>
      <xdr:rowOff>73267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workbookViewId="0">
      <pane ySplit="2" topLeftCell="A7" activePane="bottomLeft" state="frozen"/>
      <selection pane="bottomLeft" activeCell="G23" sqref="G23"/>
    </sheetView>
  </sheetViews>
  <sheetFormatPr baseColWidth="10" defaultRowHeight="15" x14ac:dyDescent="0.25"/>
  <cols>
    <col min="1" max="1" width="37.7109375" style="5" bestFit="1" customWidth="1"/>
    <col min="2" max="2" width="33.5703125" style="5" bestFit="1" customWidth="1"/>
    <col min="3" max="3" width="17.7109375" style="5" bestFit="1" customWidth="1"/>
    <col min="4" max="4" width="11.42578125" style="3"/>
    <col min="5" max="5" width="12.85546875" customWidth="1"/>
    <col min="7" max="7" width="33.28515625" bestFit="1" customWidth="1"/>
  </cols>
  <sheetData>
    <row r="1" spans="1:7" x14ac:dyDescent="0.25">
      <c r="A1">
        <f>COUNTA(A3:A1048576)</f>
        <v>51</v>
      </c>
      <c r="B1"/>
      <c r="C1"/>
    </row>
    <row r="2" spans="1:7" x14ac:dyDescent="0.25">
      <c r="A2" s="13" t="s">
        <v>3</v>
      </c>
      <c r="B2" s="12" t="s">
        <v>2</v>
      </c>
      <c r="C2" s="12" t="s">
        <v>4</v>
      </c>
      <c r="D2" s="6"/>
    </row>
    <row r="3" spans="1:7" x14ac:dyDescent="0.25">
      <c r="A3" s="1" t="s">
        <v>9</v>
      </c>
      <c r="B3" s="1" t="s">
        <v>25</v>
      </c>
      <c r="C3" s="1" t="s">
        <v>30</v>
      </c>
      <c r="D3" s="7"/>
      <c r="G3">
        <f>COUNTA(G4:G1048576)</f>
        <v>19</v>
      </c>
    </row>
    <row r="4" spans="1:7" x14ac:dyDescent="0.25">
      <c r="A4" s="1" t="s">
        <v>10</v>
      </c>
      <c r="B4" s="1" t="s">
        <v>26</v>
      </c>
      <c r="C4" s="1" t="s">
        <v>31</v>
      </c>
      <c r="D4" s="7"/>
      <c r="G4" t="s">
        <v>72</v>
      </c>
    </row>
    <row r="5" spans="1:7" x14ac:dyDescent="0.25">
      <c r="A5" s="1" t="s">
        <v>11</v>
      </c>
      <c r="B5" s="1" t="s">
        <v>50</v>
      </c>
      <c r="C5" s="1" t="s">
        <v>30</v>
      </c>
      <c r="D5" s="7"/>
      <c r="G5" t="s">
        <v>73</v>
      </c>
    </row>
    <row r="6" spans="1:7" x14ac:dyDescent="0.25">
      <c r="A6" s="1" t="s">
        <v>12</v>
      </c>
      <c r="B6" s="1" t="s">
        <v>26</v>
      </c>
      <c r="C6" s="1" t="s">
        <v>32</v>
      </c>
      <c r="D6" s="7"/>
      <c r="G6" t="s">
        <v>74</v>
      </c>
    </row>
    <row r="7" spans="1:7" x14ac:dyDescent="0.25">
      <c r="A7" s="1" t="s">
        <v>13</v>
      </c>
      <c r="B7" s="1" t="s">
        <v>25</v>
      </c>
      <c r="C7" s="1" t="s">
        <v>33</v>
      </c>
      <c r="D7" s="7"/>
      <c r="G7" t="s">
        <v>75</v>
      </c>
    </row>
    <row r="8" spans="1:7" x14ac:dyDescent="0.25">
      <c r="A8" s="1" t="s">
        <v>14</v>
      </c>
      <c r="B8" s="1" t="s">
        <v>28</v>
      </c>
      <c r="C8" s="1" t="s">
        <v>31</v>
      </c>
      <c r="D8" s="7"/>
      <c r="G8" t="s">
        <v>135</v>
      </c>
    </row>
    <row r="9" spans="1:7" x14ac:dyDescent="0.25">
      <c r="A9" s="1" t="s">
        <v>15</v>
      </c>
      <c r="B9" s="1" t="s">
        <v>28</v>
      </c>
      <c r="C9" s="1" t="s">
        <v>90</v>
      </c>
      <c r="D9" s="7"/>
      <c r="G9" t="s">
        <v>76</v>
      </c>
    </row>
    <row r="10" spans="1:7" x14ac:dyDescent="0.25">
      <c r="A10" s="1" t="s">
        <v>16</v>
      </c>
      <c r="B10" s="1" t="s">
        <v>27</v>
      </c>
      <c r="C10" s="1" t="s">
        <v>32</v>
      </c>
      <c r="D10" s="7"/>
      <c r="G10" t="s">
        <v>77</v>
      </c>
    </row>
    <row r="11" spans="1:7" x14ac:dyDescent="0.25">
      <c r="A11" s="1" t="s">
        <v>17</v>
      </c>
      <c r="B11" s="1" t="s">
        <v>27</v>
      </c>
      <c r="C11" s="1" t="s">
        <v>31</v>
      </c>
      <c r="D11" s="7"/>
      <c r="G11" t="s">
        <v>78</v>
      </c>
    </row>
    <row r="12" spans="1:7" x14ac:dyDescent="0.25">
      <c r="A12" s="1" t="s">
        <v>18</v>
      </c>
      <c r="B12" s="1" t="s">
        <v>28</v>
      </c>
      <c r="C12" s="1" t="s">
        <v>32</v>
      </c>
      <c r="D12" s="7"/>
      <c r="G12" t="s">
        <v>79</v>
      </c>
    </row>
    <row r="13" spans="1:7" x14ac:dyDescent="0.25">
      <c r="A13" s="1" t="s">
        <v>19</v>
      </c>
      <c r="B13" s="1" t="s">
        <v>28</v>
      </c>
      <c r="C13" s="1" t="s">
        <v>31</v>
      </c>
      <c r="D13" s="7"/>
      <c r="G13" t="s">
        <v>80</v>
      </c>
    </row>
    <row r="14" spans="1:7" x14ac:dyDescent="0.25">
      <c r="A14" s="1" t="s">
        <v>20</v>
      </c>
      <c r="B14" s="1" t="s">
        <v>26</v>
      </c>
      <c r="C14" s="1" t="s">
        <v>31</v>
      </c>
      <c r="D14" s="7"/>
      <c r="G14" t="s">
        <v>81</v>
      </c>
    </row>
    <row r="15" spans="1:7" x14ac:dyDescent="0.25">
      <c r="A15" s="1" t="s">
        <v>39</v>
      </c>
      <c r="B15" s="1" t="s">
        <v>26</v>
      </c>
      <c r="C15" s="1" t="s">
        <v>31</v>
      </c>
      <c r="D15" s="7"/>
      <c r="G15" t="s">
        <v>83</v>
      </c>
    </row>
    <row r="16" spans="1:7" x14ac:dyDescent="0.25">
      <c r="A16" s="1" t="s">
        <v>21</v>
      </c>
      <c r="B16" s="1" t="s">
        <v>29</v>
      </c>
      <c r="C16" s="1" t="s">
        <v>31</v>
      </c>
      <c r="D16" s="7"/>
      <c r="G16" t="s">
        <v>85</v>
      </c>
    </row>
    <row r="17" spans="1:7" x14ac:dyDescent="0.25">
      <c r="A17" s="1" t="s">
        <v>22</v>
      </c>
      <c r="B17" s="1" t="s">
        <v>25</v>
      </c>
      <c r="C17" s="1" t="s">
        <v>34</v>
      </c>
      <c r="D17" s="7"/>
      <c r="G17" t="s">
        <v>89</v>
      </c>
    </row>
    <row r="18" spans="1:7" x14ac:dyDescent="0.25">
      <c r="A18" s="1" t="s">
        <v>23</v>
      </c>
      <c r="B18" s="1" t="s">
        <v>25</v>
      </c>
      <c r="C18" s="1" t="s">
        <v>33</v>
      </c>
      <c r="D18" s="7"/>
      <c r="G18" t="s">
        <v>91</v>
      </c>
    </row>
    <row r="19" spans="1:7" x14ac:dyDescent="0.25">
      <c r="A19" s="1" t="s">
        <v>24</v>
      </c>
      <c r="B19" s="1" t="s">
        <v>25</v>
      </c>
      <c r="C19" s="1" t="s">
        <v>33</v>
      </c>
      <c r="D19" s="7"/>
      <c r="G19" t="s">
        <v>114</v>
      </c>
    </row>
    <row r="20" spans="1:7" x14ac:dyDescent="0.25">
      <c r="A20" s="17" t="s">
        <v>37</v>
      </c>
      <c r="B20" s="17" t="s">
        <v>46</v>
      </c>
      <c r="C20" s="17" t="s">
        <v>51</v>
      </c>
      <c r="D20" s="7"/>
      <c r="G20" t="s">
        <v>129</v>
      </c>
    </row>
    <row r="21" spans="1:7" x14ac:dyDescent="0.25">
      <c r="A21" s="17" t="s">
        <v>38</v>
      </c>
      <c r="B21" s="17" t="s">
        <v>47</v>
      </c>
      <c r="C21" s="17" t="s">
        <v>32</v>
      </c>
      <c r="D21" s="7"/>
      <c r="G21" t="s">
        <v>130</v>
      </c>
    </row>
    <row r="22" spans="1:7" x14ac:dyDescent="0.25">
      <c r="A22" s="17" t="s">
        <v>14</v>
      </c>
      <c r="B22" s="17" t="s">
        <v>26</v>
      </c>
      <c r="C22" s="17" t="s">
        <v>31</v>
      </c>
      <c r="D22" s="7"/>
      <c r="G22" t="s">
        <v>132</v>
      </c>
    </row>
    <row r="23" spans="1:7" x14ac:dyDescent="0.25">
      <c r="A23" s="17" t="s">
        <v>82</v>
      </c>
      <c r="B23" s="17" t="s">
        <v>26</v>
      </c>
      <c r="C23" s="17" t="s">
        <v>31</v>
      </c>
      <c r="D23" s="7"/>
    </row>
    <row r="24" spans="1:7" x14ac:dyDescent="0.25">
      <c r="A24" s="17" t="s">
        <v>40</v>
      </c>
      <c r="B24" s="17" t="s">
        <v>28</v>
      </c>
      <c r="C24" s="17" t="s">
        <v>31</v>
      </c>
      <c r="D24" s="7"/>
    </row>
    <row r="25" spans="1:7" x14ac:dyDescent="0.25">
      <c r="A25" s="17" t="s">
        <v>41</v>
      </c>
      <c r="B25" s="17" t="s">
        <v>27</v>
      </c>
      <c r="C25" s="17" t="s">
        <v>52</v>
      </c>
      <c r="D25" s="7"/>
    </row>
    <row r="26" spans="1:7" x14ac:dyDescent="0.25">
      <c r="A26" s="17" t="s">
        <v>35</v>
      </c>
      <c r="B26" s="17" t="s">
        <v>27</v>
      </c>
      <c r="C26" s="17" t="s">
        <v>31</v>
      </c>
      <c r="D26" s="7"/>
    </row>
    <row r="27" spans="1:7" x14ac:dyDescent="0.25">
      <c r="A27" s="17" t="s">
        <v>36</v>
      </c>
      <c r="B27" s="17" t="s">
        <v>27</v>
      </c>
      <c r="C27" s="17" t="s">
        <v>31</v>
      </c>
      <c r="D27" s="7"/>
    </row>
    <row r="28" spans="1:7" x14ac:dyDescent="0.25">
      <c r="A28" s="17" t="s">
        <v>42</v>
      </c>
      <c r="B28" s="17" t="s">
        <v>27</v>
      </c>
      <c r="C28" s="17" t="s">
        <v>31</v>
      </c>
      <c r="D28" s="7"/>
    </row>
    <row r="29" spans="1:7" x14ac:dyDescent="0.25">
      <c r="A29" s="17" t="s">
        <v>43</v>
      </c>
      <c r="B29" s="17" t="s">
        <v>48</v>
      </c>
      <c r="C29" s="17" t="s">
        <v>31</v>
      </c>
      <c r="D29" s="7"/>
    </row>
    <row r="30" spans="1:7" x14ac:dyDescent="0.25">
      <c r="A30" s="17" t="s">
        <v>44</v>
      </c>
      <c r="B30" s="17" t="s">
        <v>49</v>
      </c>
      <c r="C30" s="17" t="s">
        <v>49</v>
      </c>
      <c r="D30" s="7"/>
    </row>
    <row r="31" spans="1:7" x14ac:dyDescent="0.25">
      <c r="A31" s="17" t="s">
        <v>45</v>
      </c>
      <c r="B31" s="17" t="s">
        <v>50</v>
      </c>
      <c r="C31" s="17" t="s">
        <v>32</v>
      </c>
      <c r="D31" s="7"/>
    </row>
    <row r="32" spans="1:7" x14ac:dyDescent="0.25">
      <c r="A32" s="14" t="s">
        <v>53</v>
      </c>
      <c r="B32" s="14" t="s">
        <v>25</v>
      </c>
      <c r="C32" s="14" t="s">
        <v>64</v>
      </c>
      <c r="D32" s="7"/>
    </row>
    <row r="33" spans="1:4" x14ac:dyDescent="0.25">
      <c r="A33" s="14" t="s">
        <v>54</v>
      </c>
      <c r="B33" s="14" t="s">
        <v>25</v>
      </c>
      <c r="C33" s="14" t="s">
        <v>64</v>
      </c>
      <c r="D33" s="7"/>
    </row>
    <row r="34" spans="1:4" x14ac:dyDescent="0.25">
      <c r="A34" s="14" t="s">
        <v>55</v>
      </c>
      <c r="B34" s="14" t="s">
        <v>25</v>
      </c>
      <c r="C34" s="14" t="s">
        <v>64</v>
      </c>
      <c r="D34" s="7"/>
    </row>
    <row r="35" spans="1:4" x14ac:dyDescent="0.25">
      <c r="A35" s="14" t="s">
        <v>56</v>
      </c>
      <c r="B35" s="14" t="s">
        <v>25</v>
      </c>
      <c r="C35" s="14" t="s">
        <v>64</v>
      </c>
      <c r="D35" s="7"/>
    </row>
    <row r="36" spans="1:4" x14ac:dyDescent="0.25">
      <c r="A36" s="14" t="s">
        <v>57</v>
      </c>
      <c r="B36" s="14" t="s">
        <v>25</v>
      </c>
      <c r="C36" s="14" t="s">
        <v>64</v>
      </c>
      <c r="D36" s="7"/>
    </row>
    <row r="37" spans="1:4" x14ac:dyDescent="0.25">
      <c r="A37" s="14" t="s">
        <v>58</v>
      </c>
      <c r="B37" s="14" t="s">
        <v>25</v>
      </c>
      <c r="C37" s="14" t="s">
        <v>64</v>
      </c>
      <c r="D37" s="7"/>
    </row>
    <row r="38" spans="1:4" x14ac:dyDescent="0.25">
      <c r="A38" s="14" t="s">
        <v>59</v>
      </c>
      <c r="B38" s="14" t="s">
        <v>25</v>
      </c>
      <c r="C38" s="14" t="s">
        <v>64</v>
      </c>
      <c r="D38" s="7"/>
    </row>
    <row r="39" spans="1:4" x14ac:dyDescent="0.25">
      <c r="A39" s="14" t="s">
        <v>60</v>
      </c>
      <c r="B39" s="14" t="s">
        <v>25</v>
      </c>
      <c r="C39" s="14" t="s">
        <v>64</v>
      </c>
      <c r="D39" s="7"/>
    </row>
    <row r="40" spans="1:4" x14ac:dyDescent="0.25">
      <c r="A40" s="14" t="s">
        <v>61</v>
      </c>
      <c r="B40" s="2" t="s">
        <v>25</v>
      </c>
      <c r="C40" s="14" t="s">
        <v>64</v>
      </c>
      <c r="D40" s="7"/>
    </row>
    <row r="41" spans="1:4" x14ac:dyDescent="0.25">
      <c r="A41" s="14" t="s">
        <v>62</v>
      </c>
      <c r="B41" s="2" t="s">
        <v>25</v>
      </c>
      <c r="C41" s="14" t="s">
        <v>64</v>
      </c>
      <c r="D41" s="7"/>
    </row>
    <row r="42" spans="1:4" x14ac:dyDescent="0.25">
      <c r="A42" s="14" t="s">
        <v>63</v>
      </c>
      <c r="B42" s="2" t="s">
        <v>25</v>
      </c>
      <c r="C42" s="14" t="s">
        <v>64</v>
      </c>
      <c r="D42" s="7"/>
    </row>
    <row r="43" spans="1:4" x14ac:dyDescent="0.25">
      <c r="A43" s="18" t="s">
        <v>65</v>
      </c>
      <c r="B43" s="2" t="s">
        <v>25</v>
      </c>
      <c r="C43" s="14" t="s">
        <v>64</v>
      </c>
      <c r="D43" s="7"/>
    </row>
    <row r="44" spans="1:4" x14ac:dyDescent="0.25">
      <c r="A44" s="18" t="s">
        <v>66</v>
      </c>
      <c r="B44" s="2" t="s">
        <v>25</v>
      </c>
      <c r="C44" s="14" t="s">
        <v>64</v>
      </c>
      <c r="D44" s="7"/>
    </row>
    <row r="45" spans="1:4" x14ac:dyDescent="0.25">
      <c r="A45" s="18" t="s">
        <v>67</v>
      </c>
      <c r="B45" s="2" t="s">
        <v>25</v>
      </c>
      <c r="C45" s="14" t="s">
        <v>64</v>
      </c>
      <c r="D45" s="7"/>
    </row>
    <row r="46" spans="1:4" x14ac:dyDescent="0.25">
      <c r="A46" s="18" t="s">
        <v>68</v>
      </c>
      <c r="B46" s="2" t="s">
        <v>25</v>
      </c>
      <c r="C46" s="14" t="s">
        <v>64</v>
      </c>
      <c r="D46" s="7"/>
    </row>
    <row r="47" spans="1:4" x14ac:dyDescent="0.25">
      <c r="A47" s="19" t="s">
        <v>69</v>
      </c>
      <c r="B47" s="2" t="s">
        <v>25</v>
      </c>
      <c r="C47" s="14" t="s">
        <v>64</v>
      </c>
      <c r="D47" s="7"/>
    </row>
    <row r="48" spans="1:4" x14ac:dyDescent="0.25">
      <c r="A48" s="19" t="s">
        <v>70</v>
      </c>
      <c r="B48" s="2" t="s">
        <v>25</v>
      </c>
      <c r="C48" s="14" t="s">
        <v>71</v>
      </c>
      <c r="D48" s="7"/>
    </row>
    <row r="49" spans="1:5" x14ac:dyDescent="0.25">
      <c r="A49" s="19" t="s">
        <v>84</v>
      </c>
      <c r="B49" s="2" t="s">
        <v>25</v>
      </c>
      <c r="C49" s="14" t="s">
        <v>64</v>
      </c>
      <c r="D49" s="7"/>
    </row>
    <row r="50" spans="1:5" x14ac:dyDescent="0.25">
      <c r="A50" s="19" t="s">
        <v>92</v>
      </c>
      <c r="B50" s="2" t="s">
        <v>49</v>
      </c>
      <c r="C50" s="14" t="s">
        <v>31</v>
      </c>
      <c r="D50" s="7"/>
      <c r="E50" s="26"/>
    </row>
    <row r="51" spans="1:5" x14ac:dyDescent="0.25">
      <c r="A51" s="19" t="s">
        <v>36</v>
      </c>
      <c r="B51" s="2" t="s">
        <v>27</v>
      </c>
      <c r="C51" s="14" t="s">
        <v>31</v>
      </c>
      <c r="D51" s="7"/>
    </row>
    <row r="52" spans="1:5" x14ac:dyDescent="0.25">
      <c r="A52" s="19" t="s">
        <v>93</v>
      </c>
      <c r="B52" s="2" t="s">
        <v>25</v>
      </c>
      <c r="C52" s="14" t="s">
        <v>94</v>
      </c>
      <c r="D52" s="7"/>
    </row>
    <row r="53" spans="1:5" x14ac:dyDescent="0.25">
      <c r="A53" s="19" t="s">
        <v>95</v>
      </c>
      <c r="B53" s="2" t="s">
        <v>27</v>
      </c>
      <c r="C53" s="14" t="s">
        <v>31</v>
      </c>
      <c r="D53" s="7"/>
    </row>
    <row r="54" spans="1:5" x14ac:dyDescent="0.25">
      <c r="B54" s="2"/>
      <c r="D54" s="7"/>
    </row>
    <row r="55" spans="1:5" x14ac:dyDescent="0.25">
      <c r="B55" s="2"/>
      <c r="D55" s="7"/>
    </row>
    <row r="56" spans="1:5" x14ac:dyDescent="0.25">
      <c r="B56" s="2"/>
      <c r="D56" s="7"/>
    </row>
    <row r="57" spans="1:5" x14ac:dyDescent="0.25">
      <c r="B57" s="2"/>
      <c r="D57" s="7"/>
    </row>
    <row r="58" spans="1:5" x14ac:dyDescent="0.25">
      <c r="B58" s="2"/>
      <c r="D58" s="7"/>
    </row>
    <row r="59" spans="1:5" x14ac:dyDescent="0.25">
      <c r="B59" s="2"/>
      <c r="D59" s="7"/>
    </row>
    <row r="60" spans="1:5" x14ac:dyDescent="0.25">
      <c r="B60" s="2"/>
      <c r="D60" s="7"/>
    </row>
    <row r="61" spans="1:5" x14ac:dyDescent="0.25">
      <c r="B61" s="2"/>
      <c r="D61" s="7"/>
    </row>
    <row r="62" spans="1:5" x14ac:dyDescent="0.25">
      <c r="B62" s="2"/>
      <c r="D62" s="7"/>
    </row>
    <row r="63" spans="1:5" x14ac:dyDescent="0.25">
      <c r="B63" s="2"/>
      <c r="D63" s="7"/>
    </row>
    <row r="64" spans="1:5" x14ac:dyDescent="0.25">
      <c r="B64" s="2"/>
      <c r="D64" s="7"/>
    </row>
    <row r="65" spans="1:4" x14ac:dyDescent="0.25">
      <c r="B65" s="2"/>
      <c r="D65" s="7"/>
    </row>
    <row r="66" spans="1:4" x14ac:dyDescent="0.25">
      <c r="B66" s="2"/>
      <c r="D66" s="7"/>
    </row>
    <row r="67" spans="1:4" x14ac:dyDescent="0.25">
      <c r="B67" s="2"/>
      <c r="D67" s="7"/>
    </row>
    <row r="68" spans="1:4" x14ac:dyDescent="0.25">
      <c r="B68" s="2"/>
      <c r="D68" s="7"/>
    </row>
    <row r="69" spans="1:4" x14ac:dyDescent="0.25">
      <c r="B69" s="2"/>
      <c r="D69" s="7"/>
    </row>
    <row r="70" spans="1:4" x14ac:dyDescent="0.25">
      <c r="B70" s="2"/>
      <c r="D70" s="7"/>
    </row>
    <row r="71" spans="1:4" x14ac:dyDescent="0.25">
      <c r="B71" s="2"/>
      <c r="D71" s="7"/>
    </row>
    <row r="72" spans="1:4" x14ac:dyDescent="0.25">
      <c r="B72" s="2"/>
      <c r="D72" s="7"/>
    </row>
    <row r="73" spans="1:4" x14ac:dyDescent="0.25">
      <c r="B73" s="2"/>
      <c r="D73" s="7"/>
    </row>
    <row r="74" spans="1:4" x14ac:dyDescent="0.25">
      <c r="A74" s="4"/>
      <c r="B74" s="2"/>
      <c r="D74" s="7"/>
    </row>
    <row r="75" spans="1:4" x14ac:dyDescent="0.25">
      <c r="A75" s="4"/>
      <c r="B75" s="2"/>
      <c r="D75" s="7"/>
    </row>
    <row r="76" spans="1:4" x14ac:dyDescent="0.25">
      <c r="A76" s="4"/>
      <c r="B76" s="2"/>
      <c r="D76" s="7"/>
    </row>
    <row r="77" spans="1:4" x14ac:dyDescent="0.25">
      <c r="A77" s="4"/>
      <c r="B77" s="2"/>
      <c r="D77" s="7"/>
    </row>
    <row r="78" spans="1:4" x14ac:dyDescent="0.25">
      <c r="A78" s="4"/>
      <c r="B78" s="2"/>
      <c r="D78" s="7"/>
    </row>
    <row r="79" spans="1:4" x14ac:dyDescent="0.25">
      <c r="A79" s="4"/>
      <c r="B79" s="2"/>
      <c r="D79" s="7"/>
    </row>
    <row r="80" spans="1:4" x14ac:dyDescent="0.25">
      <c r="A80" s="4"/>
      <c r="B80" s="2"/>
      <c r="D80" s="7"/>
    </row>
    <row r="81" spans="1:4" x14ac:dyDescent="0.25">
      <c r="A81" s="4"/>
      <c r="B81" s="2"/>
      <c r="D81" s="7"/>
    </row>
    <row r="82" spans="1:4" x14ac:dyDescent="0.25">
      <c r="A82" s="4"/>
      <c r="B82" s="2"/>
      <c r="D82" s="7"/>
    </row>
    <row r="83" spans="1:4" x14ac:dyDescent="0.25">
      <c r="A83" s="4"/>
      <c r="B83" s="2"/>
      <c r="D83" s="7"/>
    </row>
    <row r="84" spans="1:4" x14ac:dyDescent="0.25">
      <c r="A84" s="4"/>
      <c r="B84" s="2"/>
      <c r="D84" s="7"/>
    </row>
    <row r="85" spans="1:4" x14ac:dyDescent="0.25">
      <c r="A85" s="4"/>
      <c r="B85" s="2"/>
      <c r="D85" s="7"/>
    </row>
    <row r="86" spans="1:4" x14ac:dyDescent="0.25">
      <c r="A86" s="4"/>
      <c r="B86" s="2"/>
      <c r="D86" s="7"/>
    </row>
    <row r="87" spans="1:4" x14ac:dyDescent="0.25">
      <c r="A87" s="4"/>
      <c r="B87" s="2"/>
      <c r="D87" s="7"/>
    </row>
    <row r="88" spans="1:4" x14ac:dyDescent="0.25">
      <c r="B88" s="2"/>
      <c r="D88" s="7"/>
    </row>
    <row r="89" spans="1:4" x14ac:dyDescent="0.25">
      <c r="B89" s="2"/>
      <c r="D89" s="7"/>
    </row>
    <row r="90" spans="1:4" x14ac:dyDescent="0.25">
      <c r="B90" s="2"/>
      <c r="D90" s="7"/>
    </row>
    <row r="91" spans="1:4" x14ac:dyDescent="0.25">
      <c r="A91" s="4"/>
      <c r="B91" s="2"/>
      <c r="D91" s="7"/>
    </row>
    <row r="92" spans="1:4" x14ac:dyDescent="0.25">
      <c r="A92" s="4"/>
      <c r="B92" s="2"/>
      <c r="D92" s="7"/>
    </row>
    <row r="93" spans="1:4" x14ac:dyDescent="0.25">
      <c r="B93" s="2"/>
      <c r="D93" s="7"/>
    </row>
    <row r="94" spans="1:4" x14ac:dyDescent="0.25">
      <c r="A94" s="4"/>
      <c r="B94" s="2"/>
      <c r="D94" s="7"/>
    </row>
    <row r="95" spans="1:4" x14ac:dyDescent="0.25">
      <c r="A95" s="4"/>
      <c r="B95" s="2"/>
      <c r="D95" s="7"/>
    </row>
    <row r="96" spans="1:4" x14ac:dyDescent="0.25">
      <c r="A96" s="4"/>
      <c r="B96" s="2"/>
      <c r="D96" s="7"/>
    </row>
    <row r="97" spans="1:4" x14ac:dyDescent="0.25">
      <c r="B97" s="2"/>
      <c r="D97" s="7"/>
    </row>
    <row r="98" spans="1:4" x14ac:dyDescent="0.25">
      <c r="A98" s="4"/>
      <c r="B98" s="2"/>
      <c r="D98" s="7"/>
    </row>
    <row r="99" spans="1:4" x14ac:dyDescent="0.25">
      <c r="A99" s="4"/>
      <c r="B99" s="2"/>
      <c r="D99" s="7"/>
    </row>
    <row r="100" spans="1:4" x14ac:dyDescent="0.25">
      <c r="A100" s="4"/>
      <c r="B100" s="2"/>
      <c r="D100" s="7"/>
    </row>
    <row r="101" spans="1:4" x14ac:dyDescent="0.25">
      <c r="A101" s="11"/>
      <c r="B101" s="2"/>
      <c r="C101" s="2"/>
    </row>
  </sheetData>
  <autoFilter ref="A2:C100" xr:uid="{00000000-0009-0000-0000-000000000000}"/>
  <conditionalFormatting sqref="A28:C101 A109:C1048576">
    <cfRule type="expression" dxfId="79" priority="2">
      <formula>IF($A28&lt;&gt;"",1,0)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25"/>
  <sheetViews>
    <sheetView tabSelected="1" zoomScale="91" zoomScaleNormal="91" workbookViewId="0">
      <pane xSplit="1" ySplit="2" topLeftCell="B39" activePane="bottomRight" state="frozen"/>
      <selection pane="topRight" activeCell="C1" sqref="C1"/>
      <selection pane="bottomLeft" activeCell="A4" sqref="A4"/>
      <selection pane="bottomRight" activeCell="S2" sqref="S2"/>
    </sheetView>
  </sheetViews>
  <sheetFormatPr baseColWidth="10" defaultRowHeight="15" x14ac:dyDescent="0.25"/>
  <cols>
    <col min="1" max="1" width="22" customWidth="1"/>
    <col min="2" max="2" width="20.42578125" bestFit="1" customWidth="1"/>
    <col min="3" max="3" width="27" bestFit="1" customWidth="1"/>
    <col min="4" max="4" width="30.5703125" bestFit="1" customWidth="1"/>
    <col min="5" max="5" width="21.85546875" style="16" bestFit="1" customWidth="1"/>
    <col min="6" max="6" width="21.7109375" style="3" bestFit="1" customWidth="1"/>
    <col min="7" max="11" width="11.42578125" hidden="1" customWidth="1"/>
    <col min="12" max="12" width="10.7109375" hidden="1" customWidth="1"/>
    <col min="13" max="13" width="3.140625" customWidth="1"/>
    <col min="14" max="14" width="20.28515625" bestFit="1" customWidth="1"/>
    <col min="15" max="15" width="18.42578125" bestFit="1" customWidth="1"/>
    <col min="16" max="16" width="29.7109375" bestFit="1" customWidth="1"/>
    <col min="17" max="17" width="13.140625" bestFit="1" customWidth="1"/>
    <col min="27" max="27" width="15.42578125" customWidth="1"/>
  </cols>
  <sheetData>
    <row r="1" spans="1:17" ht="31.5" x14ac:dyDescent="0.5">
      <c r="A1" s="29" t="s">
        <v>146</v>
      </c>
      <c r="B1" s="29"/>
      <c r="C1" s="29"/>
      <c r="D1" s="29"/>
      <c r="E1" s="29"/>
      <c r="F1" s="29"/>
    </row>
    <row r="2" spans="1:17" x14ac:dyDescent="0.25">
      <c r="A2">
        <f>COUNTA(A4:A1048576)</f>
        <v>29</v>
      </c>
    </row>
    <row r="3" spans="1:17" x14ac:dyDescent="0.25">
      <c r="A3" s="27" t="s">
        <v>3</v>
      </c>
      <c r="B3" s="27" t="s">
        <v>101</v>
      </c>
      <c r="C3" s="27" t="s">
        <v>4</v>
      </c>
      <c r="D3" s="28" t="s">
        <v>86</v>
      </c>
      <c r="E3" s="28" t="s">
        <v>87</v>
      </c>
      <c r="F3" s="28" t="s">
        <v>7</v>
      </c>
      <c r="N3" s="27" t="s">
        <v>3</v>
      </c>
      <c r="O3" s="27" t="s">
        <v>2</v>
      </c>
      <c r="P3" s="27" t="s">
        <v>4</v>
      </c>
      <c r="Q3" s="27" t="s">
        <v>88</v>
      </c>
    </row>
    <row r="4" spans="1:17" ht="16.5" customHeight="1" x14ac:dyDescent="0.25">
      <c r="A4" s="1" t="s">
        <v>96</v>
      </c>
      <c r="B4" s="1" t="s">
        <v>97</v>
      </c>
      <c r="C4" s="1" t="s">
        <v>103</v>
      </c>
      <c r="D4" s="1" t="s">
        <v>74</v>
      </c>
      <c r="E4" s="15">
        <v>43117</v>
      </c>
      <c r="F4" s="15" t="s">
        <v>98</v>
      </c>
      <c r="G4">
        <f t="shared" ref="G4:G13" si="0">IF($E4="","",DAY($E4))</f>
        <v>17</v>
      </c>
      <c r="H4">
        <f t="shared" ref="H4:H13" si="1">IF($E4="","",MONTH($E4))</f>
        <v>1</v>
      </c>
      <c r="I4">
        <f t="shared" ref="I4:I13" si="2">IF($E4="","",YEAR($E4))</f>
        <v>2018</v>
      </c>
      <c r="J4" t="e">
        <f t="shared" ref="J4:J13" si="3">IF($F4="","",DAY($F4))</f>
        <v>#VALUE!</v>
      </c>
      <c r="K4" t="e">
        <f t="shared" ref="K4:K13" si="4">IF($F4="","",MONTH($F4))</f>
        <v>#VALUE!</v>
      </c>
      <c r="L4" t="e">
        <f t="shared" ref="L4:L13" si="5">IF($F4="","",YEAR($F4))</f>
        <v>#VALUE!</v>
      </c>
      <c r="N4" s="24" t="s">
        <v>96</v>
      </c>
      <c r="O4" s="1" t="s">
        <v>97</v>
      </c>
      <c r="P4" s="1" t="s">
        <v>103</v>
      </c>
      <c r="Q4" s="1">
        <v>2</v>
      </c>
    </row>
    <row r="5" spans="1:17" x14ac:dyDescent="0.25">
      <c r="A5" s="1" t="s">
        <v>99</v>
      </c>
      <c r="B5" s="1" t="s">
        <v>100</v>
      </c>
      <c r="C5" s="1" t="s">
        <v>102</v>
      </c>
      <c r="D5" s="1" t="s">
        <v>73</v>
      </c>
      <c r="E5" s="15">
        <v>43124</v>
      </c>
      <c r="F5" s="15" t="s">
        <v>98</v>
      </c>
      <c r="G5">
        <f t="shared" si="0"/>
        <v>24</v>
      </c>
      <c r="H5">
        <f t="shared" si="1"/>
        <v>1</v>
      </c>
      <c r="I5">
        <f t="shared" si="2"/>
        <v>2018</v>
      </c>
      <c r="J5" t="e">
        <f t="shared" si="3"/>
        <v>#VALUE!</v>
      </c>
      <c r="K5" t="e">
        <f t="shared" si="4"/>
        <v>#VALUE!</v>
      </c>
      <c r="L5" t="e">
        <f t="shared" si="5"/>
        <v>#VALUE!</v>
      </c>
      <c r="N5" s="24" t="s">
        <v>99</v>
      </c>
      <c r="O5" s="24" t="s">
        <v>100</v>
      </c>
      <c r="P5" s="24" t="s">
        <v>140</v>
      </c>
      <c r="Q5" s="24">
        <v>1</v>
      </c>
    </row>
    <row r="6" spans="1:17" x14ac:dyDescent="0.25">
      <c r="A6" s="1" t="s">
        <v>104</v>
      </c>
      <c r="B6" s="1" t="s">
        <v>100</v>
      </c>
      <c r="C6" s="1" t="s">
        <v>102</v>
      </c>
      <c r="D6" s="1" t="s">
        <v>73</v>
      </c>
      <c r="E6" s="15">
        <v>43129</v>
      </c>
      <c r="F6" s="15" t="s">
        <v>98</v>
      </c>
      <c r="G6">
        <f t="shared" si="0"/>
        <v>29</v>
      </c>
      <c r="H6">
        <f t="shared" si="1"/>
        <v>1</v>
      </c>
      <c r="I6">
        <f t="shared" si="2"/>
        <v>2018</v>
      </c>
      <c r="J6" t="e">
        <f t="shared" si="3"/>
        <v>#VALUE!</v>
      </c>
      <c r="K6" t="e">
        <f t="shared" si="4"/>
        <v>#VALUE!</v>
      </c>
      <c r="L6" t="e">
        <f t="shared" si="5"/>
        <v>#VALUE!</v>
      </c>
      <c r="N6" s="24" t="s">
        <v>104</v>
      </c>
      <c r="O6" s="24" t="s">
        <v>100</v>
      </c>
      <c r="P6" s="24" t="s">
        <v>140</v>
      </c>
      <c r="Q6" s="24">
        <v>2</v>
      </c>
    </row>
    <row r="7" spans="1:17" x14ac:dyDescent="0.25">
      <c r="A7" s="1" t="s">
        <v>105</v>
      </c>
      <c r="B7" s="1" t="s">
        <v>106</v>
      </c>
      <c r="C7" s="1" t="s">
        <v>107</v>
      </c>
      <c r="D7" s="1" t="s">
        <v>76</v>
      </c>
      <c r="E7" s="15">
        <v>43133</v>
      </c>
      <c r="F7" s="15" t="s">
        <v>108</v>
      </c>
      <c r="G7">
        <f t="shared" si="0"/>
        <v>2</v>
      </c>
      <c r="H7">
        <f t="shared" si="1"/>
        <v>2</v>
      </c>
      <c r="I7">
        <f t="shared" si="2"/>
        <v>2018</v>
      </c>
      <c r="J7" t="e">
        <f t="shared" si="3"/>
        <v>#VALUE!</v>
      </c>
      <c r="K7" t="e">
        <f t="shared" si="4"/>
        <v>#VALUE!</v>
      </c>
      <c r="L7" t="e">
        <f t="shared" si="5"/>
        <v>#VALUE!</v>
      </c>
      <c r="N7" s="24" t="s">
        <v>142</v>
      </c>
      <c r="O7" s="24" t="s">
        <v>106</v>
      </c>
      <c r="P7" s="24" t="s">
        <v>143</v>
      </c>
      <c r="Q7" s="24">
        <v>1</v>
      </c>
    </row>
    <row r="8" spans="1:17" x14ac:dyDescent="0.25">
      <c r="A8" s="1" t="s">
        <v>109</v>
      </c>
      <c r="B8" s="1" t="s">
        <v>97</v>
      </c>
      <c r="C8" s="1" t="s">
        <v>110</v>
      </c>
      <c r="D8" s="1" t="s">
        <v>73</v>
      </c>
      <c r="E8" s="15">
        <v>43133</v>
      </c>
      <c r="F8" s="15" t="s">
        <v>108</v>
      </c>
      <c r="G8">
        <f t="shared" si="0"/>
        <v>2</v>
      </c>
      <c r="H8">
        <f t="shared" si="1"/>
        <v>2</v>
      </c>
      <c r="I8">
        <f t="shared" si="2"/>
        <v>2018</v>
      </c>
      <c r="J8" t="e">
        <f t="shared" si="3"/>
        <v>#VALUE!</v>
      </c>
      <c r="K8" t="e">
        <f t="shared" si="4"/>
        <v>#VALUE!</v>
      </c>
      <c r="L8" t="e">
        <f t="shared" si="5"/>
        <v>#VALUE!</v>
      </c>
      <c r="N8" s="24" t="s">
        <v>109</v>
      </c>
      <c r="O8" s="24" t="s">
        <v>97</v>
      </c>
      <c r="P8" s="24" t="s">
        <v>110</v>
      </c>
      <c r="Q8" s="24">
        <v>4</v>
      </c>
    </row>
    <row r="9" spans="1:17" x14ac:dyDescent="0.25">
      <c r="A9" s="1" t="s">
        <v>111</v>
      </c>
      <c r="B9" s="1" t="s">
        <v>100</v>
      </c>
      <c r="C9" s="1" t="s">
        <v>112</v>
      </c>
      <c r="D9" s="1" t="s">
        <v>73</v>
      </c>
      <c r="E9" s="15">
        <v>43133</v>
      </c>
      <c r="F9" s="15" t="s">
        <v>108</v>
      </c>
      <c r="G9">
        <f t="shared" si="0"/>
        <v>2</v>
      </c>
      <c r="H9">
        <f t="shared" si="1"/>
        <v>2</v>
      </c>
      <c r="I9">
        <f t="shared" si="2"/>
        <v>2018</v>
      </c>
      <c r="J9" t="e">
        <f t="shared" si="3"/>
        <v>#VALUE!</v>
      </c>
      <c r="K9" t="e">
        <f t="shared" si="4"/>
        <v>#VALUE!</v>
      </c>
      <c r="L9" t="e">
        <f t="shared" si="5"/>
        <v>#VALUE!</v>
      </c>
      <c r="N9" s="24" t="s">
        <v>111</v>
      </c>
      <c r="O9" s="24" t="s">
        <v>100</v>
      </c>
      <c r="P9" s="24" t="s">
        <v>112</v>
      </c>
      <c r="Q9" s="24">
        <v>1</v>
      </c>
    </row>
    <row r="10" spans="1:17" x14ac:dyDescent="0.25">
      <c r="A10" s="1" t="s">
        <v>113</v>
      </c>
      <c r="B10" s="1" t="s">
        <v>115</v>
      </c>
      <c r="C10" s="1" t="s">
        <v>116</v>
      </c>
      <c r="D10" s="1" t="s">
        <v>114</v>
      </c>
      <c r="E10" s="15">
        <v>43159</v>
      </c>
      <c r="F10" s="15" t="s">
        <v>108</v>
      </c>
      <c r="G10">
        <f t="shared" si="0"/>
        <v>28</v>
      </c>
      <c r="H10">
        <f t="shared" si="1"/>
        <v>2</v>
      </c>
      <c r="I10">
        <f t="shared" si="2"/>
        <v>2018</v>
      </c>
      <c r="J10" t="e">
        <f t="shared" si="3"/>
        <v>#VALUE!</v>
      </c>
      <c r="K10" t="e">
        <f t="shared" si="4"/>
        <v>#VALUE!</v>
      </c>
      <c r="L10" t="e">
        <f t="shared" si="5"/>
        <v>#VALUE!</v>
      </c>
      <c r="N10" s="24" t="s">
        <v>113</v>
      </c>
      <c r="O10" s="24" t="s">
        <v>115</v>
      </c>
      <c r="P10" s="24" t="s">
        <v>116</v>
      </c>
      <c r="Q10" s="24">
        <v>1</v>
      </c>
    </row>
    <row r="11" spans="1:17" x14ac:dyDescent="0.25">
      <c r="A11" s="1" t="s">
        <v>104</v>
      </c>
      <c r="B11" s="1" t="s">
        <v>100</v>
      </c>
      <c r="C11" s="1" t="s">
        <v>102</v>
      </c>
      <c r="D11" s="1" t="s">
        <v>73</v>
      </c>
      <c r="E11" s="15">
        <v>43159</v>
      </c>
      <c r="F11" s="15" t="s">
        <v>108</v>
      </c>
      <c r="G11">
        <f t="shared" si="0"/>
        <v>28</v>
      </c>
      <c r="H11">
        <f t="shared" si="1"/>
        <v>2</v>
      </c>
      <c r="I11">
        <f t="shared" si="2"/>
        <v>2018</v>
      </c>
      <c r="J11" t="e">
        <f t="shared" si="3"/>
        <v>#VALUE!</v>
      </c>
      <c r="K11" t="e">
        <f t="shared" si="4"/>
        <v>#VALUE!</v>
      </c>
      <c r="L11" t="e">
        <f t="shared" si="5"/>
        <v>#VALUE!</v>
      </c>
      <c r="N11" s="24" t="s">
        <v>118</v>
      </c>
      <c r="O11" s="24" t="s">
        <v>119</v>
      </c>
      <c r="P11" s="24" t="s">
        <v>120</v>
      </c>
      <c r="Q11" s="24">
        <v>1</v>
      </c>
    </row>
    <row r="12" spans="1:17" x14ac:dyDescent="0.25">
      <c r="A12" s="1" t="s">
        <v>109</v>
      </c>
      <c r="B12" s="1" t="s">
        <v>97</v>
      </c>
      <c r="C12" s="14" t="s">
        <v>110</v>
      </c>
      <c r="D12" s="1" t="s">
        <v>85</v>
      </c>
      <c r="E12" s="15">
        <v>43160</v>
      </c>
      <c r="F12" s="15" t="s">
        <v>117</v>
      </c>
      <c r="G12">
        <f t="shared" si="0"/>
        <v>1</v>
      </c>
      <c r="H12">
        <f t="shared" si="1"/>
        <v>3</v>
      </c>
      <c r="I12">
        <f t="shared" si="2"/>
        <v>2018</v>
      </c>
      <c r="J12" t="e">
        <f t="shared" si="3"/>
        <v>#VALUE!</v>
      </c>
      <c r="K12" t="e">
        <f t="shared" si="4"/>
        <v>#VALUE!</v>
      </c>
      <c r="L12" t="e">
        <f t="shared" si="5"/>
        <v>#VALUE!</v>
      </c>
      <c r="N12" s="24" t="s">
        <v>121</v>
      </c>
      <c r="O12" s="24" t="s">
        <v>115</v>
      </c>
      <c r="P12" s="24" t="s">
        <v>116</v>
      </c>
      <c r="Q12" s="24">
        <v>3</v>
      </c>
    </row>
    <row r="13" spans="1:17" x14ac:dyDescent="0.25">
      <c r="A13" s="1" t="s">
        <v>118</v>
      </c>
      <c r="B13" s="1" t="s">
        <v>119</v>
      </c>
      <c r="C13" s="1" t="s">
        <v>120</v>
      </c>
      <c r="D13" s="1" t="s">
        <v>73</v>
      </c>
      <c r="E13" s="15">
        <v>43162</v>
      </c>
      <c r="F13" s="15" t="s">
        <v>117</v>
      </c>
      <c r="G13">
        <f t="shared" si="0"/>
        <v>3</v>
      </c>
      <c r="H13">
        <f t="shared" si="1"/>
        <v>3</v>
      </c>
      <c r="I13">
        <f t="shared" si="2"/>
        <v>2018</v>
      </c>
      <c r="J13" t="e">
        <f t="shared" si="3"/>
        <v>#VALUE!</v>
      </c>
      <c r="K13" t="e">
        <f t="shared" si="4"/>
        <v>#VALUE!</v>
      </c>
      <c r="L13" t="e">
        <f t="shared" si="5"/>
        <v>#VALUE!</v>
      </c>
      <c r="N13" s="24" t="s">
        <v>122</v>
      </c>
      <c r="O13" s="24" t="s">
        <v>106</v>
      </c>
      <c r="P13" s="24" t="s">
        <v>107</v>
      </c>
      <c r="Q13" s="24">
        <v>1</v>
      </c>
    </row>
    <row r="14" spans="1:17" x14ac:dyDescent="0.25">
      <c r="A14" s="1" t="s">
        <v>121</v>
      </c>
      <c r="B14" s="1" t="s">
        <v>115</v>
      </c>
      <c r="C14" s="1" t="s">
        <v>116</v>
      </c>
      <c r="D14" s="1" t="s">
        <v>73</v>
      </c>
      <c r="E14" s="15">
        <v>43166</v>
      </c>
      <c r="F14" s="15" t="s">
        <v>117</v>
      </c>
      <c r="G14">
        <f>IF($E15="","",DAY($E15))</f>
        <v>7</v>
      </c>
      <c r="H14">
        <f>IF($E15="","",MONTH($E15))</f>
        <v>3</v>
      </c>
      <c r="I14">
        <f>IF($E15="","",YEAR($E15))</f>
        <v>2018</v>
      </c>
      <c r="J14" t="e">
        <f>IF($F15="","",DAY($F15))</f>
        <v>#VALUE!</v>
      </c>
      <c r="K14" t="e">
        <f>IF($F15="","",MONTH($F15))</f>
        <v>#VALUE!</v>
      </c>
      <c r="L14" t="e">
        <f>IF($F15="","",YEAR($F15))</f>
        <v>#VALUE!</v>
      </c>
      <c r="N14" s="25" t="s">
        <v>124</v>
      </c>
      <c r="O14" s="24" t="s">
        <v>115</v>
      </c>
      <c r="P14" s="24" t="s">
        <v>116</v>
      </c>
      <c r="Q14" s="24">
        <v>1</v>
      </c>
    </row>
    <row r="15" spans="1:17" x14ac:dyDescent="0.25">
      <c r="A15" s="1" t="s">
        <v>121</v>
      </c>
      <c r="B15" s="1" t="s">
        <v>115</v>
      </c>
      <c r="C15" s="1" t="s">
        <v>116</v>
      </c>
      <c r="D15" s="1" t="s">
        <v>73</v>
      </c>
      <c r="E15" s="15">
        <v>43166</v>
      </c>
      <c r="F15" s="15" t="s">
        <v>117</v>
      </c>
      <c r="G15">
        <f>IF($E16="","",DAY($E16))</f>
        <v>27</v>
      </c>
      <c r="H15">
        <f>IF($E16="","",MONTH($E16))</f>
        <v>3</v>
      </c>
      <c r="I15">
        <f>IF($E16="","",YEAR($E16))</f>
        <v>2018</v>
      </c>
      <c r="J15" t="e">
        <f>IF($F16="","",DAY($F16))</f>
        <v>#VALUE!</v>
      </c>
      <c r="K15" t="e">
        <f>IF($F16="","",MONTH($F16))</f>
        <v>#VALUE!</v>
      </c>
      <c r="L15" t="e">
        <f>IF($F16="","",YEAR($F16))</f>
        <v>#VALUE!</v>
      </c>
      <c r="N15" s="24" t="s">
        <v>125</v>
      </c>
      <c r="O15" s="24" t="s">
        <v>115</v>
      </c>
      <c r="P15" s="24" t="s">
        <v>116</v>
      </c>
      <c r="Q15" s="24">
        <v>1</v>
      </c>
    </row>
    <row r="16" spans="1:17" x14ac:dyDescent="0.25">
      <c r="A16" s="14" t="s">
        <v>122</v>
      </c>
      <c r="B16" s="1" t="s">
        <v>106</v>
      </c>
      <c r="C16" s="1" t="s">
        <v>107</v>
      </c>
      <c r="D16" s="1" t="s">
        <v>75</v>
      </c>
      <c r="E16" s="15">
        <v>43186</v>
      </c>
      <c r="F16" s="15" t="s">
        <v>117</v>
      </c>
      <c r="G16">
        <f>IF($E17="","",DAY($E17))</f>
        <v>5</v>
      </c>
      <c r="H16">
        <f>IF($E17="","",MONTH($E17))</f>
        <v>4</v>
      </c>
      <c r="I16">
        <f>IF($E17="","",YEAR($E17))</f>
        <v>2018</v>
      </c>
      <c r="J16" t="e">
        <f>IF($F17="","",DAY($F17))</f>
        <v>#VALUE!</v>
      </c>
      <c r="K16" t="e">
        <f>IF($F17="","",MONTH($F17))</f>
        <v>#VALUE!</v>
      </c>
      <c r="L16" t="e">
        <f>IF($F17="","",YEAR($F17))</f>
        <v>#VALUE!</v>
      </c>
      <c r="N16" s="24" t="s">
        <v>126</v>
      </c>
      <c r="O16" s="24" t="s">
        <v>106</v>
      </c>
      <c r="P16" s="24" t="s">
        <v>107</v>
      </c>
      <c r="Q16" s="24">
        <v>1</v>
      </c>
    </row>
    <row r="17" spans="1:17" x14ac:dyDescent="0.25">
      <c r="A17" s="1" t="s">
        <v>121</v>
      </c>
      <c r="B17" s="1" t="s">
        <v>115</v>
      </c>
      <c r="C17" s="1" t="s">
        <v>116</v>
      </c>
      <c r="D17" s="1" t="s">
        <v>78</v>
      </c>
      <c r="E17" s="15">
        <v>43195</v>
      </c>
      <c r="F17" s="15" t="s">
        <v>123</v>
      </c>
      <c r="G17">
        <f>IF($E18="","",DAY($E18))</f>
        <v>6</v>
      </c>
      <c r="H17">
        <f>IF($E18="","",MONTH($E18))</f>
        <v>4</v>
      </c>
      <c r="I17">
        <f>IF($E18="","",YEAR($E18))</f>
        <v>2018</v>
      </c>
      <c r="J17" t="e">
        <f>IF($F18="","",DAY($F18))</f>
        <v>#VALUE!</v>
      </c>
      <c r="K17" t="e">
        <f>IF($F18="","",MONTH($F18))</f>
        <v>#VALUE!</v>
      </c>
      <c r="L17" t="e">
        <f>IF($F18="","",YEAR($F18))</f>
        <v>#VALUE!</v>
      </c>
      <c r="N17" s="1" t="s">
        <v>141</v>
      </c>
      <c r="O17" s="24" t="s">
        <v>115</v>
      </c>
      <c r="P17" s="24" t="s">
        <v>116</v>
      </c>
      <c r="Q17" s="17">
        <v>1</v>
      </c>
    </row>
    <row r="18" spans="1:17" x14ac:dyDescent="0.25">
      <c r="A18" s="1" t="s">
        <v>124</v>
      </c>
      <c r="B18" s="1" t="s">
        <v>100</v>
      </c>
      <c r="C18" s="1" t="s">
        <v>116</v>
      </c>
      <c r="D18" s="1" t="s">
        <v>73</v>
      </c>
      <c r="E18" s="15">
        <v>43196</v>
      </c>
      <c r="F18" s="15" t="s">
        <v>123</v>
      </c>
      <c r="G18">
        <f t="shared" ref="G18:G36" si="6">IF($E20="","",DAY($E20))</f>
        <v>9</v>
      </c>
      <c r="H18">
        <f t="shared" ref="H18:H36" si="7">IF($E20="","",MONTH($E20))</f>
        <v>4</v>
      </c>
      <c r="I18">
        <f t="shared" ref="I18:I36" si="8">IF($E20="","",YEAR($E20))</f>
        <v>2018</v>
      </c>
      <c r="J18" t="e">
        <f t="shared" ref="J18:J36" si="9">IF($F20="","",DAY($F20))</f>
        <v>#VALUE!</v>
      </c>
      <c r="K18" t="e">
        <f t="shared" ref="K18:K36" si="10">IF($F20="","",MONTH($F20))</f>
        <v>#VALUE!</v>
      </c>
      <c r="L18" t="e">
        <f t="shared" ref="L18:L36" si="11">IF($F20="","",YEAR($F20))</f>
        <v>#VALUE!</v>
      </c>
      <c r="N18" s="1" t="s">
        <v>127</v>
      </c>
      <c r="O18" s="1" t="s">
        <v>97</v>
      </c>
      <c r="P18" s="1" t="s">
        <v>103</v>
      </c>
      <c r="Q18" s="17">
        <v>3</v>
      </c>
    </row>
    <row r="19" spans="1:17" x14ac:dyDescent="0.25">
      <c r="A19" s="1" t="s">
        <v>125</v>
      </c>
      <c r="B19" s="1" t="s">
        <v>115</v>
      </c>
      <c r="C19" s="1" t="s">
        <v>116</v>
      </c>
      <c r="D19" s="1" t="s">
        <v>73</v>
      </c>
      <c r="E19" s="15">
        <v>43196</v>
      </c>
      <c r="F19" s="15" t="s">
        <v>123</v>
      </c>
      <c r="G19">
        <f t="shared" si="6"/>
        <v>9</v>
      </c>
      <c r="H19">
        <f t="shared" si="7"/>
        <v>4</v>
      </c>
      <c r="I19">
        <f t="shared" si="8"/>
        <v>2018</v>
      </c>
      <c r="J19" t="e">
        <f t="shared" si="9"/>
        <v>#VALUE!</v>
      </c>
      <c r="K19" t="e">
        <f t="shared" si="10"/>
        <v>#VALUE!</v>
      </c>
      <c r="L19" t="e">
        <f t="shared" si="11"/>
        <v>#VALUE!</v>
      </c>
      <c r="N19" s="1" t="s">
        <v>144</v>
      </c>
      <c r="O19" s="1" t="s">
        <v>100</v>
      </c>
      <c r="P19" s="1" t="s">
        <v>112</v>
      </c>
      <c r="Q19" s="17">
        <v>1</v>
      </c>
    </row>
    <row r="20" spans="1:17" x14ac:dyDescent="0.25">
      <c r="A20" s="1" t="s">
        <v>126</v>
      </c>
      <c r="B20" s="1" t="s">
        <v>106</v>
      </c>
      <c r="C20" s="1" t="s">
        <v>107</v>
      </c>
      <c r="D20" s="1" t="s">
        <v>72</v>
      </c>
      <c r="E20" s="15">
        <v>43199</v>
      </c>
      <c r="F20" s="15" t="s">
        <v>123</v>
      </c>
      <c r="G20">
        <f t="shared" si="6"/>
        <v>13</v>
      </c>
      <c r="H20">
        <f t="shared" si="7"/>
        <v>4</v>
      </c>
      <c r="I20">
        <f t="shared" si="8"/>
        <v>2018</v>
      </c>
      <c r="J20" t="e">
        <f t="shared" si="9"/>
        <v>#VALUE!</v>
      </c>
      <c r="K20" t="e">
        <f t="shared" si="10"/>
        <v>#VALUE!</v>
      </c>
      <c r="L20" t="e">
        <f t="shared" si="11"/>
        <v>#VALUE!</v>
      </c>
      <c r="N20" s="1" t="s">
        <v>133</v>
      </c>
      <c r="O20" s="1" t="s">
        <v>100</v>
      </c>
      <c r="P20" s="1" t="s">
        <v>134</v>
      </c>
      <c r="Q20" s="17">
        <v>1</v>
      </c>
    </row>
    <row r="21" spans="1:17" x14ac:dyDescent="0.25">
      <c r="A21" s="14" t="s">
        <v>127</v>
      </c>
      <c r="B21" s="14" t="s">
        <v>97</v>
      </c>
      <c r="C21" s="14" t="s">
        <v>103</v>
      </c>
      <c r="D21" s="1" t="s">
        <v>79</v>
      </c>
      <c r="E21" s="15">
        <v>43199</v>
      </c>
      <c r="F21" s="15" t="s">
        <v>123</v>
      </c>
      <c r="G21">
        <f t="shared" si="6"/>
        <v>20</v>
      </c>
      <c r="H21">
        <f t="shared" si="7"/>
        <v>4</v>
      </c>
      <c r="I21">
        <f t="shared" si="8"/>
        <v>2018</v>
      </c>
      <c r="J21" t="e">
        <f t="shared" si="9"/>
        <v>#VALUE!</v>
      </c>
      <c r="K21" t="e">
        <f t="shared" si="10"/>
        <v>#VALUE!</v>
      </c>
      <c r="L21" t="e">
        <f t="shared" si="11"/>
        <v>#VALUE!</v>
      </c>
      <c r="N21" s="1" t="s">
        <v>136</v>
      </c>
      <c r="O21" s="1" t="s">
        <v>137</v>
      </c>
      <c r="P21" s="1" t="s">
        <v>145</v>
      </c>
      <c r="Q21" s="17">
        <v>1</v>
      </c>
    </row>
    <row r="22" spans="1:17" x14ac:dyDescent="0.25">
      <c r="A22" s="1" t="s">
        <v>128</v>
      </c>
      <c r="B22" s="1" t="s">
        <v>115</v>
      </c>
      <c r="C22" s="1" t="s">
        <v>116</v>
      </c>
      <c r="D22" s="1" t="s">
        <v>73</v>
      </c>
      <c r="E22" s="15">
        <v>43203</v>
      </c>
      <c r="F22" s="15" t="s">
        <v>123</v>
      </c>
      <c r="G22">
        <f t="shared" si="6"/>
        <v>20</v>
      </c>
      <c r="H22">
        <f t="shared" si="7"/>
        <v>4</v>
      </c>
      <c r="I22">
        <f t="shared" si="8"/>
        <v>2018</v>
      </c>
      <c r="J22" t="e">
        <f t="shared" si="9"/>
        <v>#VALUE!</v>
      </c>
      <c r="K22" t="e">
        <f t="shared" si="10"/>
        <v>#VALUE!</v>
      </c>
      <c r="L22" t="e">
        <f t="shared" si="11"/>
        <v>#VALUE!</v>
      </c>
      <c r="N22" s="1" t="s">
        <v>139</v>
      </c>
      <c r="O22" s="1" t="s">
        <v>97</v>
      </c>
      <c r="P22" s="1" t="s">
        <v>103</v>
      </c>
      <c r="Q22" s="1">
        <v>1</v>
      </c>
    </row>
    <row r="23" spans="1:17" x14ac:dyDescent="0.25">
      <c r="A23" s="17" t="s">
        <v>127</v>
      </c>
      <c r="B23" s="17" t="s">
        <v>97</v>
      </c>
      <c r="C23" s="17" t="s">
        <v>103</v>
      </c>
      <c r="D23" s="1" t="s">
        <v>76</v>
      </c>
      <c r="E23" s="15">
        <v>43210</v>
      </c>
      <c r="F23" s="15" t="s">
        <v>123</v>
      </c>
      <c r="G23">
        <f>IF($E26="","",DAY($E26))</f>
        <v>7</v>
      </c>
      <c r="H23">
        <f>IF($E26="","",MONTH($E26))</f>
        <v>5</v>
      </c>
      <c r="I23">
        <f>IF($E26="","",YEAR($E26))</f>
        <v>2018</v>
      </c>
      <c r="J23" t="e">
        <f>IF($F26="","",DAY($F26))</f>
        <v>#VALUE!</v>
      </c>
      <c r="K23" t="e">
        <f>IF($F26="","",MONTH($F26))</f>
        <v>#VALUE!</v>
      </c>
      <c r="L23" t="e">
        <f>IF($F26="","",YEAR($F26))</f>
        <v>#VALUE!</v>
      </c>
      <c r="N23" s="5"/>
      <c r="O23" s="5"/>
      <c r="P23" s="5"/>
      <c r="Q23" s="5"/>
    </row>
    <row r="24" spans="1:17" x14ac:dyDescent="0.25">
      <c r="A24" s="14" t="s">
        <v>109</v>
      </c>
      <c r="B24" s="1" t="s">
        <v>97</v>
      </c>
      <c r="C24" s="1" t="s">
        <v>110</v>
      </c>
      <c r="D24" s="1" t="s">
        <v>129</v>
      </c>
      <c r="E24" s="15">
        <v>43210</v>
      </c>
      <c r="F24" s="15" t="s">
        <v>123</v>
      </c>
      <c r="G24">
        <f>IF($E27="","",DAY($E27))</f>
        <v>30</v>
      </c>
      <c r="H24">
        <f>IF($E27="","",MONTH($E27))</f>
        <v>4</v>
      </c>
      <c r="I24">
        <f>IF($E27="","",YEAR($E27))</f>
        <v>2018</v>
      </c>
      <c r="J24" t="e">
        <f>IF($F27="","",DAY($F27))</f>
        <v>#VALUE!</v>
      </c>
      <c r="K24" t="e">
        <f>IF($F27="","",MONTH($F27))</f>
        <v>#VALUE!</v>
      </c>
      <c r="L24" t="e">
        <f>IF($F27="","",YEAR($F27))</f>
        <v>#VALUE!</v>
      </c>
      <c r="N24" s="5"/>
      <c r="O24" s="5"/>
      <c r="P24" s="5"/>
      <c r="Q24" s="2"/>
    </row>
    <row r="25" spans="1:17" x14ac:dyDescent="0.25">
      <c r="A25" s="14" t="s">
        <v>109</v>
      </c>
      <c r="B25" s="1" t="s">
        <v>97</v>
      </c>
      <c r="C25" s="1" t="s">
        <v>110</v>
      </c>
      <c r="D25" s="1" t="s">
        <v>74</v>
      </c>
      <c r="E25" s="15">
        <v>43216</v>
      </c>
      <c r="F25" s="15" t="s">
        <v>123</v>
      </c>
      <c r="N25" s="5"/>
      <c r="O25" s="5"/>
      <c r="P25" s="5"/>
      <c r="Q25" s="2"/>
    </row>
    <row r="26" spans="1:17" x14ac:dyDescent="0.25">
      <c r="A26" s="14" t="s">
        <v>127</v>
      </c>
      <c r="B26" s="14" t="s">
        <v>97</v>
      </c>
      <c r="C26" s="14" t="s">
        <v>103</v>
      </c>
      <c r="D26" s="1" t="s">
        <v>130</v>
      </c>
      <c r="E26" s="15">
        <v>43227</v>
      </c>
      <c r="F26" s="15" t="s">
        <v>123</v>
      </c>
      <c r="G26">
        <f>IF($E29="","",DAY($E29))</f>
        <v>29</v>
      </c>
      <c r="H26">
        <f>IF($E29="","",MONTH($E29))</f>
        <v>5</v>
      </c>
      <c r="I26">
        <f>IF($E29="","",YEAR($E29))</f>
        <v>2018</v>
      </c>
      <c r="J26" t="e">
        <f>IF($F29="","",DAY($F29))</f>
        <v>#VALUE!</v>
      </c>
      <c r="K26" t="e">
        <f>IF($F29="","",MONTH($F29))</f>
        <v>#VALUE!</v>
      </c>
      <c r="L26" t="e">
        <f>IF($F29="","",YEAR($F29))</f>
        <v>#VALUE!</v>
      </c>
      <c r="N26" s="5"/>
      <c r="O26" s="5"/>
      <c r="P26" s="5"/>
      <c r="Q26" s="2"/>
    </row>
    <row r="27" spans="1:17" x14ac:dyDescent="0.25">
      <c r="A27" s="1" t="s">
        <v>131</v>
      </c>
      <c r="B27" s="1" t="s">
        <v>97</v>
      </c>
      <c r="C27" s="1" t="s">
        <v>112</v>
      </c>
      <c r="D27" s="1" t="s">
        <v>132</v>
      </c>
      <c r="E27" s="15">
        <v>43220</v>
      </c>
      <c r="F27" s="15" t="s">
        <v>123</v>
      </c>
      <c r="G27">
        <f>IF($E30="","",DAY($E30))</f>
        <v>16</v>
      </c>
      <c r="H27">
        <f>IF($E30="","",MONTH($E30))</f>
        <v>5</v>
      </c>
      <c r="I27">
        <f>IF($E30="","",YEAR($E30))</f>
        <v>2018</v>
      </c>
      <c r="J27" t="e">
        <f>IF($F30="","",DAY($F30))</f>
        <v>#VALUE!</v>
      </c>
      <c r="K27" t="e">
        <f>IF($F30="","",MONTH($F30))</f>
        <v>#VALUE!</v>
      </c>
      <c r="L27" t="e">
        <f>IF($F30="","",YEAR($F30))</f>
        <v>#VALUE!</v>
      </c>
      <c r="N27" s="5"/>
      <c r="O27" s="5"/>
      <c r="P27" s="5"/>
      <c r="Q27" s="5"/>
    </row>
    <row r="28" spans="1:17" x14ac:dyDescent="0.25">
      <c r="A28" s="1" t="s">
        <v>96</v>
      </c>
      <c r="B28" s="1" t="s">
        <v>97</v>
      </c>
      <c r="C28" s="1" t="s">
        <v>103</v>
      </c>
      <c r="D28" s="1" t="s">
        <v>80</v>
      </c>
      <c r="E28" s="15">
        <v>43220</v>
      </c>
      <c r="F28" s="15" t="s">
        <v>123</v>
      </c>
      <c r="N28" s="5"/>
      <c r="O28" s="5"/>
      <c r="P28" s="5"/>
      <c r="Q28" s="2"/>
    </row>
    <row r="29" spans="1:17" x14ac:dyDescent="0.25">
      <c r="A29" s="1" t="s">
        <v>133</v>
      </c>
      <c r="B29" s="1" t="s">
        <v>100</v>
      </c>
      <c r="C29" s="1" t="s">
        <v>134</v>
      </c>
      <c r="D29" s="1" t="s">
        <v>135</v>
      </c>
      <c r="E29" s="15">
        <v>43249</v>
      </c>
      <c r="F29" s="15" t="s">
        <v>0</v>
      </c>
      <c r="G29">
        <f>IF($E31="","",DAY($E31))</f>
        <v>17</v>
      </c>
      <c r="H29">
        <f>IF($E31="","",MONTH($E31))</f>
        <v>5</v>
      </c>
      <c r="I29">
        <f>IF($E31="","",YEAR($E31))</f>
        <v>2018</v>
      </c>
      <c r="J29" t="e">
        <f>IF($F31="","",DAY($F31))</f>
        <v>#VALUE!</v>
      </c>
      <c r="K29" t="e">
        <f>IF($F31="","",MONTH($F31))</f>
        <v>#VALUE!</v>
      </c>
      <c r="L29" t="e">
        <f>IF($F31="","",YEAR($F31))</f>
        <v>#VALUE!</v>
      </c>
      <c r="N29" s="5"/>
      <c r="O29" s="5"/>
      <c r="P29" s="5"/>
      <c r="Q29" s="5"/>
    </row>
    <row r="30" spans="1:17" x14ac:dyDescent="0.25">
      <c r="A30" s="1" t="s">
        <v>136</v>
      </c>
      <c r="B30" s="1" t="s">
        <v>137</v>
      </c>
      <c r="C30" s="1" t="s">
        <v>138</v>
      </c>
      <c r="D30" s="1" t="s">
        <v>74</v>
      </c>
      <c r="E30" s="15">
        <v>43236</v>
      </c>
      <c r="F30" s="15" t="s">
        <v>0</v>
      </c>
      <c r="G30">
        <f t="shared" si="6"/>
        <v>12</v>
      </c>
      <c r="H30">
        <f t="shared" si="7"/>
        <v>5</v>
      </c>
      <c r="I30">
        <f t="shared" si="8"/>
        <v>2018</v>
      </c>
      <c r="J30" t="e">
        <f t="shared" si="9"/>
        <v>#VALUE!</v>
      </c>
      <c r="K30" t="e">
        <f t="shared" si="10"/>
        <v>#VALUE!</v>
      </c>
      <c r="L30" t="e">
        <f t="shared" si="11"/>
        <v>#VALUE!</v>
      </c>
      <c r="N30" s="5"/>
      <c r="O30" s="5"/>
      <c r="P30" s="5"/>
      <c r="Q30" s="5"/>
    </row>
    <row r="31" spans="1:17" x14ac:dyDescent="0.25">
      <c r="A31" s="1" t="s">
        <v>113</v>
      </c>
      <c r="B31" s="1" t="s">
        <v>115</v>
      </c>
      <c r="C31" s="1" t="s">
        <v>116</v>
      </c>
      <c r="D31" s="1" t="s">
        <v>85</v>
      </c>
      <c r="E31" s="15">
        <v>43237</v>
      </c>
      <c r="F31" s="15" t="s">
        <v>0</v>
      </c>
      <c r="G31" t="str">
        <f t="shared" si="6"/>
        <v/>
      </c>
      <c r="H31" t="str">
        <f t="shared" si="7"/>
        <v/>
      </c>
      <c r="I31" t="str">
        <f t="shared" si="8"/>
        <v/>
      </c>
      <c r="J31" t="str">
        <f t="shared" si="9"/>
        <v/>
      </c>
      <c r="K31" t="str">
        <f t="shared" si="10"/>
        <v/>
      </c>
      <c r="L31" t="str">
        <f t="shared" si="11"/>
        <v/>
      </c>
      <c r="N31" s="5"/>
      <c r="O31" s="5"/>
      <c r="P31" s="5"/>
      <c r="Q31" s="5"/>
    </row>
    <row r="32" spans="1:17" x14ac:dyDescent="0.25">
      <c r="A32" s="14" t="s">
        <v>139</v>
      </c>
      <c r="B32" s="1" t="s">
        <v>97</v>
      </c>
      <c r="C32" s="1" t="s">
        <v>103</v>
      </c>
      <c r="D32" s="1" t="s">
        <v>85</v>
      </c>
      <c r="E32" s="15">
        <v>43232</v>
      </c>
      <c r="F32" s="15" t="s">
        <v>0</v>
      </c>
      <c r="G32" t="str">
        <f t="shared" si="6"/>
        <v/>
      </c>
      <c r="H32" t="str">
        <f t="shared" si="7"/>
        <v/>
      </c>
      <c r="I32" t="str">
        <f t="shared" si="8"/>
        <v/>
      </c>
      <c r="J32" t="str">
        <f t="shared" si="9"/>
        <v/>
      </c>
      <c r="K32" t="str">
        <f t="shared" si="10"/>
        <v/>
      </c>
      <c r="L32" t="str">
        <f t="shared" si="11"/>
        <v/>
      </c>
      <c r="N32" s="5"/>
      <c r="O32" s="5"/>
      <c r="P32" s="5"/>
      <c r="Q32" s="5"/>
    </row>
    <row r="33" spans="1:17" x14ac:dyDescent="0.25">
      <c r="A33" s="14"/>
      <c r="B33" s="1"/>
      <c r="C33" s="1"/>
      <c r="D33" s="1"/>
      <c r="E33" s="15"/>
      <c r="F33" s="15"/>
      <c r="G33" t="str">
        <f t="shared" si="6"/>
        <v/>
      </c>
      <c r="H33" t="str">
        <f t="shared" si="7"/>
        <v/>
      </c>
      <c r="I33" t="str">
        <f t="shared" si="8"/>
        <v/>
      </c>
      <c r="J33" t="str">
        <f t="shared" si="9"/>
        <v/>
      </c>
      <c r="K33" t="str">
        <f t="shared" si="10"/>
        <v/>
      </c>
      <c r="L33" t="str">
        <f t="shared" si="11"/>
        <v/>
      </c>
      <c r="N33" s="5"/>
      <c r="O33" s="5"/>
      <c r="P33" s="5"/>
      <c r="Q33" s="5"/>
    </row>
    <row r="34" spans="1:17" x14ac:dyDescent="0.25">
      <c r="A34" s="1"/>
      <c r="B34" s="1"/>
      <c r="C34" s="1"/>
      <c r="D34" s="1"/>
      <c r="E34" s="15"/>
      <c r="F34" s="15"/>
      <c r="G34" t="str">
        <f t="shared" si="6"/>
        <v/>
      </c>
      <c r="H34" t="str">
        <f t="shared" si="7"/>
        <v/>
      </c>
      <c r="I34" t="str">
        <f t="shared" si="8"/>
        <v/>
      </c>
      <c r="J34" t="str">
        <f t="shared" si="9"/>
        <v/>
      </c>
      <c r="K34" t="str">
        <f t="shared" si="10"/>
        <v/>
      </c>
      <c r="L34" t="str">
        <f t="shared" si="11"/>
        <v/>
      </c>
      <c r="N34" s="5"/>
      <c r="O34" s="5"/>
      <c r="P34" s="5"/>
      <c r="Q34" s="5"/>
    </row>
    <row r="35" spans="1:17" x14ac:dyDescent="0.25">
      <c r="A35" s="1"/>
      <c r="B35" s="1"/>
      <c r="C35" s="1"/>
      <c r="D35" s="1"/>
      <c r="E35" s="15"/>
      <c r="F35" s="15"/>
      <c r="G35" t="str">
        <f t="shared" si="6"/>
        <v/>
      </c>
      <c r="H35" t="str">
        <f t="shared" si="7"/>
        <v/>
      </c>
      <c r="I35" t="str">
        <f t="shared" si="8"/>
        <v/>
      </c>
      <c r="J35" t="str">
        <f t="shared" si="9"/>
        <v/>
      </c>
      <c r="K35" t="str">
        <f t="shared" si="10"/>
        <v/>
      </c>
      <c r="L35" t="str">
        <f t="shared" si="11"/>
        <v/>
      </c>
      <c r="N35" s="5"/>
      <c r="O35" s="5"/>
      <c r="P35" s="5"/>
      <c r="Q35" s="5"/>
    </row>
    <row r="36" spans="1:17" x14ac:dyDescent="0.25">
      <c r="A36" s="1"/>
      <c r="B36" s="14"/>
      <c r="C36" s="14"/>
      <c r="D36" s="1"/>
      <c r="E36" s="15"/>
      <c r="F36" s="15"/>
      <c r="G36" t="str">
        <f t="shared" si="6"/>
        <v/>
      </c>
      <c r="H36" t="str">
        <f t="shared" si="7"/>
        <v/>
      </c>
      <c r="I36" t="str">
        <f t="shared" si="8"/>
        <v/>
      </c>
      <c r="J36" t="str">
        <f t="shared" si="9"/>
        <v/>
      </c>
      <c r="K36" t="str">
        <f t="shared" si="10"/>
        <v/>
      </c>
      <c r="L36" t="str">
        <f t="shared" si="11"/>
        <v/>
      </c>
      <c r="N36" s="5"/>
      <c r="O36" s="5"/>
      <c r="P36" s="5"/>
      <c r="Q36" s="5"/>
    </row>
    <row r="37" spans="1:17" x14ac:dyDescent="0.25">
      <c r="A37" s="1"/>
      <c r="B37" s="1"/>
      <c r="C37" s="1"/>
      <c r="D37" s="1"/>
      <c r="E37" s="15"/>
      <c r="F37" s="15"/>
      <c r="G37" t="str">
        <f>IF($E40="","",DAY($E40))</f>
        <v/>
      </c>
      <c r="H37" t="str">
        <f>IF($E40="","",MONTH($E40))</f>
        <v/>
      </c>
      <c r="I37" t="str">
        <f>IF($E40="","",YEAR($E40))</f>
        <v/>
      </c>
      <c r="J37" t="str">
        <f>IF($F40="","",DAY($F40))</f>
        <v/>
      </c>
      <c r="K37" t="str">
        <f>IF($F40="","",MONTH($F40))</f>
        <v/>
      </c>
      <c r="L37" t="str">
        <f>IF($F40="","",YEAR($F40))</f>
        <v/>
      </c>
      <c r="N37" s="5"/>
      <c r="O37" s="5"/>
      <c r="P37" s="5"/>
      <c r="Q37" s="5"/>
    </row>
    <row r="38" spans="1:17" x14ac:dyDescent="0.25">
      <c r="A38" s="1"/>
      <c r="B38" s="1"/>
      <c r="C38" s="1"/>
      <c r="D38" s="1"/>
      <c r="E38" s="15"/>
      <c r="F38" s="15"/>
      <c r="G38" t="str">
        <f>IF($E41="","",DAY($E41))</f>
        <v/>
      </c>
      <c r="H38" t="str">
        <f>IF($E41="","",MONTH($E41))</f>
        <v/>
      </c>
      <c r="I38" t="str">
        <f>IF($E41="","",YEAR($E41))</f>
        <v/>
      </c>
      <c r="J38" t="str">
        <f>IF($F41="","",DAY($F41))</f>
        <v/>
      </c>
      <c r="K38" t="str">
        <f>IF($F41="","",MONTH($F41))</f>
        <v/>
      </c>
      <c r="L38" t="str">
        <f>IF($F41="","",YEAR($F41))</f>
        <v/>
      </c>
      <c r="N38" s="5"/>
      <c r="O38" s="5"/>
      <c r="P38" s="5"/>
      <c r="Q38" s="5"/>
    </row>
    <row r="39" spans="1:17" x14ac:dyDescent="0.25">
      <c r="A39" s="1"/>
      <c r="B39" s="1"/>
      <c r="C39" s="1"/>
      <c r="D39" s="1"/>
      <c r="E39" s="15"/>
      <c r="F39" s="15"/>
      <c r="N39" s="5"/>
      <c r="O39" s="5"/>
      <c r="P39" s="5"/>
      <c r="Q39" s="5"/>
    </row>
    <row r="40" spans="1:17" x14ac:dyDescent="0.25">
      <c r="A40" s="1"/>
      <c r="B40" s="1"/>
      <c r="C40" s="1"/>
      <c r="D40" s="1"/>
      <c r="E40" s="15"/>
      <c r="F40" s="20"/>
      <c r="G40" t="str">
        <f t="shared" ref="G40:G71" si="12">IF($E42="","",DAY($E42))</f>
        <v/>
      </c>
      <c r="H40" t="str">
        <f t="shared" ref="H40:H71" si="13">IF($E42="","",MONTH($E42))</f>
        <v/>
      </c>
      <c r="I40" t="str">
        <f t="shared" ref="I40:I71" si="14">IF($E42="","",YEAR($E42))</f>
        <v/>
      </c>
      <c r="J40" t="str">
        <f t="shared" ref="J40:J71" si="15">IF($F42="","",DAY($F42))</f>
        <v/>
      </c>
      <c r="K40" t="str">
        <f t="shared" ref="K40:K71" si="16">IF($F42="","",MONTH($F42))</f>
        <v/>
      </c>
      <c r="L40" t="str">
        <f t="shared" ref="L40:L71" si="17">IF($F42="","",YEAR($F42))</f>
        <v/>
      </c>
      <c r="N40" s="5"/>
      <c r="O40" s="5"/>
      <c r="P40" s="5"/>
      <c r="Q40" s="5"/>
    </row>
    <row r="41" spans="1:17" x14ac:dyDescent="0.25">
      <c r="A41" s="14"/>
      <c r="B41" s="1"/>
      <c r="C41" s="1"/>
      <c r="D41" s="1"/>
      <c r="E41" s="15"/>
      <c r="F41" s="20"/>
      <c r="G41" t="str">
        <f t="shared" si="12"/>
        <v/>
      </c>
      <c r="H41" t="str">
        <f t="shared" si="13"/>
        <v/>
      </c>
      <c r="I41" t="str">
        <f t="shared" si="14"/>
        <v/>
      </c>
      <c r="J41" t="str">
        <f t="shared" si="15"/>
        <v/>
      </c>
      <c r="K41" t="str">
        <f t="shared" si="16"/>
        <v/>
      </c>
      <c r="L41" t="str">
        <f t="shared" si="17"/>
        <v/>
      </c>
      <c r="N41" s="5"/>
      <c r="O41" s="5"/>
      <c r="P41" s="5"/>
      <c r="Q41" s="5"/>
    </row>
    <row r="42" spans="1:17" x14ac:dyDescent="0.25">
      <c r="A42" s="1"/>
      <c r="B42" s="1"/>
      <c r="C42" s="1"/>
      <c r="D42" s="1"/>
      <c r="E42" s="15"/>
      <c r="F42" s="20"/>
      <c r="G42" t="str">
        <f t="shared" si="12"/>
        <v/>
      </c>
      <c r="H42" t="str">
        <f t="shared" si="13"/>
        <v/>
      </c>
      <c r="I42" t="str">
        <f t="shared" si="14"/>
        <v/>
      </c>
      <c r="J42" t="str">
        <f t="shared" si="15"/>
        <v/>
      </c>
      <c r="K42" t="str">
        <f t="shared" si="16"/>
        <v/>
      </c>
      <c r="L42" t="str">
        <f t="shared" si="17"/>
        <v/>
      </c>
      <c r="N42" s="5"/>
      <c r="O42" s="5"/>
      <c r="P42" s="5"/>
      <c r="Q42" s="5"/>
    </row>
    <row r="43" spans="1:17" x14ac:dyDescent="0.25">
      <c r="A43" s="1"/>
      <c r="B43" s="1"/>
      <c r="C43" s="1"/>
      <c r="D43" s="1"/>
      <c r="E43" s="15"/>
      <c r="F43" s="20"/>
      <c r="G43" t="str">
        <f t="shared" si="12"/>
        <v/>
      </c>
      <c r="H43" t="str">
        <f t="shared" si="13"/>
        <v/>
      </c>
      <c r="I43" t="str">
        <f t="shared" si="14"/>
        <v/>
      </c>
      <c r="J43" t="str">
        <f t="shared" si="15"/>
        <v/>
      </c>
      <c r="K43" t="str">
        <f t="shared" si="16"/>
        <v/>
      </c>
      <c r="L43" t="str">
        <f t="shared" si="17"/>
        <v/>
      </c>
      <c r="N43" s="5"/>
      <c r="O43" s="5"/>
      <c r="P43" s="5"/>
      <c r="Q43" s="5"/>
    </row>
    <row r="44" spans="1:17" x14ac:dyDescent="0.25">
      <c r="A44" s="1"/>
      <c r="B44" s="1"/>
      <c r="C44" s="1"/>
      <c r="D44" s="1"/>
      <c r="E44" s="15"/>
      <c r="F44" s="20"/>
      <c r="G44" t="str">
        <f t="shared" si="12"/>
        <v/>
      </c>
      <c r="H44" t="str">
        <f t="shared" si="13"/>
        <v/>
      </c>
      <c r="I44" t="str">
        <f t="shared" si="14"/>
        <v/>
      </c>
      <c r="J44" t="str">
        <f t="shared" si="15"/>
        <v/>
      </c>
      <c r="K44" t="str">
        <f t="shared" si="16"/>
        <v/>
      </c>
      <c r="L44" t="str">
        <f t="shared" si="17"/>
        <v/>
      </c>
      <c r="N44" s="5"/>
      <c r="O44" s="5"/>
      <c r="P44" s="5"/>
      <c r="Q44" s="5"/>
    </row>
    <row r="45" spans="1:17" x14ac:dyDescent="0.25">
      <c r="A45" s="1"/>
      <c r="B45" s="1"/>
      <c r="C45" s="1"/>
      <c r="D45" s="1"/>
      <c r="E45" s="15"/>
      <c r="F45" s="20"/>
      <c r="G45" t="str">
        <f t="shared" si="12"/>
        <v/>
      </c>
      <c r="H45" t="str">
        <f t="shared" si="13"/>
        <v/>
      </c>
      <c r="I45" t="str">
        <f t="shared" si="14"/>
        <v/>
      </c>
      <c r="J45" t="str">
        <f t="shared" si="15"/>
        <v/>
      </c>
      <c r="K45" t="str">
        <f t="shared" si="16"/>
        <v/>
      </c>
      <c r="L45" t="str">
        <f t="shared" si="17"/>
        <v/>
      </c>
      <c r="N45" s="5"/>
      <c r="O45" s="5"/>
      <c r="P45" s="5"/>
      <c r="Q45" s="5"/>
    </row>
    <row r="46" spans="1:17" x14ac:dyDescent="0.25">
      <c r="A46" s="1"/>
      <c r="B46" s="1"/>
      <c r="C46" s="1"/>
      <c r="D46" s="1"/>
      <c r="E46" s="15"/>
      <c r="F46" s="20"/>
      <c r="G46" t="str">
        <f t="shared" si="12"/>
        <v/>
      </c>
      <c r="H46" t="str">
        <f t="shared" si="13"/>
        <v/>
      </c>
      <c r="I46" t="str">
        <f t="shared" si="14"/>
        <v/>
      </c>
      <c r="J46" t="str">
        <f t="shared" si="15"/>
        <v/>
      </c>
      <c r="K46" t="str">
        <f t="shared" si="16"/>
        <v/>
      </c>
      <c r="L46" t="str">
        <f t="shared" si="17"/>
        <v/>
      </c>
      <c r="N46" s="5"/>
      <c r="O46" s="5"/>
      <c r="P46" s="5"/>
      <c r="Q46" s="5"/>
    </row>
    <row r="47" spans="1:17" x14ac:dyDescent="0.25">
      <c r="A47" s="1"/>
      <c r="B47" s="1"/>
      <c r="C47" s="1"/>
      <c r="D47" s="1"/>
      <c r="E47" s="15"/>
      <c r="F47" s="20"/>
      <c r="G47" t="str">
        <f t="shared" si="12"/>
        <v/>
      </c>
      <c r="H47" t="str">
        <f t="shared" si="13"/>
        <v/>
      </c>
      <c r="I47" t="str">
        <f t="shared" si="14"/>
        <v/>
      </c>
      <c r="J47" t="str">
        <f t="shared" si="15"/>
        <v/>
      </c>
      <c r="K47" t="str">
        <f t="shared" si="16"/>
        <v/>
      </c>
      <c r="L47" t="str">
        <f t="shared" si="17"/>
        <v/>
      </c>
      <c r="N47" s="5"/>
      <c r="O47" s="5"/>
      <c r="P47" s="5"/>
      <c r="Q47" s="5"/>
    </row>
    <row r="48" spans="1:17" x14ac:dyDescent="0.25">
      <c r="A48" s="1"/>
      <c r="B48" s="1"/>
      <c r="C48" s="1"/>
      <c r="D48" s="1"/>
      <c r="E48" s="15"/>
      <c r="F48" s="20"/>
      <c r="G48" t="str">
        <f t="shared" si="12"/>
        <v/>
      </c>
      <c r="H48" t="str">
        <f t="shared" si="13"/>
        <v/>
      </c>
      <c r="I48" t="str">
        <f t="shared" si="14"/>
        <v/>
      </c>
      <c r="J48" t="str">
        <f t="shared" si="15"/>
        <v/>
      </c>
      <c r="K48" t="str">
        <f t="shared" si="16"/>
        <v/>
      </c>
      <c r="L48" t="str">
        <f t="shared" si="17"/>
        <v/>
      </c>
      <c r="N48" s="5"/>
      <c r="O48" s="5"/>
      <c r="P48" s="5"/>
      <c r="Q48" s="5"/>
    </row>
    <row r="49" spans="1:17" x14ac:dyDescent="0.25">
      <c r="A49" s="1"/>
      <c r="B49" s="1"/>
      <c r="C49" s="1"/>
      <c r="D49" s="1"/>
      <c r="E49" s="15"/>
      <c r="F49" s="20"/>
      <c r="G49" t="str">
        <f t="shared" si="12"/>
        <v/>
      </c>
      <c r="H49" t="str">
        <f t="shared" si="13"/>
        <v/>
      </c>
      <c r="I49" t="str">
        <f t="shared" si="14"/>
        <v/>
      </c>
      <c r="J49" t="str">
        <f t="shared" si="15"/>
        <v/>
      </c>
      <c r="K49" t="str">
        <f t="shared" si="16"/>
        <v/>
      </c>
      <c r="L49" t="str">
        <f t="shared" si="17"/>
        <v/>
      </c>
      <c r="N49" s="5"/>
      <c r="O49" s="5"/>
      <c r="P49" s="5"/>
      <c r="Q49" s="5"/>
    </row>
    <row r="50" spans="1:17" x14ac:dyDescent="0.25">
      <c r="A50" s="1"/>
      <c r="B50" s="1"/>
      <c r="C50" s="1"/>
      <c r="D50" s="1"/>
      <c r="E50" s="15"/>
      <c r="F50" s="20"/>
      <c r="G50" t="str">
        <f t="shared" si="12"/>
        <v/>
      </c>
      <c r="H50" t="str">
        <f t="shared" si="13"/>
        <v/>
      </c>
      <c r="I50" t="str">
        <f t="shared" si="14"/>
        <v/>
      </c>
      <c r="J50" t="str">
        <f t="shared" si="15"/>
        <v/>
      </c>
      <c r="K50" t="str">
        <f t="shared" si="16"/>
        <v/>
      </c>
      <c r="L50" t="str">
        <f t="shared" si="17"/>
        <v/>
      </c>
      <c r="N50" s="5"/>
      <c r="O50" s="5"/>
      <c r="P50" s="5"/>
      <c r="Q50" s="5"/>
    </row>
    <row r="51" spans="1:17" x14ac:dyDescent="0.25">
      <c r="A51" s="1"/>
      <c r="B51" s="1"/>
      <c r="C51" s="1"/>
      <c r="D51" s="1"/>
      <c r="E51" s="15"/>
      <c r="F51" s="20"/>
      <c r="G51" t="str">
        <f t="shared" si="12"/>
        <v/>
      </c>
      <c r="H51" t="str">
        <f t="shared" si="13"/>
        <v/>
      </c>
      <c r="I51" t="str">
        <f t="shared" si="14"/>
        <v/>
      </c>
      <c r="J51" t="str">
        <f t="shared" si="15"/>
        <v/>
      </c>
      <c r="K51" t="str">
        <f t="shared" si="16"/>
        <v/>
      </c>
      <c r="L51" t="str">
        <f t="shared" si="17"/>
        <v/>
      </c>
      <c r="N51" s="5"/>
      <c r="O51" s="5"/>
      <c r="P51" s="5"/>
      <c r="Q51" s="5"/>
    </row>
    <row r="52" spans="1:17" x14ac:dyDescent="0.25">
      <c r="A52" s="1"/>
      <c r="B52" s="17"/>
      <c r="C52" s="17"/>
      <c r="D52" s="1"/>
      <c r="E52" s="15"/>
      <c r="F52" s="20"/>
      <c r="G52" t="str">
        <f t="shared" si="12"/>
        <v/>
      </c>
      <c r="H52" t="str">
        <f t="shared" si="13"/>
        <v/>
      </c>
      <c r="I52" t="str">
        <f t="shared" si="14"/>
        <v/>
      </c>
      <c r="J52" t="str">
        <f t="shared" si="15"/>
        <v/>
      </c>
      <c r="K52" t="str">
        <f t="shared" si="16"/>
        <v/>
      </c>
      <c r="L52" t="str">
        <f t="shared" si="17"/>
        <v/>
      </c>
      <c r="N52" s="5"/>
      <c r="O52" s="5"/>
      <c r="P52" s="5"/>
      <c r="Q52" s="5"/>
    </row>
    <row r="53" spans="1:17" x14ac:dyDescent="0.25">
      <c r="A53" s="1"/>
      <c r="B53" s="1"/>
      <c r="C53" s="1"/>
      <c r="D53" s="1"/>
      <c r="E53" s="15"/>
      <c r="F53" s="20"/>
      <c r="G53" t="str">
        <f t="shared" si="12"/>
        <v/>
      </c>
      <c r="H53" t="str">
        <f t="shared" si="13"/>
        <v/>
      </c>
      <c r="I53" t="str">
        <f t="shared" si="14"/>
        <v/>
      </c>
      <c r="J53" t="str">
        <f t="shared" si="15"/>
        <v/>
      </c>
      <c r="K53" t="str">
        <f t="shared" si="16"/>
        <v/>
      </c>
      <c r="L53" t="str">
        <f t="shared" si="17"/>
        <v/>
      </c>
      <c r="N53" s="5"/>
      <c r="O53" s="5"/>
      <c r="P53" s="5"/>
      <c r="Q53" s="5"/>
    </row>
    <row r="54" spans="1:17" x14ac:dyDescent="0.25">
      <c r="A54" s="1"/>
      <c r="B54" s="1"/>
      <c r="C54" s="1"/>
      <c r="D54" s="1"/>
      <c r="E54" s="15"/>
      <c r="F54" s="20"/>
      <c r="G54" t="str">
        <f t="shared" si="12"/>
        <v/>
      </c>
      <c r="H54" t="str">
        <f t="shared" si="13"/>
        <v/>
      </c>
      <c r="I54" t="str">
        <f t="shared" si="14"/>
        <v/>
      </c>
      <c r="J54" t="str">
        <f t="shared" si="15"/>
        <v/>
      </c>
      <c r="K54" t="str">
        <f t="shared" si="16"/>
        <v/>
      </c>
      <c r="L54" t="str">
        <f t="shared" si="17"/>
        <v/>
      </c>
      <c r="N54" s="5"/>
      <c r="O54" s="5"/>
      <c r="P54" s="5"/>
      <c r="Q54" s="5"/>
    </row>
    <row r="55" spans="1:17" x14ac:dyDescent="0.25">
      <c r="A55" s="1"/>
      <c r="B55" s="1"/>
      <c r="C55" s="1"/>
      <c r="D55" s="1"/>
      <c r="E55" s="15"/>
      <c r="F55" s="20"/>
      <c r="G55" t="str">
        <f t="shared" si="12"/>
        <v/>
      </c>
      <c r="H55" t="str">
        <f t="shared" si="13"/>
        <v/>
      </c>
      <c r="I55" t="str">
        <f t="shared" si="14"/>
        <v/>
      </c>
      <c r="J55" t="str">
        <f t="shared" si="15"/>
        <v/>
      </c>
      <c r="K55" t="str">
        <f t="shared" si="16"/>
        <v/>
      </c>
      <c r="L55" t="str">
        <f t="shared" si="17"/>
        <v/>
      </c>
      <c r="N55" s="5"/>
      <c r="O55" s="5"/>
      <c r="P55" s="5"/>
      <c r="Q55" s="5"/>
    </row>
    <row r="56" spans="1:17" x14ac:dyDescent="0.25">
      <c r="A56" s="1"/>
      <c r="B56" s="1"/>
      <c r="C56" s="1"/>
      <c r="D56" s="1"/>
      <c r="E56" s="15"/>
      <c r="F56" s="20"/>
      <c r="G56" t="str">
        <f t="shared" si="12"/>
        <v/>
      </c>
      <c r="H56" t="str">
        <f t="shared" si="13"/>
        <v/>
      </c>
      <c r="I56" t="str">
        <f t="shared" si="14"/>
        <v/>
      </c>
      <c r="J56" t="str">
        <f t="shared" si="15"/>
        <v/>
      </c>
      <c r="K56" t="str">
        <f t="shared" si="16"/>
        <v/>
      </c>
      <c r="L56" t="str">
        <f t="shared" si="17"/>
        <v/>
      </c>
      <c r="N56" s="5"/>
      <c r="O56" s="5"/>
      <c r="P56" s="5"/>
      <c r="Q56" s="5"/>
    </row>
    <row r="57" spans="1:17" x14ac:dyDescent="0.25">
      <c r="A57" s="1"/>
      <c r="B57" s="17"/>
      <c r="C57" s="17"/>
      <c r="D57" s="1"/>
      <c r="E57" s="15"/>
      <c r="F57" s="20"/>
      <c r="G57" t="str">
        <f t="shared" si="12"/>
        <v/>
      </c>
      <c r="H57" t="str">
        <f t="shared" si="13"/>
        <v/>
      </c>
      <c r="I57" t="str">
        <f t="shared" si="14"/>
        <v/>
      </c>
      <c r="J57" t="str">
        <f t="shared" si="15"/>
        <v/>
      </c>
      <c r="K57" t="str">
        <f t="shared" si="16"/>
        <v/>
      </c>
      <c r="L57" t="str">
        <f t="shared" si="17"/>
        <v/>
      </c>
      <c r="N57" s="5"/>
      <c r="O57" s="5"/>
      <c r="P57" s="5"/>
      <c r="Q57" s="5"/>
    </row>
    <row r="58" spans="1:17" x14ac:dyDescent="0.25">
      <c r="A58" s="1"/>
      <c r="B58" s="1"/>
      <c r="C58" s="1"/>
      <c r="D58" s="1"/>
      <c r="E58" s="15"/>
      <c r="F58" s="20"/>
      <c r="G58" t="str">
        <f t="shared" si="12"/>
        <v/>
      </c>
      <c r="H58" t="str">
        <f t="shared" si="13"/>
        <v/>
      </c>
      <c r="I58" t="str">
        <f t="shared" si="14"/>
        <v/>
      </c>
      <c r="J58" t="str">
        <f t="shared" si="15"/>
        <v/>
      </c>
      <c r="K58" t="str">
        <f t="shared" si="16"/>
        <v/>
      </c>
      <c r="L58" t="str">
        <f t="shared" si="17"/>
        <v/>
      </c>
      <c r="N58" s="5"/>
      <c r="O58" s="5"/>
      <c r="P58" s="5"/>
      <c r="Q58" s="5"/>
    </row>
    <row r="59" spans="1:17" x14ac:dyDescent="0.25">
      <c r="A59" s="1"/>
      <c r="B59" s="1"/>
      <c r="C59" s="1"/>
      <c r="D59" s="1"/>
      <c r="E59" s="15"/>
      <c r="F59" s="20"/>
      <c r="G59" t="str">
        <f t="shared" si="12"/>
        <v/>
      </c>
      <c r="H59" t="str">
        <f t="shared" si="13"/>
        <v/>
      </c>
      <c r="I59" t="str">
        <f t="shared" si="14"/>
        <v/>
      </c>
      <c r="J59" t="str">
        <f t="shared" si="15"/>
        <v/>
      </c>
      <c r="K59" t="str">
        <f t="shared" si="16"/>
        <v/>
      </c>
      <c r="L59" t="str">
        <f t="shared" si="17"/>
        <v/>
      </c>
      <c r="N59" s="5"/>
      <c r="O59" s="5"/>
      <c r="P59" s="5"/>
      <c r="Q59" s="5"/>
    </row>
    <row r="60" spans="1:17" x14ac:dyDescent="0.25">
      <c r="A60" s="1"/>
      <c r="B60" s="17"/>
      <c r="C60" s="17"/>
      <c r="D60" s="1"/>
      <c r="E60" s="15"/>
      <c r="F60" s="20"/>
      <c r="G60" t="str">
        <f t="shared" si="12"/>
        <v/>
      </c>
      <c r="H60" t="str">
        <f t="shared" si="13"/>
        <v/>
      </c>
      <c r="I60" t="str">
        <f t="shared" si="14"/>
        <v/>
      </c>
      <c r="J60" t="str">
        <f t="shared" si="15"/>
        <v/>
      </c>
      <c r="K60" t="str">
        <f t="shared" si="16"/>
        <v/>
      </c>
      <c r="L60" t="str">
        <f t="shared" si="17"/>
        <v/>
      </c>
      <c r="N60" s="5"/>
      <c r="O60" s="5"/>
      <c r="P60" s="5"/>
      <c r="Q60" s="5"/>
    </row>
    <row r="61" spans="1:17" x14ac:dyDescent="0.25">
      <c r="A61" s="1"/>
      <c r="B61" s="1"/>
      <c r="C61" s="1"/>
      <c r="D61" s="1"/>
      <c r="E61" s="15"/>
      <c r="F61" s="20"/>
      <c r="G61" t="str">
        <f t="shared" si="12"/>
        <v/>
      </c>
      <c r="H61" t="str">
        <f t="shared" si="13"/>
        <v/>
      </c>
      <c r="I61" t="str">
        <f t="shared" si="14"/>
        <v/>
      </c>
      <c r="J61" t="str">
        <f t="shared" si="15"/>
        <v/>
      </c>
      <c r="K61" t="str">
        <f t="shared" si="16"/>
        <v/>
      </c>
      <c r="L61" t="str">
        <f t="shared" si="17"/>
        <v/>
      </c>
      <c r="N61" s="5"/>
      <c r="O61" s="5"/>
      <c r="P61" s="5"/>
      <c r="Q61" s="5"/>
    </row>
    <row r="62" spans="1:17" x14ac:dyDescent="0.25">
      <c r="A62" s="1"/>
      <c r="B62" s="1"/>
      <c r="C62" s="1"/>
      <c r="D62" s="1"/>
      <c r="E62" s="15"/>
      <c r="F62" s="20"/>
      <c r="G62" t="str">
        <f t="shared" si="12"/>
        <v/>
      </c>
      <c r="H62" t="str">
        <f t="shared" si="13"/>
        <v/>
      </c>
      <c r="I62" t="str">
        <f t="shared" si="14"/>
        <v/>
      </c>
      <c r="J62" t="str">
        <f t="shared" si="15"/>
        <v/>
      </c>
      <c r="K62" t="str">
        <f t="shared" si="16"/>
        <v/>
      </c>
      <c r="L62" t="str">
        <f t="shared" si="17"/>
        <v/>
      </c>
      <c r="N62" s="5"/>
      <c r="O62" s="5"/>
      <c r="P62" s="5"/>
      <c r="Q62" s="5"/>
    </row>
    <row r="63" spans="1:17" x14ac:dyDescent="0.25">
      <c r="A63" s="1"/>
      <c r="B63" s="1"/>
      <c r="C63" s="1"/>
      <c r="D63" s="1"/>
      <c r="E63" s="15"/>
      <c r="F63" s="20"/>
      <c r="G63" t="str">
        <f t="shared" si="12"/>
        <v/>
      </c>
      <c r="H63" t="str">
        <f t="shared" si="13"/>
        <v/>
      </c>
      <c r="I63" t="str">
        <f t="shared" si="14"/>
        <v/>
      </c>
      <c r="J63" t="str">
        <f t="shared" si="15"/>
        <v/>
      </c>
      <c r="K63" t="str">
        <f t="shared" si="16"/>
        <v/>
      </c>
      <c r="L63" t="str">
        <f t="shared" si="17"/>
        <v/>
      </c>
      <c r="N63" s="5"/>
      <c r="O63" s="5"/>
      <c r="P63" s="5"/>
      <c r="Q63" s="5"/>
    </row>
    <row r="64" spans="1:17" x14ac:dyDescent="0.25">
      <c r="A64" s="1"/>
      <c r="B64" s="1"/>
      <c r="C64" s="1"/>
      <c r="D64" s="1"/>
      <c r="E64" s="15"/>
      <c r="F64" s="20"/>
      <c r="G64" t="str">
        <f t="shared" si="12"/>
        <v/>
      </c>
      <c r="H64" t="str">
        <f t="shared" si="13"/>
        <v/>
      </c>
      <c r="I64" t="str">
        <f t="shared" si="14"/>
        <v/>
      </c>
      <c r="J64" t="str">
        <f t="shared" si="15"/>
        <v/>
      </c>
      <c r="K64" t="str">
        <f t="shared" si="16"/>
        <v/>
      </c>
      <c r="L64" t="str">
        <f t="shared" si="17"/>
        <v/>
      </c>
      <c r="N64" s="5"/>
      <c r="O64" s="5"/>
      <c r="P64" s="5"/>
      <c r="Q64" s="5"/>
    </row>
    <row r="65" spans="1:17" x14ac:dyDescent="0.25">
      <c r="A65" s="1"/>
      <c r="B65" s="1"/>
      <c r="C65" s="1"/>
      <c r="D65" s="1"/>
      <c r="E65" s="15"/>
      <c r="F65" s="20"/>
      <c r="G65" t="str">
        <f t="shared" si="12"/>
        <v/>
      </c>
      <c r="H65" t="str">
        <f t="shared" si="13"/>
        <v/>
      </c>
      <c r="I65" t="str">
        <f t="shared" si="14"/>
        <v/>
      </c>
      <c r="J65" t="str">
        <f t="shared" si="15"/>
        <v/>
      </c>
      <c r="K65" t="str">
        <f t="shared" si="16"/>
        <v/>
      </c>
      <c r="L65" t="str">
        <f t="shared" si="17"/>
        <v/>
      </c>
      <c r="N65" s="5"/>
      <c r="O65" s="5"/>
      <c r="P65" s="5"/>
      <c r="Q65" s="5"/>
    </row>
    <row r="66" spans="1:17" x14ac:dyDescent="0.25">
      <c r="A66" s="1"/>
      <c r="B66" s="1"/>
      <c r="C66" s="1"/>
      <c r="D66" s="1"/>
      <c r="E66" s="15"/>
      <c r="F66" s="20"/>
      <c r="G66" t="str">
        <f t="shared" si="12"/>
        <v/>
      </c>
      <c r="H66" t="str">
        <f t="shared" si="13"/>
        <v/>
      </c>
      <c r="I66" t="str">
        <f t="shared" si="14"/>
        <v/>
      </c>
      <c r="J66" t="str">
        <f t="shared" si="15"/>
        <v/>
      </c>
      <c r="K66" t="str">
        <f t="shared" si="16"/>
        <v/>
      </c>
      <c r="L66" t="str">
        <f t="shared" si="17"/>
        <v/>
      </c>
      <c r="N66" s="5"/>
      <c r="O66" s="5"/>
      <c r="P66" s="5"/>
      <c r="Q66" s="5"/>
    </row>
    <row r="67" spans="1:17" x14ac:dyDescent="0.25">
      <c r="A67" s="14"/>
      <c r="B67" s="1"/>
      <c r="C67" s="1"/>
      <c r="D67" s="1"/>
      <c r="E67" s="15"/>
      <c r="F67" s="20"/>
      <c r="G67" t="str">
        <f>IF($E70="","",DAY($E70))</f>
        <v/>
      </c>
      <c r="H67" t="str">
        <f>IF($E70="","",MONTH($E70))</f>
        <v/>
      </c>
      <c r="I67" t="str">
        <f>IF($E70="","",YEAR($E70))</f>
        <v/>
      </c>
      <c r="J67" t="str">
        <f>IF($F70="","",DAY($F70))</f>
        <v/>
      </c>
      <c r="K67" t="str">
        <f>IF($F70="","",MONTH($F70))</f>
        <v/>
      </c>
      <c r="L67" t="str">
        <f>IF($F70="","",YEAR($F70))</f>
        <v/>
      </c>
      <c r="N67" s="5"/>
      <c r="O67" s="5"/>
      <c r="P67" s="5"/>
      <c r="Q67" s="5"/>
    </row>
    <row r="68" spans="1:17" x14ac:dyDescent="0.25">
      <c r="A68" s="1"/>
      <c r="B68" s="1"/>
      <c r="C68" s="1"/>
      <c r="D68" s="1"/>
      <c r="E68" s="15"/>
      <c r="F68" s="20"/>
      <c r="G68" t="str">
        <f>IF($E71="","",DAY($E71))</f>
        <v/>
      </c>
      <c r="H68" t="str">
        <f>IF($E71="","",MONTH($E71))</f>
        <v/>
      </c>
      <c r="I68" t="str">
        <f>IF($E71="","",YEAR($E71))</f>
        <v/>
      </c>
      <c r="J68" t="str">
        <f>IF($F71="","",DAY($F71))</f>
        <v/>
      </c>
      <c r="K68" t="str">
        <f>IF($F71="","",MONTH($F71))</f>
        <v/>
      </c>
      <c r="L68" t="str">
        <f>IF($F71="","",YEAR($F71))</f>
        <v/>
      </c>
      <c r="N68" s="5"/>
      <c r="O68" s="5"/>
      <c r="P68" s="5"/>
      <c r="Q68" s="5"/>
    </row>
    <row r="69" spans="1:17" x14ac:dyDescent="0.25">
      <c r="A69" s="1"/>
      <c r="B69" s="1"/>
      <c r="C69" s="1"/>
      <c r="D69" s="1"/>
      <c r="E69" s="15"/>
      <c r="F69" s="20"/>
      <c r="N69" s="5"/>
      <c r="O69" s="5"/>
      <c r="P69" s="5"/>
      <c r="Q69" s="5"/>
    </row>
    <row r="70" spans="1:17" x14ac:dyDescent="0.25">
      <c r="A70" s="1"/>
      <c r="B70" s="1"/>
      <c r="C70" s="1"/>
      <c r="D70" s="1"/>
      <c r="E70" s="15"/>
      <c r="F70" s="20"/>
      <c r="G70" t="str">
        <f t="shared" si="12"/>
        <v/>
      </c>
      <c r="H70" t="str">
        <f t="shared" si="13"/>
        <v/>
      </c>
      <c r="I70" t="str">
        <f t="shared" si="14"/>
        <v/>
      </c>
      <c r="J70" t="str">
        <f t="shared" si="15"/>
        <v/>
      </c>
      <c r="K70" t="str">
        <f t="shared" si="16"/>
        <v/>
      </c>
      <c r="L70" t="str">
        <f t="shared" si="17"/>
        <v/>
      </c>
      <c r="N70" s="5"/>
      <c r="O70" s="5"/>
      <c r="P70" s="5"/>
      <c r="Q70" s="5"/>
    </row>
    <row r="71" spans="1:17" x14ac:dyDescent="0.25">
      <c r="A71" s="1"/>
      <c r="B71" s="1"/>
      <c r="C71" s="1"/>
      <c r="D71" s="1"/>
      <c r="E71" s="15"/>
      <c r="F71" s="20"/>
      <c r="G71" t="str">
        <f t="shared" si="12"/>
        <v/>
      </c>
      <c r="H71" t="str">
        <f t="shared" si="13"/>
        <v/>
      </c>
      <c r="I71" t="str">
        <f t="shared" si="14"/>
        <v/>
      </c>
      <c r="J71" t="str">
        <f t="shared" si="15"/>
        <v/>
      </c>
      <c r="K71" t="str">
        <f t="shared" si="16"/>
        <v/>
      </c>
      <c r="L71" t="str">
        <f t="shared" si="17"/>
        <v/>
      </c>
      <c r="N71" s="5"/>
      <c r="O71" s="5"/>
      <c r="P71" s="5"/>
      <c r="Q71" s="5"/>
    </row>
    <row r="72" spans="1:17" x14ac:dyDescent="0.25">
      <c r="A72" s="1"/>
      <c r="B72" s="1"/>
      <c r="C72" s="1"/>
      <c r="D72" s="1"/>
      <c r="E72" s="15"/>
      <c r="F72" s="20"/>
      <c r="G72" t="str">
        <f t="shared" ref="G72:G93" si="18">IF($E74="","",DAY($E74))</f>
        <v/>
      </c>
      <c r="H72" t="str">
        <f t="shared" ref="H72:H93" si="19">IF($E74="","",MONTH($E74))</f>
        <v/>
      </c>
      <c r="I72" t="str">
        <f t="shared" ref="I72:I93" si="20">IF($E74="","",YEAR($E74))</f>
        <v/>
      </c>
      <c r="J72" t="str">
        <f t="shared" ref="J72:J93" si="21">IF($F74="","",DAY($F74))</f>
        <v/>
      </c>
      <c r="K72" t="str">
        <f t="shared" ref="K72:K93" si="22">IF($F74="","",MONTH($F74))</f>
        <v/>
      </c>
      <c r="L72" t="str">
        <f t="shared" ref="L72:L93" si="23">IF($F74="","",YEAR($F74))</f>
        <v/>
      </c>
      <c r="N72" s="5"/>
      <c r="O72" s="5"/>
      <c r="P72" s="5"/>
      <c r="Q72" s="5"/>
    </row>
    <row r="73" spans="1:17" x14ac:dyDescent="0.25">
      <c r="A73" s="1"/>
      <c r="B73" s="1"/>
      <c r="C73" s="1"/>
      <c r="D73" s="1"/>
      <c r="E73" s="15"/>
      <c r="F73" s="20"/>
      <c r="G73" t="str">
        <f t="shared" si="18"/>
        <v/>
      </c>
      <c r="H73" t="str">
        <f t="shared" si="19"/>
        <v/>
      </c>
      <c r="I73" t="str">
        <f t="shared" si="20"/>
        <v/>
      </c>
      <c r="J73" t="str">
        <f t="shared" si="21"/>
        <v/>
      </c>
      <c r="K73" t="str">
        <f t="shared" si="22"/>
        <v/>
      </c>
      <c r="L73" t="str">
        <f t="shared" si="23"/>
        <v/>
      </c>
      <c r="N73" s="5"/>
      <c r="O73" s="5"/>
      <c r="P73" s="5"/>
      <c r="Q73" s="5"/>
    </row>
    <row r="74" spans="1:17" x14ac:dyDescent="0.25">
      <c r="A74" s="1"/>
      <c r="B74" s="1"/>
      <c r="C74" s="1"/>
      <c r="D74" s="1"/>
      <c r="E74" s="15"/>
      <c r="F74" s="20"/>
      <c r="G74" t="str">
        <f t="shared" si="18"/>
        <v/>
      </c>
      <c r="H74" t="str">
        <f t="shared" si="19"/>
        <v/>
      </c>
      <c r="I74" t="str">
        <f t="shared" si="20"/>
        <v/>
      </c>
      <c r="J74" t="str">
        <f t="shared" si="21"/>
        <v/>
      </c>
      <c r="K74" t="str">
        <f t="shared" si="22"/>
        <v/>
      </c>
      <c r="L74" t="str">
        <f t="shared" si="23"/>
        <v/>
      </c>
      <c r="N74" s="5"/>
      <c r="O74" s="5"/>
      <c r="P74" s="5"/>
      <c r="Q74" s="5"/>
    </row>
    <row r="75" spans="1:17" x14ac:dyDescent="0.25">
      <c r="A75" s="17"/>
      <c r="B75" s="1"/>
      <c r="C75" s="1"/>
      <c r="D75" s="1"/>
      <c r="E75" s="15"/>
      <c r="F75" s="20"/>
      <c r="G75" t="str">
        <f t="shared" si="18"/>
        <v/>
      </c>
      <c r="H75" t="str">
        <f t="shared" si="19"/>
        <v/>
      </c>
      <c r="I75" t="str">
        <f t="shared" si="20"/>
        <v/>
      </c>
      <c r="J75" t="str">
        <f t="shared" si="21"/>
        <v/>
      </c>
      <c r="K75" t="str">
        <f t="shared" si="22"/>
        <v/>
      </c>
      <c r="L75" t="str">
        <f t="shared" si="23"/>
        <v/>
      </c>
      <c r="N75" s="5"/>
      <c r="O75" s="5"/>
      <c r="P75" s="5"/>
      <c r="Q75" s="5"/>
    </row>
    <row r="76" spans="1:17" x14ac:dyDescent="0.25">
      <c r="A76" s="1"/>
      <c r="B76" s="1"/>
      <c r="C76" s="1"/>
      <c r="D76" s="1"/>
      <c r="E76" s="15"/>
      <c r="F76" s="20"/>
      <c r="G76" t="str">
        <f t="shared" si="18"/>
        <v/>
      </c>
      <c r="H76" t="str">
        <f t="shared" si="19"/>
        <v/>
      </c>
      <c r="I76" t="str">
        <f t="shared" si="20"/>
        <v/>
      </c>
      <c r="J76" t="str">
        <f t="shared" si="21"/>
        <v/>
      </c>
      <c r="K76" t="str">
        <f t="shared" si="22"/>
        <v/>
      </c>
      <c r="L76" t="str">
        <f t="shared" si="23"/>
        <v/>
      </c>
      <c r="N76" s="5"/>
      <c r="O76" s="5"/>
      <c r="P76" s="5"/>
      <c r="Q76" s="5"/>
    </row>
    <row r="77" spans="1:17" x14ac:dyDescent="0.25">
      <c r="A77" s="1"/>
      <c r="B77" s="1"/>
      <c r="C77" s="1"/>
      <c r="D77" s="1"/>
      <c r="E77" s="15"/>
      <c r="F77" s="20"/>
      <c r="G77" t="str">
        <f t="shared" si="18"/>
        <v/>
      </c>
      <c r="H77" t="str">
        <f t="shared" si="19"/>
        <v/>
      </c>
      <c r="I77" t="str">
        <f t="shared" si="20"/>
        <v/>
      </c>
      <c r="J77" t="str">
        <f t="shared" si="21"/>
        <v/>
      </c>
      <c r="K77" t="str">
        <f t="shared" si="22"/>
        <v/>
      </c>
      <c r="L77" t="str">
        <f t="shared" si="23"/>
        <v/>
      </c>
      <c r="N77" s="5"/>
      <c r="O77" s="5"/>
      <c r="P77" s="5"/>
      <c r="Q77" s="5"/>
    </row>
    <row r="78" spans="1:17" x14ac:dyDescent="0.25">
      <c r="A78" s="1"/>
      <c r="B78" s="1"/>
      <c r="C78" s="1"/>
      <c r="D78" s="1"/>
      <c r="E78" s="15"/>
      <c r="F78" s="20"/>
      <c r="G78" t="str">
        <f t="shared" si="18"/>
        <v/>
      </c>
      <c r="H78" t="str">
        <f t="shared" si="19"/>
        <v/>
      </c>
      <c r="I78" t="str">
        <f t="shared" si="20"/>
        <v/>
      </c>
      <c r="J78" t="str">
        <f t="shared" si="21"/>
        <v/>
      </c>
      <c r="K78" t="str">
        <f t="shared" si="22"/>
        <v/>
      </c>
      <c r="L78" t="str">
        <f t="shared" si="23"/>
        <v/>
      </c>
      <c r="N78" s="5"/>
      <c r="O78" s="5"/>
      <c r="P78" s="5"/>
      <c r="Q78" s="5"/>
    </row>
    <row r="79" spans="1:17" x14ac:dyDescent="0.25">
      <c r="A79" s="1"/>
      <c r="B79" s="1"/>
      <c r="C79" s="1"/>
      <c r="D79" s="1"/>
      <c r="E79" s="15"/>
      <c r="F79" s="20"/>
      <c r="G79" t="str">
        <f t="shared" si="18"/>
        <v/>
      </c>
      <c r="H79" t="str">
        <f t="shared" si="19"/>
        <v/>
      </c>
      <c r="I79" t="str">
        <f t="shared" si="20"/>
        <v/>
      </c>
      <c r="J79" t="str">
        <f t="shared" si="21"/>
        <v/>
      </c>
      <c r="K79" t="str">
        <f t="shared" si="22"/>
        <v/>
      </c>
      <c r="L79" t="str">
        <f t="shared" si="23"/>
        <v/>
      </c>
      <c r="N79" s="5"/>
      <c r="O79" s="5"/>
      <c r="P79" s="5"/>
      <c r="Q79" s="5"/>
    </row>
    <row r="80" spans="1:17" x14ac:dyDescent="0.25">
      <c r="A80" s="1"/>
      <c r="B80" s="1"/>
      <c r="C80" s="1"/>
      <c r="D80" s="1"/>
      <c r="E80" s="15"/>
      <c r="F80" s="20"/>
      <c r="G80" t="str">
        <f t="shared" si="18"/>
        <v/>
      </c>
      <c r="H80" t="str">
        <f t="shared" si="19"/>
        <v/>
      </c>
      <c r="I80" t="str">
        <f t="shared" si="20"/>
        <v/>
      </c>
      <c r="J80" t="str">
        <f t="shared" si="21"/>
        <v/>
      </c>
      <c r="K80" t="str">
        <f t="shared" si="22"/>
        <v/>
      </c>
      <c r="L80" t="str">
        <f t="shared" si="23"/>
        <v/>
      </c>
      <c r="N80" s="5"/>
      <c r="O80" s="5"/>
      <c r="P80" s="5"/>
      <c r="Q80" s="5"/>
    </row>
    <row r="81" spans="1:17" x14ac:dyDescent="0.25">
      <c r="A81" s="1"/>
      <c r="B81" s="1"/>
      <c r="C81" s="1"/>
      <c r="D81" s="1"/>
      <c r="E81" s="15"/>
      <c r="F81" s="20"/>
      <c r="G81" t="str">
        <f t="shared" si="18"/>
        <v/>
      </c>
      <c r="H81" t="str">
        <f t="shared" si="19"/>
        <v/>
      </c>
      <c r="I81" t="str">
        <f t="shared" si="20"/>
        <v/>
      </c>
      <c r="J81" t="str">
        <f t="shared" si="21"/>
        <v/>
      </c>
      <c r="K81" t="str">
        <f t="shared" si="22"/>
        <v/>
      </c>
      <c r="L81" t="str">
        <f t="shared" si="23"/>
        <v/>
      </c>
      <c r="N81" s="5"/>
      <c r="O81" s="5"/>
      <c r="P81" s="5"/>
      <c r="Q81" s="5"/>
    </row>
    <row r="82" spans="1:17" x14ac:dyDescent="0.25">
      <c r="A82" s="1"/>
      <c r="B82" s="1"/>
      <c r="C82" s="1"/>
      <c r="D82" s="1"/>
      <c r="E82" s="15"/>
      <c r="F82" s="20"/>
      <c r="G82" t="str">
        <f t="shared" si="18"/>
        <v/>
      </c>
      <c r="H82" t="str">
        <f t="shared" si="19"/>
        <v/>
      </c>
      <c r="I82" t="str">
        <f t="shared" si="20"/>
        <v/>
      </c>
      <c r="J82" t="str">
        <f t="shared" si="21"/>
        <v/>
      </c>
      <c r="K82" t="str">
        <f t="shared" si="22"/>
        <v/>
      </c>
      <c r="L82" t="str">
        <f t="shared" si="23"/>
        <v/>
      </c>
      <c r="N82" s="5"/>
      <c r="O82" s="5"/>
      <c r="P82" s="5"/>
      <c r="Q82" s="5"/>
    </row>
    <row r="83" spans="1:17" x14ac:dyDescent="0.25">
      <c r="A83" s="1"/>
      <c r="B83" s="1"/>
      <c r="C83" s="1"/>
      <c r="D83" s="1"/>
      <c r="E83" s="15"/>
      <c r="F83" s="20"/>
      <c r="G83" t="str">
        <f t="shared" si="18"/>
        <v/>
      </c>
      <c r="H83" t="str">
        <f t="shared" si="19"/>
        <v/>
      </c>
      <c r="I83" t="str">
        <f t="shared" si="20"/>
        <v/>
      </c>
      <c r="J83" t="str">
        <f t="shared" si="21"/>
        <v/>
      </c>
      <c r="K83" t="str">
        <f t="shared" si="22"/>
        <v/>
      </c>
      <c r="L83" t="str">
        <f t="shared" si="23"/>
        <v/>
      </c>
      <c r="N83" s="5"/>
      <c r="O83" s="5"/>
      <c r="P83" s="5"/>
      <c r="Q83" s="5"/>
    </row>
    <row r="84" spans="1:17" x14ac:dyDescent="0.25">
      <c r="A84" s="1"/>
      <c r="B84" s="1"/>
      <c r="C84" s="1"/>
      <c r="D84" s="1"/>
      <c r="E84" s="15"/>
      <c r="F84" s="20"/>
      <c r="G84" t="str">
        <f t="shared" si="18"/>
        <v/>
      </c>
      <c r="H84" t="str">
        <f t="shared" si="19"/>
        <v/>
      </c>
      <c r="I84" t="str">
        <f t="shared" si="20"/>
        <v/>
      </c>
      <c r="J84" t="str">
        <f t="shared" si="21"/>
        <v/>
      </c>
      <c r="K84" t="str">
        <f t="shared" si="22"/>
        <v/>
      </c>
      <c r="L84" t="str">
        <f t="shared" si="23"/>
        <v/>
      </c>
      <c r="N84" s="5"/>
      <c r="O84" s="5"/>
      <c r="P84" s="5"/>
      <c r="Q84" s="5"/>
    </row>
    <row r="85" spans="1:17" x14ac:dyDescent="0.25">
      <c r="A85" s="1"/>
      <c r="B85" s="1"/>
      <c r="C85" s="1"/>
      <c r="D85" s="1"/>
      <c r="E85" s="15"/>
      <c r="F85" s="20"/>
      <c r="G85" t="str">
        <f t="shared" si="18"/>
        <v/>
      </c>
      <c r="H85" t="str">
        <f t="shared" si="19"/>
        <v/>
      </c>
      <c r="I85" t="str">
        <f t="shared" si="20"/>
        <v/>
      </c>
      <c r="J85" t="str">
        <f t="shared" si="21"/>
        <v/>
      </c>
      <c r="K85" t="str">
        <f t="shared" si="22"/>
        <v/>
      </c>
      <c r="L85" t="str">
        <f t="shared" si="23"/>
        <v/>
      </c>
      <c r="N85" s="5"/>
      <c r="O85" s="5"/>
      <c r="P85" s="5"/>
      <c r="Q85" s="5"/>
    </row>
    <row r="86" spans="1:17" x14ac:dyDescent="0.25">
      <c r="A86" s="1"/>
      <c r="B86" s="1"/>
      <c r="C86" s="1"/>
      <c r="D86" s="1"/>
      <c r="E86" s="15"/>
      <c r="F86" s="20"/>
      <c r="G86" t="str">
        <f t="shared" si="18"/>
        <v/>
      </c>
      <c r="H86" t="str">
        <f t="shared" si="19"/>
        <v/>
      </c>
      <c r="I86" t="str">
        <f t="shared" si="20"/>
        <v/>
      </c>
      <c r="J86" t="str">
        <f t="shared" si="21"/>
        <v/>
      </c>
      <c r="K86" t="str">
        <f t="shared" si="22"/>
        <v/>
      </c>
      <c r="L86" t="str">
        <f t="shared" si="23"/>
        <v/>
      </c>
      <c r="N86" s="5"/>
      <c r="O86" s="5"/>
      <c r="P86" s="5"/>
      <c r="Q86" s="5"/>
    </row>
    <row r="87" spans="1:17" x14ac:dyDescent="0.25">
      <c r="A87" s="1"/>
      <c r="B87" s="1"/>
      <c r="C87" s="1"/>
      <c r="D87" s="1"/>
      <c r="E87" s="15"/>
      <c r="F87" s="20"/>
      <c r="G87" t="str">
        <f t="shared" si="18"/>
        <v/>
      </c>
      <c r="H87" t="str">
        <f t="shared" si="19"/>
        <v/>
      </c>
      <c r="I87" t="str">
        <f t="shared" si="20"/>
        <v/>
      </c>
      <c r="J87" t="str">
        <f t="shared" si="21"/>
        <v/>
      </c>
      <c r="K87" t="str">
        <f t="shared" si="22"/>
        <v/>
      </c>
      <c r="L87" t="str">
        <f t="shared" si="23"/>
        <v/>
      </c>
      <c r="N87" s="5"/>
      <c r="O87" s="5"/>
      <c r="P87" s="5"/>
      <c r="Q87" s="5"/>
    </row>
    <row r="88" spans="1:17" x14ac:dyDescent="0.25">
      <c r="A88" s="1"/>
      <c r="B88" s="1"/>
      <c r="C88" s="1"/>
      <c r="D88" s="1"/>
      <c r="E88" s="15"/>
      <c r="F88" s="20"/>
      <c r="G88" t="str">
        <f t="shared" si="18"/>
        <v/>
      </c>
      <c r="H88" t="str">
        <f t="shared" si="19"/>
        <v/>
      </c>
      <c r="I88" t="str">
        <f t="shared" si="20"/>
        <v/>
      </c>
      <c r="J88" t="str">
        <f t="shared" si="21"/>
        <v/>
      </c>
      <c r="K88" t="str">
        <f t="shared" si="22"/>
        <v/>
      </c>
      <c r="L88" t="str">
        <f t="shared" si="23"/>
        <v/>
      </c>
      <c r="N88" s="5"/>
      <c r="O88" s="5"/>
      <c r="P88" s="5"/>
      <c r="Q88" s="5"/>
    </row>
    <row r="89" spans="1:17" x14ac:dyDescent="0.25">
      <c r="A89" s="1"/>
      <c r="B89" s="1"/>
      <c r="C89" s="1"/>
      <c r="D89" s="1"/>
      <c r="E89" s="15"/>
      <c r="F89" s="20"/>
      <c r="G89" t="str">
        <f t="shared" si="18"/>
        <v/>
      </c>
      <c r="H89" t="str">
        <f t="shared" si="19"/>
        <v/>
      </c>
      <c r="I89" t="str">
        <f t="shared" si="20"/>
        <v/>
      </c>
      <c r="J89" t="str">
        <f t="shared" si="21"/>
        <v/>
      </c>
      <c r="K89" t="str">
        <f t="shared" si="22"/>
        <v/>
      </c>
      <c r="L89" t="str">
        <f t="shared" si="23"/>
        <v/>
      </c>
      <c r="N89" s="5"/>
      <c r="O89" s="5"/>
      <c r="P89" s="5"/>
      <c r="Q89" s="5"/>
    </row>
    <row r="90" spans="1:17" x14ac:dyDescent="0.25">
      <c r="A90" s="14"/>
      <c r="B90" s="1"/>
      <c r="C90" s="1"/>
      <c r="D90" s="1"/>
      <c r="E90" s="15"/>
      <c r="F90" s="20"/>
      <c r="G90" t="str">
        <f t="shared" si="18"/>
        <v/>
      </c>
      <c r="H90" t="str">
        <f t="shared" si="19"/>
        <v/>
      </c>
      <c r="I90" t="str">
        <f t="shared" si="20"/>
        <v/>
      </c>
      <c r="J90" t="str">
        <f t="shared" si="21"/>
        <v/>
      </c>
      <c r="K90" t="str">
        <f t="shared" si="22"/>
        <v/>
      </c>
      <c r="L90" t="str">
        <f t="shared" si="23"/>
        <v/>
      </c>
      <c r="N90" s="5"/>
      <c r="O90" s="5"/>
      <c r="P90" s="5"/>
      <c r="Q90" s="5"/>
    </row>
    <row r="91" spans="1:17" x14ac:dyDescent="0.25">
      <c r="A91" s="14"/>
      <c r="B91" s="1"/>
      <c r="C91" s="1"/>
      <c r="D91" s="1"/>
      <c r="E91" s="15"/>
      <c r="F91" s="20"/>
      <c r="G91" t="str">
        <f t="shared" si="18"/>
        <v/>
      </c>
      <c r="H91" t="str">
        <f t="shared" si="19"/>
        <v/>
      </c>
      <c r="I91" t="str">
        <f t="shared" si="20"/>
        <v/>
      </c>
      <c r="J91" t="str">
        <f t="shared" si="21"/>
        <v/>
      </c>
      <c r="K91" t="str">
        <f t="shared" si="22"/>
        <v/>
      </c>
      <c r="L91" t="str">
        <f t="shared" si="23"/>
        <v/>
      </c>
      <c r="N91" s="5"/>
      <c r="O91" s="5"/>
      <c r="P91" s="5"/>
      <c r="Q91" s="5"/>
    </row>
    <row r="92" spans="1:17" x14ac:dyDescent="0.25">
      <c r="B92" s="1"/>
      <c r="C92" s="1"/>
      <c r="G92" t="str">
        <f t="shared" si="18"/>
        <v/>
      </c>
      <c r="H92" t="str">
        <f t="shared" si="19"/>
        <v/>
      </c>
      <c r="I92" t="str">
        <f t="shared" si="20"/>
        <v/>
      </c>
      <c r="J92" t="str">
        <f t="shared" si="21"/>
        <v/>
      </c>
      <c r="K92" t="str">
        <f t="shared" si="22"/>
        <v/>
      </c>
      <c r="L92" t="str">
        <f t="shared" si="23"/>
        <v/>
      </c>
      <c r="N92" s="5"/>
      <c r="O92" s="5"/>
      <c r="P92" s="5"/>
      <c r="Q92" s="5"/>
    </row>
    <row r="93" spans="1:17" x14ac:dyDescent="0.25">
      <c r="B93" s="1"/>
      <c r="C93" s="1"/>
      <c r="G93" t="str">
        <f t="shared" si="18"/>
        <v/>
      </c>
      <c r="H93" t="str">
        <f t="shared" si="19"/>
        <v/>
      </c>
      <c r="I93" t="str">
        <f t="shared" si="20"/>
        <v/>
      </c>
      <c r="J93" t="str">
        <f t="shared" si="21"/>
        <v/>
      </c>
      <c r="K93" t="str">
        <f t="shared" si="22"/>
        <v/>
      </c>
      <c r="L93" t="str">
        <f t="shared" si="23"/>
        <v/>
      </c>
      <c r="N93" s="5"/>
      <c r="O93" s="5"/>
      <c r="P93" s="5"/>
      <c r="Q93" s="5"/>
    </row>
    <row r="94" spans="1:17" x14ac:dyDescent="0.25">
      <c r="B94" s="1"/>
      <c r="C94" s="1"/>
      <c r="G94" s="21"/>
      <c r="H94" s="21"/>
      <c r="I94" s="21"/>
      <c r="J94" s="21"/>
      <c r="K94" s="21"/>
      <c r="L94" s="21"/>
      <c r="M94" s="21"/>
      <c r="N94" s="5"/>
      <c r="O94" s="5"/>
      <c r="P94" s="5"/>
      <c r="Q94" s="5"/>
    </row>
    <row r="95" spans="1:17" x14ac:dyDescent="0.25">
      <c r="B95" s="1"/>
      <c r="C95" s="1"/>
      <c r="G95" s="21"/>
      <c r="H95" s="21"/>
      <c r="I95" s="21"/>
      <c r="J95" s="21"/>
      <c r="K95" s="21"/>
      <c r="L95" s="21"/>
      <c r="M95" s="21"/>
      <c r="N95" s="5"/>
      <c r="O95" s="5"/>
      <c r="P95" s="5"/>
      <c r="Q95" s="5"/>
    </row>
    <row r="96" spans="1:17" x14ac:dyDescent="0.25">
      <c r="B96" s="1"/>
      <c r="C96" s="1"/>
      <c r="E96" s="22"/>
      <c r="F96" s="23"/>
      <c r="G96" t="str">
        <f t="shared" ref="G96:G142" si="24">IF($E98="","",DAY($E98))</f>
        <v/>
      </c>
      <c r="H96" t="str">
        <f t="shared" ref="H96:H142" si="25">IF($E98="","",MONTH($E98))</f>
        <v/>
      </c>
      <c r="I96" t="str">
        <f t="shared" ref="I96:I142" si="26">IF($E98="","",YEAR($E98))</f>
        <v/>
      </c>
      <c r="J96" t="str">
        <f t="shared" ref="J96:J142" si="27">IF($F98="","",DAY($F98))</f>
        <v/>
      </c>
      <c r="K96" t="str">
        <f t="shared" ref="K96:K142" si="28">IF($F98="","",MONTH($F98))</f>
        <v/>
      </c>
      <c r="L96" t="str">
        <f t="shared" ref="L96:L142" si="29">IF($F98="","",YEAR($F98))</f>
        <v/>
      </c>
      <c r="N96" s="5"/>
      <c r="O96" s="5"/>
      <c r="P96" s="5"/>
      <c r="Q96" s="5"/>
    </row>
    <row r="97" spans="2:17" x14ac:dyDescent="0.25">
      <c r="B97" s="1"/>
      <c r="C97" s="1"/>
      <c r="E97" s="22"/>
      <c r="F97" s="23"/>
      <c r="G97" t="str">
        <f t="shared" si="24"/>
        <v/>
      </c>
      <c r="H97" t="str">
        <f t="shared" si="25"/>
        <v/>
      </c>
      <c r="I97" t="str">
        <f t="shared" si="26"/>
        <v/>
      </c>
      <c r="J97" t="str">
        <f t="shared" si="27"/>
        <v/>
      </c>
      <c r="K97" t="str">
        <f t="shared" si="28"/>
        <v/>
      </c>
      <c r="L97" t="str">
        <f t="shared" si="29"/>
        <v/>
      </c>
      <c r="N97" s="5"/>
      <c r="O97" s="5"/>
      <c r="P97" s="5"/>
      <c r="Q97" s="5"/>
    </row>
    <row r="98" spans="2:17" x14ac:dyDescent="0.25">
      <c r="B98" s="1"/>
      <c r="C98" s="1"/>
      <c r="G98" t="str">
        <f t="shared" si="24"/>
        <v/>
      </c>
      <c r="H98" t="str">
        <f t="shared" si="25"/>
        <v/>
      </c>
      <c r="I98" t="str">
        <f t="shared" si="26"/>
        <v/>
      </c>
      <c r="J98" t="str">
        <f t="shared" si="27"/>
        <v/>
      </c>
      <c r="K98" t="str">
        <f t="shared" si="28"/>
        <v/>
      </c>
      <c r="L98" t="str">
        <f t="shared" si="29"/>
        <v/>
      </c>
      <c r="N98" s="5"/>
      <c r="O98" s="5"/>
      <c r="P98" s="5"/>
      <c r="Q98" s="5"/>
    </row>
    <row r="99" spans="2:17" x14ac:dyDescent="0.25">
      <c r="B99" s="1"/>
      <c r="C99" s="1"/>
      <c r="G99" t="str">
        <f t="shared" si="24"/>
        <v/>
      </c>
      <c r="H99" t="str">
        <f t="shared" si="25"/>
        <v/>
      </c>
      <c r="I99" t="str">
        <f t="shared" si="26"/>
        <v/>
      </c>
      <c r="J99" t="str">
        <f t="shared" si="27"/>
        <v/>
      </c>
      <c r="K99" t="str">
        <f t="shared" si="28"/>
        <v/>
      </c>
      <c r="L99" t="str">
        <f t="shared" si="29"/>
        <v/>
      </c>
      <c r="N99" s="5"/>
      <c r="O99" s="5"/>
      <c r="P99" s="5"/>
      <c r="Q99" s="5"/>
    </row>
    <row r="100" spans="2:17" x14ac:dyDescent="0.25">
      <c r="B100" s="1"/>
      <c r="C100" s="1"/>
      <c r="G100" t="str">
        <f t="shared" si="24"/>
        <v/>
      </c>
      <c r="H100" t="str">
        <f t="shared" si="25"/>
        <v/>
      </c>
      <c r="I100" t="str">
        <f t="shared" si="26"/>
        <v/>
      </c>
      <c r="J100" t="str">
        <f t="shared" si="27"/>
        <v/>
      </c>
      <c r="K100" t="str">
        <f t="shared" si="28"/>
        <v/>
      </c>
      <c r="L100" t="str">
        <f t="shared" si="29"/>
        <v/>
      </c>
      <c r="N100" s="5"/>
      <c r="O100" s="5"/>
      <c r="P100" s="5"/>
      <c r="Q100" s="5"/>
    </row>
    <row r="101" spans="2:17" x14ac:dyDescent="0.25">
      <c r="B101" s="1"/>
      <c r="C101" s="1"/>
      <c r="G101" t="str">
        <f t="shared" si="24"/>
        <v/>
      </c>
      <c r="H101" t="str">
        <f t="shared" si="25"/>
        <v/>
      </c>
      <c r="I101" t="str">
        <f t="shared" si="26"/>
        <v/>
      </c>
      <c r="J101" t="str">
        <f t="shared" si="27"/>
        <v/>
      </c>
      <c r="K101" t="str">
        <f t="shared" si="28"/>
        <v/>
      </c>
      <c r="L101" t="str">
        <f t="shared" si="29"/>
        <v/>
      </c>
      <c r="N101" s="5"/>
      <c r="O101" s="5"/>
      <c r="P101" s="5"/>
      <c r="Q101" s="5"/>
    </row>
    <row r="102" spans="2:17" x14ac:dyDescent="0.25">
      <c r="B102" s="1"/>
      <c r="C102" s="1"/>
      <c r="G102" t="str">
        <f t="shared" si="24"/>
        <v/>
      </c>
      <c r="H102" t="str">
        <f t="shared" si="25"/>
        <v/>
      </c>
      <c r="I102" t="str">
        <f t="shared" si="26"/>
        <v/>
      </c>
      <c r="J102" t="str">
        <f t="shared" si="27"/>
        <v/>
      </c>
      <c r="K102" t="str">
        <f t="shared" si="28"/>
        <v/>
      </c>
      <c r="L102" t="str">
        <f t="shared" si="29"/>
        <v/>
      </c>
      <c r="N102" s="5"/>
      <c r="O102" s="5"/>
      <c r="P102" s="5"/>
      <c r="Q102" s="5"/>
    </row>
    <row r="103" spans="2:17" x14ac:dyDescent="0.25">
      <c r="B103" s="1"/>
      <c r="C103" s="1"/>
      <c r="G103" t="str">
        <f t="shared" si="24"/>
        <v/>
      </c>
      <c r="H103" t="str">
        <f t="shared" si="25"/>
        <v/>
      </c>
      <c r="I103" t="str">
        <f t="shared" si="26"/>
        <v/>
      </c>
      <c r="J103" t="str">
        <f t="shared" si="27"/>
        <v/>
      </c>
      <c r="K103" t="str">
        <f t="shared" si="28"/>
        <v/>
      </c>
      <c r="L103" t="str">
        <f t="shared" si="29"/>
        <v/>
      </c>
      <c r="N103" s="5"/>
      <c r="O103" s="5"/>
      <c r="P103" s="5"/>
      <c r="Q103" s="5"/>
    </row>
    <row r="104" spans="2:17" x14ac:dyDescent="0.25">
      <c r="B104" s="1"/>
      <c r="C104" s="1"/>
      <c r="G104" t="str">
        <f t="shared" si="24"/>
        <v/>
      </c>
      <c r="H104" t="str">
        <f t="shared" si="25"/>
        <v/>
      </c>
      <c r="I104" t="str">
        <f t="shared" si="26"/>
        <v/>
      </c>
      <c r="J104" t="str">
        <f t="shared" si="27"/>
        <v/>
      </c>
      <c r="K104" t="str">
        <f t="shared" si="28"/>
        <v/>
      </c>
      <c r="L104" t="str">
        <f t="shared" si="29"/>
        <v/>
      </c>
      <c r="N104" s="5"/>
      <c r="O104" s="5"/>
      <c r="P104" s="5"/>
      <c r="Q104" s="5"/>
    </row>
    <row r="105" spans="2:17" x14ac:dyDescent="0.25">
      <c r="B105" s="1"/>
      <c r="C105" s="1"/>
      <c r="G105" t="str">
        <f t="shared" si="24"/>
        <v/>
      </c>
      <c r="H105" t="str">
        <f t="shared" si="25"/>
        <v/>
      </c>
      <c r="I105" t="str">
        <f t="shared" si="26"/>
        <v/>
      </c>
      <c r="J105" t="str">
        <f t="shared" si="27"/>
        <v/>
      </c>
      <c r="K105" t="str">
        <f t="shared" si="28"/>
        <v/>
      </c>
      <c r="L105" t="str">
        <f t="shared" si="29"/>
        <v/>
      </c>
      <c r="N105" s="5"/>
      <c r="O105" s="5"/>
      <c r="P105" s="5"/>
      <c r="Q105" s="5"/>
    </row>
    <row r="106" spans="2:17" x14ac:dyDescent="0.25">
      <c r="B106" s="1"/>
      <c r="C106" s="1"/>
      <c r="G106" t="str">
        <f t="shared" si="24"/>
        <v/>
      </c>
      <c r="H106" t="str">
        <f t="shared" si="25"/>
        <v/>
      </c>
      <c r="I106" t="str">
        <f t="shared" si="26"/>
        <v/>
      </c>
      <c r="J106" t="str">
        <f t="shared" si="27"/>
        <v/>
      </c>
      <c r="K106" t="str">
        <f t="shared" si="28"/>
        <v/>
      </c>
      <c r="L106" t="str">
        <f t="shared" si="29"/>
        <v/>
      </c>
      <c r="N106" s="5"/>
      <c r="O106" s="5"/>
      <c r="P106" s="5"/>
      <c r="Q106" s="5"/>
    </row>
    <row r="107" spans="2:17" x14ac:dyDescent="0.25">
      <c r="B107" s="1"/>
      <c r="C107" s="1"/>
      <c r="G107" t="str">
        <f t="shared" si="24"/>
        <v/>
      </c>
      <c r="H107" t="str">
        <f t="shared" si="25"/>
        <v/>
      </c>
      <c r="I107" t="str">
        <f t="shared" si="26"/>
        <v/>
      </c>
      <c r="J107" t="str">
        <f t="shared" si="27"/>
        <v/>
      </c>
      <c r="K107" t="str">
        <f t="shared" si="28"/>
        <v/>
      </c>
      <c r="L107" t="str">
        <f t="shared" si="29"/>
        <v/>
      </c>
      <c r="N107" s="5"/>
      <c r="O107" s="5"/>
      <c r="P107" s="5"/>
      <c r="Q107" s="5"/>
    </row>
    <row r="108" spans="2:17" x14ac:dyDescent="0.25">
      <c r="B108" s="1"/>
      <c r="C108" s="1"/>
      <c r="G108" t="str">
        <f t="shared" si="24"/>
        <v/>
      </c>
      <c r="H108" t="str">
        <f t="shared" si="25"/>
        <v/>
      </c>
      <c r="I108" t="str">
        <f t="shared" si="26"/>
        <v/>
      </c>
      <c r="J108" t="str">
        <f t="shared" si="27"/>
        <v/>
      </c>
      <c r="K108" t="str">
        <f t="shared" si="28"/>
        <v/>
      </c>
      <c r="L108" t="str">
        <f t="shared" si="29"/>
        <v/>
      </c>
    </row>
    <row r="109" spans="2:17" x14ac:dyDescent="0.25">
      <c r="B109" s="1"/>
      <c r="C109" s="1"/>
      <c r="G109" t="str">
        <f t="shared" si="24"/>
        <v/>
      </c>
      <c r="H109" t="str">
        <f t="shared" si="25"/>
        <v/>
      </c>
      <c r="I109" t="str">
        <f t="shared" si="26"/>
        <v/>
      </c>
      <c r="J109" t="str">
        <f t="shared" si="27"/>
        <v/>
      </c>
      <c r="K109" t="str">
        <f t="shared" si="28"/>
        <v/>
      </c>
      <c r="L109" t="str">
        <f t="shared" si="29"/>
        <v/>
      </c>
    </row>
    <row r="110" spans="2:17" x14ac:dyDescent="0.25">
      <c r="B110" s="1"/>
      <c r="C110" s="1"/>
      <c r="G110" t="str">
        <f t="shared" si="24"/>
        <v/>
      </c>
      <c r="H110" t="str">
        <f t="shared" si="25"/>
        <v/>
      </c>
      <c r="I110" t="str">
        <f t="shared" si="26"/>
        <v/>
      </c>
      <c r="J110" t="str">
        <f t="shared" si="27"/>
        <v/>
      </c>
      <c r="K110" t="str">
        <f t="shared" si="28"/>
        <v/>
      </c>
      <c r="L110" t="str">
        <f t="shared" si="29"/>
        <v/>
      </c>
    </row>
    <row r="111" spans="2:17" x14ac:dyDescent="0.25">
      <c r="B111" s="1"/>
      <c r="C111" s="1"/>
      <c r="G111" t="str">
        <f t="shared" si="24"/>
        <v/>
      </c>
      <c r="H111" t="str">
        <f t="shared" si="25"/>
        <v/>
      </c>
      <c r="I111" t="str">
        <f t="shared" si="26"/>
        <v/>
      </c>
      <c r="J111" t="str">
        <f t="shared" si="27"/>
        <v/>
      </c>
      <c r="K111" t="str">
        <f t="shared" si="28"/>
        <v/>
      </c>
      <c r="L111" t="str">
        <f t="shared" si="29"/>
        <v/>
      </c>
    </row>
    <row r="112" spans="2:17" x14ac:dyDescent="0.25">
      <c r="B112" s="1"/>
      <c r="C112" s="1"/>
      <c r="G112" t="str">
        <f t="shared" si="24"/>
        <v/>
      </c>
      <c r="H112" t="str">
        <f t="shared" si="25"/>
        <v/>
      </c>
      <c r="I112" t="str">
        <f t="shared" si="26"/>
        <v/>
      </c>
      <c r="J112" t="str">
        <f t="shared" si="27"/>
        <v/>
      </c>
      <c r="K112" t="str">
        <f t="shared" si="28"/>
        <v/>
      </c>
      <c r="L112" t="str">
        <f t="shared" si="29"/>
        <v/>
      </c>
    </row>
    <row r="113" spans="2:12" x14ac:dyDescent="0.25">
      <c r="B113" s="1"/>
      <c r="C113" s="1"/>
      <c r="G113" t="str">
        <f t="shared" si="24"/>
        <v/>
      </c>
      <c r="H113" t="str">
        <f t="shared" si="25"/>
        <v/>
      </c>
      <c r="I113" t="str">
        <f t="shared" si="26"/>
        <v/>
      </c>
      <c r="J113" t="str">
        <f t="shared" si="27"/>
        <v/>
      </c>
      <c r="K113" t="str">
        <f t="shared" si="28"/>
        <v/>
      </c>
      <c r="L113" t="str">
        <f t="shared" si="29"/>
        <v/>
      </c>
    </row>
    <row r="114" spans="2:12" x14ac:dyDescent="0.25">
      <c r="B114" s="1"/>
      <c r="C114" s="1"/>
      <c r="G114" t="str">
        <f t="shared" si="24"/>
        <v/>
      </c>
      <c r="H114" t="str">
        <f t="shared" si="25"/>
        <v/>
      </c>
      <c r="I114" t="str">
        <f t="shared" si="26"/>
        <v/>
      </c>
      <c r="J114" t="str">
        <f t="shared" si="27"/>
        <v/>
      </c>
      <c r="K114" t="str">
        <f t="shared" si="28"/>
        <v/>
      </c>
      <c r="L114" t="str">
        <f t="shared" si="29"/>
        <v/>
      </c>
    </row>
    <row r="115" spans="2:12" x14ac:dyDescent="0.25">
      <c r="B115" s="1"/>
      <c r="C115" s="1"/>
      <c r="G115" t="str">
        <f t="shared" si="24"/>
        <v/>
      </c>
      <c r="H115" t="str">
        <f t="shared" si="25"/>
        <v/>
      </c>
      <c r="I115" t="str">
        <f t="shared" si="26"/>
        <v/>
      </c>
      <c r="J115" t="str">
        <f t="shared" si="27"/>
        <v/>
      </c>
      <c r="K115" t="str">
        <f t="shared" si="28"/>
        <v/>
      </c>
      <c r="L115" t="str">
        <f t="shared" si="29"/>
        <v/>
      </c>
    </row>
    <row r="116" spans="2:12" x14ac:dyDescent="0.25">
      <c r="B116" s="1"/>
      <c r="C116" s="1"/>
      <c r="G116" t="str">
        <f t="shared" si="24"/>
        <v/>
      </c>
      <c r="H116" t="str">
        <f t="shared" si="25"/>
        <v/>
      </c>
      <c r="I116" t="str">
        <f t="shared" si="26"/>
        <v/>
      </c>
      <c r="J116" t="str">
        <f t="shared" si="27"/>
        <v/>
      </c>
      <c r="K116" t="str">
        <f t="shared" si="28"/>
        <v/>
      </c>
      <c r="L116" t="str">
        <f t="shared" si="29"/>
        <v/>
      </c>
    </row>
    <row r="117" spans="2:12" x14ac:dyDescent="0.25">
      <c r="B117" s="1"/>
      <c r="C117" s="1"/>
      <c r="G117" t="str">
        <f t="shared" si="24"/>
        <v/>
      </c>
      <c r="H117" t="str">
        <f t="shared" si="25"/>
        <v/>
      </c>
      <c r="I117" t="str">
        <f t="shared" si="26"/>
        <v/>
      </c>
      <c r="J117" t="str">
        <f t="shared" si="27"/>
        <v/>
      </c>
      <c r="K117" t="str">
        <f t="shared" si="28"/>
        <v/>
      </c>
      <c r="L117" t="str">
        <f t="shared" si="29"/>
        <v/>
      </c>
    </row>
    <row r="118" spans="2:12" x14ac:dyDescent="0.25">
      <c r="B118" s="1"/>
      <c r="C118" s="1"/>
      <c r="G118" t="str">
        <f t="shared" si="24"/>
        <v/>
      </c>
      <c r="H118" t="str">
        <f t="shared" si="25"/>
        <v/>
      </c>
      <c r="I118" t="str">
        <f t="shared" si="26"/>
        <v/>
      </c>
      <c r="J118" t="str">
        <f t="shared" si="27"/>
        <v/>
      </c>
      <c r="K118" t="str">
        <f t="shared" si="28"/>
        <v/>
      </c>
      <c r="L118" t="str">
        <f t="shared" si="29"/>
        <v/>
      </c>
    </row>
    <row r="119" spans="2:12" x14ac:dyDescent="0.25">
      <c r="B119" s="1"/>
      <c r="C119" s="1"/>
      <c r="G119" t="str">
        <f t="shared" si="24"/>
        <v/>
      </c>
      <c r="H119" t="str">
        <f t="shared" si="25"/>
        <v/>
      </c>
      <c r="I119" t="str">
        <f t="shared" si="26"/>
        <v/>
      </c>
      <c r="J119" t="str">
        <f t="shared" si="27"/>
        <v/>
      </c>
      <c r="K119" t="str">
        <f t="shared" si="28"/>
        <v/>
      </c>
      <c r="L119" t="str">
        <f t="shared" si="29"/>
        <v/>
      </c>
    </row>
    <row r="120" spans="2:12" x14ac:dyDescent="0.25">
      <c r="B120" s="1"/>
      <c r="C120" s="1"/>
      <c r="G120" t="str">
        <f t="shared" si="24"/>
        <v/>
      </c>
      <c r="H120" t="str">
        <f t="shared" si="25"/>
        <v/>
      </c>
      <c r="I120" t="str">
        <f t="shared" si="26"/>
        <v/>
      </c>
      <c r="J120" t="str">
        <f t="shared" si="27"/>
        <v/>
      </c>
      <c r="K120" t="str">
        <f t="shared" si="28"/>
        <v/>
      </c>
      <c r="L120" t="str">
        <f t="shared" si="29"/>
        <v/>
      </c>
    </row>
    <row r="121" spans="2:12" x14ac:dyDescent="0.25">
      <c r="B121" s="1"/>
      <c r="C121" s="1"/>
      <c r="G121" t="str">
        <f t="shared" si="24"/>
        <v/>
      </c>
      <c r="H121" t="str">
        <f t="shared" si="25"/>
        <v/>
      </c>
      <c r="I121" t="str">
        <f t="shared" si="26"/>
        <v/>
      </c>
      <c r="J121" t="str">
        <f t="shared" si="27"/>
        <v/>
      </c>
      <c r="K121" t="str">
        <f t="shared" si="28"/>
        <v/>
      </c>
      <c r="L121" t="str">
        <f t="shared" si="29"/>
        <v/>
      </c>
    </row>
    <row r="122" spans="2:12" x14ac:dyDescent="0.25">
      <c r="B122" s="1"/>
      <c r="C122" s="1"/>
      <c r="G122" t="str">
        <f t="shared" si="24"/>
        <v/>
      </c>
      <c r="H122" t="str">
        <f t="shared" si="25"/>
        <v/>
      </c>
      <c r="I122" t="str">
        <f t="shared" si="26"/>
        <v/>
      </c>
      <c r="J122" t="str">
        <f t="shared" si="27"/>
        <v/>
      </c>
      <c r="K122" t="str">
        <f t="shared" si="28"/>
        <v/>
      </c>
      <c r="L122" t="str">
        <f t="shared" si="29"/>
        <v/>
      </c>
    </row>
    <row r="123" spans="2:12" x14ac:dyDescent="0.25">
      <c r="B123" s="1"/>
      <c r="C123" s="1"/>
      <c r="G123" t="str">
        <f t="shared" si="24"/>
        <v/>
      </c>
      <c r="H123" t="str">
        <f t="shared" si="25"/>
        <v/>
      </c>
      <c r="I123" t="str">
        <f t="shared" si="26"/>
        <v/>
      </c>
      <c r="J123" t="str">
        <f t="shared" si="27"/>
        <v/>
      </c>
      <c r="K123" t="str">
        <f t="shared" si="28"/>
        <v/>
      </c>
      <c r="L123" t="str">
        <f t="shared" si="29"/>
        <v/>
      </c>
    </row>
    <row r="124" spans="2:12" x14ac:dyDescent="0.25">
      <c r="B124" s="1"/>
      <c r="C124" s="1"/>
      <c r="G124" t="str">
        <f t="shared" si="24"/>
        <v/>
      </c>
      <c r="H124" t="str">
        <f t="shared" si="25"/>
        <v/>
      </c>
      <c r="I124" t="str">
        <f t="shared" si="26"/>
        <v/>
      </c>
      <c r="J124" t="str">
        <f t="shared" si="27"/>
        <v/>
      </c>
      <c r="K124" t="str">
        <f t="shared" si="28"/>
        <v/>
      </c>
      <c r="L124" t="str">
        <f t="shared" si="29"/>
        <v/>
      </c>
    </row>
    <row r="125" spans="2:12" x14ac:dyDescent="0.25">
      <c r="B125" s="1"/>
      <c r="C125" s="1"/>
      <c r="G125" t="str">
        <f t="shared" si="24"/>
        <v/>
      </c>
      <c r="H125" t="str">
        <f t="shared" si="25"/>
        <v/>
      </c>
      <c r="I125" t="str">
        <f t="shared" si="26"/>
        <v/>
      </c>
      <c r="J125" t="str">
        <f t="shared" si="27"/>
        <v/>
      </c>
      <c r="K125" t="str">
        <f t="shared" si="28"/>
        <v/>
      </c>
      <c r="L125" t="str">
        <f t="shared" si="29"/>
        <v/>
      </c>
    </row>
    <row r="126" spans="2:12" x14ac:dyDescent="0.25">
      <c r="B126" s="1"/>
      <c r="C126" s="1"/>
      <c r="G126" t="str">
        <f t="shared" si="24"/>
        <v/>
      </c>
      <c r="H126" t="str">
        <f t="shared" si="25"/>
        <v/>
      </c>
      <c r="I126" t="str">
        <f t="shared" si="26"/>
        <v/>
      </c>
      <c r="J126" t="str">
        <f t="shared" si="27"/>
        <v/>
      </c>
      <c r="K126" t="str">
        <f t="shared" si="28"/>
        <v/>
      </c>
      <c r="L126" t="str">
        <f t="shared" si="29"/>
        <v/>
      </c>
    </row>
    <row r="127" spans="2:12" x14ac:dyDescent="0.25">
      <c r="B127" s="1"/>
      <c r="C127" s="1"/>
      <c r="G127" t="str">
        <f t="shared" si="24"/>
        <v/>
      </c>
      <c r="H127" t="str">
        <f t="shared" si="25"/>
        <v/>
      </c>
      <c r="I127" t="str">
        <f t="shared" si="26"/>
        <v/>
      </c>
      <c r="J127" t="str">
        <f t="shared" si="27"/>
        <v/>
      </c>
      <c r="K127" t="str">
        <f t="shared" si="28"/>
        <v/>
      </c>
      <c r="L127" t="str">
        <f t="shared" si="29"/>
        <v/>
      </c>
    </row>
    <row r="128" spans="2:12" x14ac:dyDescent="0.25">
      <c r="B128" s="1"/>
      <c r="C128" s="1"/>
      <c r="G128" t="str">
        <f t="shared" si="24"/>
        <v/>
      </c>
      <c r="H128" t="str">
        <f t="shared" si="25"/>
        <v/>
      </c>
      <c r="I128" t="str">
        <f t="shared" si="26"/>
        <v/>
      </c>
      <c r="J128" t="str">
        <f t="shared" si="27"/>
        <v/>
      </c>
      <c r="K128" t="str">
        <f t="shared" si="28"/>
        <v/>
      </c>
      <c r="L128" t="str">
        <f t="shared" si="29"/>
        <v/>
      </c>
    </row>
    <row r="129" spans="2:12" x14ac:dyDescent="0.25">
      <c r="B129" s="1"/>
      <c r="C129" s="1"/>
      <c r="G129" t="str">
        <f t="shared" si="24"/>
        <v/>
      </c>
      <c r="H129" t="str">
        <f t="shared" si="25"/>
        <v/>
      </c>
      <c r="I129" t="str">
        <f t="shared" si="26"/>
        <v/>
      </c>
      <c r="J129" t="str">
        <f t="shared" si="27"/>
        <v/>
      </c>
      <c r="K129" t="str">
        <f t="shared" si="28"/>
        <v/>
      </c>
      <c r="L129" t="str">
        <f t="shared" si="29"/>
        <v/>
      </c>
    </row>
    <row r="130" spans="2:12" x14ac:dyDescent="0.25">
      <c r="B130" s="1"/>
      <c r="C130" s="1"/>
      <c r="G130" t="str">
        <f t="shared" si="24"/>
        <v/>
      </c>
      <c r="H130" t="str">
        <f t="shared" si="25"/>
        <v/>
      </c>
      <c r="I130" t="str">
        <f t="shared" si="26"/>
        <v/>
      </c>
      <c r="J130" t="str">
        <f t="shared" si="27"/>
        <v/>
      </c>
      <c r="K130" t="str">
        <f t="shared" si="28"/>
        <v/>
      </c>
      <c r="L130" t="str">
        <f t="shared" si="29"/>
        <v/>
      </c>
    </row>
    <row r="131" spans="2:12" x14ac:dyDescent="0.25">
      <c r="B131" s="1"/>
      <c r="C131" s="1"/>
      <c r="G131" t="str">
        <f t="shared" si="24"/>
        <v/>
      </c>
      <c r="H131" t="str">
        <f t="shared" si="25"/>
        <v/>
      </c>
      <c r="I131" t="str">
        <f t="shared" si="26"/>
        <v/>
      </c>
      <c r="J131" t="str">
        <f t="shared" si="27"/>
        <v/>
      </c>
      <c r="K131" t="str">
        <f t="shared" si="28"/>
        <v/>
      </c>
      <c r="L131" t="str">
        <f t="shared" si="29"/>
        <v/>
      </c>
    </row>
    <row r="132" spans="2:12" x14ac:dyDescent="0.25">
      <c r="B132" s="1"/>
      <c r="C132" s="1"/>
      <c r="G132" t="str">
        <f t="shared" si="24"/>
        <v/>
      </c>
      <c r="H132" t="str">
        <f t="shared" si="25"/>
        <v/>
      </c>
      <c r="I132" t="str">
        <f t="shared" si="26"/>
        <v/>
      </c>
      <c r="J132" t="str">
        <f t="shared" si="27"/>
        <v/>
      </c>
      <c r="K132" t="str">
        <f t="shared" si="28"/>
        <v/>
      </c>
      <c r="L132" t="str">
        <f t="shared" si="29"/>
        <v/>
      </c>
    </row>
    <row r="133" spans="2:12" x14ac:dyDescent="0.25">
      <c r="B133" s="1"/>
      <c r="C133" s="1"/>
      <c r="G133" t="str">
        <f t="shared" si="24"/>
        <v/>
      </c>
      <c r="H133" t="str">
        <f t="shared" si="25"/>
        <v/>
      </c>
      <c r="I133" t="str">
        <f t="shared" si="26"/>
        <v/>
      </c>
      <c r="J133" t="str">
        <f t="shared" si="27"/>
        <v/>
      </c>
      <c r="K133" t="str">
        <f t="shared" si="28"/>
        <v/>
      </c>
      <c r="L133" t="str">
        <f t="shared" si="29"/>
        <v/>
      </c>
    </row>
    <row r="134" spans="2:12" x14ac:dyDescent="0.25">
      <c r="B134" s="1"/>
      <c r="C134" s="1"/>
      <c r="G134" t="str">
        <f t="shared" si="24"/>
        <v/>
      </c>
      <c r="H134" t="str">
        <f t="shared" si="25"/>
        <v/>
      </c>
      <c r="I134" t="str">
        <f t="shared" si="26"/>
        <v/>
      </c>
      <c r="J134" t="str">
        <f t="shared" si="27"/>
        <v/>
      </c>
      <c r="K134" t="str">
        <f t="shared" si="28"/>
        <v/>
      </c>
      <c r="L134" t="str">
        <f t="shared" si="29"/>
        <v/>
      </c>
    </row>
    <row r="135" spans="2:12" x14ac:dyDescent="0.25">
      <c r="B135" s="1"/>
      <c r="C135" s="1"/>
      <c r="G135" t="str">
        <f t="shared" si="24"/>
        <v/>
      </c>
      <c r="H135" t="str">
        <f t="shared" si="25"/>
        <v/>
      </c>
      <c r="I135" t="str">
        <f t="shared" si="26"/>
        <v/>
      </c>
      <c r="J135" t="str">
        <f t="shared" si="27"/>
        <v/>
      </c>
      <c r="K135" t="str">
        <f t="shared" si="28"/>
        <v/>
      </c>
      <c r="L135" t="str">
        <f t="shared" si="29"/>
        <v/>
      </c>
    </row>
    <row r="136" spans="2:12" x14ac:dyDescent="0.25">
      <c r="B136" s="1"/>
      <c r="C136" s="1"/>
      <c r="G136" t="str">
        <f t="shared" si="24"/>
        <v/>
      </c>
      <c r="H136" t="str">
        <f t="shared" si="25"/>
        <v/>
      </c>
      <c r="I136" t="str">
        <f t="shared" si="26"/>
        <v/>
      </c>
      <c r="J136" t="str">
        <f t="shared" si="27"/>
        <v/>
      </c>
      <c r="K136" t="str">
        <f t="shared" si="28"/>
        <v/>
      </c>
      <c r="L136" t="str">
        <f t="shared" si="29"/>
        <v/>
      </c>
    </row>
    <row r="137" spans="2:12" x14ac:dyDescent="0.25">
      <c r="B137" s="1"/>
      <c r="C137" s="1"/>
      <c r="G137" t="str">
        <f t="shared" si="24"/>
        <v/>
      </c>
      <c r="H137" t="str">
        <f t="shared" si="25"/>
        <v/>
      </c>
      <c r="I137" t="str">
        <f t="shared" si="26"/>
        <v/>
      </c>
      <c r="J137" t="str">
        <f t="shared" si="27"/>
        <v/>
      </c>
      <c r="K137" t="str">
        <f t="shared" si="28"/>
        <v/>
      </c>
      <c r="L137" t="str">
        <f t="shared" si="29"/>
        <v/>
      </c>
    </row>
    <row r="138" spans="2:12" x14ac:dyDescent="0.25">
      <c r="B138" s="1"/>
      <c r="C138" s="1"/>
      <c r="G138" t="str">
        <f t="shared" si="24"/>
        <v/>
      </c>
      <c r="H138" t="str">
        <f t="shared" si="25"/>
        <v/>
      </c>
      <c r="I138" t="str">
        <f t="shared" si="26"/>
        <v/>
      </c>
      <c r="J138" t="str">
        <f t="shared" si="27"/>
        <v/>
      </c>
      <c r="K138" t="str">
        <f t="shared" si="28"/>
        <v/>
      </c>
      <c r="L138" t="str">
        <f t="shared" si="29"/>
        <v/>
      </c>
    </row>
    <row r="139" spans="2:12" x14ac:dyDescent="0.25">
      <c r="B139" s="1"/>
      <c r="C139" s="1"/>
      <c r="G139" t="str">
        <f t="shared" si="24"/>
        <v/>
      </c>
      <c r="H139" t="str">
        <f t="shared" si="25"/>
        <v/>
      </c>
      <c r="I139" t="str">
        <f t="shared" si="26"/>
        <v/>
      </c>
      <c r="J139" t="str">
        <f t="shared" si="27"/>
        <v/>
      </c>
      <c r="K139" t="str">
        <f t="shared" si="28"/>
        <v/>
      </c>
      <c r="L139" t="str">
        <f t="shared" si="29"/>
        <v/>
      </c>
    </row>
    <row r="140" spans="2:12" x14ac:dyDescent="0.25">
      <c r="B140" s="1"/>
      <c r="C140" s="1"/>
      <c r="G140" t="str">
        <f t="shared" si="24"/>
        <v/>
      </c>
      <c r="H140" t="str">
        <f t="shared" si="25"/>
        <v/>
      </c>
      <c r="I140" t="str">
        <f t="shared" si="26"/>
        <v/>
      </c>
      <c r="J140" t="str">
        <f t="shared" si="27"/>
        <v/>
      </c>
      <c r="K140" t="str">
        <f t="shared" si="28"/>
        <v/>
      </c>
      <c r="L140" t="str">
        <f t="shared" si="29"/>
        <v/>
      </c>
    </row>
    <row r="141" spans="2:12" x14ac:dyDescent="0.25">
      <c r="B141" s="1"/>
      <c r="C141" s="1"/>
      <c r="G141" t="str">
        <f t="shared" si="24"/>
        <v/>
      </c>
      <c r="H141" t="str">
        <f t="shared" si="25"/>
        <v/>
      </c>
      <c r="I141" t="str">
        <f t="shared" si="26"/>
        <v/>
      </c>
      <c r="J141" t="str">
        <f t="shared" si="27"/>
        <v/>
      </c>
      <c r="K141" t="str">
        <f t="shared" si="28"/>
        <v/>
      </c>
      <c r="L141" t="str">
        <f t="shared" si="29"/>
        <v/>
      </c>
    </row>
    <row r="142" spans="2:12" x14ac:dyDescent="0.25">
      <c r="B142" s="1"/>
      <c r="C142" s="1"/>
      <c r="G142" t="str">
        <f t="shared" si="24"/>
        <v/>
      </c>
      <c r="H142" t="str">
        <f t="shared" si="25"/>
        <v/>
      </c>
      <c r="I142" t="str">
        <f t="shared" si="26"/>
        <v/>
      </c>
      <c r="J142" t="str">
        <f t="shared" si="27"/>
        <v/>
      </c>
      <c r="K142" t="str">
        <f t="shared" si="28"/>
        <v/>
      </c>
      <c r="L142" t="str">
        <f t="shared" si="29"/>
        <v/>
      </c>
    </row>
    <row r="143" spans="2:12" x14ac:dyDescent="0.25">
      <c r="B143" s="1"/>
      <c r="C143" s="1"/>
    </row>
    <row r="144" spans="2:12" x14ac:dyDescent="0.25">
      <c r="B144" s="1"/>
      <c r="C144" s="1"/>
    </row>
    <row r="145" spans="2:3" x14ac:dyDescent="0.25">
      <c r="B145" s="1"/>
      <c r="C145" s="1"/>
    </row>
    <row r="146" spans="2:3" x14ac:dyDescent="0.25">
      <c r="B146" s="1"/>
      <c r="C146" s="1"/>
    </row>
    <row r="147" spans="2:3" x14ac:dyDescent="0.25">
      <c r="B147" s="1"/>
      <c r="C147" s="1"/>
    </row>
    <row r="148" spans="2:3" x14ac:dyDescent="0.25">
      <c r="B148" s="1"/>
      <c r="C148" s="1"/>
    </row>
    <row r="149" spans="2:3" x14ac:dyDescent="0.25">
      <c r="B149" s="1"/>
      <c r="C149" s="1"/>
    </row>
    <row r="150" spans="2:3" x14ac:dyDescent="0.25">
      <c r="B150" s="1"/>
      <c r="C150" s="1"/>
    </row>
    <row r="151" spans="2:3" x14ac:dyDescent="0.25">
      <c r="B151" s="1"/>
      <c r="C151" s="1"/>
    </row>
    <row r="152" spans="2:3" x14ac:dyDescent="0.25">
      <c r="B152" s="1"/>
      <c r="C152" s="1"/>
    </row>
    <row r="153" spans="2:3" x14ac:dyDescent="0.25">
      <c r="B153" s="1"/>
      <c r="C153" s="1"/>
    </row>
    <row r="154" spans="2:3" x14ac:dyDescent="0.25">
      <c r="B154" s="1"/>
      <c r="C154" s="1"/>
    </row>
    <row r="155" spans="2:3" x14ac:dyDescent="0.25">
      <c r="B155" s="1"/>
      <c r="C155" s="1"/>
    </row>
    <row r="156" spans="2:3" x14ac:dyDescent="0.25">
      <c r="B156" s="1"/>
      <c r="C156" s="1"/>
    </row>
    <row r="157" spans="2:3" x14ac:dyDescent="0.25">
      <c r="B157" s="1"/>
      <c r="C157" s="1"/>
    </row>
    <row r="158" spans="2:3" x14ac:dyDescent="0.25">
      <c r="B158" s="1"/>
      <c r="C158" s="1"/>
    </row>
    <row r="159" spans="2:3" x14ac:dyDescent="0.25">
      <c r="B159" s="1"/>
      <c r="C159" s="1"/>
    </row>
    <row r="160" spans="2:3" x14ac:dyDescent="0.25">
      <c r="B160" s="1"/>
      <c r="C160" s="1"/>
    </row>
    <row r="161" spans="2:3" x14ac:dyDescent="0.25">
      <c r="B161" s="1"/>
      <c r="C161" s="1"/>
    </row>
    <row r="162" spans="2:3" x14ac:dyDescent="0.25">
      <c r="B162" s="1"/>
      <c r="C162" s="1"/>
    </row>
    <row r="163" spans="2:3" x14ac:dyDescent="0.25">
      <c r="B163" s="1"/>
      <c r="C163" s="1"/>
    </row>
    <row r="164" spans="2:3" x14ac:dyDescent="0.25">
      <c r="B164" s="1"/>
      <c r="C164" s="1"/>
    </row>
    <row r="165" spans="2:3" x14ac:dyDescent="0.25">
      <c r="B165" s="1"/>
      <c r="C165" s="1"/>
    </row>
    <row r="166" spans="2:3" x14ac:dyDescent="0.25">
      <c r="B166" s="1"/>
      <c r="C166" s="1"/>
    </row>
    <row r="167" spans="2:3" x14ac:dyDescent="0.25">
      <c r="B167" s="1"/>
      <c r="C167" s="1"/>
    </row>
    <row r="168" spans="2:3" x14ac:dyDescent="0.25">
      <c r="B168" s="1"/>
      <c r="C168" s="1"/>
    </row>
    <row r="169" spans="2:3" x14ac:dyDescent="0.25">
      <c r="B169" s="1"/>
      <c r="C169" s="1"/>
    </row>
    <row r="170" spans="2:3" x14ac:dyDescent="0.25">
      <c r="B170" s="1"/>
      <c r="C170" s="1"/>
    </row>
    <row r="171" spans="2:3" x14ac:dyDescent="0.25">
      <c r="B171" s="1"/>
      <c r="C171" s="1"/>
    </row>
    <row r="172" spans="2:3" x14ac:dyDescent="0.25">
      <c r="B172" s="1"/>
      <c r="C172" s="1"/>
    </row>
    <row r="173" spans="2:3" x14ac:dyDescent="0.25">
      <c r="B173" s="1"/>
      <c r="C173" s="1"/>
    </row>
    <row r="174" spans="2:3" x14ac:dyDescent="0.25">
      <c r="B174" s="1"/>
      <c r="C174" s="1"/>
    </row>
    <row r="175" spans="2:3" x14ac:dyDescent="0.25">
      <c r="B175" s="1"/>
      <c r="C175" s="1"/>
    </row>
    <row r="176" spans="2:3" x14ac:dyDescent="0.25">
      <c r="B176" s="1"/>
      <c r="C176" s="1"/>
    </row>
    <row r="177" spans="2:3" x14ac:dyDescent="0.25">
      <c r="B177" s="1"/>
      <c r="C177" s="1"/>
    </row>
    <row r="178" spans="2:3" x14ac:dyDescent="0.25">
      <c r="B178" s="1"/>
      <c r="C178" s="1"/>
    </row>
    <row r="179" spans="2:3" x14ac:dyDescent="0.25">
      <c r="B179" s="1"/>
      <c r="C179" s="1"/>
    </row>
    <row r="180" spans="2:3" x14ac:dyDescent="0.25">
      <c r="B180" s="1"/>
      <c r="C180" s="1"/>
    </row>
    <row r="181" spans="2:3" x14ac:dyDescent="0.25">
      <c r="B181" s="1"/>
      <c r="C181" s="1"/>
    </row>
    <row r="182" spans="2:3" x14ac:dyDescent="0.25">
      <c r="B182" s="1"/>
      <c r="C182" s="1"/>
    </row>
    <row r="183" spans="2:3" x14ac:dyDescent="0.25">
      <c r="B183" s="1"/>
      <c r="C183" s="1"/>
    </row>
    <row r="184" spans="2:3" x14ac:dyDescent="0.25">
      <c r="B184" s="1"/>
      <c r="C184" s="1"/>
    </row>
    <row r="185" spans="2:3" x14ac:dyDescent="0.25">
      <c r="B185" s="1"/>
      <c r="C185" s="1"/>
    </row>
    <row r="186" spans="2:3" x14ac:dyDescent="0.25">
      <c r="B186" s="1"/>
      <c r="C186" s="1"/>
    </row>
    <row r="187" spans="2:3" x14ac:dyDescent="0.25">
      <c r="B187" s="1"/>
      <c r="C187" s="1"/>
    </row>
    <row r="188" spans="2:3" x14ac:dyDescent="0.25">
      <c r="B188" s="1"/>
      <c r="C188" s="1"/>
    </row>
    <row r="189" spans="2:3" x14ac:dyDescent="0.25">
      <c r="B189" s="1"/>
      <c r="C189" s="1"/>
    </row>
    <row r="190" spans="2:3" x14ac:dyDescent="0.25">
      <c r="B190" s="1"/>
      <c r="C190" s="1"/>
    </row>
    <row r="191" spans="2:3" x14ac:dyDescent="0.25">
      <c r="B191" s="1"/>
      <c r="C191" s="1"/>
    </row>
    <row r="192" spans="2:3" x14ac:dyDescent="0.25">
      <c r="B192" s="1"/>
      <c r="C192" s="1"/>
    </row>
    <row r="193" spans="2:3" x14ac:dyDescent="0.25">
      <c r="B193" s="1"/>
      <c r="C193" s="1"/>
    </row>
    <row r="194" spans="2:3" x14ac:dyDescent="0.25">
      <c r="B194" s="1"/>
      <c r="C194" s="1"/>
    </row>
    <row r="195" spans="2:3" x14ac:dyDescent="0.25">
      <c r="B195" s="1"/>
      <c r="C195" s="1"/>
    </row>
    <row r="196" spans="2:3" x14ac:dyDescent="0.25">
      <c r="B196" s="1"/>
      <c r="C196" s="1"/>
    </row>
    <row r="197" spans="2:3" x14ac:dyDescent="0.25">
      <c r="B197" s="1"/>
      <c r="C197" s="1"/>
    </row>
    <row r="198" spans="2:3" x14ac:dyDescent="0.25">
      <c r="B198" s="1"/>
      <c r="C198" s="1"/>
    </row>
    <row r="199" spans="2:3" x14ac:dyDescent="0.25">
      <c r="B199" s="1"/>
      <c r="C199" s="1"/>
    </row>
    <row r="200" spans="2:3" x14ac:dyDescent="0.25">
      <c r="B200" s="1"/>
      <c r="C200" s="1"/>
    </row>
    <row r="201" spans="2:3" x14ac:dyDescent="0.25">
      <c r="B201" s="1"/>
      <c r="C201" s="1"/>
    </row>
    <row r="202" spans="2:3" x14ac:dyDescent="0.25">
      <c r="B202" s="1"/>
      <c r="C202" s="1"/>
    </row>
    <row r="203" spans="2:3" x14ac:dyDescent="0.25">
      <c r="B203" s="1"/>
      <c r="C203" s="1"/>
    </row>
    <row r="204" spans="2:3" x14ac:dyDescent="0.25">
      <c r="B204" s="1"/>
      <c r="C204" s="1"/>
    </row>
    <row r="205" spans="2:3" x14ac:dyDescent="0.25">
      <c r="B205" s="1"/>
      <c r="C205" s="1"/>
    </row>
    <row r="206" spans="2:3" x14ac:dyDescent="0.25">
      <c r="B206" s="1"/>
      <c r="C206" s="1"/>
    </row>
    <row r="207" spans="2:3" x14ac:dyDescent="0.25">
      <c r="B207" s="1"/>
      <c r="C207" s="1"/>
    </row>
    <row r="208" spans="2:3" x14ac:dyDescent="0.25">
      <c r="B208" s="1"/>
      <c r="C208" s="1"/>
    </row>
    <row r="209" spans="2:3" x14ac:dyDescent="0.25">
      <c r="B209" s="1"/>
      <c r="C209" s="1"/>
    </row>
    <row r="210" spans="2:3" x14ac:dyDescent="0.25">
      <c r="B210" s="1"/>
      <c r="C210" s="1"/>
    </row>
    <row r="211" spans="2:3" x14ac:dyDescent="0.25">
      <c r="B211" s="1"/>
      <c r="C211" s="1"/>
    </row>
    <row r="212" spans="2:3" x14ac:dyDescent="0.25">
      <c r="B212" s="1"/>
      <c r="C212" s="1"/>
    </row>
    <row r="213" spans="2:3" x14ac:dyDescent="0.25">
      <c r="B213" s="1"/>
      <c r="C213" s="1"/>
    </row>
    <row r="214" spans="2:3" x14ac:dyDescent="0.25">
      <c r="B214" s="1"/>
      <c r="C214" s="1"/>
    </row>
    <row r="215" spans="2:3" x14ac:dyDescent="0.25">
      <c r="B215" s="1"/>
      <c r="C215" s="1"/>
    </row>
    <row r="216" spans="2:3" x14ac:dyDescent="0.25">
      <c r="B216" s="1"/>
      <c r="C216" s="1"/>
    </row>
    <row r="217" spans="2:3" x14ac:dyDescent="0.25">
      <c r="B217" s="1"/>
      <c r="C217" s="1"/>
    </row>
    <row r="218" spans="2:3" x14ac:dyDescent="0.25">
      <c r="B218" s="1" t="str">
        <f t="shared" ref="B218:B225" ca="1" si="30">IFERROR(VLOOKUP(A218,MTZ_DPTO,2,0),"")</f>
        <v/>
      </c>
      <c r="C218" s="1" t="str">
        <f t="shared" ref="C218:C225" ca="1" si="31">IFERROR(VLOOKUP(A218,MTZ_CARGO,3,0),"")</f>
        <v/>
      </c>
    </row>
    <row r="219" spans="2:3" x14ac:dyDescent="0.25">
      <c r="B219" s="1" t="str">
        <f t="shared" ca="1" si="30"/>
        <v/>
      </c>
      <c r="C219" s="1" t="str">
        <f t="shared" ca="1" si="31"/>
        <v/>
      </c>
    </row>
    <row r="220" spans="2:3" x14ac:dyDescent="0.25">
      <c r="B220" s="1" t="str">
        <f t="shared" ca="1" si="30"/>
        <v/>
      </c>
      <c r="C220" s="1" t="str">
        <f t="shared" ca="1" si="31"/>
        <v/>
      </c>
    </row>
    <row r="221" spans="2:3" x14ac:dyDescent="0.25">
      <c r="B221" s="1" t="str">
        <f t="shared" ca="1" si="30"/>
        <v/>
      </c>
      <c r="C221" s="1" t="str">
        <f t="shared" ca="1" si="31"/>
        <v/>
      </c>
    </row>
    <row r="222" spans="2:3" x14ac:dyDescent="0.25">
      <c r="B222" s="1" t="str">
        <f t="shared" ca="1" si="30"/>
        <v/>
      </c>
      <c r="C222" s="1" t="str">
        <f t="shared" ca="1" si="31"/>
        <v/>
      </c>
    </row>
    <row r="223" spans="2:3" x14ac:dyDescent="0.25">
      <c r="B223" s="1" t="str">
        <f t="shared" ca="1" si="30"/>
        <v/>
      </c>
      <c r="C223" s="1" t="str">
        <f t="shared" ca="1" si="31"/>
        <v/>
      </c>
    </row>
    <row r="224" spans="2:3" x14ac:dyDescent="0.25">
      <c r="B224" s="1" t="str">
        <f t="shared" ca="1" si="30"/>
        <v/>
      </c>
      <c r="C224" s="1" t="str">
        <f t="shared" ca="1" si="31"/>
        <v/>
      </c>
    </row>
    <row r="225" spans="2:3" x14ac:dyDescent="0.25">
      <c r="B225" s="1" t="str">
        <f t="shared" ca="1" si="30"/>
        <v/>
      </c>
      <c r="C225" s="1" t="str">
        <f t="shared" ca="1" si="31"/>
        <v/>
      </c>
    </row>
  </sheetData>
  <autoFilter ref="A3:F225" xr:uid="{00000000-0009-0000-0000-000001000000}"/>
  <sortState ref="A94:C175">
    <sortCondition ref="A94"/>
  </sortState>
  <mergeCells count="1">
    <mergeCell ref="A1:F1"/>
  </mergeCells>
  <conditionalFormatting sqref="A34 A68 A4:L4 A76:A78 A51:A52 A43:A45 D82:E91 A5:A8 B5:C6 A92:A225 A20:C20 D14:F14 D92:F225 A10:A15 E17:F18 B24:C24 D19:F24 A30:C30 A36 B82:C225 C32:C34 A38:A40 C38:C40 C43:C46 C55:F55 D49:F49 E50:F50 A55 D51:F54 A58 C58:F58 E56:F56 D57:F58 A62:A63 C62:F62 E59:F61 B41:C41 B51:C51 C64:F64 E63:F63 E65:F65 D66:F66 A71 C67:F68 C70:F70 D71:F72 A73:A74 C73:F78 C80:F80 D79:F79 A80 A82:A89 B8:C10 B13:C14 B11:B12 D5:L13 C12 B16:F16 D26:F27 E25:F25 E29:F48 A226:F1048576">
    <cfRule type="expression" dxfId="78" priority="192">
      <formula>IF($A4="","",1)</formula>
    </cfRule>
  </conditionalFormatting>
  <conditionalFormatting sqref="G4:L4 A4:D4 A34 A68 A76:A78 A51:A52 A43:A45 A92:A225 A5:A8 B5:C6 D96:D225 A20:C20 D20:D24 E96:F144 D5:D14 D92:F95 A10:A15 B24:C24 A30:C30 A36 B82:C225 C32:C34 A38:A40 C38:C40 C43:C46 D49 C55 D51:D55 A55 A58 D57:D58 C58:F58 C62:D62 A62:A63 B41:C41 B51:C51 C64:D64 C67:C68 E14:F14 A71 D66:D68 C70 C73:C78 A73:A74 D70:F80 C80 A80 A82:A89 D82:E91 B8:C10 B13:C14 B11:B12 E5:L13 C12 E16:F27 B16:D16 D26:D27 E30:F68 B29:F29 N28">
    <cfRule type="expression" dxfId="77" priority="213">
      <formula>IF(AND($E4&lt;&gt;"",#REF!=""),1)</formula>
    </cfRule>
  </conditionalFormatting>
  <conditionalFormatting sqref="F82:F91">
    <cfRule type="expression" dxfId="76" priority="184">
      <formula>IF(AND($E82&lt;&gt;"",#REF!=""),1)</formula>
    </cfRule>
  </conditionalFormatting>
  <conditionalFormatting sqref="D3">
    <cfRule type="expression" dxfId="75" priority="171">
      <formula>IF(AND($E3&lt;&gt;"",#REF!=""),1)</formula>
    </cfRule>
  </conditionalFormatting>
  <conditionalFormatting sqref="E3:F3">
    <cfRule type="expression" dxfId="74" priority="169">
      <formula>IF(AND($E3&lt;&gt;"",#REF!=""),1)</formula>
    </cfRule>
  </conditionalFormatting>
  <conditionalFormatting sqref="Q3:Q8 Q11:Q12 N16:Q16 O15:Q15 N17 Q24:Q25 N13:Q13 Q14 Q17 N26:Q26 N18:Q21">
    <cfRule type="expression" dxfId="73" priority="236">
      <formula>IF(AND(#REF!&lt;&gt;"",#REF!=""),1)</formula>
    </cfRule>
  </conditionalFormatting>
  <conditionalFormatting sqref="B17:D17 D19">
    <cfRule type="expression" dxfId="72" priority="167">
      <formula>IF(AND($E17&lt;&gt;"",#REF!=""),1)</formula>
    </cfRule>
  </conditionalFormatting>
  <conditionalFormatting sqref="B18:D18">
    <cfRule type="expression" dxfId="71" priority="165">
      <formula>IF(AND($E18&lt;&gt;"",#REF!=""),1)</formula>
    </cfRule>
  </conditionalFormatting>
  <conditionalFormatting sqref="N8:P8">
    <cfRule type="expression" dxfId="70" priority="159">
      <formula>IF(AND($E8&lt;&gt;"",#REF!=""),1)</formula>
    </cfRule>
  </conditionalFormatting>
  <conditionalFormatting sqref="N11">
    <cfRule type="expression" dxfId="69" priority="157">
      <formula>IF(AND($E15&lt;&gt;"",#REF!=""),1)</formula>
    </cfRule>
  </conditionalFormatting>
  <conditionalFormatting sqref="N6:P6">
    <cfRule type="expression" dxfId="68" priority="155">
      <formula>IF(AND($E6&lt;&gt;"",#REF!=""),1)</formula>
    </cfRule>
  </conditionalFormatting>
  <conditionalFormatting sqref="N7">
    <cfRule type="expression" dxfId="67" priority="153">
      <formula>IF(AND($E7&lt;&gt;"",#REF!=""),1)</formula>
    </cfRule>
  </conditionalFormatting>
  <conditionalFormatting sqref="N4:P4">
    <cfRule type="expression" dxfId="66" priority="151">
      <formula>IF(AND($E4&lt;&gt;"",#REF!=""),1)</formula>
    </cfRule>
  </conditionalFormatting>
  <conditionalFormatting sqref="N5:P5">
    <cfRule type="expression" dxfId="65" priority="149">
      <formula>IF(AND($E5&lt;&gt;"",#REF!=""),1)</formula>
    </cfRule>
  </conditionalFormatting>
  <conditionalFormatting sqref="Q9">
    <cfRule type="expression" dxfId="64" priority="147">
      <formula>IF(AND(#REF!&lt;&gt;"",#REF!=""),1)</formula>
    </cfRule>
  </conditionalFormatting>
  <conditionalFormatting sqref="N9:P9">
    <cfRule type="expression" dxfId="63" priority="145">
      <formula>IF(AND($E9&lt;&gt;"",#REF!=""),1)</formula>
    </cfRule>
  </conditionalFormatting>
  <conditionalFormatting sqref="Q10">
    <cfRule type="expression" dxfId="62" priority="143">
      <formula>IF(AND(#REF!&lt;&gt;"",#REF!=""),1)</formula>
    </cfRule>
  </conditionalFormatting>
  <conditionalFormatting sqref="N10:P10">
    <cfRule type="expression" dxfId="61" priority="141">
      <formula>IF(AND($E10&lt;&gt;"",#REF!=""),1)</formula>
    </cfRule>
  </conditionalFormatting>
  <conditionalFormatting sqref="G14:L17 C11">
    <cfRule type="expression" dxfId="60" priority="255">
      <formula>IF(AND($E12&lt;&gt;"",#REF!=""),1)</formula>
    </cfRule>
  </conditionalFormatting>
  <conditionalFormatting sqref="G40:L66 G70:L142 G18:L22 G29:L36">
    <cfRule type="expression" dxfId="59" priority="263">
      <formula>IF(AND($E20&lt;&gt;"",#REF!=""),1)</formula>
    </cfRule>
  </conditionalFormatting>
  <conditionalFormatting sqref="O11:P11">
    <cfRule type="expression" dxfId="58" priority="133">
      <formula>IF(AND($E14&lt;&gt;"",#REF!=""),1)</formula>
    </cfRule>
  </conditionalFormatting>
  <conditionalFormatting sqref="O12:P12">
    <cfRule type="expression" dxfId="57" priority="131">
      <formula>IF(AND($E15&lt;&gt;"",#REF!=""),1)</formula>
    </cfRule>
  </conditionalFormatting>
  <conditionalFormatting sqref="B27:C27">
    <cfRule type="expression" dxfId="56" priority="129">
      <formula>IF(AND($E27&lt;&gt;"",#REF!=""),1)</formula>
    </cfRule>
  </conditionalFormatting>
  <conditionalFormatting sqref="B31:C31 B32:B35 B43:B46 B55 B58 B62 B37:B40 B64 B67:B68 B70 B73:B78 B80">
    <cfRule type="expression" dxfId="55" priority="125">
      <formula>IF(AND($E31&lt;&gt;"",#REF!=""),1)</formula>
    </cfRule>
  </conditionalFormatting>
  <conditionalFormatting sqref="P14">
    <cfRule type="expression" dxfId="54" priority="120">
      <formula>IF(AND($E18&lt;&gt;"",#REF!=""),1)</formula>
    </cfRule>
  </conditionalFormatting>
  <conditionalFormatting sqref="O14">
    <cfRule type="expression" dxfId="53" priority="117">
      <formula>IF(AND($E18&lt;&gt;"",#REF!=""),1)</formula>
    </cfRule>
  </conditionalFormatting>
  <conditionalFormatting sqref="G37:L39">
    <cfRule type="expression" dxfId="52" priority="273">
      <formula>IF(AND($E40&lt;&gt;"",#REF!=""),1)</formula>
    </cfRule>
  </conditionalFormatting>
  <conditionalFormatting sqref="A42 C42">
    <cfRule type="expression" dxfId="51" priority="115">
      <formula>IF(AND($E42&lt;&gt;"",#REF!=""),1)</formula>
    </cfRule>
  </conditionalFormatting>
  <conditionalFormatting sqref="B42">
    <cfRule type="expression" dxfId="50" priority="113">
      <formula>IF(AND($E42&lt;&gt;"",#REF!=""),1)</formula>
    </cfRule>
  </conditionalFormatting>
  <conditionalFormatting sqref="A47 C47">
    <cfRule type="expression" dxfId="49" priority="111">
      <formula>IF(AND($E47&lt;&gt;"",#REF!=""),1)</formula>
    </cfRule>
  </conditionalFormatting>
  <conditionalFormatting sqref="B47">
    <cfRule type="expression" dxfId="48" priority="109">
      <formula>IF(AND($E47&lt;&gt;"",#REF!=""),1)</formula>
    </cfRule>
  </conditionalFormatting>
  <conditionalFormatting sqref="A48 C48">
    <cfRule type="expression" dxfId="47" priority="107">
      <formula>IF(AND($E48&lt;&gt;"",#REF!=""),1)</formula>
    </cfRule>
  </conditionalFormatting>
  <conditionalFormatting sqref="B48">
    <cfRule type="expression" dxfId="46" priority="105">
      <formula>IF(AND($E48&lt;&gt;"",#REF!=""),1)</formula>
    </cfRule>
  </conditionalFormatting>
  <conditionalFormatting sqref="A49 C49">
    <cfRule type="expression" dxfId="45" priority="103">
      <formula>IF(AND($E49&lt;&gt;"",#REF!=""),1)</formula>
    </cfRule>
  </conditionalFormatting>
  <conditionalFormatting sqref="B49">
    <cfRule type="expression" dxfId="44" priority="101">
      <formula>IF(AND($E49&lt;&gt;"",#REF!=""),1)</formula>
    </cfRule>
  </conditionalFormatting>
  <conditionalFormatting sqref="A50 C50:D50">
    <cfRule type="expression" dxfId="43" priority="99">
      <formula>IF(AND($E50&lt;&gt;"",#REF!=""),1)</formula>
    </cfRule>
  </conditionalFormatting>
  <conditionalFormatting sqref="B50">
    <cfRule type="expression" dxfId="42" priority="97">
      <formula>IF(AND($E50&lt;&gt;"",#REF!=""),1)</formula>
    </cfRule>
  </conditionalFormatting>
  <conditionalFormatting sqref="A53 C53">
    <cfRule type="expression" dxfId="41" priority="90">
      <formula>IF(AND($E53&lt;&gt;"",#REF!=""),1)</formula>
    </cfRule>
  </conditionalFormatting>
  <conditionalFormatting sqref="B53">
    <cfRule type="expression" dxfId="40" priority="88">
      <formula>IF(AND($E53&lt;&gt;"",#REF!=""),1)</formula>
    </cfRule>
  </conditionalFormatting>
  <conditionalFormatting sqref="A54 C54">
    <cfRule type="expression" dxfId="39" priority="86">
      <formula>IF(AND($E54&lt;&gt;"",#REF!=""),1)</formula>
    </cfRule>
  </conditionalFormatting>
  <conditionalFormatting sqref="B54">
    <cfRule type="expression" dxfId="38" priority="84">
      <formula>IF(AND($E54&lt;&gt;"",#REF!=""),1)</formula>
    </cfRule>
  </conditionalFormatting>
  <conditionalFormatting sqref="D56">
    <cfRule type="expression" dxfId="37" priority="82">
      <formula>IF(AND($E56&lt;&gt;"",#REF!=""),1)</formula>
    </cfRule>
  </conditionalFormatting>
  <conditionalFormatting sqref="A56 C56">
    <cfRule type="expression" dxfId="36" priority="80">
      <formula>IF(AND($E56&lt;&gt;"",#REF!=""),1)</formula>
    </cfRule>
  </conditionalFormatting>
  <conditionalFormatting sqref="B56">
    <cfRule type="expression" dxfId="35" priority="78">
      <formula>IF(AND($E56&lt;&gt;"",#REF!=""),1)</formula>
    </cfRule>
  </conditionalFormatting>
  <conditionalFormatting sqref="A57">
    <cfRule type="expression" dxfId="34" priority="76">
      <formula>IF(AND($E57&lt;&gt;"",#REF!=""),1)</formula>
    </cfRule>
  </conditionalFormatting>
  <conditionalFormatting sqref="A59 C59:D59">
    <cfRule type="expression" dxfId="33" priority="73">
      <formula>IF(AND($E59&lt;&gt;"",#REF!=""),1)</formula>
    </cfRule>
  </conditionalFormatting>
  <conditionalFormatting sqref="B59">
    <cfRule type="expression" dxfId="32" priority="71">
      <formula>IF(AND($E59&lt;&gt;"",#REF!=""),1)</formula>
    </cfRule>
  </conditionalFormatting>
  <conditionalFormatting sqref="D60">
    <cfRule type="expression" dxfId="31" priority="69">
      <formula>IF(AND($E60&lt;&gt;"",#REF!=""),1)</formula>
    </cfRule>
  </conditionalFormatting>
  <conditionalFormatting sqref="A60">
    <cfRule type="expression" dxfId="30" priority="67">
      <formula>IF(AND($E60&lt;&gt;"",#REF!=""),1)</formula>
    </cfRule>
  </conditionalFormatting>
  <conditionalFormatting sqref="D61">
    <cfRule type="expression" dxfId="29" priority="64">
      <formula>IF(AND($E61&lt;&gt;"",#REF!=""),1)</formula>
    </cfRule>
  </conditionalFormatting>
  <conditionalFormatting sqref="A61 C61">
    <cfRule type="expression" dxfId="28" priority="62">
      <formula>IF(AND($E61&lt;&gt;"",#REF!=""),1)</formula>
    </cfRule>
  </conditionalFormatting>
  <conditionalFormatting sqref="B61">
    <cfRule type="expression" dxfId="27" priority="60">
      <formula>IF(AND($E61&lt;&gt;"",#REF!=""),1)</formula>
    </cfRule>
  </conditionalFormatting>
  <conditionalFormatting sqref="C63:D63">
    <cfRule type="expression" dxfId="26" priority="57">
      <formula>IF(AND($E63&lt;&gt;"",#REF!=""),1)</formula>
    </cfRule>
  </conditionalFormatting>
  <conditionalFormatting sqref="B63">
    <cfRule type="expression" dxfId="25" priority="55">
      <formula>IF(AND($E63&lt;&gt;"",#REF!=""),1)</formula>
    </cfRule>
  </conditionalFormatting>
  <conditionalFormatting sqref="D41:D47 D30:D37">
    <cfRule type="expression" dxfId="24" priority="51">
      <formula>IF(AND($E30&lt;&gt;"",#REF!=""),1)</formula>
    </cfRule>
  </conditionalFormatting>
  <conditionalFormatting sqref="D38 D40">
    <cfRule type="expression" dxfId="23" priority="49">
      <formula>IF(AND($E38&lt;&gt;"",#REF!=""),1)</formula>
    </cfRule>
  </conditionalFormatting>
  <conditionalFormatting sqref="D39">
    <cfRule type="expression" dxfId="22" priority="47">
      <formula>IF(AND($E39&lt;&gt;"",#REF!=""),1)</formula>
    </cfRule>
  </conditionalFormatting>
  <conditionalFormatting sqref="D48">
    <cfRule type="expression" dxfId="21" priority="45">
      <formula>IF(AND($E48&lt;&gt;"",#REF!=""),1)</formula>
    </cfRule>
  </conditionalFormatting>
  <conditionalFormatting sqref="A65 C65">
    <cfRule type="expression" dxfId="20" priority="43">
      <formula>IF(AND($E65&lt;&gt;"",#REF!=""),1)</formula>
    </cfRule>
  </conditionalFormatting>
  <conditionalFormatting sqref="B65">
    <cfRule type="expression" dxfId="19" priority="41">
      <formula>IF(AND($E65&lt;&gt;"",#REF!=""),1)</formula>
    </cfRule>
  </conditionalFormatting>
  <conditionalFormatting sqref="D65">
    <cfRule type="expression" dxfId="18" priority="39">
      <formula>IF(AND($E65&lt;&gt;"",#REF!=""),1)</formula>
    </cfRule>
  </conditionalFormatting>
  <conditionalFormatting sqref="C66 A66">
    <cfRule type="expression" dxfId="17" priority="37">
      <formula>IF(AND($E66&lt;&gt;"",#REF!=""),1)</formula>
    </cfRule>
  </conditionalFormatting>
  <conditionalFormatting sqref="B66">
    <cfRule type="expression" dxfId="16" priority="35">
      <formula>IF(AND($E66&lt;&gt;"",#REF!=""),1)</formula>
    </cfRule>
  </conditionalFormatting>
  <conditionalFormatting sqref="N15">
    <cfRule type="expression" dxfId="15" priority="33">
      <formula>IF(AND($E19&lt;&gt;"",#REF!=""),1)</formula>
    </cfRule>
  </conditionalFormatting>
  <conditionalFormatting sqref="A70">
    <cfRule type="expression" dxfId="14" priority="26">
      <formula>IF(AND($E70&lt;&gt;"",#REF!=""),1)</formula>
    </cfRule>
  </conditionalFormatting>
  <conditionalFormatting sqref="G67:L69">
    <cfRule type="expression" dxfId="13" priority="281">
      <formula>IF(AND($E70&lt;&gt;"",#REF!=""),1)</formula>
    </cfRule>
  </conditionalFormatting>
  <conditionalFormatting sqref="A69 C69:F69">
    <cfRule type="expression" dxfId="12" priority="24">
      <formula>IF(AND($E69&lt;&gt;"",#REF!=""),1)</formula>
    </cfRule>
  </conditionalFormatting>
  <conditionalFormatting sqref="B69">
    <cfRule type="expression" dxfId="11" priority="22">
      <formula>IF(AND($E69&lt;&gt;"",#REF!=""),1)</formula>
    </cfRule>
  </conditionalFormatting>
  <conditionalFormatting sqref="C71">
    <cfRule type="expression" dxfId="10" priority="20">
      <formula>IF(AND($E71&lt;&gt;"",#REF!=""),1)</formula>
    </cfRule>
  </conditionalFormatting>
  <conditionalFormatting sqref="B71">
    <cfRule type="expression" dxfId="9" priority="18">
      <formula>IF(AND($E71&lt;&gt;"",#REF!=""),1)</formula>
    </cfRule>
  </conditionalFormatting>
  <conditionalFormatting sqref="A79 C79">
    <cfRule type="expression" dxfId="8" priority="16">
      <formula>IF(AND($E79&lt;&gt;"",#REF!=""),1)</formula>
    </cfRule>
  </conditionalFormatting>
  <conditionalFormatting sqref="B79">
    <cfRule type="expression" dxfId="7" priority="14">
      <formula>IF(AND($E79&lt;&gt;"",#REF!=""),1)</formula>
    </cfRule>
  </conditionalFormatting>
  <conditionalFormatting sqref="C81:F81 A81">
    <cfRule type="expression" dxfId="6" priority="12">
      <formula>IF(AND($E81&lt;&gt;"",#REF!=""),1)</formula>
    </cfRule>
  </conditionalFormatting>
  <conditionalFormatting sqref="B81">
    <cfRule type="expression" dxfId="5" priority="10">
      <formula>IF(AND($E81&lt;&gt;"",#REF!=""),1)</formula>
    </cfRule>
  </conditionalFormatting>
  <conditionalFormatting sqref="B15:F15">
    <cfRule type="expression" dxfId="4" priority="8">
      <formula>IF(AND($E15&lt;&gt;"",#REF!=""),1)</formula>
    </cfRule>
  </conditionalFormatting>
  <conditionalFormatting sqref="G23:L24 G26:L27">
    <cfRule type="expression" dxfId="3" priority="288">
      <formula>IF(AND($E26&lt;&gt;"",#REF!=""),1)</formula>
    </cfRule>
  </conditionalFormatting>
  <conditionalFormatting sqref="B25:D25">
    <cfRule type="expression" dxfId="2" priority="6">
      <formula>IF(AND($E25&lt;&gt;"",#REF!=""),1)</formula>
    </cfRule>
  </conditionalFormatting>
  <conditionalFormatting sqref="G25:L25">
    <cfRule type="expression" dxfId="1" priority="296">
      <formula>IF(AND($E29&lt;&gt;"",#REF!=""),1)</formula>
    </cfRule>
  </conditionalFormatting>
  <conditionalFormatting sqref="B28:D28 F28:H28 J28:L28 P28:R28 T28:V28 X28:Z28 AB28:AD28 AF28:AH28 AJ28:AL28 AN28:AP28 AR28:AT28 AV28:AX28 AZ28:BB28 BD28:BF28 BH28:BJ28 BL28:BN28 BP28:BR28 BT28:BV28 BX28:BZ28 CB28:CD28 CF28:CH28 CJ28:CL28 CN28:CP28 CR28:CT28 CV28:CX28 CZ28:DB28 DD28:DF28 DH28:DJ28 DL28:DN28 DP28:DR28 DT28:DV28 DX28:DZ28 EB28:ED28 EF28:EH28 EJ28:EL28 EN28:EP28 ER28:ET28 EV28:EX28 EZ28:FB28 FD28:FF28 FH28:FJ28 FL28:FN28 FP28:FR28 FT28:FV28 FX28:FZ28 GB28:GD28 GF28:GH28 GJ28:GL28 GN28:GP28 GR28:GT28 GV28:GX28 GZ28:HB28 HD28:HF28 HH28:HJ28 HL28:HN28 HP28:HR28 HT28:HV28 HX28:HZ28 IB28:ID28 IF28:IH28 IJ28:IL28 IN28:IP28 IR28:IT28 IV28:IX28 IZ28:JB28 JD28:JF28 JH28:JJ28 JL28:JN28 JP28:JR28 JT28:JV28 JX28:JZ28 KB28:KD28 KF28:KH28 KJ28:KL28 KN28:KP28 KR28:KT28 KV28:KX28 KZ28:LB28 LD28:LF28 LH28:LJ28 LL28:LN28 LP28:LR28 LT28:LV28 LX28:LZ28 MB28:MD28 MF28:MH28 MJ28:ML28 MN28:MP28 MR28:MT28 MV28:MX28 MZ28:NB28 ND28:NF28 NH28:NJ28 NL28:NN28 NP28:NR28 NT28:NV28 NX28:NZ28 OB28:OD28 OF28:OH28 OJ28:OL28 ON28:OP28 OR28:OT28 OV28:OX28 OZ28:PB28 PD28:PF28 PH28:PJ28 PL28:PN28 PP28:PR28 PT28:PV28 PX28:PZ28 QB28:QD28 QF28:QH28 QJ28:QL28 QN28:QP28 QR28:QT28 QV28:QX28 QZ28:RB28 RD28:RF28 RH28:RJ28 RL28:RN28 RP28:RR28 RT28:RV28 RX28:RZ28 SB28:SD28 SF28:SH28 SJ28:SL28 SN28:SP28 SR28:ST28 SV28:SX28 SZ28:TB28 TD28:TF28 TH28:TJ28 TL28:TN28 TP28:TR28 TT28:TV28 TX28:TZ28 UB28:UD28 UF28:UH28 UJ28:UL28 UN28:UP28 UR28:UT28 UV28:UX28 UZ28:VB28 VD28:VF28 VH28:VJ28 VL28:VN28 VP28:VR28 VT28:VV28 VX28:VZ28 WB28:WD28 WF28:WH28 WJ28:WL28 WN28:WP28 WR28:WT28 WV28:WX28 WZ28:XB28 XD28:XF28 XH28:XJ28 XL28:XN28 XP28:XR28 XT28:XV28 XX28:XZ28 YB28:YD28 YF28:YH28 YJ28:YL28 YN28:YP28 YR28:YT28 YV28:YX28 YZ28:ZB28 ZD28:ZF28 ZH28:ZJ28 ZL28:ZN28 ZP28:ZR28 ZT28:ZV28 ZX28:ZZ28 AAB28:AAD28 AAF28:AAH28 AAJ28:AAL28 AAN28:AAP28 AAR28:AAT28 AAV28:AAX28 AAZ28:ABB28 ABD28:ABF28 ABH28:ABJ28 ABL28:ABN28 ABP28:ABR28 ABT28:ABV28 ABX28:ABZ28 ACB28:ACD28 ACF28:ACH28 ACJ28:ACL28 ACN28:ACP28 ACR28:ACT28 ACV28:ACX28 ACZ28:ADB28 ADD28:ADF28 ADH28:ADJ28 ADL28:ADN28 ADP28:ADR28 ADT28:ADV28 ADX28:ADZ28 AEB28:AED28 AEF28:AEH28 AEJ28:AEL28 AEN28:AEP28 AER28:AET28 AEV28:AEX28 AEZ28:AFB28 AFD28:AFF28 AFH28:AFJ28 AFL28:AFN28 AFP28:AFR28 AFT28:AFV28 AFX28:AFZ28 AGB28:AGD28 AGF28:AGH28 AGJ28:AGL28 AGN28:AGP28 AGR28:AGT28 AGV28:AGX28 AGZ28:AHB28 AHD28:AHF28 AHH28:AHJ28 AHL28:AHN28 AHP28:AHR28 AHT28:AHV28 AHX28:AHZ28 AIB28:AID28 AIF28:AIH28 AIJ28:AIL28 AIN28:AIP28 AIR28:AIT28 AIV28:AIX28 AIZ28:AJB28 AJD28:AJF28 AJH28:AJJ28 AJL28:AJN28 AJP28:AJR28 AJT28:AJV28 AJX28:AJZ28 AKB28:AKD28 AKF28:AKH28 AKJ28:AKL28 AKN28:AKP28 AKR28:AKT28 AKV28:AKX28 AKZ28:ALB28 ALD28:ALF28 ALH28:ALJ28 ALL28:ALN28 ALP28:ALR28 ALT28:ALV28 ALX28:ALZ28 AMB28:AMD28 AMF28:AMH28 AMJ28:AML28 AMN28:AMP28 AMR28:AMT28 AMV28:AMX28 AMZ28:ANB28 AND28:ANF28 ANH28:ANJ28 ANL28:ANN28 ANP28:ANR28 ANT28:ANV28 ANX28:ANZ28 AOB28:AOD28 AOF28:AOH28 AOJ28:AOL28 AON28:AOP28 AOR28:AOT28 AOV28:AOX28 AOZ28:APB28 APD28:APF28 APH28:APJ28 APL28:APN28 APP28:APR28 APT28:APV28 APX28:APZ28 AQB28:AQD28 AQF28:AQH28 AQJ28:AQL28 AQN28:AQP28 AQR28:AQT28 AQV28:AQX28 AQZ28:ARB28 ARD28:ARF28 ARH28:ARJ28 ARL28:ARN28 ARP28:ARR28 ART28:ARV28 ARX28:ARZ28 ASB28:ASD28 ASF28:ASH28 ASJ28:ASL28 ASN28:ASP28 ASR28:AST28 ASV28:ASX28 ASZ28:ATB28 ATD28:ATF28 ATH28:ATJ28 ATL28:ATN28 ATP28:ATR28 ATT28:ATV28 ATX28:ATZ28 AUB28:AUD28 AUF28:AUH28 AUJ28:AUL28 AUN28:AUP28 AUR28:AUT28 AUV28:AUX28 AUZ28:AVB28 AVD28:AVF28 AVH28:AVJ28 AVL28:AVN28 AVP28:AVR28 AVT28:AVV28 AVX28:AVZ28 AWB28:AWD28 AWF28:AWH28 AWJ28:AWL28 AWN28:AWP28 AWR28:AWT28 AWV28:AWX28 AWZ28:AXB28 AXD28:AXF28 AXH28:AXJ28 AXL28:AXN28 AXP28:AXR28 AXT28:AXV28 AXX28:AXZ28 AYB28:AYD28 AYF28:AYH28 AYJ28:AYL28 AYN28:AYP28 AYR28:AYT28 AYV28:AYX28 AYZ28:AZB28 AZD28:AZF28 AZH28:AZJ28 AZL28:AZN28 AZP28:AZR28 AZT28:AZV28 AZX28:AZZ28 BAB28:BAD28 BAF28:BAH28 BAJ28:BAL28 BAN28:BAP28 BAR28:BAT28 BAV28:BAX28 BAZ28:BBB28 BBD28:BBF28 BBH28:BBJ28 BBL28:BBN28 BBP28:BBR28 BBT28:BBV28 BBX28:BBZ28 BCB28:BCD28 BCF28:BCH28 BCJ28:BCL28 BCN28:BCP28 BCR28:BCT28 BCV28:BCX28 BCZ28:BDB28 BDD28:BDF28 BDH28:BDJ28 BDL28:BDN28 BDP28:BDR28 BDT28:BDV28 BDX28:BDZ28 BEB28:BED28 BEF28:BEH28 BEJ28:BEL28 BEN28:BEP28 BER28:BET28 BEV28:BEX28 BEZ28:BFB28 BFD28:BFF28 BFH28:BFJ28 BFL28:BFN28 BFP28:BFR28 BFT28:BFV28 BFX28:BFZ28 BGB28:BGD28 BGF28:BGH28 BGJ28:BGL28 BGN28:BGP28 BGR28:BGT28 BGV28:BGX28 BGZ28:BHB28 BHD28:BHF28 BHH28:BHJ28 BHL28:BHN28 BHP28:BHR28 BHT28:BHV28 BHX28:BHZ28 BIB28:BID28 BIF28:BIH28 BIJ28:BIL28 BIN28:BIP28 BIR28:BIT28 BIV28:BIX28 BIZ28:BJB28 BJD28:BJF28 BJH28:BJJ28 BJL28:BJN28 BJP28:BJR28 BJT28:BJV28 BJX28:BJZ28 BKB28:BKD28 BKF28:BKH28 BKJ28:BKL28 BKN28:BKP28 BKR28:BKT28 BKV28:BKX28 BKZ28:BLB28 BLD28:BLF28 BLH28:BLJ28 BLL28:BLN28 BLP28:BLR28 BLT28:BLV28 BLX28:BLZ28 BMB28:BMD28 BMF28:BMH28 BMJ28:BML28 BMN28:BMP28 BMR28:BMT28 BMV28:BMX28 BMZ28:BNB28 BND28:BNF28 BNH28:BNJ28 BNL28:BNN28 BNP28:BNR28 BNT28:BNV28 BNX28:BNZ28 BOB28:BOD28 BOF28:BOH28 BOJ28:BOL28 BON28:BOP28 BOR28:BOT28 BOV28:BOX28 BOZ28:BPB28 BPD28:BPF28 BPH28:BPJ28 BPL28:BPN28 BPP28:BPR28 BPT28:BPV28 BPX28:BPZ28 BQB28:BQD28 BQF28:BQH28 BQJ28:BQL28 BQN28:BQP28 BQR28:BQT28 BQV28:BQX28 BQZ28:BRB28 BRD28:BRF28 BRH28:BRJ28 BRL28:BRN28 BRP28:BRR28 BRT28:BRV28 BRX28:BRZ28 BSB28:BSD28 BSF28:BSH28 BSJ28:BSL28 BSN28:BSP28 BSR28:BST28 BSV28:BSX28 BSZ28:BTB28 BTD28:BTF28 BTH28:BTJ28 BTL28:BTN28 BTP28:BTR28 BTT28:BTV28 BTX28:BTZ28 BUB28:BUD28 BUF28:BUH28 BUJ28:BUL28 BUN28:BUP28 BUR28:BUT28 BUV28:BUX28 BUZ28:BVB28 BVD28:BVF28 BVH28:BVJ28 BVL28:BVN28 BVP28:BVR28 BVT28:BVV28 BVX28:BVZ28 BWB28:BWD28 BWF28:BWH28 BWJ28:BWL28 BWN28:BWP28 BWR28:BWT28 BWV28:BWX28 BWZ28:BXB28 BXD28:BXF28 BXH28:BXJ28 BXL28:BXN28 BXP28:BXR28 BXT28:BXV28 BXX28:BXZ28 BYB28:BYD28 BYF28:BYH28 BYJ28:BYL28 BYN28:BYP28 BYR28:BYT28 BYV28:BYX28 BYZ28:BZB28 BZD28:BZF28 BZH28:BZJ28 BZL28:BZN28 BZP28:BZR28 BZT28:BZV28 BZX28:BZZ28 CAB28:CAD28 CAF28:CAH28 CAJ28:CAL28 CAN28:CAP28 CAR28:CAT28 CAV28:CAX28 CAZ28:CBB28 CBD28:CBF28 CBH28:CBJ28 CBL28:CBN28 CBP28:CBR28 CBT28:CBV28 CBX28:CBZ28 CCB28:CCD28 CCF28:CCH28 CCJ28:CCL28 CCN28:CCP28 CCR28:CCT28 CCV28:CCX28 CCZ28:CDB28 CDD28:CDF28 CDH28:CDJ28 CDL28:CDN28 CDP28:CDR28 CDT28:CDV28 CDX28:CDZ28 CEB28:CED28 CEF28:CEH28 CEJ28:CEL28 CEN28:CEP28 CER28:CET28 CEV28:CEX28 CEZ28:CFB28 CFD28:CFF28 CFH28:CFJ28 CFL28:CFN28 CFP28:CFR28 CFT28:CFV28 CFX28:CFZ28 CGB28:CGD28 CGF28:CGH28 CGJ28:CGL28 CGN28:CGP28 CGR28:CGT28 CGV28:CGX28 CGZ28:CHB28 CHD28:CHF28 CHH28:CHJ28 CHL28:CHN28 CHP28:CHR28 CHT28:CHV28 CHX28:CHZ28 CIB28:CID28 CIF28:CIH28 CIJ28:CIL28 CIN28:CIP28 CIR28:CIT28 CIV28:CIX28 CIZ28:CJB28 CJD28:CJF28 CJH28:CJJ28 CJL28:CJN28 CJP28:CJR28 CJT28:CJV28 CJX28:CJZ28 CKB28:CKD28 CKF28:CKH28 CKJ28:CKL28 CKN28:CKP28 CKR28:CKT28 CKV28:CKX28 CKZ28:CLB28 CLD28:CLF28 CLH28:CLJ28 CLL28:CLN28 CLP28:CLR28 CLT28:CLV28 CLX28:CLZ28 CMB28:CMD28 CMF28:CMH28 CMJ28:CML28 CMN28:CMP28 CMR28:CMT28 CMV28:CMX28 CMZ28:CNB28 CND28:CNF28 CNH28:CNJ28 CNL28:CNN28 CNP28:CNR28 CNT28:CNV28 CNX28:CNZ28 COB28:COD28 COF28:COH28 COJ28:COL28 CON28:COP28 COR28:COT28 COV28:COX28 COZ28:CPB28 CPD28:CPF28 CPH28:CPJ28 CPL28:CPN28 CPP28:CPR28 CPT28:CPV28 CPX28:CPZ28 CQB28:CQD28 CQF28:CQH28 CQJ28:CQL28 CQN28:CQP28 CQR28:CQT28 CQV28:CQX28 CQZ28:CRB28 CRD28:CRF28 CRH28:CRJ28 CRL28:CRN28 CRP28:CRR28 CRT28:CRV28 CRX28:CRZ28 CSB28:CSD28 CSF28:CSH28 CSJ28:CSL28 CSN28:CSP28 CSR28:CST28 CSV28:CSX28 CSZ28:CTB28 CTD28:CTF28 CTH28:CTJ28 CTL28:CTN28 CTP28:CTR28 CTT28:CTV28 CTX28:CTZ28 CUB28:CUD28 CUF28:CUH28 CUJ28:CUL28 CUN28:CUP28 CUR28:CUT28 CUV28:CUX28 CUZ28:CVB28 CVD28:CVF28 CVH28:CVJ28 CVL28:CVN28 CVP28:CVR28 CVT28:CVV28 CVX28:CVZ28 CWB28:CWD28 CWF28:CWH28 CWJ28:CWL28 CWN28:CWP28 CWR28:CWT28 CWV28:CWX28 CWZ28:CXB28 CXD28:CXF28 CXH28:CXJ28 CXL28:CXN28 CXP28:CXR28 CXT28:CXV28 CXX28:CXZ28 CYB28:CYD28 CYF28:CYH28 CYJ28:CYL28 CYN28:CYP28 CYR28:CYT28 CYV28:CYX28 CYZ28:CZB28 CZD28:CZF28 CZH28:CZJ28 CZL28:CZN28 CZP28:CZR28 CZT28:CZV28 CZX28:CZZ28 DAB28:DAD28 DAF28:DAH28 DAJ28:DAL28 DAN28:DAP28 DAR28:DAT28 DAV28:DAX28 DAZ28:DBB28 DBD28:DBF28 DBH28:DBJ28 DBL28:DBN28 DBP28:DBR28 DBT28:DBV28 DBX28:DBZ28 DCB28:DCD28 DCF28:DCH28 DCJ28:DCL28 DCN28:DCP28 DCR28:DCT28 DCV28:DCX28 DCZ28:DDB28 DDD28:DDF28 DDH28:DDJ28 DDL28:DDN28 DDP28:DDR28 DDT28:DDV28 DDX28:DDZ28 DEB28:DED28 DEF28:DEH28 DEJ28:DEL28 DEN28:DEP28 DER28:DET28 DEV28:DEX28 DEZ28:DFB28 DFD28:DFF28 DFH28:DFJ28 DFL28:DFN28 DFP28:DFR28 DFT28:DFV28 DFX28:DFZ28 DGB28:DGD28 DGF28:DGH28 DGJ28:DGL28 DGN28:DGP28 DGR28:DGT28 DGV28:DGX28 DGZ28:DHB28 DHD28:DHF28 DHH28:DHJ28 DHL28:DHN28 DHP28:DHR28 DHT28:DHV28 DHX28:DHZ28 DIB28:DID28 DIF28:DIH28 DIJ28:DIL28 DIN28:DIP28 DIR28:DIT28 DIV28:DIX28 DIZ28:DJB28 DJD28:DJF28 DJH28:DJJ28 DJL28:DJN28 DJP28:DJR28 DJT28:DJV28 DJX28:DJZ28 DKB28:DKD28 DKF28:DKH28 DKJ28:DKL28 DKN28:DKP28 DKR28:DKT28 DKV28:DKX28 DKZ28:DLB28 DLD28:DLF28 DLH28:DLJ28 DLL28:DLN28 DLP28:DLR28 DLT28:DLV28 DLX28:DLZ28 DMB28:DMD28 DMF28:DMH28 DMJ28:DML28 DMN28:DMP28 DMR28:DMT28 DMV28:DMX28 DMZ28:DNB28 DND28:DNF28 DNH28:DNJ28 DNL28:DNN28 DNP28:DNR28 DNT28:DNV28 DNX28:DNZ28 DOB28:DOD28 DOF28:DOH28 DOJ28:DOL28 DON28:DOP28 DOR28:DOT28 DOV28:DOX28 DOZ28:DPB28 DPD28:DPF28 DPH28:DPJ28 DPL28:DPN28 DPP28:DPR28 DPT28:DPV28 DPX28:DPZ28 DQB28:DQD28 DQF28:DQH28 DQJ28:DQL28 DQN28:DQP28 DQR28:DQT28 DQV28:DQX28 DQZ28:DRB28 DRD28:DRF28 DRH28:DRJ28 DRL28:DRN28 DRP28:DRR28 DRT28:DRV28 DRX28:DRZ28 DSB28:DSD28 DSF28:DSH28 DSJ28:DSL28 DSN28:DSP28 DSR28:DST28 DSV28:DSX28 DSZ28:DTB28 DTD28:DTF28 DTH28:DTJ28 DTL28:DTN28 DTP28:DTR28 DTT28:DTV28 DTX28:DTZ28 DUB28:DUD28 DUF28:DUH28 DUJ28:DUL28 DUN28:DUP28 DUR28:DUT28 DUV28:DUX28 DUZ28:DVB28 DVD28:DVF28 DVH28:DVJ28 DVL28:DVN28 DVP28:DVR28 DVT28:DVV28 DVX28:DVZ28 DWB28:DWD28 DWF28:DWH28 DWJ28:DWL28 DWN28:DWP28 DWR28:DWT28 DWV28:DWX28 DWZ28:DXB28 DXD28:DXF28 DXH28:DXJ28 DXL28:DXN28 DXP28:DXR28 DXT28:DXV28 DXX28:DXZ28 DYB28:DYD28 DYF28:DYH28 DYJ28:DYL28 DYN28:DYP28 DYR28:DYT28 DYV28:DYX28 DYZ28:DZB28 DZD28:DZF28 DZH28:DZJ28 DZL28:DZN28 DZP28:DZR28 DZT28:DZV28 DZX28:DZZ28 EAB28:EAD28 EAF28:EAH28 EAJ28:EAL28 EAN28:EAP28 EAR28:EAT28 EAV28:EAX28 EAZ28:EBB28 EBD28:EBF28 EBH28:EBJ28 EBL28:EBN28 EBP28:EBR28 EBT28:EBV28 EBX28:EBZ28 ECB28:ECD28 ECF28:ECH28 ECJ28:ECL28 ECN28:ECP28 ECR28:ECT28 ECV28:ECX28 ECZ28:EDB28 EDD28:EDF28 EDH28:EDJ28 EDL28:EDN28 EDP28:EDR28 EDT28:EDV28 EDX28:EDZ28 EEB28:EED28 EEF28:EEH28 EEJ28:EEL28 EEN28:EEP28 EER28:EET28 EEV28:EEX28 EEZ28:EFB28 EFD28:EFF28 EFH28:EFJ28 EFL28:EFN28 EFP28:EFR28 EFT28:EFV28 EFX28:EFZ28 EGB28:EGD28 EGF28:EGH28 EGJ28:EGL28 EGN28:EGP28 EGR28:EGT28 EGV28:EGX28 EGZ28:EHB28 EHD28:EHF28 EHH28:EHJ28 EHL28:EHN28 EHP28:EHR28 EHT28:EHV28 EHX28:EHZ28 EIB28:EID28 EIF28:EIH28 EIJ28:EIL28 EIN28:EIP28 EIR28:EIT28 EIV28:EIX28 EIZ28:EJB28 EJD28:EJF28 EJH28:EJJ28 EJL28:EJN28 EJP28:EJR28 EJT28:EJV28 EJX28:EJZ28 EKB28:EKD28 EKF28:EKH28 EKJ28:EKL28 EKN28:EKP28 EKR28:EKT28 EKV28:EKX28 EKZ28:ELB28 ELD28:ELF28 ELH28:ELJ28 ELL28:ELN28 ELP28:ELR28 ELT28:ELV28 ELX28:ELZ28 EMB28:EMD28 EMF28:EMH28 EMJ28:EML28 EMN28:EMP28 EMR28:EMT28 EMV28:EMX28 EMZ28:ENB28 END28:ENF28 ENH28:ENJ28 ENL28:ENN28 ENP28:ENR28 ENT28:ENV28 ENX28:ENZ28 EOB28:EOD28 EOF28:EOH28 EOJ28:EOL28 EON28:EOP28 EOR28:EOT28 EOV28:EOX28 EOZ28:EPB28 EPD28:EPF28 EPH28:EPJ28 EPL28:EPN28 EPP28:EPR28 EPT28:EPV28 EPX28:EPZ28 EQB28:EQD28 EQF28:EQH28 EQJ28:EQL28 EQN28:EQP28 EQR28:EQT28 EQV28:EQX28 EQZ28:ERB28 ERD28:ERF28 ERH28:ERJ28 ERL28:ERN28 ERP28:ERR28 ERT28:ERV28 ERX28:ERZ28 ESB28:ESD28 ESF28:ESH28 ESJ28:ESL28 ESN28:ESP28 ESR28:EST28 ESV28:ESX28 ESZ28:ETB28 ETD28:ETF28 ETH28:ETJ28 ETL28:ETN28 ETP28:ETR28 ETT28:ETV28 ETX28:ETZ28 EUB28:EUD28 EUF28:EUH28 EUJ28:EUL28 EUN28:EUP28 EUR28:EUT28 EUV28:EUX28 EUZ28:EVB28 EVD28:EVF28 EVH28:EVJ28 EVL28:EVN28 EVP28:EVR28 EVT28:EVV28 EVX28:EVZ28 EWB28:EWD28 EWF28:EWH28 EWJ28:EWL28 EWN28:EWP28 EWR28:EWT28 EWV28:EWX28 EWZ28:EXB28 EXD28:EXF28 EXH28:EXJ28 EXL28:EXN28 EXP28:EXR28 EXT28:EXV28 EXX28:EXZ28 EYB28:EYD28 EYF28:EYH28 EYJ28:EYL28 EYN28:EYP28 EYR28:EYT28 EYV28:EYX28 EYZ28:EZB28 EZD28:EZF28 EZH28:EZJ28 EZL28:EZN28 EZP28:EZR28 EZT28:EZV28 EZX28:EZZ28 FAB28:FAD28 FAF28:FAH28 FAJ28:FAL28 FAN28:FAP28 FAR28:FAT28 FAV28:FAX28 FAZ28:FBB28 FBD28:FBF28 FBH28:FBJ28 FBL28:FBN28 FBP28:FBR28 FBT28:FBV28 FBX28:FBZ28 FCB28:FCD28 FCF28:FCH28 FCJ28:FCL28 FCN28:FCP28 FCR28:FCT28 FCV28:FCX28 FCZ28:FDB28 FDD28:FDF28 FDH28:FDJ28 FDL28:FDN28 FDP28:FDR28 FDT28:FDV28 FDX28:FDZ28 FEB28:FED28 FEF28:FEH28 FEJ28:FEL28 FEN28:FEP28 FER28:FET28 FEV28:FEX28 FEZ28:FFB28 FFD28:FFF28 FFH28:FFJ28 FFL28:FFN28 FFP28:FFR28 FFT28:FFV28 FFX28:FFZ28 FGB28:FGD28 FGF28:FGH28 FGJ28:FGL28 FGN28:FGP28 FGR28:FGT28 FGV28:FGX28 FGZ28:FHB28 FHD28:FHF28 FHH28:FHJ28 FHL28:FHN28 FHP28:FHR28 FHT28:FHV28 FHX28:FHZ28 FIB28:FID28 FIF28:FIH28 FIJ28:FIL28 FIN28:FIP28 FIR28:FIT28 FIV28:FIX28 FIZ28:FJB28 FJD28:FJF28 FJH28:FJJ28 FJL28:FJN28 FJP28:FJR28 FJT28:FJV28 FJX28:FJZ28 FKB28:FKD28 FKF28:FKH28 FKJ28:FKL28 FKN28:FKP28 FKR28:FKT28 FKV28:FKX28 FKZ28:FLB28 FLD28:FLF28 FLH28:FLJ28 FLL28:FLN28 FLP28:FLR28 FLT28:FLV28 FLX28:FLZ28 FMB28:FMD28 FMF28:FMH28 FMJ28:FML28 FMN28:FMP28 FMR28:FMT28 FMV28:FMX28 FMZ28:FNB28 FND28:FNF28 FNH28:FNJ28 FNL28:FNN28 FNP28:FNR28 FNT28:FNV28 FNX28:FNZ28 FOB28:FOD28 FOF28:FOH28 FOJ28:FOL28 FON28:FOP28 FOR28:FOT28 FOV28:FOX28 FOZ28:FPB28 FPD28:FPF28 FPH28:FPJ28 FPL28:FPN28 FPP28:FPR28 FPT28:FPV28 FPX28:FPZ28 FQB28:FQD28 FQF28:FQH28 FQJ28:FQL28 FQN28:FQP28 FQR28:FQT28 FQV28:FQX28 FQZ28:FRB28 FRD28:FRF28 FRH28:FRJ28 FRL28:FRN28 FRP28:FRR28 FRT28:FRV28 FRX28:FRZ28 FSB28:FSD28 FSF28:FSH28 FSJ28:FSL28 FSN28:FSP28 FSR28:FST28 FSV28:FSX28 FSZ28:FTB28 FTD28:FTF28 FTH28:FTJ28 FTL28:FTN28 FTP28:FTR28 FTT28:FTV28 FTX28:FTZ28 FUB28:FUD28 FUF28:FUH28 FUJ28:FUL28 FUN28:FUP28 FUR28:FUT28 FUV28:FUX28 FUZ28:FVB28 FVD28:FVF28 FVH28:FVJ28 FVL28:FVN28 FVP28:FVR28 FVT28:FVV28 FVX28:FVZ28 FWB28:FWD28 FWF28:FWH28 FWJ28:FWL28 FWN28:FWP28 FWR28:FWT28 FWV28:FWX28 FWZ28:FXB28 FXD28:FXF28 FXH28:FXJ28 FXL28:FXN28 FXP28:FXR28 FXT28:FXV28 FXX28:FXZ28 FYB28:FYD28 FYF28:FYH28 FYJ28:FYL28 FYN28:FYP28 FYR28:FYT28 FYV28:FYX28 FYZ28:FZB28 FZD28:FZF28 FZH28:FZJ28 FZL28:FZN28 FZP28:FZR28 FZT28:FZV28 FZX28:FZZ28 GAB28:GAD28 GAF28:GAH28 GAJ28:GAL28 GAN28:GAP28 GAR28:GAT28 GAV28:GAX28 GAZ28:GBB28 GBD28:GBF28 GBH28:GBJ28 GBL28:GBN28 GBP28:GBR28 GBT28:GBV28 GBX28:GBZ28 GCB28:GCD28 GCF28:GCH28 GCJ28:GCL28 GCN28:GCP28 GCR28:GCT28 GCV28:GCX28 GCZ28:GDB28 GDD28:GDF28 GDH28:GDJ28 GDL28:GDN28 GDP28:GDR28 GDT28:GDV28 GDX28:GDZ28 GEB28:GED28 GEF28:GEH28 GEJ28:GEL28 GEN28:GEP28 GER28:GET28 GEV28:GEX28 GEZ28:GFB28 GFD28:GFF28 GFH28:GFJ28 GFL28:GFN28 GFP28:GFR28 GFT28:GFV28 GFX28:GFZ28 GGB28:GGD28 GGF28:GGH28 GGJ28:GGL28 GGN28:GGP28 GGR28:GGT28 GGV28:GGX28 GGZ28:GHB28 GHD28:GHF28 GHH28:GHJ28 GHL28:GHN28 GHP28:GHR28 GHT28:GHV28 GHX28:GHZ28 GIB28:GID28 GIF28:GIH28 GIJ28:GIL28 GIN28:GIP28 GIR28:GIT28 GIV28:GIX28 GIZ28:GJB28 GJD28:GJF28 GJH28:GJJ28 GJL28:GJN28 GJP28:GJR28 GJT28:GJV28 GJX28:GJZ28 GKB28:GKD28 GKF28:GKH28 GKJ28:GKL28 GKN28:GKP28 GKR28:GKT28 GKV28:GKX28 GKZ28:GLB28 GLD28:GLF28 GLH28:GLJ28 GLL28:GLN28 GLP28:GLR28 GLT28:GLV28 GLX28:GLZ28 GMB28:GMD28 GMF28:GMH28 GMJ28:GML28 GMN28:GMP28 GMR28:GMT28 GMV28:GMX28 GMZ28:GNB28 GND28:GNF28 GNH28:GNJ28 GNL28:GNN28 GNP28:GNR28 GNT28:GNV28 GNX28:GNZ28 GOB28:GOD28 GOF28:GOH28 GOJ28:GOL28 GON28:GOP28 GOR28:GOT28 GOV28:GOX28 GOZ28:GPB28 GPD28:GPF28 GPH28:GPJ28 GPL28:GPN28 GPP28:GPR28 GPT28:GPV28 GPX28:GPZ28 GQB28:GQD28 GQF28:GQH28 GQJ28:GQL28 GQN28:GQP28 GQR28:GQT28 GQV28:GQX28 GQZ28:GRB28 GRD28:GRF28 GRH28:GRJ28 GRL28:GRN28 GRP28:GRR28 GRT28:GRV28 GRX28:GRZ28 GSB28:GSD28 GSF28:GSH28 GSJ28:GSL28 GSN28:GSP28 GSR28:GST28 GSV28:GSX28 GSZ28:GTB28 GTD28:GTF28 GTH28:GTJ28 GTL28:GTN28 GTP28:GTR28 GTT28:GTV28 GTX28:GTZ28 GUB28:GUD28 GUF28:GUH28 GUJ28:GUL28 GUN28:GUP28 GUR28:GUT28 GUV28:GUX28 GUZ28:GVB28 GVD28:GVF28 GVH28:GVJ28 GVL28:GVN28 GVP28:GVR28 GVT28:GVV28 GVX28:GVZ28 GWB28:GWD28 GWF28:GWH28 GWJ28:GWL28 GWN28:GWP28 GWR28:GWT28 GWV28:GWX28 GWZ28:GXB28 GXD28:GXF28 GXH28:GXJ28 GXL28:GXN28 GXP28:GXR28 GXT28:GXV28 GXX28:GXZ28 GYB28:GYD28 GYF28:GYH28 GYJ28:GYL28 GYN28:GYP28 GYR28:GYT28 GYV28:GYX28 GYZ28:GZB28 GZD28:GZF28 GZH28:GZJ28 GZL28:GZN28 GZP28:GZR28 GZT28:GZV28 GZX28:GZZ28 HAB28:HAD28 HAF28:HAH28 HAJ28:HAL28 HAN28:HAP28 HAR28:HAT28 HAV28:HAX28 HAZ28:HBB28 HBD28:HBF28 HBH28:HBJ28 HBL28:HBN28 HBP28:HBR28 HBT28:HBV28 HBX28:HBZ28 HCB28:HCD28 HCF28:HCH28 HCJ28:HCL28 HCN28:HCP28 HCR28:HCT28 HCV28:HCX28 HCZ28:HDB28 HDD28:HDF28 HDH28:HDJ28 HDL28:HDN28 HDP28:HDR28 HDT28:HDV28 HDX28:HDZ28 HEB28:HED28 HEF28:HEH28 HEJ28:HEL28 HEN28:HEP28 HER28:HET28 HEV28:HEX28 HEZ28:HFB28 HFD28:HFF28 HFH28:HFJ28 HFL28:HFN28 HFP28:HFR28 HFT28:HFV28 HFX28:HFZ28 HGB28:HGD28 HGF28:HGH28 HGJ28:HGL28 HGN28:HGP28 HGR28:HGT28 HGV28:HGX28 HGZ28:HHB28 HHD28:HHF28 HHH28:HHJ28 HHL28:HHN28 HHP28:HHR28 HHT28:HHV28 HHX28:HHZ28 HIB28:HID28 HIF28:HIH28 HIJ28:HIL28 HIN28:HIP28 HIR28:HIT28 HIV28:HIX28 HIZ28:HJB28 HJD28:HJF28 HJH28:HJJ28 HJL28:HJN28 HJP28:HJR28 HJT28:HJV28 HJX28:HJZ28 HKB28:HKD28 HKF28:HKH28 HKJ28:HKL28 HKN28:HKP28 HKR28:HKT28 HKV28:HKX28 HKZ28:HLB28 HLD28:HLF28 HLH28:HLJ28 HLL28:HLN28 HLP28:HLR28 HLT28:HLV28 HLX28:HLZ28 HMB28:HMD28 HMF28:HMH28 HMJ28:HML28 HMN28:HMP28 HMR28:HMT28 HMV28:HMX28 HMZ28:HNB28 HND28:HNF28 HNH28:HNJ28 HNL28:HNN28 HNP28:HNR28 HNT28:HNV28 HNX28:HNZ28 HOB28:HOD28 HOF28:HOH28 HOJ28:HOL28 HON28:HOP28 HOR28:HOT28 HOV28:HOX28 HOZ28:HPB28 HPD28:HPF28 HPH28:HPJ28 HPL28:HPN28 HPP28:HPR28 HPT28:HPV28 HPX28:HPZ28 HQB28:HQD28 HQF28:HQH28 HQJ28:HQL28 HQN28:HQP28 HQR28:HQT28 HQV28:HQX28 HQZ28:HRB28 HRD28:HRF28 HRH28:HRJ28 HRL28:HRN28 HRP28:HRR28 HRT28:HRV28 HRX28:HRZ28 HSB28:HSD28 HSF28:HSH28 HSJ28:HSL28 HSN28:HSP28 HSR28:HST28 HSV28:HSX28 HSZ28:HTB28 HTD28:HTF28 HTH28:HTJ28 HTL28:HTN28 HTP28:HTR28 HTT28:HTV28 HTX28:HTZ28 HUB28:HUD28 HUF28:HUH28 HUJ28:HUL28 HUN28:HUP28 HUR28:HUT28 HUV28:HUX28 HUZ28:HVB28 HVD28:HVF28 HVH28:HVJ28 HVL28:HVN28 HVP28:HVR28 HVT28:HVV28 HVX28:HVZ28 HWB28:HWD28 HWF28:HWH28 HWJ28:HWL28 HWN28:HWP28 HWR28:HWT28 HWV28:HWX28 HWZ28:HXB28 HXD28:HXF28 HXH28:HXJ28 HXL28:HXN28 HXP28:HXR28 HXT28:HXV28 HXX28:HXZ28 HYB28:HYD28 HYF28:HYH28 HYJ28:HYL28 HYN28:HYP28 HYR28:HYT28 HYV28:HYX28 HYZ28:HZB28 HZD28:HZF28 HZH28:HZJ28 HZL28:HZN28 HZP28:HZR28 HZT28:HZV28 HZX28:HZZ28 IAB28:IAD28 IAF28:IAH28 IAJ28:IAL28 IAN28:IAP28 IAR28:IAT28 IAV28:IAX28 IAZ28:IBB28 IBD28:IBF28 IBH28:IBJ28 IBL28:IBN28 IBP28:IBR28 IBT28:IBV28 IBX28:IBZ28 ICB28:ICD28 ICF28:ICH28 ICJ28:ICL28 ICN28:ICP28 ICR28:ICT28 ICV28:ICX28 ICZ28:IDB28 IDD28:IDF28 IDH28:IDJ28 IDL28:IDN28 IDP28:IDR28 IDT28:IDV28 IDX28:IDZ28 IEB28:IED28 IEF28:IEH28 IEJ28:IEL28 IEN28:IEP28 IER28:IET28 IEV28:IEX28 IEZ28:IFB28 IFD28:IFF28 IFH28:IFJ28 IFL28:IFN28 IFP28:IFR28 IFT28:IFV28 IFX28:IFZ28 IGB28:IGD28 IGF28:IGH28 IGJ28:IGL28 IGN28:IGP28 IGR28:IGT28 IGV28:IGX28 IGZ28:IHB28 IHD28:IHF28 IHH28:IHJ28 IHL28:IHN28 IHP28:IHR28 IHT28:IHV28 IHX28:IHZ28 IIB28:IID28 IIF28:IIH28 IIJ28:IIL28 IIN28:IIP28 IIR28:IIT28 IIV28:IIX28 IIZ28:IJB28 IJD28:IJF28 IJH28:IJJ28 IJL28:IJN28 IJP28:IJR28 IJT28:IJV28 IJX28:IJZ28 IKB28:IKD28 IKF28:IKH28 IKJ28:IKL28 IKN28:IKP28 IKR28:IKT28 IKV28:IKX28 IKZ28:ILB28 ILD28:ILF28 ILH28:ILJ28 ILL28:ILN28 ILP28:ILR28 ILT28:ILV28 ILX28:ILZ28 IMB28:IMD28 IMF28:IMH28 IMJ28:IML28 IMN28:IMP28 IMR28:IMT28 IMV28:IMX28 IMZ28:INB28 IND28:INF28 INH28:INJ28 INL28:INN28 INP28:INR28 INT28:INV28 INX28:INZ28 IOB28:IOD28 IOF28:IOH28 IOJ28:IOL28 ION28:IOP28 IOR28:IOT28 IOV28:IOX28 IOZ28:IPB28 IPD28:IPF28 IPH28:IPJ28 IPL28:IPN28 IPP28:IPR28 IPT28:IPV28 IPX28:IPZ28 IQB28:IQD28 IQF28:IQH28 IQJ28:IQL28 IQN28:IQP28 IQR28:IQT28 IQV28:IQX28 IQZ28:IRB28 IRD28:IRF28 IRH28:IRJ28 IRL28:IRN28 IRP28:IRR28 IRT28:IRV28 IRX28:IRZ28 ISB28:ISD28 ISF28:ISH28 ISJ28:ISL28 ISN28:ISP28 ISR28:IST28 ISV28:ISX28 ISZ28:ITB28 ITD28:ITF28 ITH28:ITJ28 ITL28:ITN28 ITP28:ITR28 ITT28:ITV28 ITX28:ITZ28 IUB28:IUD28 IUF28:IUH28 IUJ28:IUL28 IUN28:IUP28 IUR28:IUT28 IUV28:IUX28 IUZ28:IVB28 IVD28:IVF28 IVH28:IVJ28 IVL28:IVN28 IVP28:IVR28 IVT28:IVV28 IVX28:IVZ28 IWB28:IWD28 IWF28:IWH28 IWJ28:IWL28 IWN28:IWP28 IWR28:IWT28 IWV28:IWX28 IWZ28:IXB28 IXD28:IXF28 IXH28:IXJ28 IXL28:IXN28 IXP28:IXR28 IXT28:IXV28 IXX28:IXZ28 IYB28:IYD28 IYF28:IYH28 IYJ28:IYL28 IYN28:IYP28 IYR28:IYT28 IYV28:IYX28 IYZ28:IZB28 IZD28:IZF28 IZH28:IZJ28 IZL28:IZN28 IZP28:IZR28 IZT28:IZV28 IZX28:IZZ28 JAB28:JAD28 JAF28:JAH28 JAJ28:JAL28 JAN28:JAP28 JAR28:JAT28 JAV28:JAX28 JAZ28:JBB28 JBD28:JBF28 JBH28:JBJ28 JBL28:JBN28 JBP28:JBR28 JBT28:JBV28 JBX28:JBZ28 JCB28:JCD28 JCF28:JCH28 JCJ28:JCL28 JCN28:JCP28 JCR28:JCT28 JCV28:JCX28 JCZ28:JDB28 JDD28:JDF28 JDH28:JDJ28 JDL28:JDN28 JDP28:JDR28 JDT28:JDV28 JDX28:JDZ28 JEB28:JED28 JEF28:JEH28 JEJ28:JEL28 JEN28:JEP28 JER28:JET28 JEV28:JEX28 JEZ28:JFB28 JFD28:JFF28 JFH28:JFJ28 JFL28:JFN28 JFP28:JFR28 JFT28:JFV28 JFX28:JFZ28 JGB28:JGD28 JGF28:JGH28 JGJ28:JGL28 JGN28:JGP28 JGR28:JGT28 JGV28:JGX28 JGZ28:JHB28 JHD28:JHF28 JHH28:JHJ28 JHL28:JHN28 JHP28:JHR28 JHT28:JHV28 JHX28:JHZ28 JIB28:JID28 JIF28:JIH28 JIJ28:JIL28 JIN28:JIP28 JIR28:JIT28 JIV28:JIX28 JIZ28:JJB28 JJD28:JJF28 JJH28:JJJ28 JJL28:JJN28 JJP28:JJR28 JJT28:JJV28 JJX28:JJZ28 JKB28:JKD28 JKF28:JKH28 JKJ28:JKL28 JKN28:JKP28 JKR28:JKT28 JKV28:JKX28 JKZ28:JLB28 JLD28:JLF28 JLH28:JLJ28 JLL28:JLN28 JLP28:JLR28 JLT28:JLV28 JLX28:JLZ28 JMB28:JMD28 JMF28:JMH28 JMJ28:JML28 JMN28:JMP28 JMR28:JMT28 JMV28:JMX28 JMZ28:JNB28 JND28:JNF28 JNH28:JNJ28 JNL28:JNN28 JNP28:JNR28 JNT28:JNV28 JNX28:JNZ28 JOB28:JOD28 JOF28:JOH28 JOJ28:JOL28 JON28:JOP28 JOR28:JOT28 JOV28:JOX28 JOZ28:JPB28 JPD28:JPF28 JPH28:JPJ28 JPL28:JPN28 JPP28:JPR28 JPT28:JPV28 JPX28:JPZ28 JQB28:JQD28 JQF28:JQH28 JQJ28:JQL28 JQN28:JQP28 JQR28:JQT28 JQV28:JQX28 JQZ28:JRB28 JRD28:JRF28 JRH28:JRJ28 JRL28:JRN28 JRP28:JRR28 JRT28:JRV28 JRX28:JRZ28 JSB28:JSD28 JSF28:JSH28 JSJ28:JSL28 JSN28:JSP28 JSR28:JST28 JSV28:JSX28 JSZ28:JTB28 JTD28:JTF28 JTH28:JTJ28 JTL28:JTN28 JTP28:JTR28 JTT28:JTV28 JTX28:JTZ28 JUB28:JUD28 JUF28:JUH28 JUJ28:JUL28 JUN28:JUP28 JUR28:JUT28 JUV28:JUX28 JUZ28:JVB28 JVD28:JVF28 JVH28:JVJ28 JVL28:JVN28 JVP28:JVR28 JVT28:JVV28 JVX28:JVZ28 JWB28:JWD28 JWF28:JWH28 JWJ28:JWL28 JWN28:JWP28 JWR28:JWT28 JWV28:JWX28 JWZ28:JXB28 JXD28:JXF28 JXH28:JXJ28 JXL28:JXN28 JXP28:JXR28 JXT28:JXV28 JXX28:JXZ28 JYB28:JYD28 JYF28:JYH28 JYJ28:JYL28 JYN28:JYP28 JYR28:JYT28 JYV28:JYX28 JYZ28:JZB28 JZD28:JZF28 JZH28:JZJ28 JZL28:JZN28 JZP28:JZR28 JZT28:JZV28 JZX28:JZZ28 KAB28:KAD28 KAF28:KAH28 KAJ28:KAL28 KAN28:KAP28 KAR28:KAT28 KAV28:KAX28 KAZ28:KBB28 KBD28:KBF28 KBH28:KBJ28 KBL28:KBN28 KBP28:KBR28 KBT28:KBV28 KBX28:KBZ28 KCB28:KCD28 KCF28:KCH28 KCJ28:KCL28 KCN28:KCP28 KCR28:KCT28 KCV28:KCX28 KCZ28:KDB28 KDD28:KDF28 KDH28:KDJ28 KDL28:KDN28 KDP28:KDR28 KDT28:KDV28 KDX28:KDZ28 KEB28:KED28 KEF28:KEH28 KEJ28:KEL28 KEN28:KEP28 KER28:KET28 KEV28:KEX28 KEZ28:KFB28 KFD28:KFF28 KFH28:KFJ28 KFL28:KFN28 KFP28:KFR28 KFT28:KFV28 KFX28:KFZ28 KGB28:KGD28 KGF28:KGH28 KGJ28:KGL28 KGN28:KGP28 KGR28:KGT28 KGV28:KGX28 KGZ28:KHB28 KHD28:KHF28 KHH28:KHJ28 KHL28:KHN28 KHP28:KHR28 KHT28:KHV28 KHX28:KHZ28 KIB28:KID28 KIF28:KIH28 KIJ28:KIL28 KIN28:KIP28 KIR28:KIT28 KIV28:KIX28 KIZ28:KJB28 KJD28:KJF28 KJH28:KJJ28 KJL28:KJN28 KJP28:KJR28 KJT28:KJV28 KJX28:KJZ28 KKB28:KKD28 KKF28:KKH28 KKJ28:KKL28 KKN28:KKP28 KKR28:KKT28 KKV28:KKX28 KKZ28:KLB28 KLD28:KLF28 KLH28:KLJ28 KLL28:KLN28 KLP28:KLR28 KLT28:KLV28 KLX28:KLZ28 KMB28:KMD28 KMF28:KMH28 KMJ28:KML28 KMN28:KMP28 KMR28:KMT28 KMV28:KMX28 KMZ28:KNB28 KND28:KNF28 KNH28:KNJ28 KNL28:KNN28 KNP28:KNR28 KNT28:KNV28 KNX28:KNZ28 KOB28:KOD28 KOF28:KOH28 KOJ28:KOL28 KON28:KOP28 KOR28:KOT28 KOV28:KOX28 KOZ28:KPB28 KPD28:KPF28 KPH28:KPJ28 KPL28:KPN28 KPP28:KPR28 KPT28:KPV28 KPX28:KPZ28 KQB28:KQD28 KQF28:KQH28 KQJ28:KQL28 KQN28:KQP28 KQR28:KQT28 KQV28:KQX28 KQZ28:KRB28 KRD28:KRF28 KRH28:KRJ28 KRL28:KRN28 KRP28:KRR28 KRT28:KRV28 KRX28:KRZ28 KSB28:KSD28 KSF28:KSH28 KSJ28:KSL28 KSN28:KSP28 KSR28:KST28 KSV28:KSX28 KSZ28:KTB28 KTD28:KTF28 KTH28:KTJ28 KTL28:KTN28 KTP28:KTR28 KTT28:KTV28 KTX28:KTZ28 KUB28:KUD28 KUF28:KUH28 KUJ28:KUL28 KUN28:KUP28 KUR28:KUT28 KUV28:KUX28 KUZ28:KVB28 KVD28:KVF28 KVH28:KVJ28 KVL28:KVN28 KVP28:KVR28 KVT28:KVV28 KVX28:KVZ28 KWB28:KWD28 KWF28:KWH28 KWJ28:KWL28 KWN28:KWP28 KWR28:KWT28 KWV28:KWX28 KWZ28:KXB28 KXD28:KXF28 KXH28:KXJ28 KXL28:KXN28 KXP28:KXR28 KXT28:KXV28 KXX28:KXZ28 KYB28:KYD28 KYF28:KYH28 KYJ28:KYL28 KYN28:KYP28 KYR28:KYT28 KYV28:KYX28 KYZ28:KZB28 KZD28:KZF28 KZH28:KZJ28 KZL28:KZN28 KZP28:KZR28 KZT28:KZV28 KZX28:KZZ28 LAB28:LAD28 LAF28:LAH28 LAJ28:LAL28 LAN28:LAP28 LAR28:LAT28 LAV28:LAX28 LAZ28:LBB28 LBD28:LBF28 LBH28:LBJ28 LBL28:LBN28 LBP28:LBR28 LBT28:LBV28 LBX28:LBZ28 LCB28:LCD28 LCF28:LCH28 LCJ28:LCL28 LCN28:LCP28 LCR28:LCT28 LCV28:LCX28 LCZ28:LDB28 LDD28:LDF28 LDH28:LDJ28 LDL28:LDN28 LDP28:LDR28 LDT28:LDV28 LDX28:LDZ28 LEB28:LED28 LEF28:LEH28 LEJ28:LEL28 LEN28:LEP28 LER28:LET28 LEV28:LEX28 LEZ28:LFB28 LFD28:LFF28 LFH28:LFJ28 LFL28:LFN28 LFP28:LFR28 LFT28:LFV28 LFX28:LFZ28 LGB28:LGD28 LGF28:LGH28 LGJ28:LGL28 LGN28:LGP28 LGR28:LGT28 LGV28:LGX28 LGZ28:LHB28 LHD28:LHF28 LHH28:LHJ28 LHL28:LHN28 LHP28:LHR28 LHT28:LHV28 LHX28:LHZ28 LIB28:LID28 LIF28:LIH28 LIJ28:LIL28 LIN28:LIP28 LIR28:LIT28 LIV28:LIX28 LIZ28:LJB28 LJD28:LJF28 LJH28:LJJ28 LJL28:LJN28 LJP28:LJR28 LJT28:LJV28 LJX28:LJZ28 LKB28:LKD28 LKF28:LKH28 LKJ28:LKL28 LKN28:LKP28 LKR28:LKT28 LKV28:LKX28 LKZ28:LLB28 LLD28:LLF28 LLH28:LLJ28 LLL28:LLN28 LLP28:LLR28 LLT28:LLV28 LLX28:LLZ28 LMB28:LMD28 LMF28:LMH28 LMJ28:LML28 LMN28:LMP28 LMR28:LMT28 LMV28:LMX28 LMZ28:LNB28 LND28:LNF28 LNH28:LNJ28 LNL28:LNN28 LNP28:LNR28 LNT28:LNV28 LNX28:LNZ28 LOB28:LOD28 LOF28:LOH28 LOJ28:LOL28 LON28:LOP28 LOR28:LOT28 LOV28:LOX28 LOZ28:LPB28 LPD28:LPF28 LPH28:LPJ28 LPL28:LPN28 LPP28:LPR28 LPT28:LPV28 LPX28:LPZ28 LQB28:LQD28 LQF28:LQH28 LQJ28:LQL28 LQN28:LQP28 LQR28:LQT28 LQV28:LQX28 LQZ28:LRB28 LRD28:LRF28 LRH28:LRJ28 LRL28:LRN28 LRP28:LRR28 LRT28:LRV28 LRX28:LRZ28 LSB28:LSD28 LSF28:LSH28 LSJ28:LSL28 LSN28:LSP28 LSR28:LST28 LSV28:LSX28 LSZ28:LTB28 LTD28:LTF28 LTH28:LTJ28 LTL28:LTN28 LTP28:LTR28 LTT28:LTV28 LTX28:LTZ28 LUB28:LUD28 LUF28:LUH28 LUJ28:LUL28 LUN28:LUP28 LUR28:LUT28 LUV28:LUX28 LUZ28:LVB28 LVD28:LVF28 LVH28:LVJ28 LVL28:LVN28 LVP28:LVR28 LVT28:LVV28 LVX28:LVZ28 LWB28:LWD28 LWF28:LWH28 LWJ28:LWL28 LWN28:LWP28 LWR28:LWT28 LWV28:LWX28 LWZ28:LXB28 LXD28:LXF28 LXH28:LXJ28 LXL28:LXN28 LXP28:LXR28 LXT28:LXV28 LXX28:LXZ28 LYB28:LYD28 LYF28:LYH28 LYJ28:LYL28 LYN28:LYP28 LYR28:LYT28 LYV28:LYX28 LYZ28:LZB28 LZD28:LZF28 LZH28:LZJ28 LZL28:LZN28 LZP28:LZR28 LZT28:LZV28 LZX28:LZZ28 MAB28:MAD28 MAF28:MAH28 MAJ28:MAL28 MAN28:MAP28 MAR28:MAT28 MAV28:MAX28 MAZ28:MBB28 MBD28:MBF28 MBH28:MBJ28 MBL28:MBN28 MBP28:MBR28 MBT28:MBV28 MBX28:MBZ28 MCB28:MCD28 MCF28:MCH28 MCJ28:MCL28 MCN28:MCP28 MCR28:MCT28 MCV28:MCX28 MCZ28:MDB28 MDD28:MDF28 MDH28:MDJ28 MDL28:MDN28 MDP28:MDR28 MDT28:MDV28 MDX28:MDZ28 MEB28:MED28 MEF28:MEH28 MEJ28:MEL28 MEN28:MEP28 MER28:MET28 MEV28:MEX28 MEZ28:MFB28 MFD28:MFF28 MFH28:MFJ28 MFL28:MFN28 MFP28:MFR28 MFT28:MFV28 MFX28:MFZ28 MGB28:MGD28 MGF28:MGH28 MGJ28:MGL28 MGN28:MGP28 MGR28:MGT28 MGV28:MGX28 MGZ28:MHB28 MHD28:MHF28 MHH28:MHJ28 MHL28:MHN28 MHP28:MHR28 MHT28:MHV28 MHX28:MHZ28 MIB28:MID28 MIF28:MIH28 MIJ28:MIL28 MIN28:MIP28 MIR28:MIT28 MIV28:MIX28 MIZ28:MJB28 MJD28:MJF28 MJH28:MJJ28 MJL28:MJN28 MJP28:MJR28 MJT28:MJV28 MJX28:MJZ28 MKB28:MKD28 MKF28:MKH28 MKJ28:MKL28 MKN28:MKP28 MKR28:MKT28 MKV28:MKX28 MKZ28:MLB28 MLD28:MLF28 MLH28:MLJ28 MLL28:MLN28 MLP28:MLR28 MLT28:MLV28 MLX28:MLZ28 MMB28:MMD28 MMF28:MMH28 MMJ28:MML28 MMN28:MMP28 MMR28:MMT28 MMV28:MMX28 MMZ28:MNB28 MND28:MNF28 MNH28:MNJ28 MNL28:MNN28 MNP28:MNR28 MNT28:MNV28 MNX28:MNZ28 MOB28:MOD28 MOF28:MOH28 MOJ28:MOL28 MON28:MOP28 MOR28:MOT28 MOV28:MOX28 MOZ28:MPB28 MPD28:MPF28 MPH28:MPJ28 MPL28:MPN28 MPP28:MPR28 MPT28:MPV28 MPX28:MPZ28 MQB28:MQD28 MQF28:MQH28 MQJ28:MQL28 MQN28:MQP28 MQR28:MQT28 MQV28:MQX28 MQZ28:MRB28 MRD28:MRF28 MRH28:MRJ28 MRL28:MRN28 MRP28:MRR28 MRT28:MRV28 MRX28:MRZ28 MSB28:MSD28 MSF28:MSH28 MSJ28:MSL28 MSN28:MSP28 MSR28:MST28 MSV28:MSX28 MSZ28:MTB28 MTD28:MTF28 MTH28:MTJ28 MTL28:MTN28 MTP28:MTR28 MTT28:MTV28 MTX28:MTZ28 MUB28:MUD28 MUF28:MUH28 MUJ28:MUL28 MUN28:MUP28 MUR28:MUT28 MUV28:MUX28 MUZ28:MVB28 MVD28:MVF28 MVH28:MVJ28 MVL28:MVN28 MVP28:MVR28 MVT28:MVV28 MVX28:MVZ28 MWB28:MWD28 MWF28:MWH28 MWJ28:MWL28 MWN28:MWP28 MWR28:MWT28 MWV28:MWX28 MWZ28:MXB28 MXD28:MXF28 MXH28:MXJ28 MXL28:MXN28 MXP28:MXR28 MXT28:MXV28 MXX28:MXZ28 MYB28:MYD28 MYF28:MYH28 MYJ28:MYL28 MYN28:MYP28 MYR28:MYT28 MYV28:MYX28 MYZ28:MZB28 MZD28:MZF28 MZH28:MZJ28 MZL28:MZN28 MZP28:MZR28 MZT28:MZV28 MZX28:MZZ28 NAB28:NAD28 NAF28:NAH28 NAJ28:NAL28 NAN28:NAP28 NAR28:NAT28 NAV28:NAX28 NAZ28:NBB28 NBD28:NBF28 NBH28:NBJ28 NBL28:NBN28 NBP28:NBR28 NBT28:NBV28 NBX28:NBZ28 NCB28:NCD28 NCF28:NCH28 NCJ28:NCL28 NCN28:NCP28 NCR28:NCT28 NCV28:NCX28 NCZ28:NDB28 NDD28:NDF28 NDH28:NDJ28 NDL28:NDN28 NDP28:NDR28 NDT28:NDV28 NDX28:NDZ28 NEB28:NED28 NEF28:NEH28 NEJ28:NEL28 NEN28:NEP28 NER28:NET28 NEV28:NEX28 NEZ28:NFB28 NFD28:NFF28 NFH28:NFJ28 NFL28:NFN28 NFP28:NFR28 NFT28:NFV28 NFX28:NFZ28 NGB28:NGD28 NGF28:NGH28 NGJ28:NGL28 NGN28:NGP28 NGR28:NGT28 NGV28:NGX28 NGZ28:NHB28 NHD28:NHF28 NHH28:NHJ28 NHL28:NHN28 NHP28:NHR28 NHT28:NHV28 NHX28:NHZ28 NIB28:NID28 NIF28:NIH28 NIJ28:NIL28 NIN28:NIP28 NIR28:NIT28 NIV28:NIX28 NIZ28:NJB28 NJD28:NJF28 NJH28:NJJ28 NJL28:NJN28 NJP28:NJR28 NJT28:NJV28 NJX28:NJZ28 NKB28:NKD28 NKF28:NKH28 NKJ28:NKL28 NKN28:NKP28 NKR28:NKT28 NKV28:NKX28 NKZ28:NLB28 NLD28:NLF28 NLH28:NLJ28 NLL28:NLN28 NLP28:NLR28 NLT28:NLV28 NLX28:NLZ28 NMB28:NMD28 NMF28:NMH28 NMJ28:NML28 NMN28:NMP28 NMR28:NMT28 NMV28:NMX28 NMZ28:NNB28 NND28:NNF28 NNH28:NNJ28 NNL28:NNN28 NNP28:NNR28 NNT28:NNV28 NNX28:NNZ28 NOB28:NOD28 NOF28:NOH28 NOJ28:NOL28 NON28:NOP28 NOR28:NOT28 NOV28:NOX28 NOZ28:NPB28 NPD28:NPF28 NPH28:NPJ28 NPL28:NPN28 NPP28:NPR28 NPT28:NPV28 NPX28:NPZ28 NQB28:NQD28 NQF28:NQH28 NQJ28:NQL28 NQN28:NQP28 NQR28:NQT28 NQV28:NQX28 NQZ28:NRB28 NRD28:NRF28 NRH28:NRJ28 NRL28:NRN28 NRP28:NRR28 NRT28:NRV28 NRX28:NRZ28 NSB28:NSD28 NSF28:NSH28 NSJ28:NSL28 NSN28:NSP28 NSR28:NST28 NSV28:NSX28 NSZ28:NTB28 NTD28:NTF28 NTH28:NTJ28 NTL28:NTN28 NTP28:NTR28 NTT28:NTV28 NTX28:NTZ28 NUB28:NUD28 NUF28:NUH28 NUJ28:NUL28 NUN28:NUP28 NUR28:NUT28 NUV28:NUX28 NUZ28:NVB28 NVD28:NVF28 NVH28:NVJ28 NVL28:NVN28 NVP28:NVR28 NVT28:NVV28 NVX28:NVZ28 NWB28:NWD28 NWF28:NWH28 NWJ28:NWL28 NWN28:NWP28 NWR28:NWT28 NWV28:NWX28 NWZ28:NXB28 NXD28:NXF28 NXH28:NXJ28 NXL28:NXN28 NXP28:NXR28 NXT28:NXV28 NXX28:NXZ28 NYB28:NYD28 NYF28:NYH28 NYJ28:NYL28 NYN28:NYP28 NYR28:NYT28 NYV28:NYX28 NYZ28:NZB28 NZD28:NZF28 NZH28:NZJ28 NZL28:NZN28 NZP28:NZR28 NZT28:NZV28 NZX28:NZZ28 OAB28:OAD28 OAF28:OAH28 OAJ28:OAL28 OAN28:OAP28 OAR28:OAT28 OAV28:OAX28 OAZ28:OBB28 OBD28:OBF28 OBH28:OBJ28 OBL28:OBN28 OBP28:OBR28 OBT28:OBV28 OBX28:OBZ28 OCB28:OCD28 OCF28:OCH28 OCJ28:OCL28 OCN28:OCP28 OCR28:OCT28 OCV28:OCX28 OCZ28:ODB28 ODD28:ODF28 ODH28:ODJ28 ODL28:ODN28 ODP28:ODR28 ODT28:ODV28 ODX28:ODZ28 OEB28:OED28 OEF28:OEH28 OEJ28:OEL28 OEN28:OEP28 OER28:OET28 OEV28:OEX28 OEZ28:OFB28 OFD28:OFF28 OFH28:OFJ28 OFL28:OFN28 OFP28:OFR28 OFT28:OFV28 OFX28:OFZ28 OGB28:OGD28 OGF28:OGH28 OGJ28:OGL28 OGN28:OGP28 OGR28:OGT28 OGV28:OGX28 OGZ28:OHB28 OHD28:OHF28 OHH28:OHJ28 OHL28:OHN28 OHP28:OHR28 OHT28:OHV28 OHX28:OHZ28 OIB28:OID28 OIF28:OIH28 OIJ28:OIL28 OIN28:OIP28 OIR28:OIT28 OIV28:OIX28 OIZ28:OJB28 OJD28:OJF28 OJH28:OJJ28 OJL28:OJN28 OJP28:OJR28 OJT28:OJV28 OJX28:OJZ28 OKB28:OKD28 OKF28:OKH28 OKJ28:OKL28 OKN28:OKP28 OKR28:OKT28 OKV28:OKX28 OKZ28:OLB28 OLD28:OLF28 OLH28:OLJ28 OLL28:OLN28 OLP28:OLR28 OLT28:OLV28 OLX28:OLZ28 OMB28:OMD28 OMF28:OMH28 OMJ28:OML28 OMN28:OMP28 OMR28:OMT28 OMV28:OMX28 OMZ28:ONB28 OND28:ONF28 ONH28:ONJ28 ONL28:ONN28 ONP28:ONR28 ONT28:ONV28 ONX28:ONZ28 OOB28:OOD28 OOF28:OOH28 OOJ28:OOL28 OON28:OOP28 OOR28:OOT28 OOV28:OOX28 OOZ28:OPB28 OPD28:OPF28 OPH28:OPJ28 OPL28:OPN28 OPP28:OPR28 OPT28:OPV28 OPX28:OPZ28 OQB28:OQD28 OQF28:OQH28 OQJ28:OQL28 OQN28:OQP28 OQR28:OQT28 OQV28:OQX28 OQZ28:ORB28 ORD28:ORF28 ORH28:ORJ28 ORL28:ORN28 ORP28:ORR28 ORT28:ORV28 ORX28:ORZ28 OSB28:OSD28 OSF28:OSH28 OSJ28:OSL28 OSN28:OSP28 OSR28:OST28 OSV28:OSX28 OSZ28:OTB28 OTD28:OTF28 OTH28:OTJ28 OTL28:OTN28 OTP28:OTR28 OTT28:OTV28 OTX28:OTZ28 OUB28:OUD28 OUF28:OUH28 OUJ28:OUL28 OUN28:OUP28 OUR28:OUT28 OUV28:OUX28 OUZ28:OVB28 OVD28:OVF28 OVH28:OVJ28 OVL28:OVN28 OVP28:OVR28 OVT28:OVV28 OVX28:OVZ28 OWB28:OWD28 OWF28:OWH28 OWJ28:OWL28 OWN28:OWP28 OWR28:OWT28 OWV28:OWX28 OWZ28:OXB28 OXD28:OXF28 OXH28:OXJ28 OXL28:OXN28 OXP28:OXR28 OXT28:OXV28 OXX28:OXZ28 OYB28:OYD28 OYF28:OYH28 OYJ28:OYL28 OYN28:OYP28 OYR28:OYT28 OYV28:OYX28 OYZ28:OZB28 OZD28:OZF28 OZH28:OZJ28 OZL28:OZN28 OZP28:OZR28 OZT28:OZV28 OZX28:OZZ28 PAB28:PAD28 PAF28:PAH28 PAJ28:PAL28 PAN28:PAP28 PAR28:PAT28 PAV28:PAX28 PAZ28:PBB28 PBD28:PBF28 PBH28:PBJ28 PBL28:PBN28 PBP28:PBR28 PBT28:PBV28 PBX28:PBZ28 PCB28:PCD28 PCF28:PCH28 PCJ28:PCL28 PCN28:PCP28 PCR28:PCT28 PCV28:PCX28 PCZ28:PDB28 PDD28:PDF28 PDH28:PDJ28 PDL28:PDN28 PDP28:PDR28 PDT28:PDV28 PDX28:PDZ28 PEB28:PED28 PEF28:PEH28 PEJ28:PEL28 PEN28:PEP28 PER28:PET28 PEV28:PEX28 PEZ28:PFB28 PFD28:PFF28 PFH28:PFJ28 PFL28:PFN28 PFP28:PFR28 PFT28:PFV28 PFX28:PFZ28 PGB28:PGD28 PGF28:PGH28 PGJ28:PGL28 PGN28:PGP28 PGR28:PGT28 PGV28:PGX28 PGZ28:PHB28 PHD28:PHF28 PHH28:PHJ28 PHL28:PHN28 PHP28:PHR28 PHT28:PHV28 PHX28:PHZ28 PIB28:PID28 PIF28:PIH28 PIJ28:PIL28 PIN28:PIP28 PIR28:PIT28 PIV28:PIX28 PIZ28:PJB28 PJD28:PJF28 PJH28:PJJ28 PJL28:PJN28 PJP28:PJR28 PJT28:PJV28 PJX28:PJZ28 PKB28:PKD28 PKF28:PKH28 PKJ28:PKL28 PKN28:PKP28 PKR28:PKT28 PKV28:PKX28 PKZ28:PLB28 PLD28:PLF28 PLH28:PLJ28 PLL28:PLN28 PLP28:PLR28 PLT28:PLV28 PLX28:PLZ28 PMB28:PMD28 PMF28:PMH28 PMJ28:PML28 PMN28:PMP28 PMR28:PMT28 PMV28:PMX28 PMZ28:PNB28 PND28:PNF28 PNH28:PNJ28 PNL28:PNN28 PNP28:PNR28 PNT28:PNV28 PNX28:PNZ28 POB28:POD28 POF28:POH28 POJ28:POL28 PON28:POP28 POR28:POT28 POV28:POX28 POZ28:PPB28 PPD28:PPF28 PPH28:PPJ28 PPL28:PPN28 PPP28:PPR28 PPT28:PPV28 PPX28:PPZ28 PQB28:PQD28 PQF28:PQH28 PQJ28:PQL28 PQN28:PQP28 PQR28:PQT28 PQV28:PQX28 PQZ28:PRB28 PRD28:PRF28 PRH28:PRJ28 PRL28:PRN28 PRP28:PRR28 PRT28:PRV28 PRX28:PRZ28 PSB28:PSD28 PSF28:PSH28 PSJ28:PSL28 PSN28:PSP28 PSR28:PST28 PSV28:PSX28 PSZ28:PTB28 PTD28:PTF28 PTH28:PTJ28 PTL28:PTN28 PTP28:PTR28 PTT28:PTV28 PTX28:PTZ28 PUB28:PUD28 PUF28:PUH28 PUJ28:PUL28 PUN28:PUP28 PUR28:PUT28 PUV28:PUX28 PUZ28:PVB28 PVD28:PVF28 PVH28:PVJ28 PVL28:PVN28 PVP28:PVR28 PVT28:PVV28 PVX28:PVZ28 PWB28:PWD28 PWF28:PWH28 PWJ28:PWL28 PWN28:PWP28 PWR28:PWT28 PWV28:PWX28 PWZ28:PXB28 PXD28:PXF28 PXH28:PXJ28 PXL28:PXN28 PXP28:PXR28 PXT28:PXV28 PXX28:PXZ28 PYB28:PYD28 PYF28:PYH28 PYJ28:PYL28 PYN28:PYP28 PYR28:PYT28 PYV28:PYX28 PYZ28:PZB28 PZD28:PZF28 PZH28:PZJ28 PZL28:PZN28 PZP28:PZR28 PZT28:PZV28 PZX28:PZZ28 QAB28:QAD28 QAF28:QAH28 QAJ28:QAL28 QAN28:QAP28 QAR28:QAT28 QAV28:QAX28 QAZ28:QBB28 QBD28:QBF28 QBH28:QBJ28 QBL28:QBN28 QBP28:QBR28 QBT28:QBV28 QBX28:QBZ28 QCB28:QCD28 QCF28:QCH28 QCJ28:QCL28 QCN28:QCP28 QCR28:QCT28 QCV28:QCX28 QCZ28:QDB28 QDD28:QDF28 QDH28:QDJ28 QDL28:QDN28 QDP28:QDR28 QDT28:QDV28 QDX28:QDZ28 QEB28:QED28 QEF28:QEH28 QEJ28:QEL28 QEN28:QEP28 QER28:QET28 QEV28:QEX28 QEZ28:QFB28 QFD28:QFF28 QFH28:QFJ28 QFL28:QFN28 QFP28:QFR28 QFT28:QFV28 QFX28:QFZ28 QGB28:QGD28 QGF28:QGH28 QGJ28:QGL28 QGN28:QGP28 QGR28:QGT28 QGV28:QGX28 QGZ28:QHB28 QHD28:QHF28 QHH28:QHJ28 QHL28:QHN28 QHP28:QHR28 QHT28:QHV28 QHX28:QHZ28 QIB28:QID28 QIF28:QIH28 QIJ28:QIL28 QIN28:QIP28 QIR28:QIT28 QIV28:QIX28 QIZ28:QJB28 QJD28:QJF28 QJH28:QJJ28 QJL28:QJN28 QJP28:QJR28 QJT28:QJV28 QJX28:QJZ28 QKB28:QKD28 QKF28:QKH28 QKJ28:QKL28 QKN28:QKP28 QKR28:QKT28 QKV28:QKX28 QKZ28:QLB28 QLD28:QLF28 QLH28:QLJ28 QLL28:QLN28 QLP28:QLR28 QLT28:QLV28 QLX28:QLZ28 QMB28:QMD28 QMF28:QMH28 QMJ28:QML28 QMN28:QMP28 QMR28:QMT28 QMV28:QMX28 QMZ28:QNB28 QND28:QNF28 QNH28:QNJ28 QNL28:QNN28 QNP28:QNR28 QNT28:QNV28 QNX28:QNZ28 QOB28:QOD28 QOF28:QOH28 QOJ28:QOL28 QON28:QOP28 QOR28:QOT28 QOV28:QOX28 QOZ28:QPB28 QPD28:QPF28 QPH28:QPJ28 QPL28:QPN28 QPP28:QPR28 QPT28:QPV28 QPX28:QPZ28 QQB28:QQD28 QQF28:QQH28 QQJ28:QQL28 QQN28:QQP28 QQR28:QQT28 QQV28:QQX28 QQZ28:QRB28 QRD28:QRF28 QRH28:QRJ28 QRL28:QRN28 QRP28:QRR28 QRT28:QRV28 QRX28:QRZ28 QSB28:QSD28 QSF28:QSH28 QSJ28:QSL28 QSN28:QSP28 QSR28:QST28 QSV28:QSX28 QSZ28:QTB28 QTD28:QTF28 QTH28:QTJ28 QTL28:QTN28 QTP28:QTR28 QTT28:QTV28 QTX28:QTZ28 QUB28:QUD28 QUF28:QUH28 QUJ28:QUL28 QUN28:QUP28 QUR28:QUT28 QUV28:QUX28 QUZ28:QVB28 QVD28:QVF28 QVH28:QVJ28 QVL28:QVN28 QVP28:QVR28 QVT28:QVV28 QVX28:QVZ28 QWB28:QWD28 QWF28:QWH28 QWJ28:QWL28 QWN28:QWP28 QWR28:QWT28 QWV28:QWX28 QWZ28:QXB28 QXD28:QXF28 QXH28:QXJ28 QXL28:QXN28 QXP28:QXR28 QXT28:QXV28 QXX28:QXZ28 QYB28:QYD28 QYF28:QYH28 QYJ28:QYL28 QYN28:QYP28 QYR28:QYT28 QYV28:QYX28 QYZ28:QZB28 QZD28:QZF28 QZH28:QZJ28 QZL28:QZN28 QZP28:QZR28 QZT28:QZV28 QZX28:QZZ28 RAB28:RAD28 RAF28:RAH28 RAJ28:RAL28 RAN28:RAP28 RAR28:RAT28 RAV28:RAX28 RAZ28:RBB28 RBD28:RBF28 RBH28:RBJ28 RBL28:RBN28 RBP28:RBR28 RBT28:RBV28 RBX28:RBZ28 RCB28:RCD28 RCF28:RCH28 RCJ28:RCL28 RCN28:RCP28 RCR28:RCT28 RCV28:RCX28 RCZ28:RDB28 RDD28:RDF28 RDH28:RDJ28 RDL28:RDN28 RDP28:RDR28 RDT28:RDV28 RDX28:RDZ28 REB28:RED28 REF28:REH28 REJ28:REL28 REN28:REP28 RER28:RET28 REV28:REX28 REZ28:RFB28 RFD28:RFF28 RFH28:RFJ28 RFL28:RFN28 RFP28:RFR28 RFT28:RFV28 RFX28:RFZ28 RGB28:RGD28 RGF28:RGH28 RGJ28:RGL28 RGN28:RGP28 RGR28:RGT28 RGV28:RGX28 RGZ28:RHB28 RHD28:RHF28 RHH28:RHJ28 RHL28:RHN28 RHP28:RHR28 RHT28:RHV28 RHX28:RHZ28 RIB28:RID28 RIF28:RIH28 RIJ28:RIL28 RIN28:RIP28 RIR28:RIT28 RIV28:RIX28 RIZ28:RJB28 RJD28:RJF28 RJH28:RJJ28 RJL28:RJN28 RJP28:RJR28 RJT28:RJV28 RJX28:RJZ28 RKB28:RKD28 RKF28:RKH28 RKJ28:RKL28 RKN28:RKP28 RKR28:RKT28 RKV28:RKX28 RKZ28:RLB28 RLD28:RLF28 RLH28:RLJ28 RLL28:RLN28 RLP28:RLR28 RLT28:RLV28 RLX28:RLZ28 RMB28:RMD28 RMF28:RMH28 RMJ28:RML28 RMN28:RMP28 RMR28:RMT28 RMV28:RMX28 RMZ28:RNB28 RND28:RNF28 RNH28:RNJ28 RNL28:RNN28 RNP28:RNR28 RNT28:RNV28 RNX28:RNZ28 ROB28:ROD28 ROF28:ROH28 ROJ28:ROL28 RON28:ROP28 ROR28:ROT28 ROV28:ROX28 ROZ28:RPB28 RPD28:RPF28 RPH28:RPJ28 RPL28:RPN28 RPP28:RPR28 RPT28:RPV28 RPX28:RPZ28 RQB28:RQD28 RQF28:RQH28 RQJ28:RQL28 RQN28:RQP28 RQR28:RQT28 RQV28:RQX28 RQZ28:RRB28 RRD28:RRF28 RRH28:RRJ28 RRL28:RRN28 RRP28:RRR28 RRT28:RRV28 RRX28:RRZ28 RSB28:RSD28 RSF28:RSH28 RSJ28:RSL28 RSN28:RSP28 RSR28:RST28 RSV28:RSX28 RSZ28:RTB28 RTD28:RTF28 RTH28:RTJ28 RTL28:RTN28 RTP28:RTR28 RTT28:RTV28 RTX28:RTZ28 RUB28:RUD28 RUF28:RUH28 RUJ28:RUL28 RUN28:RUP28 RUR28:RUT28 RUV28:RUX28 RUZ28:RVB28 RVD28:RVF28 RVH28:RVJ28 RVL28:RVN28 RVP28:RVR28 RVT28:RVV28 RVX28:RVZ28 RWB28:RWD28 RWF28:RWH28 RWJ28:RWL28 RWN28:RWP28 RWR28:RWT28 RWV28:RWX28 RWZ28:RXB28 RXD28:RXF28 RXH28:RXJ28 RXL28:RXN28 RXP28:RXR28 RXT28:RXV28 RXX28:RXZ28 RYB28:RYD28 RYF28:RYH28 RYJ28:RYL28 RYN28:RYP28 RYR28:RYT28 RYV28:RYX28 RYZ28:RZB28 RZD28:RZF28 RZH28:RZJ28 RZL28:RZN28 RZP28:RZR28 RZT28:RZV28 RZX28:RZZ28 SAB28:SAD28 SAF28:SAH28 SAJ28:SAL28 SAN28:SAP28 SAR28:SAT28 SAV28:SAX28 SAZ28:SBB28 SBD28:SBF28 SBH28:SBJ28 SBL28:SBN28 SBP28:SBR28 SBT28:SBV28 SBX28:SBZ28 SCB28:SCD28 SCF28:SCH28 SCJ28:SCL28 SCN28:SCP28 SCR28:SCT28 SCV28:SCX28 SCZ28:SDB28 SDD28:SDF28 SDH28:SDJ28 SDL28:SDN28 SDP28:SDR28 SDT28:SDV28 SDX28:SDZ28 SEB28:SED28 SEF28:SEH28 SEJ28:SEL28 SEN28:SEP28 SER28:SET28 SEV28:SEX28 SEZ28:SFB28 SFD28:SFF28 SFH28:SFJ28 SFL28:SFN28 SFP28:SFR28 SFT28:SFV28 SFX28:SFZ28 SGB28:SGD28 SGF28:SGH28 SGJ28:SGL28 SGN28:SGP28 SGR28:SGT28 SGV28:SGX28 SGZ28:SHB28 SHD28:SHF28 SHH28:SHJ28 SHL28:SHN28 SHP28:SHR28 SHT28:SHV28 SHX28:SHZ28 SIB28:SID28 SIF28:SIH28 SIJ28:SIL28 SIN28:SIP28 SIR28:SIT28 SIV28:SIX28 SIZ28:SJB28 SJD28:SJF28 SJH28:SJJ28 SJL28:SJN28 SJP28:SJR28 SJT28:SJV28 SJX28:SJZ28 SKB28:SKD28 SKF28:SKH28 SKJ28:SKL28 SKN28:SKP28 SKR28:SKT28 SKV28:SKX28 SKZ28:SLB28 SLD28:SLF28 SLH28:SLJ28 SLL28:SLN28 SLP28:SLR28 SLT28:SLV28 SLX28:SLZ28 SMB28:SMD28 SMF28:SMH28 SMJ28:SML28 SMN28:SMP28 SMR28:SMT28 SMV28:SMX28 SMZ28:SNB28 SND28:SNF28 SNH28:SNJ28 SNL28:SNN28 SNP28:SNR28 SNT28:SNV28 SNX28:SNZ28 SOB28:SOD28 SOF28:SOH28 SOJ28:SOL28 SON28:SOP28 SOR28:SOT28 SOV28:SOX28 SOZ28:SPB28 SPD28:SPF28 SPH28:SPJ28 SPL28:SPN28 SPP28:SPR28 SPT28:SPV28 SPX28:SPZ28 SQB28:SQD28 SQF28:SQH28 SQJ28:SQL28 SQN28:SQP28 SQR28:SQT28 SQV28:SQX28 SQZ28:SRB28 SRD28:SRF28 SRH28:SRJ28 SRL28:SRN28 SRP28:SRR28 SRT28:SRV28 SRX28:SRZ28 SSB28:SSD28 SSF28:SSH28 SSJ28:SSL28 SSN28:SSP28 SSR28:SST28 SSV28:SSX28 SSZ28:STB28 STD28:STF28 STH28:STJ28 STL28:STN28 STP28:STR28 STT28:STV28 STX28:STZ28 SUB28:SUD28 SUF28:SUH28 SUJ28:SUL28 SUN28:SUP28 SUR28:SUT28 SUV28:SUX28 SUZ28:SVB28 SVD28:SVF28 SVH28:SVJ28 SVL28:SVN28 SVP28:SVR28 SVT28:SVV28 SVX28:SVZ28 SWB28:SWD28 SWF28:SWH28 SWJ28:SWL28 SWN28:SWP28 SWR28:SWT28 SWV28:SWX28 SWZ28:SXB28 SXD28:SXF28 SXH28:SXJ28 SXL28:SXN28 SXP28:SXR28 SXT28:SXV28 SXX28:SXZ28 SYB28:SYD28 SYF28:SYH28 SYJ28:SYL28 SYN28:SYP28 SYR28:SYT28 SYV28:SYX28 SYZ28:SZB28 SZD28:SZF28 SZH28:SZJ28 SZL28:SZN28 SZP28:SZR28 SZT28:SZV28 SZX28:SZZ28 TAB28:TAD28 TAF28:TAH28 TAJ28:TAL28 TAN28:TAP28 TAR28:TAT28 TAV28:TAX28 TAZ28:TBB28 TBD28:TBF28 TBH28:TBJ28 TBL28:TBN28 TBP28:TBR28 TBT28:TBV28 TBX28:TBZ28 TCB28:TCD28 TCF28:TCH28 TCJ28:TCL28 TCN28:TCP28 TCR28:TCT28 TCV28:TCX28 TCZ28:TDB28 TDD28:TDF28 TDH28:TDJ28 TDL28:TDN28 TDP28:TDR28 TDT28:TDV28 TDX28:TDZ28 TEB28:TED28 TEF28:TEH28 TEJ28:TEL28 TEN28:TEP28 TER28:TET28 TEV28:TEX28 TEZ28:TFB28 TFD28:TFF28 TFH28:TFJ28 TFL28:TFN28 TFP28:TFR28 TFT28:TFV28 TFX28:TFZ28 TGB28:TGD28 TGF28:TGH28 TGJ28:TGL28 TGN28:TGP28 TGR28:TGT28 TGV28:TGX28 TGZ28:THB28 THD28:THF28 THH28:THJ28 THL28:THN28 THP28:THR28 THT28:THV28 THX28:THZ28 TIB28:TID28 TIF28:TIH28 TIJ28:TIL28 TIN28:TIP28 TIR28:TIT28 TIV28:TIX28 TIZ28:TJB28 TJD28:TJF28 TJH28:TJJ28 TJL28:TJN28 TJP28:TJR28 TJT28:TJV28 TJX28:TJZ28 TKB28:TKD28 TKF28:TKH28 TKJ28:TKL28 TKN28:TKP28 TKR28:TKT28 TKV28:TKX28 TKZ28:TLB28 TLD28:TLF28 TLH28:TLJ28 TLL28:TLN28 TLP28:TLR28 TLT28:TLV28 TLX28:TLZ28 TMB28:TMD28 TMF28:TMH28 TMJ28:TML28 TMN28:TMP28 TMR28:TMT28 TMV28:TMX28 TMZ28:TNB28 TND28:TNF28 TNH28:TNJ28 TNL28:TNN28 TNP28:TNR28 TNT28:TNV28 TNX28:TNZ28 TOB28:TOD28 TOF28:TOH28 TOJ28:TOL28 TON28:TOP28 TOR28:TOT28 TOV28:TOX28 TOZ28:TPB28 TPD28:TPF28 TPH28:TPJ28 TPL28:TPN28 TPP28:TPR28 TPT28:TPV28 TPX28:TPZ28 TQB28:TQD28 TQF28:TQH28 TQJ28:TQL28 TQN28:TQP28 TQR28:TQT28 TQV28:TQX28 TQZ28:TRB28 TRD28:TRF28 TRH28:TRJ28 TRL28:TRN28 TRP28:TRR28 TRT28:TRV28 TRX28:TRZ28 TSB28:TSD28 TSF28:TSH28 TSJ28:TSL28 TSN28:TSP28 TSR28:TST28 TSV28:TSX28 TSZ28:TTB28 TTD28:TTF28 TTH28:TTJ28 TTL28:TTN28 TTP28:TTR28 TTT28:TTV28 TTX28:TTZ28 TUB28:TUD28 TUF28:TUH28 TUJ28:TUL28 TUN28:TUP28 TUR28:TUT28 TUV28:TUX28 TUZ28:TVB28 TVD28:TVF28 TVH28:TVJ28 TVL28:TVN28 TVP28:TVR28 TVT28:TVV28 TVX28:TVZ28 TWB28:TWD28 TWF28:TWH28 TWJ28:TWL28 TWN28:TWP28 TWR28:TWT28 TWV28:TWX28 TWZ28:TXB28 TXD28:TXF28 TXH28:TXJ28 TXL28:TXN28 TXP28:TXR28 TXT28:TXV28 TXX28:TXZ28 TYB28:TYD28 TYF28:TYH28 TYJ28:TYL28 TYN28:TYP28 TYR28:TYT28 TYV28:TYX28 TYZ28:TZB28 TZD28:TZF28 TZH28:TZJ28 TZL28:TZN28 TZP28:TZR28 TZT28:TZV28 TZX28:TZZ28 UAB28:UAD28 UAF28:UAH28 UAJ28:UAL28 UAN28:UAP28 UAR28:UAT28 UAV28:UAX28 UAZ28:UBB28 UBD28:UBF28 UBH28:UBJ28 UBL28:UBN28 UBP28:UBR28 UBT28:UBV28 UBX28:UBZ28 UCB28:UCD28 UCF28:UCH28 UCJ28:UCL28 UCN28:UCP28 UCR28:UCT28 UCV28:UCX28 UCZ28:UDB28 UDD28:UDF28 UDH28:UDJ28 UDL28:UDN28 UDP28:UDR28 UDT28:UDV28 UDX28:UDZ28 UEB28:UED28 UEF28:UEH28 UEJ28:UEL28 UEN28:UEP28 UER28:UET28 UEV28:UEX28 UEZ28:UFB28 UFD28:UFF28 UFH28:UFJ28 UFL28:UFN28 UFP28:UFR28 UFT28:UFV28 UFX28:UFZ28 UGB28:UGD28 UGF28:UGH28 UGJ28:UGL28 UGN28:UGP28 UGR28:UGT28 UGV28:UGX28 UGZ28:UHB28 UHD28:UHF28 UHH28:UHJ28 UHL28:UHN28 UHP28:UHR28 UHT28:UHV28 UHX28:UHZ28 UIB28:UID28 UIF28:UIH28 UIJ28:UIL28 UIN28:UIP28 UIR28:UIT28 UIV28:UIX28 UIZ28:UJB28 UJD28:UJF28 UJH28:UJJ28 UJL28:UJN28 UJP28:UJR28 UJT28:UJV28 UJX28:UJZ28 UKB28:UKD28 UKF28:UKH28 UKJ28:UKL28 UKN28:UKP28 UKR28:UKT28 UKV28:UKX28 UKZ28:ULB28 ULD28:ULF28 ULH28:ULJ28 ULL28:ULN28 ULP28:ULR28 ULT28:ULV28 ULX28:ULZ28 UMB28:UMD28 UMF28:UMH28 UMJ28:UML28 UMN28:UMP28 UMR28:UMT28 UMV28:UMX28 UMZ28:UNB28 UND28:UNF28 UNH28:UNJ28 UNL28:UNN28 UNP28:UNR28 UNT28:UNV28 UNX28:UNZ28 UOB28:UOD28 UOF28:UOH28 UOJ28:UOL28 UON28:UOP28 UOR28:UOT28 UOV28:UOX28 UOZ28:UPB28 UPD28:UPF28 UPH28:UPJ28 UPL28:UPN28 UPP28:UPR28 UPT28:UPV28 UPX28:UPZ28 UQB28:UQD28 UQF28:UQH28 UQJ28:UQL28 UQN28:UQP28 UQR28:UQT28 UQV28:UQX28 UQZ28:URB28 URD28:URF28 URH28:URJ28 URL28:URN28 URP28:URR28 URT28:URV28 URX28:URZ28 USB28:USD28 USF28:USH28 USJ28:USL28 USN28:USP28 USR28:UST28 USV28:USX28 USZ28:UTB28 UTD28:UTF28 UTH28:UTJ28 UTL28:UTN28 UTP28:UTR28 UTT28:UTV28 UTX28:UTZ28 UUB28:UUD28 UUF28:UUH28 UUJ28:UUL28 UUN28:UUP28 UUR28:UUT28 UUV28:UUX28 UUZ28:UVB28 UVD28:UVF28 UVH28:UVJ28 UVL28:UVN28 UVP28:UVR28 UVT28:UVV28 UVX28:UVZ28 UWB28:UWD28 UWF28:UWH28 UWJ28:UWL28 UWN28:UWP28 UWR28:UWT28 UWV28:UWX28 UWZ28:UXB28 UXD28:UXF28 UXH28:UXJ28 UXL28:UXN28 UXP28:UXR28 UXT28:UXV28 UXX28:UXZ28 UYB28:UYD28 UYF28:UYH28 UYJ28:UYL28 UYN28:UYP28 UYR28:UYT28 UYV28:UYX28 UYZ28:UZB28 UZD28:UZF28 UZH28:UZJ28 UZL28:UZN28 UZP28:UZR28 UZT28:UZV28 UZX28:UZZ28 VAB28:VAD28 VAF28:VAH28 VAJ28:VAL28 VAN28:VAP28 VAR28:VAT28 VAV28:VAX28 VAZ28:VBB28 VBD28:VBF28 VBH28:VBJ28 VBL28:VBN28 VBP28:VBR28 VBT28:VBV28 VBX28:VBZ28 VCB28:VCD28 VCF28:VCH28 VCJ28:VCL28 VCN28:VCP28 VCR28:VCT28 VCV28:VCX28 VCZ28:VDB28 VDD28:VDF28 VDH28:VDJ28 VDL28:VDN28 VDP28:VDR28 VDT28:VDV28 VDX28:VDZ28 VEB28:VED28 VEF28:VEH28 VEJ28:VEL28 VEN28:VEP28 VER28:VET28 VEV28:VEX28 VEZ28:VFB28 VFD28:VFF28 VFH28:VFJ28 VFL28:VFN28 VFP28:VFR28 VFT28:VFV28 VFX28:VFZ28 VGB28:VGD28 VGF28:VGH28 VGJ28:VGL28 VGN28:VGP28 VGR28:VGT28 VGV28:VGX28 VGZ28:VHB28 VHD28:VHF28 VHH28:VHJ28 VHL28:VHN28 VHP28:VHR28 VHT28:VHV28 VHX28:VHZ28 VIB28:VID28 VIF28:VIH28 VIJ28:VIL28 VIN28:VIP28 VIR28:VIT28 VIV28:VIX28 VIZ28:VJB28 VJD28:VJF28 VJH28:VJJ28 VJL28:VJN28 VJP28:VJR28 VJT28:VJV28 VJX28:VJZ28 VKB28:VKD28 VKF28:VKH28 VKJ28:VKL28 VKN28:VKP28 VKR28:VKT28 VKV28:VKX28 VKZ28:VLB28 VLD28:VLF28 VLH28:VLJ28 VLL28:VLN28 VLP28:VLR28 VLT28:VLV28 VLX28:VLZ28 VMB28:VMD28 VMF28:VMH28 VMJ28:VML28 VMN28:VMP28 VMR28:VMT28 VMV28:VMX28 VMZ28:VNB28 VND28:VNF28 VNH28:VNJ28 VNL28:VNN28 VNP28:VNR28 VNT28:VNV28 VNX28:VNZ28 VOB28:VOD28 VOF28:VOH28 VOJ28:VOL28 VON28:VOP28 VOR28:VOT28 VOV28:VOX28 VOZ28:VPB28 VPD28:VPF28 VPH28:VPJ28 VPL28:VPN28 VPP28:VPR28 VPT28:VPV28 VPX28:VPZ28 VQB28:VQD28 VQF28:VQH28 VQJ28:VQL28 VQN28:VQP28 VQR28:VQT28 VQV28:VQX28 VQZ28:VRB28 VRD28:VRF28 VRH28:VRJ28 VRL28:VRN28 VRP28:VRR28 VRT28:VRV28 VRX28:VRZ28 VSB28:VSD28 VSF28:VSH28 VSJ28:VSL28 VSN28:VSP28 VSR28:VST28 VSV28:VSX28 VSZ28:VTB28 VTD28:VTF28 VTH28:VTJ28 VTL28:VTN28 VTP28:VTR28 VTT28:VTV28 VTX28:VTZ28 VUB28:VUD28 VUF28:VUH28 VUJ28:VUL28 VUN28:VUP28 VUR28:VUT28 VUV28:VUX28 VUZ28:VVB28 VVD28:VVF28 VVH28:VVJ28 VVL28:VVN28 VVP28:VVR28 VVT28:VVV28 VVX28:VVZ28 VWB28:VWD28 VWF28:VWH28 VWJ28:VWL28 VWN28:VWP28 VWR28:VWT28 VWV28:VWX28 VWZ28:VXB28 VXD28:VXF28 VXH28:VXJ28 VXL28:VXN28 VXP28:VXR28 VXT28:VXV28 VXX28:VXZ28 VYB28:VYD28 VYF28:VYH28 VYJ28:VYL28 VYN28:VYP28 VYR28:VYT28 VYV28:VYX28 VYZ28:VZB28 VZD28:VZF28 VZH28:VZJ28 VZL28:VZN28 VZP28:VZR28 VZT28:VZV28 VZX28:VZZ28 WAB28:WAD28 WAF28:WAH28 WAJ28:WAL28 WAN28:WAP28 WAR28:WAT28 WAV28:WAX28 WAZ28:WBB28 WBD28:WBF28 WBH28:WBJ28 WBL28:WBN28 WBP28:WBR28 WBT28:WBV28 WBX28:WBZ28 WCB28:WCD28 WCF28:WCH28 WCJ28:WCL28 WCN28:WCP28 WCR28:WCT28 WCV28:WCX28 WCZ28:WDB28 WDD28:WDF28 WDH28:WDJ28 WDL28:WDN28 WDP28:WDR28 WDT28:WDV28 WDX28:WDZ28 WEB28:WED28 WEF28:WEH28 WEJ28:WEL28 WEN28:WEP28 WER28:WET28 WEV28:WEX28 WEZ28:WFB28 WFD28:WFF28 WFH28:WFJ28 WFL28:WFN28 WFP28:WFR28 WFT28:WFV28 WFX28:WFZ28 WGB28:WGD28 WGF28:WGH28 WGJ28:WGL28 WGN28:WGP28 WGR28:WGT28 WGV28:WGX28 WGZ28:WHB28 WHD28:WHF28 WHH28:WHJ28 WHL28:WHN28 WHP28:WHR28 WHT28:WHV28 WHX28:WHZ28 WIB28:WID28 WIF28:WIH28 WIJ28:WIL28 WIN28:WIP28 WIR28:WIT28 WIV28:WIX28 WIZ28:WJB28 WJD28:WJF28 WJH28:WJJ28 WJL28:WJN28 WJP28:WJR28 WJT28:WJV28 WJX28:WJZ28 WKB28:WKD28 WKF28:WKH28 WKJ28:WKL28 WKN28:WKP28 WKR28:WKT28 WKV28:WKX28 WKZ28:WLB28 WLD28:WLF28 WLH28:WLJ28 WLL28:WLN28 WLP28:WLR28 WLT28:WLV28 WLX28:WLZ28 WMB28:WMD28 WMF28:WMH28 WMJ28:WML28 WMN28:WMP28 WMR28:WMT28 WMV28:WMX28 WMZ28:WNB28 WND28:WNF28 WNH28:WNJ28 WNL28:WNN28 WNP28:WNR28 WNT28:WNV28 WNX28:WNZ28 WOB28:WOD28 WOF28:WOH28 WOJ28:WOL28 WON28:WOP28 WOR28:WOT28 WOV28:WOX28 WOZ28:WPB28 WPD28:WPF28 WPH28:WPJ28 WPL28:WPN28 WPP28:WPR28 WPT28:WPV28 WPX28:WPZ28 WQB28:WQD28 WQF28:WQH28 WQJ28:WQL28 WQN28:WQP28 WQR28:WQT28 WQV28:WQX28 WQZ28:WRB28 WRD28:WRF28 WRH28:WRJ28 WRL28:WRN28 WRP28:WRR28 WRT28:WRV28 WRX28:WRZ28 WSB28:WSD28 WSF28:WSH28 WSJ28:WSL28 WSN28:WSP28 WSR28:WST28 WSV28:WSX28 WSZ28:WTB28 WTD28:WTF28 WTH28:WTJ28 WTL28:WTN28 WTP28:WTR28 WTT28:WTV28 WTX28:WTZ28 WUB28:WUD28 WUF28:WUH28 WUJ28:WUL28 WUN28:WUP28 WUR28:WUT28 WUV28:WUX28 WUZ28:WVB28 WVD28:WVF28 WVH28:WVJ28 WVL28:WVN28 WVP28:WVR28 WVT28:WVV28 WVX28:WVZ28 WWB28:WWD28 WWF28:WWH28 WWJ28:WWL28 WWN28:WWP28 WWR28:WWT28 WWV28:WWX28 WWZ28:WXB28 WXD28:WXF28 WXH28:WXJ28 WXL28:WXN28 WXP28:WXR28 WXT28:WXV28 WXX28:WXZ28 WYB28:WYD28 WYF28:WYH28 WYJ28:WYL28 WYN28:WYP28 WYR28:WYT28 WYV28:WYX28 WYZ28:WZB28 WZD28:WZF28 WZH28:WZJ28 WZL28:WZN28 WZP28:WZR28 WZT28:WZV28 WZX28:WZZ28 XAB28:XAD28 XAF28:XAH28 XAJ28:XAL28 XAN28:XAP28 XAR28:XAT28 XAV28:XAX28 XAZ28:XBB28 XBD28:XBF28 XBH28:XBJ28 XBL28:XBN28 XBP28:XBR28 XBT28:XBV28 XBX28:XBZ28 XCB28:XCD28 XCF28:XCH28 XCJ28:XCL28 XCN28:XCP28 XCR28:XCT28 XCV28:XCX28 XCZ28:XDB28 XDD28:XDF28 XDH28:XDJ28 XDL28:XDN28 XDP28:XDR28 XDT28:XDV28 XDX28:XDZ28 XEB28:XED28 XEF28:XEH28 XEJ28:XEL28 XEN28:XEP28 XER28:XET28 XEV28:XEX28 XEZ28:XFD28">
    <cfRule type="expression" dxfId="0" priority="2">
      <formula>IF(AND($E28&lt;&gt;"",#REF!=""),1)</formula>
    </cfRule>
  </conditionalFormatting>
  <dataValidations count="1">
    <dataValidation type="list" allowBlank="1" showInputMessage="1" showErrorMessage="1" sqref="D4:D31" xr:uid="{00000000-0002-0000-0100-000000000000}">
      <formula1>NOVEDADES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9"/>
  <sheetViews>
    <sheetView zoomScaleNormal="100" workbookViewId="0">
      <pane ySplit="7" topLeftCell="A23" activePane="bottomLeft" state="frozen"/>
      <selection pane="bottomLeft" activeCell="H17" sqref="H17"/>
    </sheetView>
  </sheetViews>
  <sheetFormatPr baseColWidth="10" defaultRowHeight="15" x14ac:dyDescent="0.25"/>
  <cols>
    <col min="1" max="1" width="11.42578125" customWidth="1"/>
    <col min="2" max="2" width="40.7109375" style="10" customWidth="1"/>
    <col min="3" max="3" width="17.7109375" style="10" customWidth="1"/>
    <col min="4" max="4" width="30" style="10" customWidth="1"/>
    <col min="5" max="5" width="18.7109375" style="10" customWidth="1"/>
    <col min="6" max="6" width="14.5703125" style="10" customWidth="1"/>
    <col min="7" max="7" width="12.5703125" customWidth="1"/>
    <col min="8" max="8" width="36.28515625" bestFit="1" customWidth="1"/>
    <col min="9" max="9" width="27.85546875" bestFit="1" customWidth="1"/>
    <col min="10" max="10" width="35.7109375" bestFit="1" customWidth="1"/>
    <col min="11" max="11" width="23.85546875" bestFit="1" customWidth="1"/>
    <col min="12" max="12" width="32.42578125" bestFit="1" customWidth="1"/>
    <col min="13" max="13" width="37" bestFit="1" customWidth="1"/>
    <col min="14" max="14" width="31.140625" bestFit="1" customWidth="1"/>
    <col min="15" max="15" width="26.7109375" bestFit="1" customWidth="1"/>
    <col min="16" max="16" width="31.28515625" bestFit="1" customWidth="1"/>
    <col min="17" max="17" width="26.7109375" bestFit="1" customWidth="1"/>
    <col min="18" max="18" width="34.85546875" bestFit="1" customWidth="1"/>
    <col min="19" max="19" width="26.42578125" bestFit="1" customWidth="1"/>
    <col min="20" max="20" width="28.42578125" bestFit="1" customWidth="1"/>
    <col min="21" max="21" width="24" bestFit="1" customWidth="1"/>
    <col min="22" max="22" width="34.42578125" bestFit="1" customWidth="1"/>
    <col min="23" max="23" width="33" bestFit="1" customWidth="1"/>
    <col min="24" max="24" width="28.85546875" bestFit="1" customWidth="1"/>
    <col min="25" max="25" width="30.28515625" bestFit="1" customWidth="1"/>
    <col min="26" max="26" width="25.85546875" bestFit="1" customWidth="1"/>
    <col min="27" max="27" width="31" bestFit="1" customWidth="1"/>
    <col min="28" max="28" width="31.28515625" bestFit="1" customWidth="1"/>
    <col min="29" max="29" width="25.7109375" bestFit="1" customWidth="1"/>
    <col min="30" max="30" width="30.7109375" bestFit="1" customWidth="1"/>
    <col min="31" max="31" width="34" bestFit="1" customWidth="1"/>
    <col min="32" max="32" width="28.140625" bestFit="1" customWidth="1"/>
    <col min="33" max="33" width="27" bestFit="1" customWidth="1"/>
    <col min="34" max="34" width="22" bestFit="1" customWidth="1"/>
    <col min="35" max="35" width="31.5703125" bestFit="1" customWidth="1"/>
    <col min="36" max="36" width="30" bestFit="1" customWidth="1"/>
    <col min="37" max="37" width="26.42578125" bestFit="1" customWidth="1"/>
    <col min="38" max="38" width="29.85546875" bestFit="1" customWidth="1"/>
    <col min="39" max="39" width="30.5703125" bestFit="1" customWidth="1"/>
    <col min="40" max="40" width="31.85546875" bestFit="1" customWidth="1"/>
    <col min="41" max="41" width="23.42578125" bestFit="1" customWidth="1"/>
    <col min="42" max="42" width="31" bestFit="1" customWidth="1"/>
    <col min="43" max="43" width="33.5703125" bestFit="1" customWidth="1"/>
    <col min="44" max="44" width="35.42578125" bestFit="1" customWidth="1"/>
    <col min="45" max="45" width="36.7109375" bestFit="1" customWidth="1"/>
    <col min="46" max="46" width="33.85546875" bestFit="1" customWidth="1"/>
    <col min="47" max="47" width="25.85546875" bestFit="1" customWidth="1"/>
    <col min="48" max="48" width="33.5703125" bestFit="1" customWidth="1"/>
    <col min="49" max="49" width="33.28515625" bestFit="1" customWidth="1"/>
    <col min="50" max="50" width="34.140625" bestFit="1" customWidth="1"/>
    <col min="51" max="51" width="30.85546875" bestFit="1" customWidth="1"/>
    <col min="52" max="52" width="27.5703125" bestFit="1" customWidth="1"/>
    <col min="53" max="53" width="32.5703125" bestFit="1" customWidth="1"/>
    <col min="54" max="54" width="32.85546875" bestFit="1" customWidth="1"/>
    <col min="55" max="55" width="32.28515625" bestFit="1" customWidth="1"/>
    <col min="56" max="56" width="30.5703125" bestFit="1" customWidth="1"/>
    <col min="57" max="57" width="28.5703125" bestFit="1" customWidth="1"/>
    <col min="58" max="58" width="41.140625" bestFit="1" customWidth="1"/>
    <col min="59" max="59" width="34.140625" bestFit="1" customWidth="1"/>
    <col min="60" max="60" width="37.140625" bestFit="1" customWidth="1"/>
    <col min="61" max="61" width="34.7109375" bestFit="1" customWidth="1"/>
    <col min="62" max="62" width="37.28515625" bestFit="1" customWidth="1"/>
    <col min="63" max="63" width="21.28515625" bestFit="1" customWidth="1"/>
    <col min="64" max="64" width="33.42578125" bestFit="1" customWidth="1"/>
    <col min="65" max="65" width="37" bestFit="1" customWidth="1"/>
    <col min="66" max="66" width="23" bestFit="1" customWidth="1"/>
    <col min="67" max="67" width="31" bestFit="1" customWidth="1"/>
    <col min="68" max="68" width="31.85546875" bestFit="1" customWidth="1"/>
    <col min="69" max="69" width="30" bestFit="1" customWidth="1"/>
    <col min="70" max="70" width="28.42578125" bestFit="1" customWidth="1"/>
    <col min="71" max="71" width="37.85546875" bestFit="1" customWidth="1"/>
    <col min="72" max="72" width="27.85546875" bestFit="1" customWidth="1"/>
    <col min="73" max="73" width="31" bestFit="1" customWidth="1"/>
    <col min="74" max="74" width="32.28515625" bestFit="1" customWidth="1"/>
    <col min="75" max="75" width="24.7109375" bestFit="1" customWidth="1"/>
    <col min="76" max="76" width="31.28515625" bestFit="1" customWidth="1"/>
    <col min="77" max="77" width="33" bestFit="1" customWidth="1"/>
    <col min="78" max="78" width="26.140625" bestFit="1" customWidth="1"/>
    <col min="79" max="79" width="25" bestFit="1" customWidth="1"/>
    <col min="80" max="80" width="29.140625" bestFit="1" customWidth="1"/>
    <col min="81" max="81" width="34.28515625" bestFit="1" customWidth="1"/>
    <col min="82" max="82" width="35" bestFit="1" customWidth="1"/>
    <col min="83" max="83" width="36.28515625" bestFit="1" customWidth="1"/>
    <col min="84" max="84" width="37.7109375" bestFit="1" customWidth="1"/>
    <col min="85" max="85" width="32.7109375" bestFit="1" customWidth="1"/>
    <col min="86" max="86" width="34.85546875" bestFit="1" customWidth="1"/>
    <col min="87" max="87" width="30.140625" bestFit="1" customWidth="1"/>
    <col min="88" max="88" width="36.42578125" bestFit="1" customWidth="1"/>
    <col min="89" max="89" width="33" bestFit="1" customWidth="1"/>
    <col min="90" max="90" width="32.140625" bestFit="1" customWidth="1"/>
    <col min="91" max="91" width="26.85546875" bestFit="1" customWidth="1"/>
    <col min="92" max="92" width="28.140625" bestFit="1" customWidth="1"/>
    <col min="93" max="93" width="33.42578125" bestFit="1" customWidth="1"/>
    <col min="94" max="94" width="38" bestFit="1" customWidth="1"/>
    <col min="95" max="95" width="29.42578125" bestFit="1" customWidth="1"/>
    <col min="96" max="96" width="34.5703125" bestFit="1" customWidth="1"/>
    <col min="97" max="97" width="31.85546875" bestFit="1" customWidth="1"/>
    <col min="98" max="98" width="22" bestFit="1" customWidth="1"/>
    <col min="99" max="99" width="17.42578125" bestFit="1" customWidth="1"/>
    <col min="100" max="100" width="29.140625" bestFit="1" customWidth="1"/>
    <col min="101" max="101" width="12.5703125" bestFit="1" customWidth="1"/>
  </cols>
  <sheetData>
    <row r="1" spans="1:9" x14ac:dyDescent="0.25">
      <c r="H1" s="10"/>
    </row>
    <row r="2" spans="1:9" x14ac:dyDescent="0.25">
      <c r="B2" t="s">
        <v>1</v>
      </c>
    </row>
    <row r="3" spans="1:9" x14ac:dyDescent="0.25">
      <c r="B3" s="8" t="s">
        <v>7</v>
      </c>
      <c r="C3"/>
      <c r="D3"/>
      <c r="E3"/>
    </row>
    <row r="4" spans="1:9" x14ac:dyDescent="0.25">
      <c r="B4" t="s">
        <v>0</v>
      </c>
      <c r="C4"/>
      <c r="D4"/>
      <c r="E4"/>
    </row>
    <row r="5" spans="1:9" x14ac:dyDescent="0.25">
      <c r="B5" s="8" t="s">
        <v>8</v>
      </c>
      <c r="C5"/>
      <c r="D5"/>
      <c r="E5"/>
    </row>
    <row r="6" spans="1:9" x14ac:dyDescent="0.25">
      <c r="B6">
        <v>2016</v>
      </c>
      <c r="C6"/>
      <c r="D6"/>
      <c r="E6"/>
      <c r="F6" s="10" t="e">
        <f>MATCH(B4,MESES,0)</f>
        <v>#N/A</v>
      </c>
    </row>
    <row r="7" spans="1:9" x14ac:dyDescent="0.25">
      <c r="B7" s="1" t="s">
        <v>3</v>
      </c>
      <c r="C7" s="1" t="s">
        <v>2</v>
      </c>
      <c r="D7" s="1" t="s">
        <v>4</v>
      </c>
      <c r="E7" s="1" t="s">
        <v>5</v>
      </c>
      <c r="F7" s="1" t="s">
        <v>6</v>
      </c>
    </row>
    <row r="8" spans="1:9" x14ac:dyDescent="0.25">
      <c r="A8">
        <v>1</v>
      </c>
      <c r="B8" s="1" t="str">
        <f>+PARAMETROS!$A3</f>
        <v>Stefany Uribe</v>
      </c>
      <c r="C8" t="str">
        <f t="shared" ref="C8:C38" ca="1" si="0">IFERROR(VLOOKUP(B8,MTZ_DPTO,2,0),"")</f>
        <v>Asistencial</v>
      </c>
      <c r="D8" t="str">
        <f t="shared" ref="D8:D38" ca="1" si="1">IFERROR(VLOOKUP(B8,MTZ_CARGO,3,0),"")</f>
        <v>Coordinadora</v>
      </c>
      <c r="E8" s="9"/>
      <c r="F8" t="e">
        <f t="shared" ref="F8:F39" ca="1" si="2">IF(SUMIFS(BD_DIAS_NOVEDAD,BD_NOMBRE,$B8,BD_MES_INICIO,$F$6,BD_AÑO_INICIO,$B$6,BD_NOVEDAD,$B$2)=0,"",SUMIFS(BD_DIAS_NOVEDAD,BD_NOMBRE,$B8,BD_MES_INICIO,$F$6,BD_AÑO_INICIO,$B$6,BD_NOVEDAD,$B$2))</f>
        <v>#REF!</v>
      </c>
      <c r="G8" t="str">
        <f t="shared" ref="G8:G39" ca="1" si="3">IFERROR(_xlfn.RANK.EQ(F8,$F$8:$F$149,0),"")</f>
        <v/>
      </c>
      <c r="H8" t="str">
        <f ca="1">IFERROR(INDEX($B$8:$B$149,MATCH(A8,$G$8:$G$149,0)),"")</f>
        <v/>
      </c>
      <c r="I8" t="str">
        <f ca="1">IFERROR(INDEX($F$8:$F$1048576,MATCH(A8,$G$8:$G$1048576,0)),"")</f>
        <v/>
      </c>
    </row>
    <row r="9" spans="1:9" x14ac:dyDescent="0.25">
      <c r="A9">
        <v>2</v>
      </c>
      <c r="B9" s="1" t="str">
        <f>+PARAMETROS!$A4</f>
        <v>Karina Jimenez</v>
      </c>
      <c r="C9" t="str">
        <f t="shared" ca="1" si="0"/>
        <v>Contabilidad</v>
      </c>
      <c r="D9" t="str">
        <f t="shared" ca="1" si="1"/>
        <v>Auxiliar</v>
      </c>
      <c r="E9" s="9"/>
      <c r="F9" t="e">
        <f t="shared" ca="1" si="2"/>
        <v>#REF!</v>
      </c>
      <c r="G9" t="str">
        <f t="shared" ca="1" si="3"/>
        <v/>
      </c>
      <c r="H9" t="str">
        <f t="shared" ref="H9:H72" ca="1" si="4">IFERROR(INDEX($B$8:$B$149,MATCH(A9,$G$8:$G$149,0)),"")</f>
        <v/>
      </c>
      <c r="I9" t="str">
        <f t="shared" ref="I9:I72" ca="1" si="5">IFERROR(INDEX($F$8:$F$1048576,MATCH(A9,$G$8:$G$1048576,0)),"")</f>
        <v/>
      </c>
    </row>
    <row r="10" spans="1:9" x14ac:dyDescent="0.25">
      <c r="A10">
        <v>3</v>
      </c>
      <c r="B10" s="1" t="str">
        <f>+PARAMETROS!$A5</f>
        <v>Paula De Leon</v>
      </c>
      <c r="C10" t="str">
        <f t="shared" ca="1" si="0"/>
        <v>Gestion Humana</v>
      </c>
      <c r="D10" t="str">
        <f t="shared" ca="1" si="1"/>
        <v>Coordinadora</v>
      </c>
      <c r="E10" s="9"/>
      <c r="F10" t="e">
        <f t="shared" ca="1" si="2"/>
        <v>#REF!</v>
      </c>
      <c r="G10" t="str">
        <f t="shared" ca="1" si="3"/>
        <v/>
      </c>
      <c r="H10" t="str">
        <f t="shared" ca="1" si="4"/>
        <v/>
      </c>
      <c r="I10" t="str">
        <f t="shared" ca="1" si="5"/>
        <v/>
      </c>
    </row>
    <row r="11" spans="1:9" x14ac:dyDescent="0.25">
      <c r="A11">
        <v>5</v>
      </c>
      <c r="B11" s="1" t="str">
        <f>+PARAMETROS!$A6</f>
        <v>Martha Orozco</v>
      </c>
      <c r="C11" t="str">
        <f t="shared" ca="1" si="0"/>
        <v>Contabilidad</v>
      </c>
      <c r="D11" t="str">
        <f t="shared" ca="1" si="1"/>
        <v>Lider</v>
      </c>
      <c r="E11" s="9"/>
      <c r="F11" t="e">
        <f t="shared" ca="1" si="2"/>
        <v>#REF!</v>
      </c>
      <c r="G11" t="str">
        <f t="shared" ca="1" si="3"/>
        <v/>
      </c>
      <c r="H11" t="str">
        <f t="shared" ca="1" si="4"/>
        <v/>
      </c>
      <c r="I11" t="str">
        <f t="shared" ca="1" si="5"/>
        <v/>
      </c>
    </row>
    <row r="12" spans="1:9" x14ac:dyDescent="0.25">
      <c r="A12">
        <v>6</v>
      </c>
      <c r="B12" s="1" t="str">
        <f>+PARAMETROS!$A7</f>
        <v>Jeissy Gutierrez</v>
      </c>
      <c r="C12" t="str">
        <f t="shared" ca="1" si="0"/>
        <v>Asistencial</v>
      </c>
      <c r="D12" t="str">
        <f t="shared" ca="1" si="1"/>
        <v>Instrumentadora</v>
      </c>
      <c r="E12" s="9"/>
      <c r="F12" t="e">
        <f t="shared" ca="1" si="2"/>
        <v>#REF!</v>
      </c>
      <c r="G12" t="str">
        <f t="shared" ca="1" si="3"/>
        <v/>
      </c>
      <c r="H12" t="str">
        <f t="shared" ca="1" si="4"/>
        <v/>
      </c>
      <c r="I12" t="str">
        <f t="shared" ca="1" si="5"/>
        <v/>
      </c>
    </row>
    <row r="13" spans="1:9" x14ac:dyDescent="0.25">
      <c r="A13">
        <v>7</v>
      </c>
      <c r="B13" s="1" t="str">
        <f>+PARAMETROS!$A8</f>
        <v>Frank Egurrola</v>
      </c>
      <c r="C13" t="str">
        <f t="shared" ca="1" si="0"/>
        <v>Facturacion</v>
      </c>
      <c r="D13" t="str">
        <f t="shared" ca="1" si="1"/>
        <v>Auxiliar</v>
      </c>
      <c r="E13"/>
      <c r="F13" t="e">
        <f t="shared" ca="1" si="2"/>
        <v>#REF!</v>
      </c>
      <c r="G13" t="str">
        <f t="shared" ca="1" si="3"/>
        <v/>
      </c>
      <c r="H13" t="str">
        <f t="shared" ca="1" si="4"/>
        <v/>
      </c>
      <c r="I13" t="str">
        <f t="shared" ca="1" si="5"/>
        <v/>
      </c>
    </row>
    <row r="14" spans="1:9" x14ac:dyDescent="0.25">
      <c r="A14">
        <v>8</v>
      </c>
      <c r="B14" s="1" t="str">
        <f>+PARAMETROS!$A9</f>
        <v>Melissa Charris</v>
      </c>
      <c r="C14" t="str">
        <f t="shared" ca="1" si="0"/>
        <v>Facturacion</v>
      </c>
      <c r="D14" t="str">
        <f t="shared" ca="1" si="1"/>
        <v>lider</v>
      </c>
      <c r="E14" s="9"/>
      <c r="F14" t="e">
        <f t="shared" ca="1" si="2"/>
        <v>#REF!</v>
      </c>
      <c r="G14" t="str">
        <f t="shared" ca="1" si="3"/>
        <v/>
      </c>
      <c r="H14" t="str">
        <f t="shared" ca="1" si="4"/>
        <v/>
      </c>
      <c r="I14" t="str">
        <f t="shared" ca="1" si="5"/>
        <v/>
      </c>
    </row>
    <row r="15" spans="1:9" x14ac:dyDescent="0.25">
      <c r="A15">
        <v>9</v>
      </c>
      <c r="B15" s="1" t="str">
        <f>+PARAMETROS!$A10</f>
        <v>Yanina Vargas</v>
      </c>
      <c r="C15" t="str">
        <f t="shared" ca="1" si="0"/>
        <v>Almacen</v>
      </c>
      <c r="D15" t="str">
        <f t="shared" ca="1" si="1"/>
        <v>Lider</v>
      </c>
      <c r="E15" s="9"/>
      <c r="F15" t="e">
        <f t="shared" ca="1" si="2"/>
        <v>#REF!</v>
      </c>
      <c r="G15" t="str">
        <f t="shared" ca="1" si="3"/>
        <v/>
      </c>
      <c r="H15" t="str">
        <f t="shared" ca="1" si="4"/>
        <v/>
      </c>
      <c r="I15" t="str">
        <f t="shared" ca="1" si="5"/>
        <v/>
      </c>
    </row>
    <row r="16" spans="1:9" x14ac:dyDescent="0.25">
      <c r="A16">
        <v>10</v>
      </c>
      <c r="B16" s="1" t="str">
        <f>+PARAMETROS!$A11</f>
        <v xml:space="preserve">Anthony Orrego </v>
      </c>
      <c r="C16" t="str">
        <f t="shared" ca="1" si="0"/>
        <v>Almacen</v>
      </c>
      <c r="D16" t="str">
        <f t="shared" ca="1" si="1"/>
        <v>Auxiliar</v>
      </c>
      <c r="E16" s="9"/>
      <c r="F16" t="e">
        <f t="shared" ca="1" si="2"/>
        <v>#REF!</v>
      </c>
      <c r="G16" t="str">
        <f t="shared" ca="1" si="3"/>
        <v/>
      </c>
      <c r="H16" t="str">
        <f t="shared" ca="1" si="4"/>
        <v/>
      </c>
      <c r="I16" t="str">
        <f t="shared" ca="1" si="5"/>
        <v/>
      </c>
    </row>
    <row r="17" spans="1:9" x14ac:dyDescent="0.25">
      <c r="A17">
        <v>11</v>
      </c>
      <c r="B17" s="1" t="str">
        <f>+PARAMETROS!$A12</f>
        <v>Andreina Cequea</v>
      </c>
      <c r="C17" t="str">
        <f t="shared" ca="1" si="0"/>
        <v>Facturacion</v>
      </c>
      <c r="D17" t="str">
        <f t="shared" ca="1" si="1"/>
        <v>Lider</v>
      </c>
      <c r="E17" s="9"/>
      <c r="F17" t="e">
        <f t="shared" ca="1" si="2"/>
        <v>#REF!</v>
      </c>
      <c r="G17" t="str">
        <f t="shared" ca="1" si="3"/>
        <v/>
      </c>
      <c r="H17" t="str">
        <f t="shared" ca="1" si="4"/>
        <v/>
      </c>
      <c r="I17" t="str">
        <f t="shared" ca="1" si="5"/>
        <v/>
      </c>
    </row>
    <row r="18" spans="1:9" x14ac:dyDescent="0.25">
      <c r="A18">
        <v>12</v>
      </c>
      <c r="B18" s="1" t="str">
        <f>+PARAMETROS!$A13</f>
        <v>Zullys Bernal</v>
      </c>
      <c r="C18" t="str">
        <f t="shared" ca="1" si="0"/>
        <v>Facturacion</v>
      </c>
      <c r="D18" t="str">
        <f t="shared" ca="1" si="1"/>
        <v>Auxiliar</v>
      </c>
      <c r="E18" s="9"/>
      <c r="F18" t="e">
        <f t="shared" ca="1" si="2"/>
        <v>#REF!</v>
      </c>
      <c r="G18" t="str">
        <f t="shared" ca="1" si="3"/>
        <v/>
      </c>
      <c r="H18" t="str">
        <f t="shared" ca="1" si="4"/>
        <v/>
      </c>
      <c r="I18" t="str">
        <f t="shared" ca="1" si="5"/>
        <v/>
      </c>
    </row>
    <row r="19" spans="1:9" x14ac:dyDescent="0.25">
      <c r="A19">
        <v>13</v>
      </c>
      <c r="B19" s="1" t="str">
        <f>+PARAMETROS!$A14</f>
        <v>Angelica Rivera</v>
      </c>
      <c r="C19" t="str">
        <f t="shared" ca="1" si="0"/>
        <v>Contabilidad</v>
      </c>
      <c r="D19" t="str">
        <f t="shared" ca="1" si="1"/>
        <v>Auxiliar</v>
      </c>
      <c r="E19" s="9"/>
      <c r="F19" t="e">
        <f t="shared" ca="1" si="2"/>
        <v>#REF!</v>
      </c>
      <c r="G19" t="str">
        <f t="shared" ca="1" si="3"/>
        <v/>
      </c>
      <c r="H19" t="str">
        <f t="shared" ca="1" si="4"/>
        <v/>
      </c>
      <c r="I19" t="str">
        <f t="shared" ca="1" si="5"/>
        <v/>
      </c>
    </row>
    <row r="20" spans="1:9" x14ac:dyDescent="0.25">
      <c r="A20">
        <v>14</v>
      </c>
      <c r="B20" s="1" t="str">
        <f>+PARAMETROS!$A16</f>
        <v>Angie Ulchur</v>
      </c>
      <c r="C20" t="str">
        <f t="shared" ca="1" si="0"/>
        <v>Administrativa Cali</v>
      </c>
      <c r="D20" t="str">
        <f t="shared" ca="1" si="1"/>
        <v>Auxiliar</v>
      </c>
      <c r="E20" s="9"/>
      <c r="F20" t="e">
        <f t="shared" ca="1" si="2"/>
        <v>#REF!</v>
      </c>
      <c r="G20" t="str">
        <f t="shared" ca="1" si="3"/>
        <v/>
      </c>
      <c r="H20" t="str">
        <f t="shared" ca="1" si="4"/>
        <v/>
      </c>
      <c r="I20" t="str">
        <f t="shared" ca="1" si="5"/>
        <v/>
      </c>
    </row>
    <row r="21" spans="1:9" x14ac:dyDescent="0.25">
      <c r="A21">
        <v>15</v>
      </c>
      <c r="B21" s="1" t="str">
        <f>+PARAMETROS!$A17</f>
        <v>Julian Montealegre</v>
      </c>
      <c r="C21" t="str">
        <f t="shared" ca="1" si="0"/>
        <v>Asistencial</v>
      </c>
      <c r="D21" t="str">
        <f t="shared" ca="1" si="1"/>
        <v xml:space="preserve">Instrumentador </v>
      </c>
      <c r="E21" s="9"/>
      <c r="F21" t="e">
        <f t="shared" ca="1" si="2"/>
        <v>#REF!</v>
      </c>
      <c r="G21" t="str">
        <f t="shared" ca="1" si="3"/>
        <v/>
      </c>
      <c r="H21" t="str">
        <f t="shared" ca="1" si="4"/>
        <v/>
      </c>
      <c r="I21" t="str">
        <f t="shared" ca="1" si="5"/>
        <v/>
      </c>
    </row>
    <row r="22" spans="1:9" x14ac:dyDescent="0.25">
      <c r="A22">
        <v>16</v>
      </c>
      <c r="B22" s="1" t="str">
        <f>+PARAMETROS!$A18</f>
        <v>Mercedes Moreno</v>
      </c>
      <c r="C22" t="str">
        <f t="shared" ca="1" si="0"/>
        <v>Asistencial</v>
      </c>
      <c r="D22" t="str">
        <f t="shared" ca="1" si="1"/>
        <v>Instrumentadora</v>
      </c>
      <c r="E22" s="9"/>
      <c r="F22" t="e">
        <f t="shared" ca="1" si="2"/>
        <v>#REF!</v>
      </c>
      <c r="G22" t="str">
        <f t="shared" ca="1" si="3"/>
        <v/>
      </c>
      <c r="H22" t="str">
        <f t="shared" ca="1" si="4"/>
        <v/>
      </c>
      <c r="I22" t="str">
        <f t="shared" ca="1" si="5"/>
        <v/>
      </c>
    </row>
    <row r="23" spans="1:9" x14ac:dyDescent="0.25">
      <c r="A23">
        <v>17</v>
      </c>
      <c r="B23" s="1" t="str">
        <f>+PARAMETROS!$A19</f>
        <v xml:space="preserve">Loreley Jimenez </v>
      </c>
      <c r="C23" t="str">
        <f t="shared" ca="1" si="0"/>
        <v>Asistencial</v>
      </c>
      <c r="D23" t="str">
        <f t="shared" ca="1" si="1"/>
        <v>Instrumentadora</v>
      </c>
      <c r="E23" s="9"/>
      <c r="F23" t="e">
        <f t="shared" ca="1" si="2"/>
        <v>#REF!</v>
      </c>
      <c r="G23" t="str">
        <f t="shared" ca="1" si="3"/>
        <v/>
      </c>
      <c r="H23" t="str">
        <f t="shared" ca="1" si="4"/>
        <v/>
      </c>
      <c r="I23" t="str">
        <f t="shared" ca="1" si="5"/>
        <v/>
      </c>
    </row>
    <row r="24" spans="1:9" x14ac:dyDescent="0.25">
      <c r="A24">
        <v>19</v>
      </c>
      <c r="B24"/>
      <c r="C24" t="str">
        <f t="shared" ca="1" si="0"/>
        <v/>
      </c>
      <c r="D24" t="str">
        <f t="shared" ca="1" si="1"/>
        <v/>
      </c>
      <c r="E24" s="9"/>
      <c r="F24" t="e">
        <f t="shared" ca="1" si="2"/>
        <v>#REF!</v>
      </c>
      <c r="G24" t="str">
        <f t="shared" ca="1" si="3"/>
        <v/>
      </c>
      <c r="H24" t="str">
        <f t="shared" ca="1" si="4"/>
        <v/>
      </c>
      <c r="I24" t="str">
        <f t="shared" ca="1" si="5"/>
        <v/>
      </c>
    </row>
    <row r="25" spans="1:9" x14ac:dyDescent="0.25">
      <c r="A25">
        <v>20</v>
      </c>
      <c r="B25"/>
      <c r="C25" t="str">
        <f t="shared" ca="1" si="0"/>
        <v/>
      </c>
      <c r="D25" t="str">
        <f t="shared" ca="1" si="1"/>
        <v/>
      </c>
      <c r="E25" s="9"/>
      <c r="F25" t="e">
        <f t="shared" ca="1" si="2"/>
        <v>#REF!</v>
      </c>
      <c r="G25" t="str">
        <f t="shared" ca="1" si="3"/>
        <v/>
      </c>
      <c r="H25" t="str">
        <f t="shared" ca="1" si="4"/>
        <v/>
      </c>
      <c r="I25" t="str">
        <f t="shared" ca="1" si="5"/>
        <v/>
      </c>
    </row>
    <row r="26" spans="1:9" x14ac:dyDescent="0.25">
      <c r="A26">
        <v>21</v>
      </c>
      <c r="B26"/>
      <c r="C26" t="str">
        <f t="shared" ca="1" si="0"/>
        <v/>
      </c>
      <c r="D26" t="str">
        <f t="shared" ca="1" si="1"/>
        <v/>
      </c>
      <c r="E26" s="9"/>
      <c r="F26" t="e">
        <f t="shared" ca="1" si="2"/>
        <v>#REF!</v>
      </c>
      <c r="G26" t="str">
        <f t="shared" ca="1" si="3"/>
        <v/>
      </c>
      <c r="H26" t="str">
        <f t="shared" ca="1" si="4"/>
        <v/>
      </c>
      <c r="I26" t="str">
        <f t="shared" ca="1" si="5"/>
        <v/>
      </c>
    </row>
    <row r="27" spans="1:9" x14ac:dyDescent="0.25">
      <c r="A27">
        <v>22</v>
      </c>
      <c r="B27"/>
      <c r="C27" t="str">
        <f t="shared" ca="1" si="0"/>
        <v/>
      </c>
      <c r="D27" t="str">
        <f t="shared" ca="1" si="1"/>
        <v/>
      </c>
      <c r="E27" s="9"/>
      <c r="F27" t="e">
        <f t="shared" ca="1" si="2"/>
        <v>#REF!</v>
      </c>
      <c r="G27" t="str">
        <f t="shared" ca="1" si="3"/>
        <v/>
      </c>
      <c r="H27" t="str">
        <f t="shared" ca="1" si="4"/>
        <v/>
      </c>
      <c r="I27" t="str">
        <f t="shared" ca="1" si="5"/>
        <v/>
      </c>
    </row>
    <row r="28" spans="1:9" x14ac:dyDescent="0.25">
      <c r="A28">
        <v>23</v>
      </c>
      <c r="B28"/>
      <c r="C28" t="str">
        <f t="shared" ca="1" si="0"/>
        <v/>
      </c>
      <c r="D28" t="str">
        <f t="shared" ca="1" si="1"/>
        <v/>
      </c>
      <c r="E28" s="9"/>
      <c r="F28" t="e">
        <f t="shared" ca="1" si="2"/>
        <v>#REF!</v>
      </c>
      <c r="G28" t="str">
        <f t="shared" ca="1" si="3"/>
        <v/>
      </c>
      <c r="H28" t="str">
        <f t="shared" ca="1" si="4"/>
        <v/>
      </c>
      <c r="I28" t="str">
        <f t="shared" ca="1" si="5"/>
        <v/>
      </c>
    </row>
    <row r="29" spans="1:9" x14ac:dyDescent="0.25">
      <c r="A29">
        <v>24</v>
      </c>
      <c r="B29" s="9"/>
      <c r="C29" t="str">
        <f t="shared" ca="1" si="0"/>
        <v/>
      </c>
      <c r="D29" t="str">
        <f t="shared" ca="1" si="1"/>
        <v/>
      </c>
      <c r="E29" s="9"/>
      <c r="F29" t="e">
        <f t="shared" ca="1" si="2"/>
        <v>#REF!</v>
      </c>
      <c r="G29" t="str">
        <f t="shared" ca="1" si="3"/>
        <v/>
      </c>
      <c r="H29" t="str">
        <f t="shared" ca="1" si="4"/>
        <v/>
      </c>
      <c r="I29" t="str">
        <f t="shared" ca="1" si="5"/>
        <v/>
      </c>
    </row>
    <row r="30" spans="1:9" x14ac:dyDescent="0.25">
      <c r="A30">
        <v>25</v>
      </c>
      <c r="B30" s="9"/>
      <c r="C30" t="str">
        <f t="shared" ca="1" si="0"/>
        <v/>
      </c>
      <c r="D30" t="str">
        <f t="shared" ca="1" si="1"/>
        <v/>
      </c>
      <c r="E30" s="9"/>
      <c r="F30" t="e">
        <f t="shared" ca="1" si="2"/>
        <v>#REF!</v>
      </c>
      <c r="G30" t="str">
        <f t="shared" ca="1" si="3"/>
        <v/>
      </c>
      <c r="H30" t="str">
        <f t="shared" ca="1" si="4"/>
        <v/>
      </c>
      <c r="I30" t="str">
        <f t="shared" ca="1" si="5"/>
        <v/>
      </c>
    </row>
    <row r="31" spans="1:9" x14ac:dyDescent="0.25">
      <c r="A31">
        <v>26</v>
      </c>
      <c r="B31" s="9"/>
      <c r="C31" t="str">
        <f t="shared" ca="1" si="0"/>
        <v/>
      </c>
      <c r="D31" t="str">
        <f t="shared" ca="1" si="1"/>
        <v/>
      </c>
      <c r="E31" s="9"/>
      <c r="F31" t="e">
        <f t="shared" ca="1" si="2"/>
        <v>#REF!</v>
      </c>
      <c r="G31" t="str">
        <f t="shared" ca="1" si="3"/>
        <v/>
      </c>
      <c r="H31" t="str">
        <f t="shared" ca="1" si="4"/>
        <v/>
      </c>
      <c r="I31" t="str">
        <f t="shared" ca="1" si="5"/>
        <v/>
      </c>
    </row>
    <row r="32" spans="1:9" x14ac:dyDescent="0.25">
      <c r="A32">
        <v>27</v>
      </c>
      <c r="B32" s="9"/>
      <c r="C32" t="str">
        <f t="shared" ca="1" si="0"/>
        <v/>
      </c>
      <c r="D32" t="str">
        <f t="shared" ca="1" si="1"/>
        <v/>
      </c>
      <c r="E32" s="9"/>
      <c r="F32" t="e">
        <f t="shared" ca="1" si="2"/>
        <v>#REF!</v>
      </c>
      <c r="G32" t="str">
        <f t="shared" ca="1" si="3"/>
        <v/>
      </c>
      <c r="H32" t="str">
        <f t="shared" ca="1" si="4"/>
        <v/>
      </c>
      <c r="I32" t="str">
        <f t="shared" ca="1" si="5"/>
        <v/>
      </c>
    </row>
    <row r="33" spans="1:9" x14ac:dyDescent="0.25">
      <c r="A33">
        <v>28</v>
      </c>
      <c r="B33" s="9"/>
      <c r="C33" t="str">
        <f t="shared" ca="1" si="0"/>
        <v/>
      </c>
      <c r="D33" t="str">
        <f t="shared" ca="1" si="1"/>
        <v/>
      </c>
      <c r="E33" s="9"/>
      <c r="F33" t="e">
        <f t="shared" ca="1" si="2"/>
        <v>#REF!</v>
      </c>
      <c r="G33" t="str">
        <f t="shared" ca="1" si="3"/>
        <v/>
      </c>
      <c r="H33" t="str">
        <f t="shared" ca="1" si="4"/>
        <v/>
      </c>
      <c r="I33" t="str">
        <f t="shared" ca="1" si="5"/>
        <v/>
      </c>
    </row>
    <row r="34" spans="1:9" x14ac:dyDescent="0.25">
      <c r="A34">
        <v>29</v>
      </c>
      <c r="B34" s="9"/>
      <c r="C34" t="str">
        <f t="shared" ca="1" si="0"/>
        <v/>
      </c>
      <c r="D34" t="str">
        <f t="shared" ca="1" si="1"/>
        <v/>
      </c>
      <c r="E34" s="9"/>
      <c r="F34" t="e">
        <f t="shared" ca="1" si="2"/>
        <v>#REF!</v>
      </c>
      <c r="G34" t="str">
        <f t="shared" ca="1" si="3"/>
        <v/>
      </c>
      <c r="H34" t="str">
        <f t="shared" ca="1" si="4"/>
        <v/>
      </c>
      <c r="I34" t="str">
        <f t="shared" ca="1" si="5"/>
        <v/>
      </c>
    </row>
    <row r="35" spans="1:9" x14ac:dyDescent="0.25">
      <c r="A35">
        <v>30</v>
      </c>
      <c r="B35" s="9"/>
      <c r="C35" t="str">
        <f t="shared" ca="1" si="0"/>
        <v/>
      </c>
      <c r="D35" t="str">
        <f t="shared" ca="1" si="1"/>
        <v/>
      </c>
      <c r="E35" s="9"/>
      <c r="F35" t="e">
        <f t="shared" ca="1" si="2"/>
        <v>#REF!</v>
      </c>
      <c r="G35" t="str">
        <f t="shared" ca="1" si="3"/>
        <v/>
      </c>
      <c r="H35" t="str">
        <f t="shared" ca="1" si="4"/>
        <v/>
      </c>
      <c r="I35" t="str">
        <f t="shared" ca="1" si="5"/>
        <v/>
      </c>
    </row>
    <row r="36" spans="1:9" x14ac:dyDescent="0.25">
      <c r="A36">
        <v>31</v>
      </c>
      <c r="B36" s="9"/>
      <c r="C36" t="str">
        <f t="shared" ca="1" si="0"/>
        <v/>
      </c>
      <c r="D36" t="str">
        <f t="shared" ca="1" si="1"/>
        <v/>
      </c>
      <c r="E36" s="9"/>
      <c r="F36" t="e">
        <f t="shared" ca="1" si="2"/>
        <v>#REF!</v>
      </c>
      <c r="G36" t="str">
        <f t="shared" ca="1" si="3"/>
        <v/>
      </c>
      <c r="H36" t="str">
        <f t="shared" ca="1" si="4"/>
        <v/>
      </c>
      <c r="I36" t="str">
        <f t="shared" ca="1" si="5"/>
        <v/>
      </c>
    </row>
    <row r="37" spans="1:9" x14ac:dyDescent="0.25">
      <c r="A37">
        <v>32</v>
      </c>
      <c r="B37" s="9"/>
      <c r="C37" t="str">
        <f t="shared" ca="1" si="0"/>
        <v/>
      </c>
      <c r="D37" t="str">
        <f t="shared" ca="1" si="1"/>
        <v/>
      </c>
      <c r="E37" s="9"/>
      <c r="F37" t="e">
        <f t="shared" ca="1" si="2"/>
        <v>#REF!</v>
      </c>
      <c r="G37" t="str">
        <f t="shared" ca="1" si="3"/>
        <v/>
      </c>
      <c r="H37" t="str">
        <f t="shared" ca="1" si="4"/>
        <v/>
      </c>
      <c r="I37" t="str">
        <f t="shared" ca="1" si="5"/>
        <v/>
      </c>
    </row>
    <row r="38" spans="1:9" x14ac:dyDescent="0.25">
      <c r="A38">
        <v>33</v>
      </c>
      <c r="B38" s="9"/>
      <c r="C38" t="str">
        <f t="shared" ca="1" si="0"/>
        <v/>
      </c>
      <c r="D38" t="str">
        <f t="shared" ca="1" si="1"/>
        <v/>
      </c>
      <c r="E38" s="9"/>
      <c r="F38" t="e">
        <f t="shared" ca="1" si="2"/>
        <v>#REF!</v>
      </c>
      <c r="G38" t="str">
        <f t="shared" ca="1" si="3"/>
        <v/>
      </c>
      <c r="H38" t="str">
        <f t="shared" ca="1" si="4"/>
        <v/>
      </c>
      <c r="I38" t="str">
        <f t="shared" ca="1" si="5"/>
        <v/>
      </c>
    </row>
    <row r="39" spans="1:9" x14ac:dyDescent="0.25">
      <c r="A39">
        <v>34</v>
      </c>
      <c r="B39" s="9"/>
      <c r="C39" t="str">
        <f t="shared" ref="C39:C70" ca="1" si="6">IFERROR(VLOOKUP(B39,MTZ_DPTO,2,0),"")</f>
        <v/>
      </c>
      <c r="D39" t="str">
        <f t="shared" ref="D39:D70" ca="1" si="7">IFERROR(VLOOKUP(B39,MTZ_CARGO,3,0),"")</f>
        <v/>
      </c>
      <c r="E39" s="9"/>
      <c r="F39" t="e">
        <f t="shared" ca="1" si="2"/>
        <v>#REF!</v>
      </c>
      <c r="G39" t="str">
        <f t="shared" ca="1" si="3"/>
        <v/>
      </c>
      <c r="H39" t="str">
        <f t="shared" ca="1" si="4"/>
        <v/>
      </c>
      <c r="I39" t="str">
        <f t="shared" ca="1" si="5"/>
        <v/>
      </c>
    </row>
    <row r="40" spans="1:9" x14ac:dyDescent="0.25">
      <c r="A40">
        <v>35</v>
      </c>
      <c r="B40" s="9"/>
      <c r="C40" t="str">
        <f t="shared" ca="1" si="6"/>
        <v/>
      </c>
      <c r="D40" t="str">
        <f t="shared" ca="1" si="7"/>
        <v/>
      </c>
      <c r="E40" s="9"/>
      <c r="F40" t="e">
        <f t="shared" ref="F40:F71" ca="1" si="8">IF(SUMIFS(BD_DIAS_NOVEDAD,BD_NOMBRE,$B40,BD_MES_INICIO,$F$6,BD_AÑO_INICIO,$B$6,BD_NOVEDAD,$B$2)=0,"",SUMIFS(BD_DIAS_NOVEDAD,BD_NOMBRE,$B40,BD_MES_INICIO,$F$6,BD_AÑO_INICIO,$B$6,BD_NOVEDAD,$B$2))</f>
        <v>#REF!</v>
      </c>
      <c r="G40" t="str">
        <f t="shared" ref="G40:G71" ca="1" si="9">IFERROR(_xlfn.RANK.EQ(F40,$F$8:$F$149,0),"")</f>
        <v/>
      </c>
      <c r="H40" t="str">
        <f t="shared" ca="1" si="4"/>
        <v/>
      </c>
      <c r="I40" t="str">
        <f t="shared" ca="1" si="5"/>
        <v/>
      </c>
    </row>
    <row r="41" spans="1:9" x14ac:dyDescent="0.25">
      <c r="A41">
        <v>36</v>
      </c>
      <c r="B41" s="9"/>
      <c r="C41" t="str">
        <f t="shared" ca="1" si="6"/>
        <v/>
      </c>
      <c r="D41" t="str">
        <f t="shared" ca="1" si="7"/>
        <v/>
      </c>
      <c r="E41" s="9"/>
      <c r="F41" t="e">
        <f t="shared" ca="1" si="8"/>
        <v>#REF!</v>
      </c>
      <c r="G41" t="str">
        <f t="shared" ca="1" si="9"/>
        <v/>
      </c>
      <c r="H41" t="str">
        <f t="shared" ca="1" si="4"/>
        <v/>
      </c>
      <c r="I41" t="str">
        <f t="shared" ca="1" si="5"/>
        <v/>
      </c>
    </row>
    <row r="42" spans="1:9" x14ac:dyDescent="0.25">
      <c r="A42">
        <v>37</v>
      </c>
      <c r="B42" s="9"/>
      <c r="C42" t="str">
        <f t="shared" ca="1" si="6"/>
        <v/>
      </c>
      <c r="D42" t="str">
        <f t="shared" ca="1" si="7"/>
        <v/>
      </c>
      <c r="E42" s="9"/>
      <c r="F42" t="e">
        <f t="shared" ca="1" si="8"/>
        <v>#REF!</v>
      </c>
      <c r="G42" t="str">
        <f t="shared" ca="1" si="9"/>
        <v/>
      </c>
      <c r="H42" t="str">
        <f t="shared" ca="1" si="4"/>
        <v/>
      </c>
      <c r="I42" t="str">
        <f t="shared" ca="1" si="5"/>
        <v/>
      </c>
    </row>
    <row r="43" spans="1:9" x14ac:dyDescent="0.25">
      <c r="A43">
        <v>38</v>
      </c>
      <c r="B43" s="9"/>
      <c r="C43" t="str">
        <f t="shared" ca="1" si="6"/>
        <v/>
      </c>
      <c r="D43" t="str">
        <f t="shared" ca="1" si="7"/>
        <v/>
      </c>
      <c r="E43" s="9"/>
      <c r="F43" t="e">
        <f t="shared" ca="1" si="8"/>
        <v>#REF!</v>
      </c>
      <c r="G43" t="str">
        <f t="shared" ca="1" si="9"/>
        <v/>
      </c>
      <c r="H43" t="str">
        <f t="shared" ca="1" si="4"/>
        <v/>
      </c>
      <c r="I43" t="str">
        <f t="shared" ca="1" si="5"/>
        <v/>
      </c>
    </row>
    <row r="44" spans="1:9" x14ac:dyDescent="0.25">
      <c r="A44">
        <v>39</v>
      </c>
      <c r="B44" s="9"/>
      <c r="C44" t="str">
        <f t="shared" ca="1" si="6"/>
        <v/>
      </c>
      <c r="D44" t="str">
        <f t="shared" ca="1" si="7"/>
        <v/>
      </c>
      <c r="E44" s="9"/>
      <c r="F44" t="e">
        <f t="shared" ca="1" si="8"/>
        <v>#REF!</v>
      </c>
      <c r="G44" t="str">
        <f t="shared" ca="1" si="9"/>
        <v/>
      </c>
      <c r="H44" t="str">
        <f t="shared" ca="1" si="4"/>
        <v/>
      </c>
      <c r="I44" t="str">
        <f t="shared" ca="1" si="5"/>
        <v/>
      </c>
    </row>
    <row r="45" spans="1:9" x14ac:dyDescent="0.25">
      <c r="A45">
        <v>40</v>
      </c>
      <c r="B45" s="9"/>
      <c r="C45" t="str">
        <f t="shared" ca="1" si="6"/>
        <v/>
      </c>
      <c r="D45" t="str">
        <f t="shared" ca="1" si="7"/>
        <v/>
      </c>
      <c r="E45" s="9"/>
      <c r="F45" t="e">
        <f t="shared" ca="1" si="8"/>
        <v>#REF!</v>
      </c>
      <c r="G45" t="str">
        <f t="shared" ca="1" si="9"/>
        <v/>
      </c>
      <c r="H45" t="str">
        <f t="shared" ca="1" si="4"/>
        <v/>
      </c>
      <c r="I45" t="str">
        <f t="shared" ca="1" si="5"/>
        <v/>
      </c>
    </row>
    <row r="46" spans="1:9" x14ac:dyDescent="0.25">
      <c r="A46">
        <v>41</v>
      </c>
      <c r="B46" s="9"/>
      <c r="C46" t="str">
        <f t="shared" ca="1" si="6"/>
        <v/>
      </c>
      <c r="D46" t="str">
        <f t="shared" ca="1" si="7"/>
        <v/>
      </c>
      <c r="E46" s="9"/>
      <c r="F46" t="e">
        <f t="shared" ca="1" si="8"/>
        <v>#REF!</v>
      </c>
      <c r="G46" t="str">
        <f t="shared" ca="1" si="9"/>
        <v/>
      </c>
      <c r="H46" t="str">
        <f t="shared" ca="1" si="4"/>
        <v/>
      </c>
      <c r="I46" t="str">
        <f t="shared" ca="1" si="5"/>
        <v/>
      </c>
    </row>
    <row r="47" spans="1:9" x14ac:dyDescent="0.25">
      <c r="A47">
        <v>42</v>
      </c>
      <c r="B47" s="9"/>
      <c r="C47" t="str">
        <f t="shared" ca="1" si="6"/>
        <v/>
      </c>
      <c r="D47" t="str">
        <f t="shared" ca="1" si="7"/>
        <v/>
      </c>
      <c r="E47" s="9"/>
      <c r="F47" t="e">
        <f t="shared" ca="1" si="8"/>
        <v>#REF!</v>
      </c>
      <c r="G47" t="str">
        <f t="shared" ca="1" si="9"/>
        <v/>
      </c>
      <c r="H47" t="str">
        <f t="shared" ca="1" si="4"/>
        <v/>
      </c>
      <c r="I47" t="str">
        <f t="shared" ca="1" si="5"/>
        <v/>
      </c>
    </row>
    <row r="48" spans="1:9" x14ac:dyDescent="0.25">
      <c r="A48">
        <v>43</v>
      </c>
      <c r="B48" s="9"/>
      <c r="C48" t="str">
        <f t="shared" ca="1" si="6"/>
        <v/>
      </c>
      <c r="D48" t="str">
        <f t="shared" ca="1" si="7"/>
        <v/>
      </c>
      <c r="E48" s="9"/>
      <c r="F48" t="e">
        <f t="shared" ca="1" si="8"/>
        <v>#REF!</v>
      </c>
      <c r="G48" t="str">
        <f t="shared" ca="1" si="9"/>
        <v/>
      </c>
      <c r="H48" t="str">
        <f t="shared" ca="1" si="4"/>
        <v/>
      </c>
      <c r="I48" t="str">
        <f t="shared" ca="1" si="5"/>
        <v/>
      </c>
    </row>
    <row r="49" spans="1:9" x14ac:dyDescent="0.25">
      <c r="A49">
        <v>44</v>
      </c>
      <c r="B49" s="9"/>
      <c r="C49" t="str">
        <f t="shared" ca="1" si="6"/>
        <v/>
      </c>
      <c r="D49" t="str">
        <f t="shared" ca="1" si="7"/>
        <v/>
      </c>
      <c r="E49" s="9"/>
      <c r="F49" t="e">
        <f t="shared" ca="1" si="8"/>
        <v>#REF!</v>
      </c>
      <c r="G49" t="str">
        <f t="shared" ca="1" si="9"/>
        <v/>
      </c>
      <c r="H49" t="str">
        <f t="shared" ca="1" si="4"/>
        <v/>
      </c>
      <c r="I49" t="str">
        <f t="shared" ca="1" si="5"/>
        <v/>
      </c>
    </row>
    <row r="50" spans="1:9" x14ac:dyDescent="0.25">
      <c r="A50">
        <v>45</v>
      </c>
      <c r="B50" s="9"/>
      <c r="C50" t="str">
        <f t="shared" ca="1" si="6"/>
        <v/>
      </c>
      <c r="D50" t="str">
        <f t="shared" ca="1" si="7"/>
        <v/>
      </c>
      <c r="E50" s="9"/>
      <c r="F50" t="e">
        <f t="shared" ca="1" si="8"/>
        <v>#REF!</v>
      </c>
      <c r="G50" t="str">
        <f t="shared" ca="1" si="9"/>
        <v/>
      </c>
      <c r="H50" t="str">
        <f t="shared" ca="1" si="4"/>
        <v/>
      </c>
      <c r="I50" t="str">
        <f t="shared" ca="1" si="5"/>
        <v/>
      </c>
    </row>
    <row r="51" spans="1:9" x14ac:dyDescent="0.25">
      <c r="A51">
        <v>46</v>
      </c>
      <c r="B51" s="9"/>
      <c r="C51" t="str">
        <f t="shared" ca="1" si="6"/>
        <v/>
      </c>
      <c r="D51" t="str">
        <f t="shared" ca="1" si="7"/>
        <v/>
      </c>
      <c r="E51" s="9"/>
      <c r="F51" t="e">
        <f t="shared" ca="1" si="8"/>
        <v>#REF!</v>
      </c>
      <c r="G51" t="str">
        <f t="shared" ca="1" si="9"/>
        <v/>
      </c>
      <c r="H51" t="str">
        <f t="shared" ca="1" si="4"/>
        <v/>
      </c>
      <c r="I51" t="str">
        <f t="shared" ca="1" si="5"/>
        <v/>
      </c>
    </row>
    <row r="52" spans="1:9" x14ac:dyDescent="0.25">
      <c r="A52">
        <v>47</v>
      </c>
      <c r="B52" s="9"/>
      <c r="C52" t="str">
        <f t="shared" ca="1" si="6"/>
        <v/>
      </c>
      <c r="D52" t="str">
        <f t="shared" ca="1" si="7"/>
        <v/>
      </c>
      <c r="E52" s="9"/>
      <c r="F52" t="e">
        <f t="shared" ca="1" si="8"/>
        <v>#REF!</v>
      </c>
      <c r="G52" t="str">
        <f t="shared" ca="1" si="9"/>
        <v/>
      </c>
      <c r="H52" t="str">
        <f t="shared" ca="1" si="4"/>
        <v/>
      </c>
      <c r="I52" t="str">
        <f t="shared" ca="1" si="5"/>
        <v/>
      </c>
    </row>
    <row r="53" spans="1:9" x14ac:dyDescent="0.25">
      <c r="A53">
        <v>48</v>
      </c>
      <c r="B53" s="9"/>
      <c r="C53" t="str">
        <f t="shared" ca="1" si="6"/>
        <v/>
      </c>
      <c r="D53" t="str">
        <f t="shared" ca="1" si="7"/>
        <v/>
      </c>
      <c r="E53" s="9"/>
      <c r="F53" t="e">
        <f t="shared" ca="1" si="8"/>
        <v>#REF!</v>
      </c>
      <c r="G53" t="str">
        <f t="shared" ca="1" si="9"/>
        <v/>
      </c>
      <c r="H53" t="str">
        <f t="shared" ca="1" si="4"/>
        <v/>
      </c>
      <c r="I53" t="str">
        <f t="shared" ca="1" si="5"/>
        <v/>
      </c>
    </row>
    <row r="54" spans="1:9" x14ac:dyDescent="0.25">
      <c r="A54">
        <v>49</v>
      </c>
      <c r="B54" s="9"/>
      <c r="C54" t="str">
        <f t="shared" ca="1" si="6"/>
        <v/>
      </c>
      <c r="D54" t="str">
        <f t="shared" ca="1" si="7"/>
        <v/>
      </c>
      <c r="E54" s="9"/>
      <c r="F54" t="e">
        <f t="shared" ca="1" si="8"/>
        <v>#REF!</v>
      </c>
      <c r="G54" t="str">
        <f t="shared" ca="1" si="9"/>
        <v/>
      </c>
      <c r="H54" t="str">
        <f t="shared" ca="1" si="4"/>
        <v/>
      </c>
      <c r="I54" t="str">
        <f t="shared" ca="1" si="5"/>
        <v/>
      </c>
    </row>
    <row r="55" spans="1:9" x14ac:dyDescent="0.25">
      <c r="A55">
        <v>50</v>
      </c>
      <c r="B55" s="9"/>
      <c r="C55" t="str">
        <f t="shared" ca="1" si="6"/>
        <v/>
      </c>
      <c r="D55" t="str">
        <f t="shared" ca="1" si="7"/>
        <v/>
      </c>
      <c r="E55" s="9"/>
      <c r="F55" t="e">
        <f t="shared" ca="1" si="8"/>
        <v>#REF!</v>
      </c>
      <c r="G55" t="str">
        <f t="shared" ca="1" si="9"/>
        <v/>
      </c>
      <c r="H55" t="str">
        <f t="shared" ca="1" si="4"/>
        <v/>
      </c>
      <c r="I55" t="str">
        <f t="shared" ca="1" si="5"/>
        <v/>
      </c>
    </row>
    <row r="56" spans="1:9" x14ac:dyDescent="0.25">
      <c r="A56">
        <v>51</v>
      </c>
      <c r="B56" s="9"/>
      <c r="C56" t="str">
        <f t="shared" ca="1" si="6"/>
        <v/>
      </c>
      <c r="D56" t="str">
        <f t="shared" ca="1" si="7"/>
        <v/>
      </c>
      <c r="E56" s="9"/>
      <c r="F56" t="e">
        <f t="shared" ca="1" si="8"/>
        <v>#REF!</v>
      </c>
      <c r="G56" t="str">
        <f t="shared" ca="1" si="9"/>
        <v/>
      </c>
      <c r="H56" t="str">
        <f t="shared" ca="1" si="4"/>
        <v/>
      </c>
      <c r="I56" t="str">
        <f t="shared" ca="1" si="5"/>
        <v/>
      </c>
    </row>
    <row r="57" spans="1:9" x14ac:dyDescent="0.25">
      <c r="A57">
        <v>52</v>
      </c>
      <c r="B57" s="9"/>
      <c r="C57" t="str">
        <f t="shared" ca="1" si="6"/>
        <v/>
      </c>
      <c r="D57" t="str">
        <f t="shared" ca="1" si="7"/>
        <v/>
      </c>
      <c r="E57" s="9"/>
      <c r="F57" t="e">
        <f t="shared" ca="1" si="8"/>
        <v>#REF!</v>
      </c>
      <c r="G57" t="str">
        <f t="shared" ca="1" si="9"/>
        <v/>
      </c>
      <c r="H57" t="str">
        <f t="shared" ca="1" si="4"/>
        <v/>
      </c>
      <c r="I57" t="str">
        <f t="shared" ca="1" si="5"/>
        <v/>
      </c>
    </row>
    <row r="58" spans="1:9" x14ac:dyDescent="0.25">
      <c r="A58">
        <v>53</v>
      </c>
      <c r="B58" s="9"/>
      <c r="C58" t="str">
        <f t="shared" ca="1" si="6"/>
        <v/>
      </c>
      <c r="D58" t="str">
        <f t="shared" ca="1" si="7"/>
        <v/>
      </c>
      <c r="E58" s="9"/>
      <c r="F58" t="e">
        <f t="shared" ca="1" si="8"/>
        <v>#REF!</v>
      </c>
      <c r="G58" t="str">
        <f t="shared" ca="1" si="9"/>
        <v/>
      </c>
      <c r="H58" t="str">
        <f t="shared" ca="1" si="4"/>
        <v/>
      </c>
      <c r="I58" t="str">
        <f t="shared" ca="1" si="5"/>
        <v/>
      </c>
    </row>
    <row r="59" spans="1:9" x14ac:dyDescent="0.25">
      <c r="A59">
        <v>54</v>
      </c>
      <c r="B59" s="9"/>
      <c r="C59" t="str">
        <f t="shared" ca="1" si="6"/>
        <v/>
      </c>
      <c r="D59" t="str">
        <f t="shared" ca="1" si="7"/>
        <v/>
      </c>
      <c r="E59" s="9"/>
      <c r="F59" t="e">
        <f t="shared" ca="1" si="8"/>
        <v>#REF!</v>
      </c>
      <c r="G59" t="str">
        <f t="shared" ca="1" si="9"/>
        <v/>
      </c>
      <c r="H59" t="str">
        <f t="shared" ca="1" si="4"/>
        <v/>
      </c>
      <c r="I59" t="str">
        <f t="shared" ca="1" si="5"/>
        <v/>
      </c>
    </row>
    <row r="60" spans="1:9" x14ac:dyDescent="0.25">
      <c r="A60">
        <v>55</v>
      </c>
      <c r="B60" s="9"/>
      <c r="C60" t="str">
        <f t="shared" ca="1" si="6"/>
        <v/>
      </c>
      <c r="D60" t="str">
        <f t="shared" ca="1" si="7"/>
        <v/>
      </c>
      <c r="E60" s="9"/>
      <c r="F60" t="e">
        <f t="shared" ca="1" si="8"/>
        <v>#REF!</v>
      </c>
      <c r="G60" t="str">
        <f t="shared" ca="1" si="9"/>
        <v/>
      </c>
      <c r="H60" t="str">
        <f t="shared" ca="1" si="4"/>
        <v/>
      </c>
      <c r="I60" t="str">
        <f t="shared" ca="1" si="5"/>
        <v/>
      </c>
    </row>
    <row r="61" spans="1:9" x14ac:dyDescent="0.25">
      <c r="A61">
        <v>56</v>
      </c>
      <c r="B61" s="9"/>
      <c r="C61" t="str">
        <f t="shared" ca="1" si="6"/>
        <v/>
      </c>
      <c r="D61" t="str">
        <f t="shared" ca="1" si="7"/>
        <v/>
      </c>
      <c r="E61" s="9"/>
      <c r="F61" t="e">
        <f t="shared" ca="1" si="8"/>
        <v>#REF!</v>
      </c>
      <c r="G61" t="str">
        <f t="shared" ca="1" si="9"/>
        <v/>
      </c>
      <c r="H61" t="str">
        <f t="shared" ca="1" si="4"/>
        <v/>
      </c>
      <c r="I61" t="str">
        <f t="shared" ca="1" si="5"/>
        <v/>
      </c>
    </row>
    <row r="62" spans="1:9" x14ac:dyDescent="0.25">
      <c r="A62">
        <v>57</v>
      </c>
      <c r="B62" s="9"/>
      <c r="C62" t="str">
        <f t="shared" ca="1" si="6"/>
        <v/>
      </c>
      <c r="D62" t="str">
        <f t="shared" ca="1" si="7"/>
        <v/>
      </c>
      <c r="E62" s="9"/>
      <c r="F62" t="e">
        <f t="shared" ca="1" si="8"/>
        <v>#REF!</v>
      </c>
      <c r="G62" t="str">
        <f t="shared" ca="1" si="9"/>
        <v/>
      </c>
      <c r="H62" t="str">
        <f t="shared" ca="1" si="4"/>
        <v/>
      </c>
      <c r="I62" t="str">
        <f t="shared" ca="1" si="5"/>
        <v/>
      </c>
    </row>
    <row r="63" spans="1:9" x14ac:dyDescent="0.25">
      <c r="A63">
        <v>58</v>
      </c>
      <c r="B63" s="9"/>
      <c r="C63" t="str">
        <f t="shared" ca="1" si="6"/>
        <v/>
      </c>
      <c r="D63" t="str">
        <f t="shared" ca="1" si="7"/>
        <v/>
      </c>
      <c r="E63" s="9"/>
      <c r="F63" t="e">
        <f t="shared" ca="1" si="8"/>
        <v>#REF!</v>
      </c>
      <c r="G63" t="str">
        <f t="shared" ca="1" si="9"/>
        <v/>
      </c>
      <c r="H63" t="str">
        <f t="shared" ca="1" si="4"/>
        <v/>
      </c>
      <c r="I63" t="str">
        <f t="shared" ca="1" si="5"/>
        <v/>
      </c>
    </row>
    <row r="64" spans="1:9" x14ac:dyDescent="0.25">
      <c r="A64">
        <v>59</v>
      </c>
      <c r="B64" s="9"/>
      <c r="C64" t="str">
        <f t="shared" ca="1" si="6"/>
        <v/>
      </c>
      <c r="D64" t="str">
        <f t="shared" ca="1" si="7"/>
        <v/>
      </c>
      <c r="E64" s="9"/>
      <c r="F64" t="e">
        <f t="shared" ca="1" si="8"/>
        <v>#REF!</v>
      </c>
      <c r="G64" t="str">
        <f t="shared" ca="1" si="9"/>
        <v/>
      </c>
      <c r="H64" t="str">
        <f t="shared" ca="1" si="4"/>
        <v/>
      </c>
      <c r="I64" t="str">
        <f t="shared" ca="1" si="5"/>
        <v/>
      </c>
    </row>
    <row r="65" spans="1:9" x14ac:dyDescent="0.25">
      <c r="A65">
        <v>60</v>
      </c>
      <c r="B65" s="9"/>
      <c r="C65" t="str">
        <f t="shared" ca="1" si="6"/>
        <v/>
      </c>
      <c r="D65" t="str">
        <f t="shared" ca="1" si="7"/>
        <v/>
      </c>
      <c r="E65" s="9"/>
      <c r="F65" t="e">
        <f t="shared" ca="1" si="8"/>
        <v>#REF!</v>
      </c>
      <c r="G65" t="str">
        <f t="shared" ca="1" si="9"/>
        <v/>
      </c>
      <c r="H65" t="str">
        <f t="shared" ca="1" si="4"/>
        <v/>
      </c>
      <c r="I65" t="str">
        <f t="shared" ca="1" si="5"/>
        <v/>
      </c>
    </row>
    <row r="66" spans="1:9" x14ac:dyDescent="0.25">
      <c r="A66">
        <v>61</v>
      </c>
      <c r="B66" s="9"/>
      <c r="C66" t="str">
        <f t="shared" ca="1" si="6"/>
        <v/>
      </c>
      <c r="D66" t="str">
        <f t="shared" ca="1" si="7"/>
        <v/>
      </c>
      <c r="E66" s="9"/>
      <c r="F66" t="e">
        <f t="shared" ca="1" si="8"/>
        <v>#REF!</v>
      </c>
      <c r="G66" t="str">
        <f t="shared" ca="1" si="9"/>
        <v/>
      </c>
      <c r="H66" t="str">
        <f t="shared" ca="1" si="4"/>
        <v/>
      </c>
      <c r="I66" t="str">
        <f t="shared" ca="1" si="5"/>
        <v/>
      </c>
    </row>
    <row r="67" spans="1:9" x14ac:dyDescent="0.25">
      <c r="A67">
        <v>62</v>
      </c>
      <c r="B67" s="9"/>
      <c r="C67" t="str">
        <f t="shared" ca="1" si="6"/>
        <v/>
      </c>
      <c r="D67" t="str">
        <f t="shared" ca="1" si="7"/>
        <v/>
      </c>
      <c r="E67" s="9"/>
      <c r="F67" t="e">
        <f t="shared" ca="1" si="8"/>
        <v>#REF!</v>
      </c>
      <c r="G67" t="str">
        <f t="shared" ca="1" si="9"/>
        <v/>
      </c>
      <c r="H67" t="str">
        <f t="shared" ca="1" si="4"/>
        <v/>
      </c>
      <c r="I67" t="str">
        <f t="shared" ca="1" si="5"/>
        <v/>
      </c>
    </row>
    <row r="68" spans="1:9" x14ac:dyDescent="0.25">
      <c r="A68">
        <v>63</v>
      </c>
      <c r="B68" s="9"/>
      <c r="C68" t="str">
        <f t="shared" ca="1" si="6"/>
        <v/>
      </c>
      <c r="D68" t="str">
        <f t="shared" ca="1" si="7"/>
        <v/>
      </c>
      <c r="E68" s="9"/>
      <c r="F68" t="e">
        <f t="shared" ca="1" si="8"/>
        <v>#REF!</v>
      </c>
      <c r="G68" t="str">
        <f t="shared" ca="1" si="9"/>
        <v/>
      </c>
      <c r="H68" t="str">
        <f t="shared" ca="1" si="4"/>
        <v/>
      </c>
      <c r="I68" t="str">
        <f t="shared" ca="1" si="5"/>
        <v/>
      </c>
    </row>
    <row r="69" spans="1:9" x14ac:dyDescent="0.25">
      <c r="A69">
        <v>64</v>
      </c>
      <c r="B69" s="9"/>
      <c r="C69" t="str">
        <f t="shared" ca="1" si="6"/>
        <v/>
      </c>
      <c r="D69" t="str">
        <f t="shared" ca="1" si="7"/>
        <v/>
      </c>
      <c r="E69" s="9"/>
      <c r="F69" t="e">
        <f t="shared" ca="1" si="8"/>
        <v>#REF!</v>
      </c>
      <c r="G69" t="str">
        <f t="shared" ca="1" si="9"/>
        <v/>
      </c>
      <c r="H69" t="str">
        <f t="shared" ca="1" si="4"/>
        <v/>
      </c>
      <c r="I69" t="str">
        <f t="shared" ca="1" si="5"/>
        <v/>
      </c>
    </row>
    <row r="70" spans="1:9" x14ac:dyDescent="0.25">
      <c r="A70">
        <v>65</v>
      </c>
      <c r="B70" s="9"/>
      <c r="C70" t="str">
        <f t="shared" ca="1" si="6"/>
        <v/>
      </c>
      <c r="D70" t="str">
        <f t="shared" ca="1" si="7"/>
        <v/>
      </c>
      <c r="E70" s="9"/>
      <c r="F70" t="e">
        <f t="shared" ca="1" si="8"/>
        <v>#REF!</v>
      </c>
      <c r="G70" t="str">
        <f t="shared" ca="1" si="9"/>
        <v/>
      </c>
      <c r="H70" t="str">
        <f t="shared" ca="1" si="4"/>
        <v/>
      </c>
      <c r="I70" t="str">
        <f t="shared" ca="1" si="5"/>
        <v/>
      </c>
    </row>
    <row r="71" spans="1:9" x14ac:dyDescent="0.25">
      <c r="A71">
        <v>66</v>
      </c>
      <c r="B71" s="9"/>
      <c r="C71" t="str">
        <f t="shared" ref="C71:C102" ca="1" si="10">IFERROR(VLOOKUP(B71,MTZ_DPTO,2,0),"")</f>
        <v/>
      </c>
      <c r="D71" t="str">
        <f t="shared" ref="D71:D102" ca="1" si="11">IFERROR(VLOOKUP(B71,MTZ_CARGO,3,0),"")</f>
        <v/>
      </c>
      <c r="E71" s="9"/>
      <c r="F71" t="e">
        <f t="shared" ca="1" si="8"/>
        <v>#REF!</v>
      </c>
      <c r="G71" t="str">
        <f t="shared" ca="1" si="9"/>
        <v/>
      </c>
      <c r="H71" t="str">
        <f t="shared" ca="1" si="4"/>
        <v/>
      </c>
      <c r="I71" t="str">
        <f t="shared" ca="1" si="5"/>
        <v/>
      </c>
    </row>
    <row r="72" spans="1:9" x14ac:dyDescent="0.25">
      <c r="A72">
        <v>67</v>
      </c>
      <c r="B72" s="9"/>
      <c r="C72" t="str">
        <f t="shared" ca="1" si="10"/>
        <v/>
      </c>
      <c r="D72" t="str">
        <f t="shared" ca="1" si="11"/>
        <v/>
      </c>
      <c r="E72" s="9"/>
      <c r="F72" t="e">
        <f t="shared" ref="F72:F103" ca="1" si="12">IF(SUMIFS(BD_DIAS_NOVEDAD,BD_NOMBRE,$B72,BD_MES_INICIO,$F$6,BD_AÑO_INICIO,$B$6,BD_NOVEDAD,$B$2)=0,"",SUMIFS(BD_DIAS_NOVEDAD,BD_NOMBRE,$B72,BD_MES_INICIO,$F$6,BD_AÑO_INICIO,$B$6,BD_NOVEDAD,$B$2))</f>
        <v>#REF!</v>
      </c>
      <c r="G72" t="str">
        <f t="shared" ref="G72:G103" ca="1" si="13">IFERROR(_xlfn.RANK.EQ(F72,$F$8:$F$149,0),"")</f>
        <v/>
      </c>
      <c r="H72" t="str">
        <f t="shared" ca="1" si="4"/>
        <v/>
      </c>
      <c r="I72" t="str">
        <f t="shared" ca="1" si="5"/>
        <v/>
      </c>
    </row>
    <row r="73" spans="1:9" x14ac:dyDescent="0.25">
      <c r="A73">
        <v>68</v>
      </c>
      <c r="B73" s="9"/>
      <c r="C73" t="str">
        <f t="shared" ca="1" si="10"/>
        <v/>
      </c>
      <c r="D73" t="str">
        <f t="shared" ca="1" si="11"/>
        <v/>
      </c>
      <c r="E73" s="9"/>
      <c r="F73" t="e">
        <f t="shared" ca="1" si="12"/>
        <v>#REF!</v>
      </c>
      <c r="G73" t="str">
        <f t="shared" ca="1" si="13"/>
        <v/>
      </c>
      <c r="H73" t="str">
        <f t="shared" ref="H73:H136" ca="1" si="14">IFERROR(INDEX($B$8:$B$149,MATCH(A73,$G$8:$G$149,0)),"")</f>
        <v/>
      </c>
      <c r="I73" t="str">
        <f t="shared" ref="I73:I136" ca="1" si="15">IFERROR(INDEX($F$8:$F$1048576,MATCH(A73,$G$8:$G$1048576,0)),"")</f>
        <v/>
      </c>
    </row>
    <row r="74" spans="1:9" x14ac:dyDescent="0.25">
      <c r="A74">
        <v>69</v>
      </c>
      <c r="B74" s="9"/>
      <c r="C74" t="str">
        <f t="shared" ca="1" si="10"/>
        <v/>
      </c>
      <c r="D74" t="str">
        <f t="shared" ca="1" si="11"/>
        <v/>
      </c>
      <c r="E74" s="9"/>
      <c r="F74" t="e">
        <f t="shared" ca="1" si="12"/>
        <v>#REF!</v>
      </c>
      <c r="G74" t="str">
        <f t="shared" ca="1" si="13"/>
        <v/>
      </c>
      <c r="H74" t="str">
        <f t="shared" ca="1" si="14"/>
        <v/>
      </c>
      <c r="I74" t="str">
        <f t="shared" ca="1" si="15"/>
        <v/>
      </c>
    </row>
    <row r="75" spans="1:9" x14ac:dyDescent="0.25">
      <c r="A75">
        <v>70</v>
      </c>
      <c r="B75" s="9"/>
      <c r="C75" t="str">
        <f t="shared" ca="1" si="10"/>
        <v/>
      </c>
      <c r="D75" t="str">
        <f t="shared" ca="1" si="11"/>
        <v/>
      </c>
      <c r="E75" s="9"/>
      <c r="F75" t="e">
        <f t="shared" ca="1" si="12"/>
        <v>#REF!</v>
      </c>
      <c r="G75" t="str">
        <f t="shared" ca="1" si="13"/>
        <v/>
      </c>
      <c r="H75" t="str">
        <f t="shared" ca="1" si="14"/>
        <v/>
      </c>
      <c r="I75" t="str">
        <f t="shared" ca="1" si="15"/>
        <v/>
      </c>
    </row>
    <row r="76" spans="1:9" x14ac:dyDescent="0.25">
      <c r="A76">
        <v>71</v>
      </c>
      <c r="B76" s="9"/>
      <c r="C76" t="str">
        <f t="shared" ca="1" si="10"/>
        <v/>
      </c>
      <c r="D76" t="str">
        <f t="shared" ca="1" si="11"/>
        <v/>
      </c>
      <c r="E76" s="9"/>
      <c r="F76" t="e">
        <f t="shared" ca="1" si="12"/>
        <v>#REF!</v>
      </c>
      <c r="G76" t="str">
        <f t="shared" ca="1" si="13"/>
        <v/>
      </c>
      <c r="H76" t="str">
        <f t="shared" ca="1" si="14"/>
        <v/>
      </c>
      <c r="I76" t="str">
        <f t="shared" ca="1" si="15"/>
        <v/>
      </c>
    </row>
    <row r="77" spans="1:9" x14ac:dyDescent="0.25">
      <c r="A77">
        <v>72</v>
      </c>
      <c r="B77" s="9"/>
      <c r="C77" t="str">
        <f t="shared" ca="1" si="10"/>
        <v/>
      </c>
      <c r="D77" t="str">
        <f t="shared" ca="1" si="11"/>
        <v/>
      </c>
      <c r="E77" s="9"/>
      <c r="F77" t="e">
        <f t="shared" ca="1" si="12"/>
        <v>#REF!</v>
      </c>
      <c r="G77" t="str">
        <f t="shared" ca="1" si="13"/>
        <v/>
      </c>
      <c r="H77" t="str">
        <f t="shared" ca="1" si="14"/>
        <v/>
      </c>
      <c r="I77" t="str">
        <f t="shared" ca="1" si="15"/>
        <v/>
      </c>
    </row>
    <row r="78" spans="1:9" x14ac:dyDescent="0.25">
      <c r="A78">
        <v>73</v>
      </c>
      <c r="B78" s="9"/>
      <c r="C78" t="str">
        <f t="shared" ca="1" si="10"/>
        <v/>
      </c>
      <c r="D78" t="str">
        <f t="shared" ca="1" si="11"/>
        <v/>
      </c>
      <c r="E78" s="9"/>
      <c r="F78" t="e">
        <f t="shared" ca="1" si="12"/>
        <v>#REF!</v>
      </c>
      <c r="G78" t="str">
        <f t="shared" ca="1" si="13"/>
        <v/>
      </c>
      <c r="H78" t="str">
        <f t="shared" ca="1" si="14"/>
        <v/>
      </c>
      <c r="I78" t="str">
        <f t="shared" ca="1" si="15"/>
        <v/>
      </c>
    </row>
    <row r="79" spans="1:9" x14ac:dyDescent="0.25">
      <c r="A79">
        <v>74</v>
      </c>
      <c r="B79" s="9"/>
      <c r="C79" t="str">
        <f t="shared" ca="1" si="10"/>
        <v/>
      </c>
      <c r="D79" t="str">
        <f t="shared" ca="1" si="11"/>
        <v/>
      </c>
      <c r="E79" s="9"/>
      <c r="F79" t="e">
        <f t="shared" ca="1" si="12"/>
        <v>#REF!</v>
      </c>
      <c r="G79" t="str">
        <f t="shared" ca="1" si="13"/>
        <v/>
      </c>
      <c r="H79" t="str">
        <f t="shared" ca="1" si="14"/>
        <v/>
      </c>
      <c r="I79" t="str">
        <f t="shared" ca="1" si="15"/>
        <v/>
      </c>
    </row>
    <row r="80" spans="1:9" x14ac:dyDescent="0.25">
      <c r="A80">
        <v>75</v>
      </c>
      <c r="B80" s="9"/>
      <c r="C80" t="str">
        <f t="shared" ca="1" si="10"/>
        <v/>
      </c>
      <c r="D80" t="str">
        <f t="shared" ca="1" si="11"/>
        <v/>
      </c>
      <c r="E80" s="9"/>
      <c r="F80" t="e">
        <f t="shared" ca="1" si="12"/>
        <v>#REF!</v>
      </c>
      <c r="G80" t="str">
        <f t="shared" ca="1" si="13"/>
        <v/>
      </c>
      <c r="H80" t="str">
        <f t="shared" ca="1" si="14"/>
        <v/>
      </c>
      <c r="I80" t="str">
        <f t="shared" ca="1" si="15"/>
        <v/>
      </c>
    </row>
    <row r="81" spans="1:9" x14ac:dyDescent="0.25">
      <c r="A81">
        <v>76</v>
      </c>
      <c r="B81" s="9"/>
      <c r="C81" t="str">
        <f t="shared" ca="1" si="10"/>
        <v/>
      </c>
      <c r="D81" t="str">
        <f t="shared" ca="1" si="11"/>
        <v/>
      </c>
      <c r="E81" s="9"/>
      <c r="F81" t="e">
        <f t="shared" ca="1" si="12"/>
        <v>#REF!</v>
      </c>
      <c r="G81" t="str">
        <f t="shared" ca="1" si="13"/>
        <v/>
      </c>
      <c r="H81" t="str">
        <f t="shared" ca="1" si="14"/>
        <v/>
      </c>
      <c r="I81" t="str">
        <f t="shared" ca="1" si="15"/>
        <v/>
      </c>
    </row>
    <row r="82" spans="1:9" x14ac:dyDescent="0.25">
      <c r="A82">
        <v>77</v>
      </c>
      <c r="B82" s="9"/>
      <c r="C82" t="str">
        <f t="shared" ca="1" si="10"/>
        <v/>
      </c>
      <c r="D82" t="str">
        <f t="shared" ca="1" si="11"/>
        <v/>
      </c>
      <c r="E82" s="9"/>
      <c r="F82" t="e">
        <f t="shared" ca="1" si="12"/>
        <v>#REF!</v>
      </c>
      <c r="G82" t="str">
        <f t="shared" ca="1" si="13"/>
        <v/>
      </c>
      <c r="H82" t="str">
        <f t="shared" ca="1" si="14"/>
        <v/>
      </c>
      <c r="I82" t="str">
        <f t="shared" ca="1" si="15"/>
        <v/>
      </c>
    </row>
    <row r="83" spans="1:9" x14ac:dyDescent="0.25">
      <c r="A83">
        <v>78</v>
      </c>
      <c r="B83" s="9"/>
      <c r="C83" t="str">
        <f t="shared" ca="1" si="10"/>
        <v/>
      </c>
      <c r="D83" t="str">
        <f t="shared" ca="1" si="11"/>
        <v/>
      </c>
      <c r="E83" s="9"/>
      <c r="F83" t="e">
        <f t="shared" ca="1" si="12"/>
        <v>#REF!</v>
      </c>
      <c r="G83" t="str">
        <f t="shared" ca="1" si="13"/>
        <v/>
      </c>
      <c r="H83" t="str">
        <f t="shared" ca="1" si="14"/>
        <v/>
      </c>
      <c r="I83" t="str">
        <f t="shared" ca="1" si="15"/>
        <v/>
      </c>
    </row>
    <row r="84" spans="1:9" x14ac:dyDescent="0.25">
      <c r="A84">
        <v>79</v>
      </c>
      <c r="B84" s="9"/>
      <c r="C84" t="str">
        <f t="shared" ca="1" si="10"/>
        <v/>
      </c>
      <c r="D84" t="str">
        <f t="shared" ca="1" si="11"/>
        <v/>
      </c>
      <c r="E84" s="9"/>
      <c r="F84" t="e">
        <f t="shared" ca="1" si="12"/>
        <v>#REF!</v>
      </c>
      <c r="G84" t="str">
        <f t="shared" ca="1" si="13"/>
        <v/>
      </c>
      <c r="H84" t="str">
        <f t="shared" ca="1" si="14"/>
        <v/>
      </c>
      <c r="I84" t="str">
        <f t="shared" ca="1" si="15"/>
        <v/>
      </c>
    </row>
    <row r="85" spans="1:9" x14ac:dyDescent="0.25">
      <c r="A85">
        <v>80</v>
      </c>
      <c r="B85" s="9"/>
      <c r="C85" t="str">
        <f t="shared" ca="1" si="10"/>
        <v/>
      </c>
      <c r="D85" t="str">
        <f t="shared" ca="1" si="11"/>
        <v/>
      </c>
      <c r="E85" s="9"/>
      <c r="F85" t="e">
        <f t="shared" ca="1" si="12"/>
        <v>#REF!</v>
      </c>
      <c r="G85" t="str">
        <f t="shared" ca="1" si="13"/>
        <v/>
      </c>
      <c r="H85" t="str">
        <f t="shared" ca="1" si="14"/>
        <v/>
      </c>
      <c r="I85" t="str">
        <f t="shared" ca="1" si="15"/>
        <v/>
      </c>
    </row>
    <row r="86" spans="1:9" x14ac:dyDescent="0.25">
      <c r="A86">
        <v>81</v>
      </c>
      <c r="B86" s="9"/>
      <c r="C86" t="str">
        <f t="shared" ca="1" si="10"/>
        <v/>
      </c>
      <c r="D86" t="str">
        <f t="shared" ca="1" si="11"/>
        <v/>
      </c>
      <c r="E86" s="9"/>
      <c r="F86" t="e">
        <f t="shared" ca="1" si="12"/>
        <v>#REF!</v>
      </c>
      <c r="G86" t="str">
        <f t="shared" ca="1" si="13"/>
        <v/>
      </c>
      <c r="H86" t="str">
        <f t="shared" ca="1" si="14"/>
        <v/>
      </c>
      <c r="I86" t="str">
        <f t="shared" ca="1" si="15"/>
        <v/>
      </c>
    </row>
    <row r="87" spans="1:9" x14ac:dyDescent="0.25">
      <c r="A87">
        <v>82</v>
      </c>
      <c r="B87" s="9"/>
      <c r="C87" t="str">
        <f t="shared" ca="1" si="10"/>
        <v/>
      </c>
      <c r="D87" t="str">
        <f t="shared" ca="1" si="11"/>
        <v/>
      </c>
      <c r="E87" s="9"/>
      <c r="F87" t="e">
        <f t="shared" ca="1" si="12"/>
        <v>#REF!</v>
      </c>
      <c r="G87" t="str">
        <f t="shared" ca="1" si="13"/>
        <v/>
      </c>
      <c r="H87" t="str">
        <f t="shared" ca="1" si="14"/>
        <v/>
      </c>
      <c r="I87" t="str">
        <f t="shared" ca="1" si="15"/>
        <v/>
      </c>
    </row>
    <row r="88" spans="1:9" x14ac:dyDescent="0.25">
      <c r="A88">
        <v>83</v>
      </c>
      <c r="B88" s="9"/>
      <c r="C88" t="str">
        <f t="shared" ca="1" si="10"/>
        <v/>
      </c>
      <c r="D88" t="str">
        <f t="shared" ca="1" si="11"/>
        <v/>
      </c>
      <c r="E88" s="9"/>
      <c r="F88" t="e">
        <f t="shared" ca="1" si="12"/>
        <v>#REF!</v>
      </c>
      <c r="G88" t="str">
        <f t="shared" ca="1" si="13"/>
        <v/>
      </c>
      <c r="H88" t="str">
        <f t="shared" ca="1" si="14"/>
        <v/>
      </c>
      <c r="I88" t="str">
        <f t="shared" ca="1" si="15"/>
        <v/>
      </c>
    </row>
    <row r="89" spans="1:9" x14ac:dyDescent="0.25">
      <c r="A89">
        <v>84</v>
      </c>
      <c r="B89" s="9"/>
      <c r="C89" t="str">
        <f t="shared" ca="1" si="10"/>
        <v/>
      </c>
      <c r="D89" t="str">
        <f t="shared" ca="1" si="11"/>
        <v/>
      </c>
      <c r="E89" s="9"/>
      <c r="F89" t="e">
        <f t="shared" ca="1" si="12"/>
        <v>#REF!</v>
      </c>
      <c r="G89" t="str">
        <f t="shared" ca="1" si="13"/>
        <v/>
      </c>
      <c r="H89" t="str">
        <f t="shared" ca="1" si="14"/>
        <v/>
      </c>
      <c r="I89" t="str">
        <f t="shared" ca="1" si="15"/>
        <v/>
      </c>
    </row>
    <row r="90" spans="1:9" x14ac:dyDescent="0.25">
      <c r="A90">
        <v>85</v>
      </c>
      <c r="B90" s="9"/>
      <c r="C90" t="str">
        <f t="shared" ca="1" si="10"/>
        <v/>
      </c>
      <c r="D90" t="str">
        <f t="shared" ca="1" si="11"/>
        <v/>
      </c>
      <c r="E90" s="9"/>
      <c r="F90" t="e">
        <f t="shared" ca="1" si="12"/>
        <v>#REF!</v>
      </c>
      <c r="G90" t="str">
        <f t="shared" ca="1" si="13"/>
        <v/>
      </c>
      <c r="H90" t="str">
        <f t="shared" ca="1" si="14"/>
        <v/>
      </c>
      <c r="I90" t="str">
        <f t="shared" ca="1" si="15"/>
        <v/>
      </c>
    </row>
    <row r="91" spans="1:9" x14ac:dyDescent="0.25">
      <c r="A91">
        <v>86</v>
      </c>
      <c r="B91" s="9"/>
      <c r="C91" t="str">
        <f t="shared" ca="1" si="10"/>
        <v/>
      </c>
      <c r="D91" t="str">
        <f t="shared" ca="1" si="11"/>
        <v/>
      </c>
      <c r="E91" s="9"/>
      <c r="F91" t="e">
        <f t="shared" ca="1" si="12"/>
        <v>#REF!</v>
      </c>
      <c r="G91" t="str">
        <f t="shared" ca="1" si="13"/>
        <v/>
      </c>
      <c r="H91" t="str">
        <f t="shared" ca="1" si="14"/>
        <v/>
      </c>
      <c r="I91" t="str">
        <f t="shared" ca="1" si="15"/>
        <v/>
      </c>
    </row>
    <row r="92" spans="1:9" x14ac:dyDescent="0.25">
      <c r="A92">
        <v>87</v>
      </c>
      <c r="B92" s="9"/>
      <c r="C92" t="str">
        <f t="shared" ca="1" si="10"/>
        <v/>
      </c>
      <c r="D92" t="str">
        <f t="shared" ca="1" si="11"/>
        <v/>
      </c>
      <c r="E92" s="9"/>
      <c r="F92" t="e">
        <f t="shared" ca="1" si="12"/>
        <v>#REF!</v>
      </c>
      <c r="G92" t="str">
        <f t="shared" ca="1" si="13"/>
        <v/>
      </c>
      <c r="H92" t="str">
        <f t="shared" ca="1" si="14"/>
        <v/>
      </c>
      <c r="I92" t="str">
        <f t="shared" ca="1" si="15"/>
        <v/>
      </c>
    </row>
    <row r="93" spans="1:9" x14ac:dyDescent="0.25">
      <c r="A93">
        <v>88</v>
      </c>
      <c r="B93" s="9"/>
      <c r="C93" t="str">
        <f t="shared" ca="1" si="10"/>
        <v/>
      </c>
      <c r="D93" t="str">
        <f t="shared" ca="1" si="11"/>
        <v/>
      </c>
      <c r="E93" s="9"/>
      <c r="F93" t="e">
        <f t="shared" ca="1" si="12"/>
        <v>#REF!</v>
      </c>
      <c r="G93" t="str">
        <f t="shared" ca="1" si="13"/>
        <v/>
      </c>
      <c r="H93" t="str">
        <f t="shared" ca="1" si="14"/>
        <v/>
      </c>
      <c r="I93" t="str">
        <f t="shared" ca="1" si="15"/>
        <v/>
      </c>
    </row>
    <row r="94" spans="1:9" x14ac:dyDescent="0.25">
      <c r="A94">
        <v>89</v>
      </c>
      <c r="B94" s="9"/>
      <c r="C94" t="str">
        <f t="shared" ca="1" si="10"/>
        <v/>
      </c>
      <c r="D94" t="str">
        <f t="shared" ca="1" si="11"/>
        <v/>
      </c>
      <c r="E94" s="9"/>
      <c r="F94" t="e">
        <f t="shared" ca="1" si="12"/>
        <v>#REF!</v>
      </c>
      <c r="G94" t="str">
        <f t="shared" ca="1" si="13"/>
        <v/>
      </c>
      <c r="H94" t="str">
        <f t="shared" ca="1" si="14"/>
        <v/>
      </c>
      <c r="I94" t="str">
        <f t="shared" ca="1" si="15"/>
        <v/>
      </c>
    </row>
    <row r="95" spans="1:9" x14ac:dyDescent="0.25">
      <c r="A95">
        <v>90</v>
      </c>
      <c r="B95" s="9"/>
      <c r="C95" t="str">
        <f t="shared" ca="1" si="10"/>
        <v/>
      </c>
      <c r="D95" t="str">
        <f t="shared" ca="1" si="11"/>
        <v/>
      </c>
      <c r="E95" s="9"/>
      <c r="F95" t="e">
        <f t="shared" ca="1" si="12"/>
        <v>#REF!</v>
      </c>
      <c r="G95" t="str">
        <f t="shared" ca="1" si="13"/>
        <v/>
      </c>
      <c r="H95" t="str">
        <f t="shared" ca="1" si="14"/>
        <v/>
      </c>
      <c r="I95" t="str">
        <f t="shared" ca="1" si="15"/>
        <v/>
      </c>
    </row>
    <row r="96" spans="1:9" x14ac:dyDescent="0.25">
      <c r="A96">
        <v>91</v>
      </c>
      <c r="B96" s="9"/>
      <c r="C96" t="str">
        <f t="shared" ca="1" si="10"/>
        <v/>
      </c>
      <c r="D96" t="str">
        <f t="shared" ca="1" si="11"/>
        <v/>
      </c>
      <c r="E96" s="9"/>
      <c r="F96" t="e">
        <f t="shared" ca="1" si="12"/>
        <v>#REF!</v>
      </c>
      <c r="G96" t="str">
        <f t="shared" ca="1" si="13"/>
        <v/>
      </c>
      <c r="H96" t="str">
        <f t="shared" ca="1" si="14"/>
        <v/>
      </c>
      <c r="I96" t="str">
        <f t="shared" ca="1" si="15"/>
        <v/>
      </c>
    </row>
    <row r="97" spans="1:9" x14ac:dyDescent="0.25">
      <c r="A97">
        <v>92</v>
      </c>
      <c r="B97" s="9"/>
      <c r="C97" t="str">
        <f t="shared" ca="1" si="10"/>
        <v/>
      </c>
      <c r="D97" t="str">
        <f t="shared" ca="1" si="11"/>
        <v/>
      </c>
      <c r="E97" s="9"/>
      <c r="F97" t="e">
        <f t="shared" ca="1" si="12"/>
        <v>#REF!</v>
      </c>
      <c r="G97" t="str">
        <f t="shared" ca="1" si="13"/>
        <v/>
      </c>
      <c r="H97" t="str">
        <f t="shared" ca="1" si="14"/>
        <v/>
      </c>
      <c r="I97" t="str">
        <f t="shared" ca="1" si="15"/>
        <v/>
      </c>
    </row>
    <row r="98" spans="1:9" x14ac:dyDescent="0.25">
      <c r="A98">
        <v>93</v>
      </c>
      <c r="B98" s="9"/>
      <c r="C98" t="str">
        <f t="shared" ca="1" si="10"/>
        <v/>
      </c>
      <c r="D98" t="str">
        <f t="shared" ca="1" si="11"/>
        <v/>
      </c>
      <c r="E98" s="9"/>
      <c r="F98" t="e">
        <f t="shared" ca="1" si="12"/>
        <v>#REF!</v>
      </c>
      <c r="G98" t="str">
        <f t="shared" ca="1" si="13"/>
        <v/>
      </c>
      <c r="H98" t="str">
        <f t="shared" ca="1" si="14"/>
        <v/>
      </c>
      <c r="I98" t="str">
        <f t="shared" ca="1" si="15"/>
        <v/>
      </c>
    </row>
    <row r="99" spans="1:9" x14ac:dyDescent="0.25">
      <c r="A99">
        <v>94</v>
      </c>
      <c r="B99" s="9"/>
      <c r="C99" t="str">
        <f t="shared" ca="1" si="10"/>
        <v/>
      </c>
      <c r="D99" t="str">
        <f t="shared" ca="1" si="11"/>
        <v/>
      </c>
      <c r="E99" s="9"/>
      <c r="F99" t="e">
        <f t="shared" ca="1" si="12"/>
        <v>#REF!</v>
      </c>
      <c r="G99" t="str">
        <f t="shared" ca="1" si="13"/>
        <v/>
      </c>
      <c r="H99" t="str">
        <f t="shared" ca="1" si="14"/>
        <v/>
      </c>
      <c r="I99" t="str">
        <f t="shared" ca="1" si="15"/>
        <v/>
      </c>
    </row>
    <row r="100" spans="1:9" x14ac:dyDescent="0.25">
      <c r="A100">
        <v>95</v>
      </c>
      <c r="B100" s="9"/>
      <c r="C100" t="str">
        <f t="shared" ca="1" si="10"/>
        <v/>
      </c>
      <c r="D100" t="str">
        <f t="shared" ca="1" si="11"/>
        <v/>
      </c>
      <c r="E100" s="9"/>
      <c r="F100" t="e">
        <f t="shared" ca="1" si="12"/>
        <v>#REF!</v>
      </c>
      <c r="G100" t="str">
        <f t="shared" ca="1" si="13"/>
        <v/>
      </c>
      <c r="H100" t="str">
        <f t="shared" ca="1" si="14"/>
        <v/>
      </c>
      <c r="I100" t="str">
        <f t="shared" ca="1" si="15"/>
        <v/>
      </c>
    </row>
    <row r="101" spans="1:9" x14ac:dyDescent="0.25">
      <c r="A101">
        <v>96</v>
      </c>
      <c r="B101" s="9"/>
      <c r="C101" t="str">
        <f t="shared" ca="1" si="10"/>
        <v/>
      </c>
      <c r="D101" t="str">
        <f t="shared" ca="1" si="11"/>
        <v/>
      </c>
      <c r="E101" s="9"/>
      <c r="F101" t="e">
        <f t="shared" ca="1" si="12"/>
        <v>#REF!</v>
      </c>
      <c r="G101" t="str">
        <f t="shared" ca="1" si="13"/>
        <v/>
      </c>
      <c r="H101" t="str">
        <f t="shared" ca="1" si="14"/>
        <v/>
      </c>
      <c r="I101" t="str">
        <f t="shared" ca="1" si="15"/>
        <v/>
      </c>
    </row>
    <row r="102" spans="1:9" x14ac:dyDescent="0.25">
      <c r="A102">
        <v>97</v>
      </c>
      <c r="B102" s="9"/>
      <c r="C102" t="str">
        <f t="shared" ca="1" si="10"/>
        <v/>
      </c>
      <c r="D102" t="str">
        <f t="shared" ca="1" si="11"/>
        <v/>
      </c>
      <c r="E102" s="9"/>
      <c r="F102" t="e">
        <f t="shared" ca="1" si="12"/>
        <v>#REF!</v>
      </c>
      <c r="G102" t="str">
        <f t="shared" ca="1" si="13"/>
        <v/>
      </c>
      <c r="H102" t="str">
        <f t="shared" ca="1" si="14"/>
        <v/>
      </c>
      <c r="I102" t="str">
        <f t="shared" ca="1" si="15"/>
        <v/>
      </c>
    </row>
    <row r="103" spans="1:9" x14ac:dyDescent="0.25">
      <c r="A103">
        <v>98</v>
      </c>
      <c r="B103" s="9"/>
      <c r="C103" t="str">
        <f t="shared" ref="C103:C134" ca="1" si="16">IFERROR(VLOOKUP(B103,MTZ_DPTO,2,0),"")</f>
        <v/>
      </c>
      <c r="D103" t="str">
        <f t="shared" ref="D103:D134" ca="1" si="17">IFERROR(VLOOKUP(B103,MTZ_CARGO,3,0),"")</f>
        <v/>
      </c>
      <c r="E103" s="9"/>
      <c r="F103" t="e">
        <f t="shared" ca="1" si="12"/>
        <v>#REF!</v>
      </c>
      <c r="G103" t="str">
        <f t="shared" ca="1" si="13"/>
        <v/>
      </c>
      <c r="H103" t="str">
        <f t="shared" ca="1" si="14"/>
        <v/>
      </c>
      <c r="I103" t="str">
        <f t="shared" ca="1" si="15"/>
        <v/>
      </c>
    </row>
    <row r="104" spans="1:9" x14ac:dyDescent="0.25">
      <c r="A104">
        <v>99</v>
      </c>
      <c r="B104" s="9"/>
      <c r="C104" t="str">
        <f t="shared" ca="1" si="16"/>
        <v/>
      </c>
      <c r="D104" t="str">
        <f t="shared" ca="1" si="17"/>
        <v/>
      </c>
      <c r="E104" s="9"/>
      <c r="F104" t="e">
        <f t="shared" ref="F104:F135" ca="1" si="18">IF(SUMIFS(BD_DIAS_NOVEDAD,BD_NOMBRE,$B104,BD_MES_INICIO,$F$6,BD_AÑO_INICIO,$B$6,BD_NOVEDAD,$B$2)=0,"",SUMIFS(BD_DIAS_NOVEDAD,BD_NOMBRE,$B104,BD_MES_INICIO,$F$6,BD_AÑO_INICIO,$B$6,BD_NOVEDAD,$B$2))</f>
        <v>#REF!</v>
      </c>
      <c r="G104" t="str">
        <f t="shared" ref="G104:G135" ca="1" si="19">IFERROR(_xlfn.RANK.EQ(F104,$F$8:$F$149,0),"")</f>
        <v/>
      </c>
      <c r="H104" t="str">
        <f t="shared" ca="1" si="14"/>
        <v/>
      </c>
      <c r="I104" t="str">
        <f t="shared" ca="1" si="15"/>
        <v/>
      </c>
    </row>
    <row r="105" spans="1:9" x14ac:dyDescent="0.25">
      <c r="A105">
        <v>100</v>
      </c>
      <c r="B105" s="9"/>
      <c r="C105" t="str">
        <f t="shared" ca="1" si="16"/>
        <v/>
      </c>
      <c r="D105" t="str">
        <f t="shared" ca="1" si="17"/>
        <v/>
      </c>
      <c r="E105" s="9"/>
      <c r="F105" t="e">
        <f t="shared" ca="1" si="18"/>
        <v>#REF!</v>
      </c>
      <c r="G105" t="str">
        <f t="shared" ca="1" si="19"/>
        <v/>
      </c>
      <c r="H105" t="str">
        <f t="shared" ca="1" si="14"/>
        <v/>
      </c>
      <c r="I105" t="str">
        <f t="shared" ca="1" si="15"/>
        <v/>
      </c>
    </row>
    <row r="106" spans="1:9" x14ac:dyDescent="0.25">
      <c r="A106">
        <v>101</v>
      </c>
      <c r="B106" s="9"/>
      <c r="C106" t="str">
        <f t="shared" ca="1" si="16"/>
        <v/>
      </c>
      <c r="D106" t="str">
        <f t="shared" ca="1" si="17"/>
        <v/>
      </c>
      <c r="E106" s="9"/>
      <c r="F106" t="e">
        <f t="shared" ca="1" si="18"/>
        <v>#REF!</v>
      </c>
      <c r="G106" t="str">
        <f t="shared" ca="1" si="19"/>
        <v/>
      </c>
      <c r="H106" t="str">
        <f t="shared" ca="1" si="14"/>
        <v/>
      </c>
      <c r="I106" t="str">
        <f t="shared" ca="1" si="15"/>
        <v/>
      </c>
    </row>
    <row r="107" spans="1:9" x14ac:dyDescent="0.25">
      <c r="A107">
        <v>102</v>
      </c>
      <c r="B107" s="9"/>
      <c r="C107" t="str">
        <f t="shared" ca="1" si="16"/>
        <v/>
      </c>
      <c r="D107" t="str">
        <f t="shared" ca="1" si="17"/>
        <v/>
      </c>
      <c r="E107" s="9"/>
      <c r="F107" t="e">
        <f t="shared" ca="1" si="18"/>
        <v>#REF!</v>
      </c>
      <c r="G107" t="str">
        <f t="shared" ca="1" si="19"/>
        <v/>
      </c>
      <c r="H107" t="str">
        <f t="shared" ca="1" si="14"/>
        <v/>
      </c>
      <c r="I107" t="str">
        <f t="shared" ca="1" si="15"/>
        <v/>
      </c>
    </row>
    <row r="108" spans="1:9" x14ac:dyDescent="0.25">
      <c r="A108">
        <v>103</v>
      </c>
      <c r="B108" s="9"/>
      <c r="C108" t="str">
        <f t="shared" ca="1" si="16"/>
        <v/>
      </c>
      <c r="D108" t="str">
        <f t="shared" ca="1" si="17"/>
        <v/>
      </c>
      <c r="E108" s="9"/>
      <c r="F108" t="e">
        <f t="shared" ca="1" si="18"/>
        <v>#REF!</v>
      </c>
      <c r="G108" t="str">
        <f t="shared" ca="1" si="19"/>
        <v/>
      </c>
      <c r="H108" t="str">
        <f t="shared" ca="1" si="14"/>
        <v/>
      </c>
      <c r="I108" t="str">
        <f t="shared" ca="1" si="15"/>
        <v/>
      </c>
    </row>
    <row r="109" spans="1:9" x14ac:dyDescent="0.25">
      <c r="A109">
        <v>104</v>
      </c>
      <c r="B109" s="9"/>
      <c r="C109" t="str">
        <f t="shared" ca="1" si="16"/>
        <v/>
      </c>
      <c r="D109" t="str">
        <f t="shared" ca="1" si="17"/>
        <v/>
      </c>
      <c r="E109" s="9"/>
      <c r="F109" t="e">
        <f t="shared" ca="1" si="18"/>
        <v>#REF!</v>
      </c>
      <c r="G109" t="str">
        <f t="shared" ca="1" si="19"/>
        <v/>
      </c>
      <c r="H109" t="str">
        <f t="shared" ca="1" si="14"/>
        <v/>
      </c>
      <c r="I109" t="str">
        <f t="shared" ca="1" si="15"/>
        <v/>
      </c>
    </row>
    <row r="110" spans="1:9" x14ac:dyDescent="0.25">
      <c r="A110">
        <v>105</v>
      </c>
      <c r="B110" s="9"/>
      <c r="C110" t="str">
        <f t="shared" ca="1" si="16"/>
        <v/>
      </c>
      <c r="D110" t="str">
        <f t="shared" ca="1" si="17"/>
        <v/>
      </c>
      <c r="E110" s="9"/>
      <c r="F110" t="e">
        <f t="shared" ca="1" si="18"/>
        <v>#REF!</v>
      </c>
      <c r="G110" t="str">
        <f t="shared" ca="1" si="19"/>
        <v/>
      </c>
      <c r="H110" t="str">
        <f t="shared" ca="1" si="14"/>
        <v/>
      </c>
      <c r="I110" t="str">
        <f t="shared" ca="1" si="15"/>
        <v/>
      </c>
    </row>
    <row r="111" spans="1:9" x14ac:dyDescent="0.25">
      <c r="A111">
        <v>106</v>
      </c>
      <c r="B111" s="9"/>
      <c r="C111" t="str">
        <f t="shared" ca="1" si="16"/>
        <v/>
      </c>
      <c r="D111" t="str">
        <f t="shared" ca="1" si="17"/>
        <v/>
      </c>
      <c r="E111" s="9"/>
      <c r="F111" t="e">
        <f t="shared" ca="1" si="18"/>
        <v>#REF!</v>
      </c>
      <c r="G111" t="str">
        <f t="shared" ca="1" si="19"/>
        <v/>
      </c>
      <c r="H111" t="str">
        <f t="shared" ca="1" si="14"/>
        <v/>
      </c>
      <c r="I111" t="str">
        <f t="shared" ca="1" si="15"/>
        <v/>
      </c>
    </row>
    <row r="112" spans="1:9" x14ac:dyDescent="0.25">
      <c r="A112">
        <v>107</v>
      </c>
      <c r="B112" s="9"/>
      <c r="C112" t="str">
        <f t="shared" ca="1" si="16"/>
        <v/>
      </c>
      <c r="D112" t="str">
        <f t="shared" ca="1" si="17"/>
        <v/>
      </c>
      <c r="E112" s="9"/>
      <c r="F112" t="e">
        <f t="shared" ca="1" si="18"/>
        <v>#REF!</v>
      </c>
      <c r="G112" t="str">
        <f t="shared" ca="1" si="19"/>
        <v/>
      </c>
      <c r="H112" t="str">
        <f t="shared" ca="1" si="14"/>
        <v/>
      </c>
      <c r="I112" t="str">
        <f t="shared" ca="1" si="15"/>
        <v/>
      </c>
    </row>
    <row r="113" spans="1:9" x14ac:dyDescent="0.25">
      <c r="A113">
        <v>108</v>
      </c>
      <c r="B113" s="9"/>
      <c r="C113" t="str">
        <f t="shared" ca="1" si="16"/>
        <v/>
      </c>
      <c r="D113" t="str">
        <f t="shared" ca="1" si="17"/>
        <v/>
      </c>
      <c r="E113" s="9"/>
      <c r="F113" t="e">
        <f t="shared" ca="1" si="18"/>
        <v>#REF!</v>
      </c>
      <c r="G113" t="str">
        <f t="shared" ca="1" si="19"/>
        <v/>
      </c>
      <c r="H113" t="str">
        <f t="shared" ca="1" si="14"/>
        <v/>
      </c>
      <c r="I113" t="str">
        <f t="shared" ca="1" si="15"/>
        <v/>
      </c>
    </row>
    <row r="114" spans="1:9" x14ac:dyDescent="0.25">
      <c r="A114">
        <v>109</v>
      </c>
      <c r="B114" s="9"/>
      <c r="C114" t="str">
        <f t="shared" ca="1" si="16"/>
        <v/>
      </c>
      <c r="D114" t="str">
        <f t="shared" ca="1" si="17"/>
        <v/>
      </c>
      <c r="E114" s="9"/>
      <c r="F114" t="e">
        <f t="shared" ca="1" si="18"/>
        <v>#REF!</v>
      </c>
      <c r="G114" t="str">
        <f t="shared" ca="1" si="19"/>
        <v/>
      </c>
      <c r="H114" t="str">
        <f t="shared" ca="1" si="14"/>
        <v/>
      </c>
      <c r="I114" t="str">
        <f t="shared" ca="1" si="15"/>
        <v/>
      </c>
    </row>
    <row r="115" spans="1:9" x14ac:dyDescent="0.25">
      <c r="A115">
        <v>110</v>
      </c>
      <c r="B115" s="9"/>
      <c r="C115" t="str">
        <f t="shared" ca="1" si="16"/>
        <v/>
      </c>
      <c r="D115" t="str">
        <f t="shared" ca="1" si="17"/>
        <v/>
      </c>
      <c r="E115" s="9"/>
      <c r="F115" t="e">
        <f t="shared" ca="1" si="18"/>
        <v>#REF!</v>
      </c>
      <c r="G115" t="str">
        <f t="shared" ca="1" si="19"/>
        <v/>
      </c>
      <c r="H115" t="str">
        <f t="shared" ca="1" si="14"/>
        <v/>
      </c>
      <c r="I115" t="str">
        <f t="shared" ca="1" si="15"/>
        <v/>
      </c>
    </row>
    <row r="116" spans="1:9" x14ac:dyDescent="0.25">
      <c r="A116">
        <v>111</v>
      </c>
      <c r="B116" s="9"/>
      <c r="C116" t="str">
        <f t="shared" ca="1" si="16"/>
        <v/>
      </c>
      <c r="D116" t="str">
        <f t="shared" ca="1" si="17"/>
        <v/>
      </c>
      <c r="E116" s="9"/>
      <c r="F116" t="e">
        <f t="shared" ca="1" si="18"/>
        <v>#REF!</v>
      </c>
      <c r="G116" t="str">
        <f t="shared" ca="1" si="19"/>
        <v/>
      </c>
      <c r="H116" t="str">
        <f t="shared" ca="1" si="14"/>
        <v/>
      </c>
      <c r="I116" t="str">
        <f t="shared" ca="1" si="15"/>
        <v/>
      </c>
    </row>
    <row r="117" spans="1:9" x14ac:dyDescent="0.25">
      <c r="A117">
        <v>112</v>
      </c>
      <c r="B117" s="9"/>
      <c r="C117" t="str">
        <f t="shared" ca="1" si="16"/>
        <v/>
      </c>
      <c r="D117" t="str">
        <f t="shared" ca="1" si="17"/>
        <v/>
      </c>
      <c r="E117" s="9"/>
      <c r="F117" t="e">
        <f t="shared" ca="1" si="18"/>
        <v>#REF!</v>
      </c>
      <c r="G117" t="str">
        <f t="shared" ca="1" si="19"/>
        <v/>
      </c>
      <c r="H117" t="str">
        <f t="shared" ca="1" si="14"/>
        <v/>
      </c>
      <c r="I117" t="str">
        <f t="shared" ca="1" si="15"/>
        <v/>
      </c>
    </row>
    <row r="118" spans="1:9" x14ac:dyDescent="0.25">
      <c r="A118">
        <v>113</v>
      </c>
      <c r="B118" s="9"/>
      <c r="C118" t="str">
        <f t="shared" ca="1" si="16"/>
        <v/>
      </c>
      <c r="D118" t="str">
        <f t="shared" ca="1" si="17"/>
        <v/>
      </c>
      <c r="E118" s="9"/>
      <c r="F118" t="e">
        <f t="shared" ca="1" si="18"/>
        <v>#REF!</v>
      </c>
      <c r="G118" t="str">
        <f t="shared" ca="1" si="19"/>
        <v/>
      </c>
      <c r="H118" t="str">
        <f t="shared" ca="1" si="14"/>
        <v/>
      </c>
      <c r="I118" t="str">
        <f t="shared" ca="1" si="15"/>
        <v/>
      </c>
    </row>
    <row r="119" spans="1:9" x14ac:dyDescent="0.25">
      <c r="A119">
        <v>114</v>
      </c>
      <c r="B119" s="9"/>
      <c r="C119" t="str">
        <f t="shared" ca="1" si="16"/>
        <v/>
      </c>
      <c r="D119" t="str">
        <f t="shared" ca="1" si="17"/>
        <v/>
      </c>
      <c r="E119" s="9"/>
      <c r="F119" t="e">
        <f t="shared" ca="1" si="18"/>
        <v>#REF!</v>
      </c>
      <c r="G119" t="str">
        <f t="shared" ca="1" si="19"/>
        <v/>
      </c>
      <c r="H119" t="str">
        <f t="shared" ca="1" si="14"/>
        <v/>
      </c>
      <c r="I119" t="str">
        <f t="shared" ca="1" si="15"/>
        <v/>
      </c>
    </row>
    <row r="120" spans="1:9" x14ac:dyDescent="0.25">
      <c r="A120">
        <v>115</v>
      </c>
      <c r="B120" s="9"/>
      <c r="C120" t="str">
        <f t="shared" ca="1" si="16"/>
        <v/>
      </c>
      <c r="D120" t="str">
        <f t="shared" ca="1" si="17"/>
        <v/>
      </c>
      <c r="E120" s="9"/>
      <c r="F120" t="e">
        <f t="shared" ca="1" si="18"/>
        <v>#REF!</v>
      </c>
      <c r="G120" t="str">
        <f t="shared" ca="1" si="19"/>
        <v/>
      </c>
      <c r="H120" t="str">
        <f t="shared" ca="1" si="14"/>
        <v/>
      </c>
      <c r="I120" t="str">
        <f t="shared" ca="1" si="15"/>
        <v/>
      </c>
    </row>
    <row r="121" spans="1:9" x14ac:dyDescent="0.25">
      <c r="A121">
        <v>116</v>
      </c>
      <c r="B121" s="9"/>
      <c r="C121" t="str">
        <f t="shared" ca="1" si="16"/>
        <v/>
      </c>
      <c r="D121" t="str">
        <f t="shared" ca="1" si="17"/>
        <v/>
      </c>
      <c r="E121" s="9"/>
      <c r="F121" t="e">
        <f t="shared" ca="1" si="18"/>
        <v>#REF!</v>
      </c>
      <c r="G121" t="str">
        <f t="shared" ca="1" si="19"/>
        <v/>
      </c>
      <c r="H121" t="str">
        <f t="shared" ca="1" si="14"/>
        <v/>
      </c>
      <c r="I121" t="str">
        <f t="shared" ca="1" si="15"/>
        <v/>
      </c>
    </row>
    <row r="122" spans="1:9" x14ac:dyDescent="0.25">
      <c r="A122">
        <v>117</v>
      </c>
      <c r="B122" s="9"/>
      <c r="C122" t="str">
        <f t="shared" ca="1" si="16"/>
        <v/>
      </c>
      <c r="D122" t="str">
        <f t="shared" ca="1" si="17"/>
        <v/>
      </c>
      <c r="E122" s="9"/>
      <c r="F122" t="e">
        <f t="shared" ca="1" si="18"/>
        <v>#REF!</v>
      </c>
      <c r="G122" t="str">
        <f t="shared" ca="1" si="19"/>
        <v/>
      </c>
      <c r="H122" t="str">
        <f t="shared" ca="1" si="14"/>
        <v/>
      </c>
      <c r="I122" t="str">
        <f t="shared" ca="1" si="15"/>
        <v/>
      </c>
    </row>
    <row r="123" spans="1:9" x14ac:dyDescent="0.25">
      <c r="A123">
        <v>118</v>
      </c>
      <c r="B123" s="9"/>
      <c r="C123" t="str">
        <f t="shared" ca="1" si="16"/>
        <v/>
      </c>
      <c r="D123" t="str">
        <f t="shared" ca="1" si="17"/>
        <v/>
      </c>
      <c r="E123" s="9"/>
      <c r="F123" t="e">
        <f t="shared" ca="1" si="18"/>
        <v>#REF!</v>
      </c>
      <c r="G123" t="str">
        <f t="shared" ca="1" si="19"/>
        <v/>
      </c>
      <c r="H123" t="str">
        <f t="shared" ca="1" si="14"/>
        <v/>
      </c>
      <c r="I123" t="str">
        <f t="shared" ca="1" si="15"/>
        <v/>
      </c>
    </row>
    <row r="124" spans="1:9" x14ac:dyDescent="0.25">
      <c r="A124">
        <v>119</v>
      </c>
      <c r="B124" s="9"/>
      <c r="C124" t="str">
        <f t="shared" ca="1" si="16"/>
        <v/>
      </c>
      <c r="D124" t="str">
        <f t="shared" ca="1" si="17"/>
        <v/>
      </c>
      <c r="E124" s="9"/>
      <c r="F124" t="e">
        <f t="shared" ca="1" si="18"/>
        <v>#REF!</v>
      </c>
      <c r="G124" t="str">
        <f t="shared" ca="1" si="19"/>
        <v/>
      </c>
      <c r="H124" t="str">
        <f t="shared" ca="1" si="14"/>
        <v/>
      </c>
      <c r="I124" t="str">
        <f t="shared" ca="1" si="15"/>
        <v/>
      </c>
    </row>
    <row r="125" spans="1:9" x14ac:dyDescent="0.25">
      <c r="A125">
        <v>120</v>
      </c>
      <c r="B125" s="9"/>
      <c r="C125" t="str">
        <f t="shared" ca="1" si="16"/>
        <v/>
      </c>
      <c r="D125" t="str">
        <f t="shared" ca="1" si="17"/>
        <v/>
      </c>
      <c r="E125" s="9"/>
      <c r="F125" t="e">
        <f t="shared" ca="1" si="18"/>
        <v>#REF!</v>
      </c>
      <c r="G125" t="str">
        <f t="shared" ca="1" si="19"/>
        <v/>
      </c>
      <c r="H125" t="str">
        <f t="shared" ca="1" si="14"/>
        <v/>
      </c>
      <c r="I125" t="str">
        <f t="shared" ca="1" si="15"/>
        <v/>
      </c>
    </row>
    <row r="126" spans="1:9" x14ac:dyDescent="0.25">
      <c r="A126">
        <v>121</v>
      </c>
      <c r="B126" s="9"/>
      <c r="C126" t="str">
        <f t="shared" ca="1" si="16"/>
        <v/>
      </c>
      <c r="D126" t="str">
        <f t="shared" ca="1" si="17"/>
        <v/>
      </c>
      <c r="E126" s="9"/>
      <c r="F126" t="e">
        <f t="shared" ca="1" si="18"/>
        <v>#REF!</v>
      </c>
      <c r="G126" t="str">
        <f t="shared" ca="1" si="19"/>
        <v/>
      </c>
      <c r="H126" t="str">
        <f t="shared" ca="1" si="14"/>
        <v/>
      </c>
      <c r="I126" t="str">
        <f t="shared" ca="1" si="15"/>
        <v/>
      </c>
    </row>
    <row r="127" spans="1:9" x14ac:dyDescent="0.25">
      <c r="A127">
        <v>122</v>
      </c>
      <c r="B127" s="9"/>
      <c r="C127" t="str">
        <f t="shared" ca="1" si="16"/>
        <v/>
      </c>
      <c r="D127" t="str">
        <f t="shared" ca="1" si="17"/>
        <v/>
      </c>
      <c r="E127" s="9"/>
      <c r="F127" t="e">
        <f t="shared" ca="1" si="18"/>
        <v>#REF!</v>
      </c>
      <c r="G127" t="str">
        <f t="shared" ca="1" si="19"/>
        <v/>
      </c>
      <c r="H127" t="str">
        <f t="shared" ca="1" si="14"/>
        <v/>
      </c>
      <c r="I127" t="str">
        <f t="shared" ca="1" si="15"/>
        <v/>
      </c>
    </row>
    <row r="128" spans="1:9" x14ac:dyDescent="0.25">
      <c r="A128">
        <v>123</v>
      </c>
      <c r="B128" s="9"/>
      <c r="C128" t="str">
        <f t="shared" ca="1" si="16"/>
        <v/>
      </c>
      <c r="D128" t="str">
        <f t="shared" ca="1" si="17"/>
        <v/>
      </c>
      <c r="E128" s="9"/>
      <c r="F128" t="e">
        <f t="shared" ca="1" si="18"/>
        <v>#REF!</v>
      </c>
      <c r="G128" t="str">
        <f t="shared" ca="1" si="19"/>
        <v/>
      </c>
      <c r="H128" t="str">
        <f t="shared" ca="1" si="14"/>
        <v/>
      </c>
      <c r="I128" t="str">
        <f t="shared" ca="1" si="15"/>
        <v/>
      </c>
    </row>
    <row r="129" spans="1:9" x14ac:dyDescent="0.25">
      <c r="A129">
        <v>124</v>
      </c>
      <c r="B129" s="9"/>
      <c r="C129" t="str">
        <f t="shared" ca="1" si="16"/>
        <v/>
      </c>
      <c r="D129" t="str">
        <f t="shared" ca="1" si="17"/>
        <v/>
      </c>
      <c r="E129" s="9"/>
      <c r="F129" t="e">
        <f t="shared" ca="1" si="18"/>
        <v>#REF!</v>
      </c>
      <c r="G129" t="str">
        <f t="shared" ca="1" si="19"/>
        <v/>
      </c>
      <c r="H129" t="str">
        <f t="shared" ca="1" si="14"/>
        <v/>
      </c>
      <c r="I129" t="str">
        <f t="shared" ca="1" si="15"/>
        <v/>
      </c>
    </row>
    <row r="130" spans="1:9" x14ac:dyDescent="0.25">
      <c r="A130">
        <v>125</v>
      </c>
      <c r="B130" s="9"/>
      <c r="C130" t="str">
        <f t="shared" ca="1" si="16"/>
        <v/>
      </c>
      <c r="D130" t="str">
        <f t="shared" ca="1" si="17"/>
        <v/>
      </c>
      <c r="E130" s="9"/>
      <c r="F130" t="e">
        <f t="shared" ca="1" si="18"/>
        <v>#REF!</v>
      </c>
      <c r="G130" t="str">
        <f t="shared" ca="1" si="19"/>
        <v/>
      </c>
      <c r="H130" t="str">
        <f t="shared" ca="1" si="14"/>
        <v/>
      </c>
      <c r="I130" t="str">
        <f t="shared" ca="1" si="15"/>
        <v/>
      </c>
    </row>
    <row r="131" spans="1:9" x14ac:dyDescent="0.25">
      <c r="A131">
        <v>126</v>
      </c>
      <c r="B131" s="9"/>
      <c r="C131" t="str">
        <f t="shared" ca="1" si="16"/>
        <v/>
      </c>
      <c r="D131" t="str">
        <f t="shared" ca="1" si="17"/>
        <v/>
      </c>
      <c r="E131" s="9"/>
      <c r="F131" t="e">
        <f t="shared" ca="1" si="18"/>
        <v>#REF!</v>
      </c>
      <c r="G131" t="str">
        <f t="shared" ca="1" si="19"/>
        <v/>
      </c>
      <c r="H131" t="str">
        <f t="shared" ca="1" si="14"/>
        <v/>
      </c>
      <c r="I131" t="str">
        <f t="shared" ca="1" si="15"/>
        <v/>
      </c>
    </row>
    <row r="132" spans="1:9" x14ac:dyDescent="0.25">
      <c r="A132">
        <v>127</v>
      </c>
      <c r="B132" s="9"/>
      <c r="C132" t="str">
        <f t="shared" ca="1" si="16"/>
        <v/>
      </c>
      <c r="D132" t="str">
        <f t="shared" ca="1" si="17"/>
        <v/>
      </c>
      <c r="E132" s="9"/>
      <c r="F132" t="e">
        <f t="shared" ca="1" si="18"/>
        <v>#REF!</v>
      </c>
      <c r="G132" t="str">
        <f t="shared" ca="1" si="19"/>
        <v/>
      </c>
      <c r="H132" t="str">
        <f t="shared" ca="1" si="14"/>
        <v/>
      </c>
      <c r="I132" t="str">
        <f t="shared" ca="1" si="15"/>
        <v/>
      </c>
    </row>
    <row r="133" spans="1:9" x14ac:dyDescent="0.25">
      <c r="A133">
        <v>128</v>
      </c>
      <c r="B133" s="9"/>
      <c r="C133" t="str">
        <f t="shared" ca="1" si="16"/>
        <v/>
      </c>
      <c r="D133" t="str">
        <f t="shared" ca="1" si="17"/>
        <v/>
      </c>
      <c r="E133" s="9"/>
      <c r="F133" t="e">
        <f t="shared" ca="1" si="18"/>
        <v>#REF!</v>
      </c>
      <c r="G133" t="str">
        <f t="shared" ca="1" si="19"/>
        <v/>
      </c>
      <c r="H133" t="str">
        <f t="shared" ca="1" si="14"/>
        <v/>
      </c>
      <c r="I133" t="str">
        <f t="shared" ca="1" si="15"/>
        <v/>
      </c>
    </row>
    <row r="134" spans="1:9" x14ac:dyDescent="0.25">
      <c r="A134">
        <v>129</v>
      </c>
      <c r="B134" s="9"/>
      <c r="C134" t="str">
        <f t="shared" ca="1" si="16"/>
        <v/>
      </c>
      <c r="D134" t="str">
        <f t="shared" ca="1" si="17"/>
        <v/>
      </c>
      <c r="E134" s="9"/>
      <c r="F134" t="e">
        <f t="shared" ca="1" si="18"/>
        <v>#REF!</v>
      </c>
      <c r="G134" t="str">
        <f t="shared" ca="1" si="19"/>
        <v/>
      </c>
      <c r="H134" t="str">
        <f t="shared" ca="1" si="14"/>
        <v/>
      </c>
      <c r="I134" t="str">
        <f t="shared" ca="1" si="15"/>
        <v/>
      </c>
    </row>
    <row r="135" spans="1:9" x14ac:dyDescent="0.25">
      <c r="A135">
        <v>130</v>
      </c>
      <c r="B135" s="9"/>
      <c r="C135" t="str">
        <f t="shared" ref="C135:C149" ca="1" si="20">IFERROR(VLOOKUP(B135,MTZ_DPTO,2,0),"")</f>
        <v/>
      </c>
      <c r="D135" t="str">
        <f t="shared" ref="D135:D149" ca="1" si="21">IFERROR(VLOOKUP(B135,MTZ_CARGO,3,0),"")</f>
        <v/>
      </c>
      <c r="E135" s="9"/>
      <c r="F135" t="e">
        <f t="shared" ca="1" si="18"/>
        <v>#REF!</v>
      </c>
      <c r="G135" t="str">
        <f t="shared" ca="1" si="19"/>
        <v/>
      </c>
      <c r="H135" t="str">
        <f t="shared" ca="1" si="14"/>
        <v/>
      </c>
      <c r="I135" t="str">
        <f t="shared" ca="1" si="15"/>
        <v/>
      </c>
    </row>
    <row r="136" spans="1:9" x14ac:dyDescent="0.25">
      <c r="A136">
        <v>131</v>
      </c>
      <c r="B136" s="9"/>
      <c r="C136" t="str">
        <f t="shared" ca="1" si="20"/>
        <v/>
      </c>
      <c r="D136" t="str">
        <f t="shared" ca="1" si="21"/>
        <v/>
      </c>
      <c r="E136" s="9"/>
      <c r="F136" t="e">
        <f t="shared" ref="F136:F149" ca="1" si="22">IF(SUMIFS(BD_DIAS_NOVEDAD,BD_NOMBRE,$B136,BD_MES_INICIO,$F$6,BD_AÑO_INICIO,$B$6,BD_NOVEDAD,$B$2)=0,"",SUMIFS(BD_DIAS_NOVEDAD,BD_NOMBRE,$B136,BD_MES_INICIO,$F$6,BD_AÑO_INICIO,$B$6,BD_NOVEDAD,$B$2))</f>
        <v>#REF!</v>
      </c>
      <c r="G136" t="str">
        <f t="shared" ref="G136:G149" ca="1" si="23">IFERROR(_xlfn.RANK.EQ(F136,$F$8:$F$149,0),"")</f>
        <v/>
      </c>
      <c r="H136" t="str">
        <f t="shared" ca="1" si="14"/>
        <v/>
      </c>
      <c r="I136" t="str">
        <f t="shared" ca="1" si="15"/>
        <v/>
      </c>
    </row>
    <row r="137" spans="1:9" x14ac:dyDescent="0.25">
      <c r="A137">
        <v>132</v>
      </c>
      <c r="B137" s="9"/>
      <c r="C137" t="str">
        <f t="shared" ca="1" si="20"/>
        <v/>
      </c>
      <c r="D137" t="str">
        <f t="shared" ca="1" si="21"/>
        <v/>
      </c>
      <c r="E137" s="9"/>
      <c r="F137" t="e">
        <f t="shared" ca="1" si="22"/>
        <v>#REF!</v>
      </c>
      <c r="G137" t="str">
        <f t="shared" ca="1" si="23"/>
        <v/>
      </c>
      <c r="H137" t="str">
        <f t="shared" ref="H137:H149" ca="1" si="24">IFERROR(INDEX($B$8:$B$149,MATCH(A137,$G$8:$G$149,0)),"")</f>
        <v/>
      </c>
      <c r="I137" t="str">
        <f t="shared" ref="I137:I149" ca="1" si="25">IFERROR(INDEX($F$8:$F$1048576,MATCH(A137,$G$8:$G$1048576,0)),"")</f>
        <v/>
      </c>
    </row>
    <row r="138" spans="1:9" x14ac:dyDescent="0.25">
      <c r="A138">
        <v>133</v>
      </c>
      <c r="B138" s="9"/>
      <c r="C138" t="str">
        <f t="shared" ca="1" si="20"/>
        <v/>
      </c>
      <c r="D138" t="str">
        <f t="shared" ca="1" si="21"/>
        <v/>
      </c>
      <c r="E138" s="9"/>
      <c r="F138" t="e">
        <f t="shared" ca="1" si="22"/>
        <v>#REF!</v>
      </c>
      <c r="G138" t="str">
        <f t="shared" ca="1" si="23"/>
        <v/>
      </c>
      <c r="H138" t="str">
        <f t="shared" ca="1" si="24"/>
        <v/>
      </c>
      <c r="I138" t="str">
        <f t="shared" ca="1" si="25"/>
        <v/>
      </c>
    </row>
    <row r="139" spans="1:9" x14ac:dyDescent="0.25">
      <c r="A139">
        <v>134</v>
      </c>
      <c r="B139" s="9"/>
      <c r="C139" t="str">
        <f t="shared" ca="1" si="20"/>
        <v/>
      </c>
      <c r="D139" t="str">
        <f t="shared" ca="1" si="21"/>
        <v/>
      </c>
      <c r="E139" s="9"/>
      <c r="F139" t="e">
        <f t="shared" ca="1" si="22"/>
        <v>#REF!</v>
      </c>
      <c r="G139" t="str">
        <f t="shared" ca="1" si="23"/>
        <v/>
      </c>
      <c r="H139" t="str">
        <f t="shared" ca="1" si="24"/>
        <v/>
      </c>
      <c r="I139" t="str">
        <f t="shared" ca="1" si="25"/>
        <v/>
      </c>
    </row>
    <row r="140" spans="1:9" x14ac:dyDescent="0.25">
      <c r="A140">
        <v>135</v>
      </c>
      <c r="B140" s="9"/>
      <c r="C140" t="str">
        <f t="shared" ca="1" si="20"/>
        <v/>
      </c>
      <c r="D140" t="str">
        <f t="shared" ca="1" si="21"/>
        <v/>
      </c>
      <c r="E140" s="9"/>
      <c r="F140" t="e">
        <f t="shared" ca="1" si="22"/>
        <v>#REF!</v>
      </c>
      <c r="G140" t="str">
        <f t="shared" ca="1" si="23"/>
        <v/>
      </c>
      <c r="H140" t="str">
        <f t="shared" ca="1" si="24"/>
        <v/>
      </c>
      <c r="I140" t="str">
        <f t="shared" ca="1" si="25"/>
        <v/>
      </c>
    </row>
    <row r="141" spans="1:9" x14ac:dyDescent="0.25">
      <c r="A141">
        <v>136</v>
      </c>
      <c r="B141" s="9"/>
      <c r="C141" t="str">
        <f t="shared" ca="1" si="20"/>
        <v/>
      </c>
      <c r="D141" t="str">
        <f t="shared" ca="1" si="21"/>
        <v/>
      </c>
      <c r="E141" s="9"/>
      <c r="F141" t="e">
        <f t="shared" ca="1" si="22"/>
        <v>#REF!</v>
      </c>
      <c r="G141" t="str">
        <f t="shared" ca="1" si="23"/>
        <v/>
      </c>
      <c r="H141" t="str">
        <f t="shared" ca="1" si="24"/>
        <v/>
      </c>
      <c r="I141" t="str">
        <f t="shared" ca="1" si="25"/>
        <v/>
      </c>
    </row>
    <row r="142" spans="1:9" x14ac:dyDescent="0.25">
      <c r="A142">
        <v>137</v>
      </c>
      <c r="B142" s="9"/>
      <c r="C142" t="str">
        <f t="shared" ca="1" si="20"/>
        <v/>
      </c>
      <c r="D142" t="str">
        <f t="shared" ca="1" si="21"/>
        <v/>
      </c>
      <c r="E142" s="9"/>
      <c r="F142" t="e">
        <f t="shared" ca="1" si="22"/>
        <v>#REF!</v>
      </c>
      <c r="G142" t="str">
        <f t="shared" ca="1" si="23"/>
        <v/>
      </c>
      <c r="H142" t="str">
        <f t="shared" ca="1" si="24"/>
        <v/>
      </c>
      <c r="I142" t="str">
        <f t="shared" ca="1" si="25"/>
        <v/>
      </c>
    </row>
    <row r="143" spans="1:9" x14ac:dyDescent="0.25">
      <c r="A143">
        <v>138</v>
      </c>
      <c r="B143" s="9"/>
      <c r="C143" t="str">
        <f t="shared" ca="1" si="20"/>
        <v/>
      </c>
      <c r="D143" t="str">
        <f t="shared" ca="1" si="21"/>
        <v/>
      </c>
      <c r="E143" s="9"/>
      <c r="F143" t="e">
        <f t="shared" ca="1" si="22"/>
        <v>#REF!</v>
      </c>
      <c r="G143" t="str">
        <f t="shared" ca="1" si="23"/>
        <v/>
      </c>
      <c r="H143" t="str">
        <f t="shared" ca="1" si="24"/>
        <v/>
      </c>
      <c r="I143" t="str">
        <f t="shared" ca="1" si="25"/>
        <v/>
      </c>
    </row>
    <row r="144" spans="1:9" x14ac:dyDescent="0.25">
      <c r="A144">
        <v>139</v>
      </c>
      <c r="B144" s="9"/>
      <c r="C144" t="str">
        <f t="shared" ca="1" si="20"/>
        <v/>
      </c>
      <c r="D144" t="str">
        <f t="shared" ca="1" si="21"/>
        <v/>
      </c>
      <c r="E144" s="9"/>
      <c r="F144" t="e">
        <f t="shared" ca="1" si="22"/>
        <v>#REF!</v>
      </c>
      <c r="G144" t="str">
        <f t="shared" ca="1" si="23"/>
        <v/>
      </c>
      <c r="H144" t="str">
        <f t="shared" ca="1" si="24"/>
        <v/>
      </c>
      <c r="I144" t="str">
        <f t="shared" ca="1" si="25"/>
        <v/>
      </c>
    </row>
    <row r="145" spans="1:9" x14ac:dyDescent="0.25">
      <c r="A145">
        <v>140</v>
      </c>
      <c r="B145" s="9"/>
      <c r="C145" t="str">
        <f t="shared" ca="1" si="20"/>
        <v/>
      </c>
      <c r="D145" t="str">
        <f t="shared" ca="1" si="21"/>
        <v/>
      </c>
      <c r="E145" s="9"/>
      <c r="F145" t="e">
        <f t="shared" ca="1" si="22"/>
        <v>#REF!</v>
      </c>
      <c r="G145" t="str">
        <f t="shared" ca="1" si="23"/>
        <v/>
      </c>
      <c r="H145" t="str">
        <f t="shared" ca="1" si="24"/>
        <v/>
      </c>
      <c r="I145" t="str">
        <f t="shared" ca="1" si="25"/>
        <v/>
      </c>
    </row>
    <row r="146" spans="1:9" x14ac:dyDescent="0.25">
      <c r="A146">
        <v>141</v>
      </c>
      <c r="B146" s="9"/>
      <c r="C146" t="str">
        <f t="shared" ca="1" si="20"/>
        <v/>
      </c>
      <c r="D146" t="str">
        <f t="shared" ca="1" si="21"/>
        <v/>
      </c>
      <c r="E146" s="9"/>
      <c r="F146" t="e">
        <f t="shared" ca="1" si="22"/>
        <v>#REF!</v>
      </c>
      <c r="G146" t="str">
        <f t="shared" ca="1" si="23"/>
        <v/>
      </c>
      <c r="H146" t="str">
        <f t="shared" ca="1" si="24"/>
        <v/>
      </c>
      <c r="I146" t="str">
        <f t="shared" ca="1" si="25"/>
        <v/>
      </c>
    </row>
    <row r="147" spans="1:9" x14ac:dyDescent="0.25">
      <c r="A147">
        <v>142</v>
      </c>
      <c r="B147" s="9"/>
      <c r="C147" t="str">
        <f t="shared" ca="1" si="20"/>
        <v/>
      </c>
      <c r="D147" t="str">
        <f t="shared" ca="1" si="21"/>
        <v/>
      </c>
      <c r="E147" s="9"/>
      <c r="F147" t="e">
        <f t="shared" ca="1" si="22"/>
        <v>#REF!</v>
      </c>
      <c r="G147" t="str">
        <f t="shared" ca="1" si="23"/>
        <v/>
      </c>
      <c r="H147" t="str">
        <f t="shared" ca="1" si="24"/>
        <v/>
      </c>
      <c r="I147" t="str">
        <f t="shared" ca="1" si="25"/>
        <v/>
      </c>
    </row>
    <row r="148" spans="1:9" x14ac:dyDescent="0.25">
      <c r="A148">
        <v>143</v>
      </c>
      <c r="B148" s="9"/>
      <c r="C148" t="str">
        <f t="shared" ca="1" si="20"/>
        <v/>
      </c>
      <c r="D148" t="str">
        <f t="shared" ca="1" si="21"/>
        <v/>
      </c>
      <c r="E148" s="9"/>
      <c r="F148" t="e">
        <f t="shared" ca="1" si="22"/>
        <v>#REF!</v>
      </c>
      <c r="G148" t="str">
        <f t="shared" ca="1" si="23"/>
        <v/>
      </c>
      <c r="H148" t="str">
        <f t="shared" ca="1" si="24"/>
        <v/>
      </c>
      <c r="I148" t="str">
        <f t="shared" ca="1" si="25"/>
        <v/>
      </c>
    </row>
    <row r="149" spans="1:9" x14ac:dyDescent="0.25">
      <c r="A149">
        <v>144</v>
      </c>
      <c r="B149" s="9"/>
      <c r="C149" t="str">
        <f t="shared" ca="1" si="20"/>
        <v/>
      </c>
      <c r="D149" t="str">
        <f t="shared" ca="1" si="21"/>
        <v/>
      </c>
      <c r="E149" s="9"/>
      <c r="F149" t="e">
        <f t="shared" ca="1" si="22"/>
        <v>#REF!</v>
      </c>
      <c r="G149" t="str">
        <f t="shared" ca="1" si="23"/>
        <v/>
      </c>
      <c r="H149" t="str">
        <f t="shared" ca="1" si="24"/>
        <v/>
      </c>
      <c r="I149" t="str">
        <f t="shared" ca="1" si="25"/>
        <v/>
      </c>
    </row>
  </sheetData>
  <autoFilter ref="B7:F149" xr:uid="{00000000-0009-0000-0000-000002000000}">
    <sortState ref="B8:F151">
      <sortCondition ref="F7:F151"/>
    </sortState>
  </autoFilter>
  <dataValidations count="3">
    <dataValidation type="list" allowBlank="1" showInputMessage="1" showErrorMessage="1" sqref="B4" xr:uid="{00000000-0002-0000-0200-000000000000}">
      <formula1>MESES</formula1>
    </dataValidation>
    <dataValidation type="list" allowBlank="1" showInputMessage="1" showErrorMessage="1" sqref="B6" xr:uid="{00000000-0002-0000-0200-000001000000}">
      <formula1>AÑO</formula1>
    </dataValidation>
    <dataValidation type="list" allowBlank="1" showInputMessage="1" showErrorMessage="1" sqref="E8 B2" xr:uid="{00000000-0002-0000-0200-000002000000}">
      <formula1>NOVEDADES</formula1>
    </dataValidation>
  </dataValidations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049B675DFC18643A2D2869CCC40AD0E" ma:contentTypeVersion="7" ma:contentTypeDescription="Crear nuevo documento." ma:contentTypeScope="" ma:versionID="bccb4a85c64f48ec1970f9aad600cde2">
  <xsd:schema xmlns:xsd="http://www.w3.org/2001/XMLSchema" xmlns:xs="http://www.w3.org/2001/XMLSchema" xmlns:p="http://schemas.microsoft.com/office/2006/metadata/properties" xmlns:ns2="5255e277-822f-4afb-aef9-184ab006a8ba" targetNamespace="http://schemas.microsoft.com/office/2006/metadata/properties" ma:root="true" ma:fieldsID="7ac787b9c0d75cf4188b713f9e1ff1fe" ns2:_="">
    <xsd:import namespace="5255e277-822f-4afb-aef9-184ab006a8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5e277-822f-4afb-aef9-184ab006a8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14A1A7-3A73-4D75-94EA-01CFC7DA3419}"/>
</file>

<file path=customXml/itemProps2.xml><?xml version="1.0" encoding="utf-8"?>
<ds:datastoreItem xmlns:ds="http://schemas.openxmlformats.org/officeDocument/2006/customXml" ds:itemID="{8F50E991-A016-434E-859D-1A5970C171C7}"/>
</file>

<file path=customXml/itemProps3.xml><?xml version="1.0" encoding="utf-8"?>
<ds:datastoreItem xmlns:ds="http://schemas.openxmlformats.org/officeDocument/2006/customXml" ds:itemID="{A94E15C8-0B1B-4E8E-8959-BBBB81DD0E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PARAMETROS</vt:lpstr>
      <vt:lpstr>NOVEDADES</vt:lpstr>
      <vt:lpstr>CONSULTA</vt:lpstr>
      <vt:lpstr>AÑO</vt:lpstr>
      <vt:lpstr>MESES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Franco</dc:creator>
  <cp:lastModifiedBy>Usuario de red</cp:lastModifiedBy>
  <dcterms:created xsi:type="dcterms:W3CDTF">2016-05-26T19:21:53Z</dcterms:created>
  <dcterms:modified xsi:type="dcterms:W3CDTF">2018-05-31T00:27:44Z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0x010100E049B675DFC18643A2D2869CCC40AD0E</vt:lpwstr>
  </property>
</Properties>
</file>