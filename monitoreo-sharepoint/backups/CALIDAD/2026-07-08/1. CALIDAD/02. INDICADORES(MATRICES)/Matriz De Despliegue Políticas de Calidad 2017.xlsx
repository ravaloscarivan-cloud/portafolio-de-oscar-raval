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9.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charts/colors2.xml" ContentType="application/vnd.ms-office.chartcolorstyle+xml"/>
  <Override PartName="/xl/charts/style2.xml" ContentType="application/vnd.ms-office.chartstyle+xml"/>
  <Override PartName="/xl/charts/chart16.xml" ContentType="application/vnd.openxmlformats-officedocument.drawingml.chart+xml"/>
  <Override PartName="/xl/charts/chart13.xml" ContentType="application/vnd.openxmlformats-officedocument.drawingml.chart+xml"/>
  <Override PartName="/xl/drawings/drawing6.xml" ContentType="application/vnd.openxmlformats-officedocument.drawing+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drawings/drawing8.xml" ContentType="application/vnd.openxmlformats-officedocument.drawing+xml"/>
  <Override PartName="/xl/charts/chart12.xml" ContentType="application/vnd.openxmlformats-officedocument.drawingml.chart+xml"/>
  <Override PartName="/xl/worksheets/sheet1.xml" ContentType="application/vnd.openxmlformats-officedocument.spreadsheetml.worksheet+xml"/>
  <Override PartName="/xl/charts/chart10.xml" ContentType="application/vnd.openxmlformats-officedocument.drawingml.chart+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drawings/drawing3.xml" ContentType="application/vnd.openxmlformats-officedocument.drawing+xml"/>
  <Override PartName="/xl/charts/chart11.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charts/style1.xml" ContentType="application/vnd.ms-office.chartstyle+xml"/>
  <Override PartName="/xl/drawings/drawing5.xml" ContentType="application/vnd.openxmlformats-officedocument.drawing+xml"/>
  <Override PartName="/xl/charts/chart6.xml" ContentType="application/vnd.openxmlformats-officedocument.drawingml.chart+xml"/>
  <Override PartName="/xl/charts/chart8.xml" ContentType="application/vnd.openxmlformats-officedocument.drawingml.chart+xml"/>
  <Override PartName="/xl/charts/colors1.xml" ContentType="application/vnd.ms-office.chartcolorstyle+xml"/>
  <Override PartName="/xl/charts/chart9.xml" ContentType="application/vnd.openxmlformats-officedocument.drawingml.chart+xml"/>
  <Override PartName="/xl/charts/chart7.xml" ContentType="application/vnd.openxmlformats-officedocument.drawingml.char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10.10.50.91\calidad biosteel\INFORMES MENSUALES\1. CALIDAD\2. INDICADORES(MATRICES)\"/>
    </mc:Choice>
  </mc:AlternateContent>
  <bookViews>
    <workbookView xWindow="0" yWindow="0" windowWidth="20490" windowHeight="7755" activeTab="8"/>
  </bookViews>
  <sheets>
    <sheet name="MATRIZ" sheetId="1" r:id="rId1"/>
    <sheet name="1" sheetId="2" r:id="rId2"/>
    <sheet name="2" sheetId="3" r:id="rId3"/>
    <sheet name="3" sheetId="4" r:id="rId4"/>
    <sheet name="4" sheetId="5" r:id="rId5"/>
    <sheet name="5" sheetId="6" r:id="rId6"/>
    <sheet name="6" sheetId="7" r:id="rId7"/>
    <sheet name="7" sheetId="8" r:id="rId8"/>
    <sheet name="8" sheetId="9" r:id="rId9"/>
    <sheet name="ANALISIS" sheetId="10" r:id="rId10"/>
  </sheets>
  <calcPr calcId="152511"/>
</workbook>
</file>

<file path=xl/calcChain.xml><?xml version="1.0" encoding="utf-8"?>
<calcChain xmlns="http://schemas.openxmlformats.org/spreadsheetml/2006/main">
  <c r="AD25" i="1" l="1"/>
  <c r="X32" i="1"/>
  <c r="W32" i="1"/>
  <c r="J43" i="6" l="1"/>
  <c r="I43" i="6"/>
  <c r="H43" i="6"/>
  <c r="L13" i="3" l="1"/>
  <c r="R12" i="1" l="1"/>
  <c r="R11" i="1"/>
  <c r="R10" i="1"/>
  <c r="S11" i="1"/>
  <c r="D106" i="6" l="1"/>
  <c r="D99" i="6" l="1"/>
  <c r="D12" i="6" l="1"/>
  <c r="D20" i="6"/>
  <c r="D19" i="6"/>
  <c r="B23" i="7" l="1"/>
  <c r="D23" i="7" s="1"/>
  <c r="C23" i="7"/>
  <c r="D92" i="6" l="1"/>
  <c r="E50" i="6"/>
  <c r="D117" i="6" l="1"/>
  <c r="D116" i="6"/>
  <c r="D115" i="6"/>
  <c r="D114" i="6"/>
  <c r="D113" i="6"/>
  <c r="D112" i="6"/>
  <c r="D111" i="6"/>
  <c r="D110" i="6"/>
  <c r="D109" i="6"/>
  <c r="D108" i="6"/>
  <c r="D107" i="6"/>
  <c r="E43" i="6" l="1"/>
  <c r="F43" i="6"/>
  <c r="E44" i="6"/>
  <c r="E45" i="6"/>
  <c r="E46" i="6"/>
  <c r="E47" i="6"/>
  <c r="D11" i="6"/>
  <c r="D29" i="2" l="1"/>
  <c r="D94" i="6" l="1"/>
  <c r="D27" i="2" l="1"/>
  <c r="E32" i="6" l="1"/>
  <c r="E31" i="6"/>
  <c r="E30" i="6"/>
  <c r="E29" i="6"/>
  <c r="E28" i="6"/>
  <c r="E27" i="6"/>
  <c r="E33" i="6"/>
  <c r="D13" i="6"/>
  <c r="D29" i="3" l="1"/>
  <c r="D11" i="8"/>
  <c r="F44" i="6" l="1"/>
  <c r="F45" i="6"/>
  <c r="F46" i="6"/>
  <c r="F47" i="6"/>
  <c r="F48" i="6"/>
  <c r="F49" i="6"/>
  <c r="F50" i="6"/>
  <c r="F51" i="6"/>
  <c r="F52" i="6"/>
  <c r="F53" i="6"/>
  <c r="F54" i="6"/>
  <c r="E48" i="6"/>
  <c r="E49" i="6"/>
  <c r="E51" i="6"/>
  <c r="E52" i="6"/>
  <c r="E53" i="6"/>
  <c r="E54" i="6"/>
  <c r="D102" i="6" l="1"/>
  <c r="AC22" i="1" s="1"/>
  <c r="D101" i="6"/>
  <c r="AB22" i="1" s="1"/>
  <c r="D100" i="6"/>
  <c r="AA22" i="1" s="1"/>
  <c r="Z22" i="1"/>
  <c r="D98" i="6"/>
  <c r="Y22" i="1" s="1"/>
  <c r="D97" i="6"/>
  <c r="X22" i="1" s="1"/>
  <c r="D96" i="6"/>
  <c r="W22" i="1" s="1"/>
  <c r="D95" i="6"/>
  <c r="V22" i="1" s="1"/>
  <c r="U22" i="1"/>
  <c r="D93" i="6"/>
  <c r="T22" i="1" s="1"/>
  <c r="S22" i="1"/>
  <c r="D91" i="6"/>
  <c r="R22" i="1" s="1"/>
  <c r="D75" i="6"/>
  <c r="R21" i="1" s="1"/>
  <c r="D76" i="6"/>
  <c r="S21" i="1" s="1"/>
  <c r="D77" i="6"/>
  <c r="T21" i="1" s="1"/>
  <c r="D78" i="6"/>
  <c r="U21" i="1" s="1"/>
  <c r="D79" i="6"/>
  <c r="V21" i="1" s="1"/>
  <c r="D80" i="6"/>
  <c r="W21" i="1" s="1"/>
  <c r="D81" i="6"/>
  <c r="X21" i="1" s="1"/>
  <c r="D82" i="6"/>
  <c r="Y21" i="1" s="1"/>
  <c r="D83" i="6"/>
  <c r="Z21" i="1" s="1"/>
  <c r="D84" i="6"/>
  <c r="AA21" i="1" s="1"/>
  <c r="D85" i="6"/>
  <c r="AB21" i="1" s="1"/>
  <c r="D86" i="6"/>
  <c r="AC21" i="1" s="1"/>
  <c r="AD21" i="1" l="1"/>
  <c r="AD22" i="1"/>
  <c r="W14" i="1"/>
  <c r="X13" i="1"/>
  <c r="W13" i="1"/>
  <c r="V13" i="1"/>
  <c r="W12" i="1"/>
  <c r="V12" i="1"/>
  <c r="T12" i="1"/>
  <c r="S12" i="1"/>
  <c r="AD12" i="1" l="1"/>
  <c r="Z14" i="1"/>
  <c r="AC14" i="1"/>
  <c r="T14" i="1"/>
  <c r="U12" i="1"/>
  <c r="X12" i="1"/>
  <c r="Y12" i="1"/>
  <c r="Z12" i="1"/>
  <c r="AA12" i="1"/>
  <c r="AB12" i="1"/>
  <c r="AC12" i="1"/>
  <c r="D11" i="9" l="1"/>
  <c r="W25" i="1" s="1"/>
  <c r="D17" i="9" l="1"/>
  <c r="AC25" i="1" s="1"/>
  <c r="D22" i="8"/>
  <c r="AC24" i="1" s="1"/>
  <c r="D21" i="8"/>
  <c r="AB24" i="1" s="1"/>
  <c r="D20" i="8"/>
  <c r="AA24" i="1" s="1"/>
  <c r="D19" i="8"/>
  <c r="Z24" i="1" s="1"/>
  <c r="D18" i="8"/>
  <c r="Y24" i="1" s="1"/>
  <c r="D17" i="8"/>
  <c r="X24" i="1" s="1"/>
  <c r="D16" i="8"/>
  <c r="W24" i="1" s="1"/>
  <c r="D15" i="8"/>
  <c r="V24" i="1" s="1"/>
  <c r="D14" i="8"/>
  <c r="U24" i="1" s="1"/>
  <c r="D13" i="8"/>
  <c r="T24" i="1" s="1"/>
  <c r="D12" i="8"/>
  <c r="S24" i="1" s="1"/>
  <c r="R24" i="1"/>
  <c r="D22" i="7"/>
  <c r="AC23" i="1" s="1"/>
  <c r="D21" i="7"/>
  <c r="AB23" i="1" s="1"/>
  <c r="D20" i="7"/>
  <c r="AA23" i="1" s="1"/>
  <c r="D19" i="7"/>
  <c r="Z23" i="1" s="1"/>
  <c r="D18" i="7"/>
  <c r="Y23" i="1" s="1"/>
  <c r="D17" i="7"/>
  <c r="X23" i="1" s="1"/>
  <c r="D16" i="7"/>
  <c r="W23" i="1" s="1"/>
  <c r="D15" i="7"/>
  <c r="V23" i="1" s="1"/>
  <c r="D14" i="7"/>
  <c r="U23" i="1" s="1"/>
  <c r="D13" i="7"/>
  <c r="T23" i="1" s="1"/>
  <c r="D12" i="7"/>
  <c r="S23" i="1" s="1"/>
  <c r="D11" i="7"/>
  <c r="R23" i="1" s="1"/>
  <c r="AC20" i="1"/>
  <c r="AC19" i="1"/>
  <c r="AB20" i="1"/>
  <c r="AB19" i="1"/>
  <c r="AA20" i="1"/>
  <c r="AA19" i="1"/>
  <c r="Z20" i="1"/>
  <c r="Z19" i="1"/>
  <c r="Y20" i="1"/>
  <c r="Y19" i="1"/>
  <c r="X20" i="1"/>
  <c r="X19" i="1"/>
  <c r="W20" i="1"/>
  <c r="W19" i="1"/>
  <c r="V20" i="1"/>
  <c r="V19" i="1"/>
  <c r="U20" i="1"/>
  <c r="U19" i="1"/>
  <c r="T20" i="1"/>
  <c r="T19" i="1"/>
  <c r="S20" i="1"/>
  <c r="S19" i="1"/>
  <c r="R20" i="1"/>
  <c r="R19" i="1"/>
  <c r="E38" i="6"/>
  <c r="AC18" i="1" s="1"/>
  <c r="E37" i="6"/>
  <c r="AB18" i="1" s="1"/>
  <c r="E36" i="6"/>
  <c r="AA18" i="1" s="1"/>
  <c r="E35" i="6"/>
  <c r="Z18" i="1" s="1"/>
  <c r="E34" i="6"/>
  <c r="Y18" i="1" s="1"/>
  <c r="X18" i="1"/>
  <c r="W18" i="1"/>
  <c r="V18" i="1"/>
  <c r="U18" i="1"/>
  <c r="T18" i="1"/>
  <c r="S18" i="1"/>
  <c r="R18" i="1"/>
  <c r="D22" i="6"/>
  <c r="AC17" i="1" s="1"/>
  <c r="D21" i="6"/>
  <c r="AB17" i="1" s="1"/>
  <c r="AA17" i="1"/>
  <c r="Z17" i="1"/>
  <c r="D18" i="6"/>
  <c r="Y17" i="1" s="1"/>
  <c r="D17" i="6"/>
  <c r="X17" i="1" s="1"/>
  <c r="D16" i="6"/>
  <c r="W17" i="1" s="1"/>
  <c r="D15" i="6"/>
  <c r="V17" i="1" s="1"/>
  <c r="D14" i="6"/>
  <c r="U17" i="1" s="1"/>
  <c r="T17" i="1"/>
  <c r="S17" i="1"/>
  <c r="R17" i="1"/>
  <c r="D20" i="5"/>
  <c r="AC16" i="1" s="1"/>
  <c r="D17" i="5"/>
  <c r="Z16" i="1" s="1"/>
  <c r="D14" i="5"/>
  <c r="W16" i="1" s="1"/>
  <c r="D11" i="5"/>
  <c r="T16" i="1" s="1"/>
  <c r="D22" i="4"/>
  <c r="AC15" i="1" s="1"/>
  <c r="D21" i="4"/>
  <c r="AB15" i="1" s="1"/>
  <c r="D20" i="4"/>
  <c r="AA15" i="1" s="1"/>
  <c r="D19" i="4"/>
  <c r="Z15" i="1" s="1"/>
  <c r="D18" i="4"/>
  <c r="Y15" i="1" s="1"/>
  <c r="D17" i="4"/>
  <c r="X15" i="1" s="1"/>
  <c r="D16" i="4"/>
  <c r="W15" i="1" s="1"/>
  <c r="D15" i="4"/>
  <c r="V15" i="1" s="1"/>
  <c r="D14" i="4"/>
  <c r="U15" i="1" s="1"/>
  <c r="D13" i="4"/>
  <c r="T15" i="1" s="1"/>
  <c r="D12" i="4"/>
  <c r="S15" i="1" s="1"/>
  <c r="D11" i="4"/>
  <c r="R15" i="1" s="1"/>
  <c r="AC13" i="1"/>
  <c r="AB13" i="1"/>
  <c r="AA13" i="1"/>
  <c r="Z13" i="1"/>
  <c r="Y13" i="1"/>
  <c r="D38" i="2"/>
  <c r="AC11" i="1" s="1"/>
  <c r="D37" i="2"/>
  <c r="AB11" i="1" s="1"/>
  <c r="D36" i="2"/>
  <c r="AA11" i="1" s="1"/>
  <c r="D35" i="2"/>
  <c r="Z11" i="1" s="1"/>
  <c r="D34" i="2"/>
  <c r="Y11" i="1" s="1"/>
  <c r="D33" i="2"/>
  <c r="X11" i="1" s="1"/>
  <c r="D32" i="2"/>
  <c r="W11" i="1" s="1"/>
  <c r="D31" i="2"/>
  <c r="V11" i="1" s="1"/>
  <c r="D30" i="2"/>
  <c r="U11" i="1" s="1"/>
  <c r="T11" i="1"/>
  <c r="D28" i="2"/>
  <c r="D22" i="2"/>
  <c r="AC10" i="1" s="1"/>
  <c r="D21" i="2"/>
  <c r="AB10" i="1" s="1"/>
  <c r="D20" i="2"/>
  <c r="AA10" i="1" s="1"/>
  <c r="D19" i="2"/>
  <c r="Z10" i="1" s="1"/>
  <c r="D18" i="2"/>
  <c r="Y10" i="1" s="1"/>
  <c r="D17" i="2"/>
  <c r="X10" i="1" s="1"/>
  <c r="D16" i="2"/>
  <c r="W10" i="1" s="1"/>
  <c r="D15" i="2"/>
  <c r="V10" i="1" s="1"/>
  <c r="D14" i="2"/>
  <c r="U10" i="1" s="1"/>
  <c r="D13" i="2"/>
  <c r="T10" i="1" s="1"/>
  <c r="D12" i="2"/>
  <c r="S10" i="1" s="1"/>
  <c r="D11" i="2"/>
  <c r="AD16" i="1" l="1"/>
  <c r="AD18" i="1"/>
  <c r="AD10" i="1"/>
  <c r="AD15" i="1"/>
  <c r="AD17" i="1"/>
  <c r="AD19" i="1"/>
  <c r="AD23" i="1"/>
  <c r="AD11" i="1"/>
  <c r="AD20" i="1"/>
  <c r="R13" i="1"/>
  <c r="T13" i="1"/>
  <c r="U13" i="1"/>
  <c r="S13" i="1"/>
  <c r="AD13" i="1" l="1"/>
</calcChain>
</file>

<file path=xl/sharedStrings.xml><?xml version="1.0" encoding="utf-8"?>
<sst xmlns="http://schemas.openxmlformats.org/spreadsheetml/2006/main" count="721" uniqueCount="356">
  <si>
    <t>POLITICA DE  CALIDAD</t>
  </si>
  <si>
    <t>PREMISAS</t>
  </si>
  <si>
    <t>OBJETIVOS</t>
  </si>
  <si>
    <t>INDICADOR</t>
  </si>
  <si>
    <t>FORMULACIÓN</t>
  </si>
  <si>
    <t>META</t>
  </si>
  <si>
    <t>FRECUENCIA</t>
  </si>
  <si>
    <t>FUENTE DE DATOS</t>
  </si>
  <si>
    <t>Mensual</t>
  </si>
  <si>
    <t>Evaluación de seguimiento de asesorías quirúrgicas</t>
  </si>
  <si>
    <t>&gt;70%</t>
  </si>
  <si>
    <t>Trimestral</t>
  </si>
  <si>
    <t>Consolidado de acciones correctivas, preventivas y de mejora.</t>
  </si>
  <si>
    <t>Ejecución del programa de capacitación</t>
  </si>
  <si>
    <t>(Capacitaciones ejecutadas / Capacitaciones planeadas)*100%</t>
  </si>
  <si>
    <t>Cronograma de capacitación</t>
  </si>
  <si>
    <t xml:space="preserve">satisfacer las necesidades y expectativas de especialistas, instituciones del área de la salud y usuarios </t>
  </si>
  <si>
    <t>garantizando el cumplimiento de los requisitos legales exigibles,</t>
  </si>
  <si>
    <t>Garantizar a los clientes confiabilidad con el cumpliento del manual de requisitos de  Capacidad de Almacenamiento y/o Acondicionamiento para dispositivos médicos.</t>
  </si>
  <si>
    <t>Crear estrategías de buen servicio que permitan optimizar el manejo de procesos y recursos con el fin de establecer mecanismos para garantizar la satisfacción del cliente.</t>
  </si>
  <si>
    <t>el mejoramiento continuo de nuestros procesos</t>
  </si>
  <si>
    <t xml:space="preserve">optimización de nuestros  recursos </t>
  </si>
  <si>
    <t xml:space="preserve"> el desarrollo integral de nuestros colaboradores,</t>
  </si>
  <si>
    <t>la consolidación de alianzas estratégicas solidas con nuestros proveedores</t>
  </si>
  <si>
    <t>el fortalecimiento de las relaciones comerciales con los clientes.</t>
  </si>
  <si>
    <t>Respaldar los procesos de importación, comercialización y distribuición a los clientes mediante la recepción, acondicionamento, almacenamiento, manejo y suministro de dispositivo médicos acorde a las normas vigentes de sanidad.</t>
  </si>
  <si>
    <t>Planificar, ejecutar, verificar y retroalimentar el sistema de gestión  de calidad, a través de identificaciones de acciones correctivas, preventivas y de mejora continúa.</t>
  </si>
  <si>
    <t xml:space="preserve">Fortalecer  las relaciones comerciales con los clientes brindadoles credibilidad en la comercilización de nuestros productos y en la prestación de un buen servicio, atraves de facilidades de pago, entregas oportunas y atención de requerimientos. </t>
  </si>
  <si>
    <t>PROCESO</t>
  </si>
  <si>
    <t>RESPONSABLE</t>
  </si>
  <si>
    <t>INVOLUCRADOS DEL PROCESO</t>
  </si>
  <si>
    <t>PERSONAL RELACIONADO</t>
  </si>
  <si>
    <t xml:space="preserve">Importación, comercialización y distribución </t>
  </si>
  <si>
    <t>Almacén Gerencia Administrativa</t>
  </si>
  <si>
    <t>Asistencia Técnica</t>
  </si>
  <si>
    <t>Gestión de Calidad</t>
  </si>
  <si>
    <t>Gestión Administrativa</t>
  </si>
  <si>
    <t>Asistencia Técnica, Almacén, Facturación</t>
  </si>
  <si>
    <t>Coordinador Asistencial</t>
  </si>
  <si>
    <t>Almacén, Gestión Administrativa</t>
  </si>
  <si>
    <t xml:space="preserve">Jefe de Almacén </t>
  </si>
  <si>
    <t>Gerente Administrativa</t>
  </si>
  <si>
    <t>Coordinador de Calidad</t>
  </si>
  <si>
    <t>Asesor Quirúrgico</t>
  </si>
  <si>
    <t>_</t>
  </si>
  <si>
    <t>Auxiliar de Contabilidad</t>
  </si>
  <si>
    <t>Todo el personal de Biosteel De Colombia S.A</t>
  </si>
  <si>
    <t>Auxiliar de Almacén, Asesor Quirúrgico, Auxiliar de Facturación, Auxiliar Administrativo</t>
  </si>
  <si>
    <t>Formato de Seguimiento a Proveedores</t>
  </si>
  <si>
    <t>% de Ordenes de Compra recibidas completas</t>
  </si>
  <si>
    <t>% de cumplimientos de especificaciones técnicas</t>
  </si>
  <si>
    <t>(No. De desviaciones encontradas/ No. De muestras verificadas) X 100</t>
  </si>
  <si>
    <t>Sumatoria del resultado de todas las evaluaciones/ El total de las evaluaciones.</t>
  </si>
  <si>
    <t>&gt;95</t>
  </si>
  <si>
    <t>Formato de Evaluación de Proveedores</t>
  </si>
  <si>
    <t>Evalución de Cumplimiento Proveedores</t>
  </si>
  <si>
    <t>Satisfacción del Cliente</t>
  </si>
  <si>
    <t>Formato de Satisfacción del Cliente</t>
  </si>
  <si>
    <t>Gasto real / Presupuesto</t>
  </si>
  <si>
    <t>% Cumplimiento de presupuesto</t>
  </si>
  <si>
    <t>Formato de Informe de Presupuestos</t>
  </si>
  <si>
    <t>Informes de cuentas por pagar y cuentas por cobrar</t>
  </si>
  <si>
    <t>OBJETIVO</t>
  </si>
  <si>
    <t>FORMULA</t>
  </si>
  <si>
    <t>% de Cumplimiento (&gt;70%)</t>
  </si>
  <si>
    <t>Meses</t>
  </si>
  <si>
    <t>Enero</t>
  </si>
  <si>
    <t>Febrero</t>
  </si>
  <si>
    <t>Marzo</t>
  </si>
  <si>
    <t>Abril</t>
  </si>
  <si>
    <t>Mayo</t>
  </si>
  <si>
    <t>Junio</t>
  </si>
  <si>
    <t>Julio</t>
  </si>
  <si>
    <t>Agosto</t>
  </si>
  <si>
    <t>Septiembre</t>
  </si>
  <si>
    <t>Octubre</t>
  </si>
  <si>
    <t>Noviembre</t>
  </si>
  <si>
    <t>Diciembre</t>
  </si>
  <si>
    <t>No. Ordenes de Compra recibidas Completas</t>
  </si>
  <si>
    <t xml:space="preserve"> % de cumplimientos de especificaciones técnicas</t>
  </si>
  <si>
    <t>(No. Ordenes de Compra recibidas completas/ No. Ordenes totales recibidas)</t>
  </si>
  <si>
    <t>No.  De muestras verificadas</t>
  </si>
  <si>
    <t>(No. Ordenes de Compra recibidas completas/ No. Ordenes recibidas) X 100</t>
  </si>
  <si>
    <t>No. De evaluaciones recibidas satisfactoriamente</t>
  </si>
  <si>
    <t>INDICADORES</t>
  </si>
  <si>
    <t>VERSION: 0</t>
  </si>
  <si>
    <t>Sumatoria del resultado de todas las evaluaciones</t>
  </si>
  <si>
    <t>Sumatoria del resultado de todas las evaluaciones/ El No. total de evaluaciones realizadas.</t>
  </si>
  <si>
    <t>No. total de evaluaciones realizadas.</t>
  </si>
  <si>
    <t>Número de Cirugías canceladas por falta de disponibilidad DM/ Número de Cirugías  programas con requerimientos de DM</t>
  </si>
  <si>
    <t xml:space="preserve">Número de Cirugías  programas con requerimientos de DM </t>
  </si>
  <si>
    <t>Número de Cirugías canceladas por falta de disponibilidad DM</t>
  </si>
  <si>
    <t xml:space="preserve"> % de incumplimiento de disponibilidad de dispositivos médicos</t>
  </si>
  <si>
    <t>Incumplimiento de disponibilidad de dispositivos médicos</t>
  </si>
  <si>
    <t>% Incumplimiento de disponibilidad de DM</t>
  </si>
  <si>
    <t>Auxiliar de almacén, Asesor Quirúrgico, Auxiliar Administrativo</t>
  </si>
  <si>
    <t>Formato de Ostesintesis Programas</t>
  </si>
  <si>
    <t>Cierre de planes de acción</t>
  </si>
  <si>
    <t>No.  Total de planes de Accion</t>
  </si>
  <si>
    <t>Planes de acción cerrados / No. Total de planes  de acción</t>
  </si>
  <si>
    <t>Planes de acción cerrados</t>
  </si>
  <si>
    <t>Enero - Marzo</t>
  </si>
  <si>
    <t>Abril - Junio</t>
  </si>
  <si>
    <t>Julio - Septiembre</t>
  </si>
  <si>
    <t>Octubre - Dicembre</t>
  </si>
  <si>
    <t>Responsable: Coordinador De Calidad</t>
  </si>
  <si>
    <t>Responsable: Coordinador Asistencial</t>
  </si>
  <si>
    <t>Consolidar un adecuado manejo financiero a traves de la contabilización adecuada, con el fin de generar confiabilidad entre los stakeholders de la compañía.</t>
  </si>
  <si>
    <t>Cumplimiento de presupuesto</t>
  </si>
  <si>
    <t xml:space="preserve">Gasto real </t>
  </si>
  <si>
    <t>Gasto presupuestado</t>
  </si>
  <si>
    <t>% de Cumplimiento (&gt;90%)</t>
  </si>
  <si>
    <r>
      <rPr>
        <sz val="11"/>
        <color rgb="FFFF0000"/>
        <rFont val="Calibri"/>
        <family val="2"/>
        <scheme val="minor"/>
      </rPr>
      <t xml:space="preserve">     </t>
    </r>
    <r>
      <rPr>
        <sz val="11"/>
        <color theme="1"/>
        <rFont val="Calibri"/>
        <family val="2"/>
        <scheme val="minor"/>
      </rPr>
      <t>Establecer programas de formación permanentes, los cuales permitirán disponer de un personal con mayor nivel de cualificación para desempeñar las actividades comprendidas en el Sistema de gestión.</t>
    </r>
  </si>
  <si>
    <t>Establecer programas de formación permanentes, los cuales permitirán disponer de un personal con mayor nivel de cualificación para desempeñar las actividades comprendidas en el Sistema de gestión</t>
  </si>
  <si>
    <t>Capacitaciones ejecutadas / Capacitaciones planeadas</t>
  </si>
  <si>
    <t xml:space="preserve">Capacitaciones ejecutadas </t>
  </si>
  <si>
    <t>Capacitaciones planeadas</t>
  </si>
  <si>
    <t>Expandir y consolidar la relacion con proveedores buscando nuevas opciones en el mercado, diseñando herramientas y concertando acuerdos para adquirir beneficio mutuo.</t>
  </si>
  <si>
    <t>Calificación (&gt;95)</t>
  </si>
  <si>
    <t>Responsable: Jefe De Almacén</t>
  </si>
  <si>
    <t>PAGINA: 8 DE 8</t>
  </si>
  <si>
    <t>PAGINA: 7 DE 8</t>
  </si>
  <si>
    <t>PAGINA: 6 DE 8</t>
  </si>
  <si>
    <t>PAGINA: 5 DE 8</t>
  </si>
  <si>
    <t>PAGINA: 4 DE 8</t>
  </si>
  <si>
    <t>PAGINA: 3 DE 8</t>
  </si>
  <si>
    <t>PAGINA: 2 DE 8</t>
  </si>
  <si>
    <t>PAGINA: 1 DE 8</t>
  </si>
  <si>
    <t>Total Ventas Mensual</t>
  </si>
  <si>
    <t>Total facturado mensual</t>
  </si>
  <si>
    <t>Total radicado</t>
  </si>
  <si>
    <t>% Cumplimiento Facturado</t>
  </si>
  <si>
    <t>% Cumplimiento Radicado</t>
  </si>
  <si>
    <t xml:space="preserve">Informes de Facturación </t>
  </si>
  <si>
    <t>Total ventas/ Total Facturado</t>
  </si>
  <si>
    <t>Total Facturado/ Total Radicado</t>
  </si>
  <si>
    <t>Líder de Contabilidad y Líder de Facturación</t>
  </si>
  <si>
    <t>Contabilidad Facturación</t>
  </si>
  <si>
    <t xml:space="preserve">% Cumplimiento de Facturación y Radicado
</t>
  </si>
  <si>
    <t>Total ventas/ Total Facturado                                                        Total Facturado/ Total Radicado</t>
  </si>
  <si>
    <t>Evaluaciones de Seguimiento</t>
  </si>
  <si>
    <t>Cumplimiento del servicio (&gt;4.0)</t>
  </si>
  <si>
    <t>Condiciones del Material Utilizado (&gt;4.0)</t>
  </si>
  <si>
    <t>Habilidad Soporte Técnico (&gt;4.0)</t>
  </si>
  <si>
    <t>Semestral</t>
  </si>
  <si>
    <t>Almacén, Asistencia Técnica</t>
  </si>
  <si>
    <t>Auxiliar de almacén, Asesor Quirúrgico</t>
  </si>
  <si>
    <t>Reportes de Tecnivigilancia</t>
  </si>
  <si>
    <t>No. De Reportes presentados/ No. De Reportes Notificacos al INVIMA</t>
  </si>
  <si>
    <t>Formato de Eventos o Incidentes Adversos</t>
  </si>
  <si>
    <t>No. De Reportes presentados</t>
  </si>
  <si>
    <t>No. De Reportes Notificacos al INVIMA</t>
  </si>
  <si>
    <t>% de Cumplimiento (100%)</t>
  </si>
  <si>
    <t xml:space="preserve">Ventas - Cuentas por pagar - Gastos </t>
  </si>
  <si>
    <t>Ingresos</t>
  </si>
  <si>
    <t>Gastos</t>
  </si>
  <si>
    <t>Costo</t>
  </si>
  <si>
    <t>Utilidad (&gt;1,000,000,000)</t>
  </si>
  <si>
    <t>Utilidad Mensual</t>
  </si>
  <si>
    <t>CODIGO: FOR-GC-011</t>
  </si>
  <si>
    <t>Primer Semestre</t>
  </si>
  <si>
    <t>Segundo Semestre</t>
  </si>
  <si>
    <t>MATRIZ DE DESPLIEGUE DE POLÍTICA DE CALIDAD DE BIOSTEEL DE COLOMBIA</t>
  </si>
  <si>
    <t>Calificación (&gt;4.5)</t>
  </si>
  <si>
    <t>&gt;4.5</t>
  </si>
  <si>
    <t>N/A</t>
  </si>
  <si>
    <t xml:space="preserve">No. De Reportes Notificados al INVIMA / No. De Reportes Presentados * 100 </t>
  </si>
  <si>
    <t>ENERO</t>
  </si>
  <si>
    <t>FEBRERO</t>
  </si>
  <si>
    <t>MARZO</t>
  </si>
  <si>
    <t>ABRIL</t>
  </si>
  <si>
    <t>MAYO</t>
  </si>
  <si>
    <t>JUNIO</t>
  </si>
  <si>
    <t>JULIO</t>
  </si>
  <si>
    <t>AGOSTO</t>
  </si>
  <si>
    <t>SEPTIEMBRE</t>
  </si>
  <si>
    <t>OCTUBRE</t>
  </si>
  <si>
    <t>NOVIEMBRE</t>
  </si>
  <si>
    <t>DICIEMBRE</t>
  </si>
  <si>
    <t>Facturas Anuladas</t>
  </si>
  <si>
    <t>Facturas anuladas/ Facturas Generadas</t>
  </si>
  <si>
    <t>Cuadro de Control Facturas</t>
  </si>
  <si>
    <t>Facturas Glosadas por EPS/ Facturas Generadas a EPS</t>
  </si>
  <si>
    <t>&lt;5%</t>
  </si>
  <si>
    <t>% Facturas Anuladas</t>
  </si>
  <si>
    <t>% Facturas Glosadas por EPS</t>
  </si>
  <si>
    <t>Facturas Generadas</t>
  </si>
  <si>
    <t>% de Cumplimiento (&lt;5%)</t>
  </si>
  <si>
    <t>Facturas Glosadas/ Facturas Generadas a EPS</t>
  </si>
  <si>
    <t>Notificaciones de Glosas</t>
  </si>
  <si>
    <t>Facturas Glosadas</t>
  </si>
  <si>
    <t>% de Cumplimiento (&lt;30%)</t>
  </si>
  <si>
    <t>&lt;30%</t>
  </si>
  <si>
    <t>Reportes de Tecnovigilancia</t>
  </si>
  <si>
    <t>Responsable: Coordinador Logistico</t>
  </si>
  <si>
    <t>(No. De evaluaciones recibidas satisfactoriamente/ No. De muestras verificadas)</t>
  </si>
  <si>
    <t xml:space="preserve">En Biosteel de Colombia S.A, somos una empresa dedicada a la importación, comercialización y distribución de dispositivos  médicos de alta calidad. Por ello, nuestros esfuerzos se centran en satisfacer las necesidades y expectativas de especialistas, instituciones del área de la salud y usuarios mediante el compromiso de ejecutar los procedimientos bajo el direccionamiento de altos estándares de calidad, garantizando el cumplimiento de los requisitos legales exigibles, el mejoramiento continuo de nuestros procesos, la optimización de nuestros recursos, el desarrollo integral de nuestros colaboradores, la consolidación de alianzas estratégicas  con nuestros proveedores y el fortalecimiento de las relaciones comerciales </t>
  </si>
  <si>
    <t>Coordinador Logistico</t>
  </si>
  <si>
    <t>% de cumplimiento de radicado (&gt;95%)</t>
  </si>
  <si>
    <t>% de cumplimiento de facturación (&gt;90%)</t>
  </si>
  <si>
    <t>Atención a Quejas, Reclamos y/o Sugerencias</t>
  </si>
  <si>
    <t>No. Quejas, reclamosy/o sugerencias  atendidas / a No. De quejas, reclamos y/o Sugerencias presentados * 100</t>
  </si>
  <si>
    <t>Total de quejas, reclamos o sugerencias presentados</t>
  </si>
  <si>
    <t>Total de Quejas, Reclamos o sugerencias atendido</t>
  </si>
  <si>
    <t>Porcentaje de atención de Quejas, Reclamos o sugerencias</t>
  </si>
  <si>
    <t xml:space="preserve">Atención a Quejas, Reclamos y/o Sugerencias  </t>
  </si>
  <si>
    <t>No. Quejas, reclamos o sugerencias recibidos = a No. De quejas y reclamos atendidos</t>
  </si>
  <si>
    <t>Formato de quejas, reclamos o sugerencias</t>
  </si>
  <si>
    <t>Coordinador Logistico, Coordinador Asistencial</t>
  </si>
  <si>
    <t>Coordinador Logistico , Coordinador Asistencial, Gerente Administrativo</t>
  </si>
  <si>
    <t xml:space="preserve"> </t>
  </si>
  <si>
    <t>OBJETIVO GENERAL</t>
  </si>
  <si>
    <t>OBJETIVO ESPECIFICO</t>
  </si>
  <si>
    <t>Evaluar el cumplimiento de entrega de las ordenes de compra de dispositivos medicos mediante el informe mensual de compra.</t>
  </si>
  <si>
    <t>Analizar  a través de las evaluciones de seguimiento y atencion de quejas, reclamos y sugerencias el cumplimiento del servicio, las condiciones del material utilizado y la habilidad del soporte tecnico, con el fin de implementar estrategias de buen servicio para garantizar la satisfaccion del cliente.</t>
  </si>
  <si>
    <t>Verificar la calidad de los materiales de acuerdo a las especificaciones tecnicas del proveedor mediante el recibo a satisfaccion  de mercancia garantizando a los clientes  confiabilidad con el cumplimiento del manual de requisitos de capacidad de almacenamiento y/o acondicionamiento para dispositivos medicos</t>
  </si>
  <si>
    <t>Verificar el cierre de los planes de Accion generados con el fin de comprobar la eficacia del sistema de Gestion de calidad.</t>
  </si>
  <si>
    <t xml:space="preserve">Verificar el cumplimiento del presupuesto,conocer la utilidad generada y comparar lo vendido con lo radicado con el fin de conocer el estado financiero de la Organización. </t>
  </si>
  <si>
    <t>Verificar el cumplimiento y eficacia  del plan de formacion por medio de la evaluacion de capacitacion, la cual nos permita disponer de un personal con mayor nivel de cualificacion para desempeñar las actividades comprometidas en el sistema de gestion.</t>
  </si>
  <si>
    <t>Analizar el cumpliento de nuestros proveedores a traves de un seguimiento mensual para determinar el desempeño con la empresa y consolidar la relacion con el proveedor, creando acuerdos para adquirir beneficios mutuos.</t>
  </si>
  <si>
    <t>Conocer el grado de aceptacion de nuestros clientes mediante la encuesta de satisfaccion con la finalidad de fortalecer las relaciones comerciales, brindandoles credibilidad en la comercializacion de nuestros productos y la prestacion de un buen servicio.</t>
  </si>
  <si>
    <t>Responsable:  Lider de Gestion Humana</t>
  </si>
  <si>
    <t xml:space="preserve">No. De ordenes de compra totales </t>
  </si>
  <si>
    <t>MESES</t>
  </si>
  <si>
    <t>ANALISIS DE INDICADORES</t>
  </si>
  <si>
    <t>Almacen
Coordinador Logistico</t>
  </si>
  <si>
    <t>Asistencia Tecnica
Coordinador Asistencial</t>
  </si>
  <si>
    <t>Tecnovigilancia
Coordinador Asistencial</t>
  </si>
  <si>
    <t>Sistema de Gestion de Calidad
Coordinador de Calidad</t>
  </si>
  <si>
    <t>Contabilidad
Lider de Contabilidad</t>
  </si>
  <si>
    <t>Facturación
Lider de Facturación</t>
  </si>
  <si>
    <t>Gestion Humana
Lider de Gestión Humana</t>
  </si>
  <si>
    <t>Evaluación de Cumplimiento Proveedores</t>
  </si>
  <si>
    <t>% Cotizaciones Aprobadas/facturadas</t>
  </si>
  <si>
    <t>Cotizaciones Generadas/ Cotizaciones Facturadas</t>
  </si>
  <si>
    <t xml:space="preserve">Cotizaciones Generadas </t>
  </si>
  <si>
    <t>Cotizaciones Facturadas</t>
  </si>
  <si>
    <t>% de Cotizaciones facturadas (&lt;5%)</t>
  </si>
  <si>
    <t>Responsable: Líder de Contabilidad, Líder de Facturación y Coordinador Logistico</t>
  </si>
  <si>
    <t>En el mes de Febrero del 2017 no se cumplio el indicador de utilidad debido a que este mes solo fueron 28 dias por lo tanto no se alcanzaron las ventas deseadas</t>
  </si>
  <si>
    <t>En el mes de Marzo del 2017 se cumplio el indicador de utilidad porque las ventas superaron las expectativas.</t>
  </si>
  <si>
    <t>En el mes de Abril del 2017 se cumplio el indicador de utilidad porque las ventas superaron las expectativas.</t>
  </si>
  <si>
    <t>En el mes de Mayo del 2017 se cumplio el indicador de utilidad porque las ventas superaron las expectativas.</t>
  </si>
  <si>
    <t>En el mes de Junio del 2017 se cumplio el indicador de utilidad porque las ventas superaron las expectativas.</t>
  </si>
  <si>
    <t>En el mes de Julio del 2017 se cumplio el indicador de utilidad porque las ventas superaron las expectativas.</t>
  </si>
  <si>
    <t>En el mes de Agosto del 2017 se cumplio el indicador de utilidad porque las ventas superaron las expectativas.</t>
  </si>
  <si>
    <t>En el mes de Septiembre del 2017 se cumplio el indicador de utilidad porque las ventas superaron las expectativas.</t>
  </si>
  <si>
    <t>En el mes de Octubre del 2017 se cumplio el indicador de utilidad porque las ventas superaron las expectativas.</t>
  </si>
  <si>
    <t>En el mes de Noviembre del 2017 se cumplio el indicador de utilidad porque las ventas superaron las expectativas.</t>
  </si>
  <si>
    <t>En el mes de Diciembre del 2017 se cumplio el indicador de utilidad porque las ventas superaron las expectativas.</t>
  </si>
  <si>
    <t>En el mes de Febrero de 2017 se cumplió con el indicador de compras debido a que los proveedores fueron oportunos en los tiempos de entrega.</t>
  </si>
  <si>
    <t>En el mes de Enero de 2017 se cumplió con el indicador de compras debido a que los proveedores fueron oportunos en los tiempos de entrega.</t>
  </si>
  <si>
    <t>En el mes de Marzo de 2017 se cumplió con el indicador de compras debido a que los proveedores fueron oportunos en los tiempos de entrega.</t>
  </si>
  <si>
    <t>En el mes de Abril de 2017 se cumplió con el indicador de compras debido a que los proveedores fueron oportunos en los tiempos de entrega.</t>
  </si>
  <si>
    <t>En el mes de Mayo de 2017 se cumplió con el indicador de compras debido a que los proveedores fueron oportunos en los tiempos de entrega.</t>
  </si>
  <si>
    <t>En el mes de Junio de 2017 se cumplió con el indicador de compras debido a que los proveedores fueron oportunos en los tiempos de entrega.</t>
  </si>
  <si>
    <t>En el mes de Julio de 2017 se cumplió con el indicador de compras debido a que los proveedores fueron oportunos en los tiempos de entrega.</t>
  </si>
  <si>
    <t>En el mes de Agosto de 2017 se cumplió con el indicador de compras debido a que los proveedores fueron oportunos en los tiempos de entrega.</t>
  </si>
  <si>
    <t>En el mes de Septiembre de 2017 se cumplió con el indicador de compras debido a que los proveedores fueron oportunos en los tiempos de entrega.</t>
  </si>
  <si>
    <t>En el mes de Octubre de 2017 se cumplió con el indicador de compras debido a que los proveedores fueron oportunos en los tiempos de entrega.</t>
  </si>
  <si>
    <t>En el mes de Noviembre de 2017 se cumplió con el indicador de compras debido a que los proveedores fueron oportunos en los tiempos de entrega.</t>
  </si>
  <si>
    <t>En el mes de Diciembre de 2017 se cumplió con el indicador de compras debido a que los proveedores fueron oportunos en los tiempos de entrega.</t>
  </si>
  <si>
    <t>En el mes de Enero de 2017 se cumplió con el indicador de cumplimiento de especificaciones tecnicas porque los dispositivos fueron recibidos en optimas condiciones.</t>
  </si>
  <si>
    <t>En el mes de Febrero de 2017 se cumplió con el indicador de cumplimiento de especificaciones tecnicas porque los dispositivos fueron recibidos en optimas condiciones.</t>
  </si>
  <si>
    <t>En el mes de Marzo de 2017 se cumplió con el indicador de cumplimiento de especificaciones tecnicas porque los dispositivos fueron recibidos en optimas condiciones.</t>
  </si>
  <si>
    <t>En el mes de Abril de 2017 se cumplió con el indicador de cumplimiento de especificaciones tecnicas porque los dispositivos fueron recibidos en optimas condiciones.</t>
  </si>
  <si>
    <t>En el mes de Mayo de 2017 se cumplió con el indicador de cumplimiento de especificaciones tecnicas porque los dispositivos fueron recibidos en optimas condiciones.</t>
  </si>
  <si>
    <t>En el mes de Junio de 2017 se cumplió con el indicador de cumplimiento de especificaciones tecnicas porque los dispositivos fueron recibidos en optimas condiciones.</t>
  </si>
  <si>
    <t>En el mes de Julio de 2017 se cumplió con el indicador de cumplimiento de especificaciones tecnicas porque los dispositivos fueron recibidos en optimas condiciones.</t>
  </si>
  <si>
    <t>En el mes de Agosto de 2017 se cumplió con el indicador de cumplimiento de especificaciones tecnicas porque los dispositivos fueron recibidos en optimas condiciones.</t>
  </si>
  <si>
    <t>En el mes de Septiembre de 2017 se cumplió con el indicador de cumplimiento de especificaciones tecnicas porque los dispositivos fueron recibidos en optimas condiciones.</t>
  </si>
  <si>
    <t>En el mes de Octubre de 2017 se cumplió con el indicador de cumplimiento de especificaciones tecnicas porque los dispositivos fueron recibidos en optimas condiciones.</t>
  </si>
  <si>
    <t>En el mes de Noviembre de 2017 se cumplió con el indicador de cumplimiento de especificaciones tecnicas porque los dispositivos fueron recibidos en optimas condiciones.</t>
  </si>
  <si>
    <t>En el mes de Diciembre de 2017 se cumplió con el indicador de cumplimiento de especificaciones tecnicas porque los dispositivos fueron recibidos en optimas condiciones.</t>
  </si>
  <si>
    <t>En el mes de Enero del 2017 se cumplio el indicador de utilidad porque las ventas superaron las expectativas.</t>
  </si>
  <si>
    <t>En el mes de Enero del 2017 se cumplió el indicador de evaluación de cumplimiento de proveedores, debido a que  cumplieron con los parametros establecidos en la evaluación mensual,</t>
  </si>
  <si>
    <t>En el mes de Abril  del 2017 se cumplió el indicador de evaluación de cumplimiento de proveedores, debido a que  cumplieron con los parametros establecidos en la evaluación mensual,</t>
  </si>
  <si>
    <t>En el mes de Julio del 2017 se cumplió el indicador de evaluación de cumplimiento de proveedores, debido a que  cumplieron con los parametros establecidos en la evaluación mensual,</t>
  </si>
  <si>
    <t>En el mes de Noviembre del 2017 se cumplió el indicador de evaluación de cumplimiento de proveedores, debido a que  cumplieron con los parametros establecidos en la evaluación mensual,</t>
  </si>
  <si>
    <t>En el mes de Diciembre del 2017 se cumplió el indicador de evaluación de cumplimiento de proveedores, debido a que  cumplieron con los parametros establecidos en la evaluación mensual,</t>
  </si>
  <si>
    <t>En el mes de Octubre del 2017 se cumplió el indicador de evaluación de cumplimiento de proveedores, debido a que  cumplieron con los parametros establecidos en la evaluación mensual,</t>
  </si>
  <si>
    <t>En el mes de Septiembre del 2017 se cumplió el indicador de evaluación de cumplimiento de proveedores, debido a que  cumplieron con los parametros establecidos en la evaluación mensual,</t>
  </si>
  <si>
    <t>En el mes de Agosto del 2017 se cumplió el indicador de evaluación de cumplimiento de proveedores, debido a que  cumplieron con los parametros establecidos en la evaluación mensual,</t>
  </si>
  <si>
    <t>En el mes de Junio del 2017 se cumplió el indicador de evaluación de cumplimiento de proveedores, debido a que  cumplieron con los parametros establecidos en la evaluación mensual,</t>
  </si>
  <si>
    <t>En el mes de Mayo del 2017 se cumplió el indicador de evaluación de cumplimiento de proveedores, debido a que  cumplieron con los parametros establecidos en la evaluación mensual,</t>
  </si>
  <si>
    <t>En el mes de Marzo del 2017 se cumplió el indicador de evaluación de cumplimiento de proveedores, debido a que  cumplieron con los parametros establecidos en la evaluación mensual,</t>
  </si>
  <si>
    <t>En el mes de Febrero del 2017 se cumplió el indicador de evaluación de cumplimiento de proveedores, debido a que  cumplieron con los parametros establecidos en la evaluación mensual,</t>
  </si>
  <si>
    <t>Responsable: Coordinador Logistico  y Director Técnico</t>
  </si>
  <si>
    <t>En el mes de Enero el indicador  se cumplió debido a que  el facilitador de la capacitacion fue miembro de nuestra organización y por lo tanto no se requeria inversion economica para tal fin.</t>
  </si>
  <si>
    <t>En el mes de Enero se cumplio con el indicador, ya que el servicio fue oportuno, tanto por la asesoria quirurgica como por el material utilizado.</t>
  </si>
  <si>
    <t>En el mes de febrero se cumplio satisfactoriamente con el indicador, ya que el material utilizado fue el adecuado y fue oportuna el servicio.</t>
  </si>
  <si>
    <t>En el mes de Marzo se cumplio con el indicador, ya que el servicio fue oportuno,, tanto por la asesoria quirurgica como por el material utilizado.</t>
  </si>
  <si>
    <t>En el mes de abril  se alcanzaron los objetivos propuestos en nuestros indicadores , teniendo buen servicio, cumpliendo con buenas condiciones del material y prestando buenas asesorias quirurgicas.</t>
  </si>
  <si>
    <t>En el mes de mayo, se logro mantener el buen servicio, tannto en el material como en la prestacion de asesorias quirurgicas.</t>
  </si>
  <si>
    <t>En el mes de junio se cumplio satisfactoriamente con el indicador, ya que el material utilizado fue el adecuado y fue oportuna el servicio.</t>
  </si>
  <si>
    <t>En el mes de julio, no tuvimos inconvenientes por materiales, por loq ue se pudo cimplir satisfactoriamente con el servicio, dansole asesorias quirurgicas a cada procedimiento que lo requirio.</t>
  </si>
  <si>
    <t>En el mes de agosto se capacito a los asesres quirurgicos actualizandolos en ciertos procedimientos, para seguir ofreciendo el mejr servicio, este indicador se cumplio con éxito.</t>
  </si>
  <si>
    <t>En el mes de Septiembre se cumplio con el indicador, ya que el servicio fue oportuno, tanto por la asesoria quirurgica como por el material utilizado.</t>
  </si>
  <si>
    <t>se cumplio satisfactoriamente con el indioador, se va a la vanguadia con los asesores quirurgicos en la presentacion de nuevos productos se les hace capacitacion para que puedan ofrecer un servicio completo a los especialistas.</t>
  </si>
  <si>
    <t>En el mes de Noviembre se cumplio satisfactoriamente con el indicador, ya que el material utilizado fue el adecuado y fue oportuna el servicio.</t>
  </si>
  <si>
    <t>Culminamos el año, no solo cumpliendo con éxito el indicador, gracias al buen desempeño de los asesores y buena calidad en los productos utilizados.</t>
  </si>
  <si>
    <t>en el mes de marzo se realizo por parte del artrscopista de una  de nuestras bodegas, una sugerencia, el cual se dio respuesta por medio de una carta y enviando lo solicitado, para que no se viera afectado nuestro servicio.</t>
  </si>
  <si>
    <t>En el mes de Enero de 2017 se cumplio el presupuesto porque  se recaudo lo esperado para este mes</t>
  </si>
  <si>
    <t>En el mes de Febrero de 2017 se cumplio el presupuesto porque  se recaudo lo esperado para este mes</t>
  </si>
  <si>
    <t>En el mes de Marzo de 2017 se cumplio el presupuesto porque  se recaudo lo esperado para este mes</t>
  </si>
  <si>
    <t>En el mes de Abril de 2017 se cumplio el presupuesto porque  se recaudo lo esperado para este mes</t>
  </si>
  <si>
    <t>En el mes de Mayo de 2017 se cumplio el presupuesto porque  se recaudo lo esperado para este mes</t>
  </si>
  <si>
    <t>En el mes de Junio de 2017 se cumplio el presupuesto porque  se recaudo lo esperado para este mes</t>
  </si>
  <si>
    <t>En el mes de Julio de 2017 se cumplio el presupuesto porque  se recaudo lo esperado para este mes</t>
  </si>
  <si>
    <t>En el mes de Agosto de 2017 se cumplio el presupuesto porque  se recaudo lo esperado para este mes</t>
  </si>
  <si>
    <t>En el mes de Septiembre de 2017 se cumplio el presupuesto porque  se recaudo lo esperado para este mes</t>
  </si>
  <si>
    <t>En el mes de Octubre de 2017 no se cumplio el presupuesto  debido  a que no se recaudo  lo esperado para este mes</t>
  </si>
  <si>
    <t>En el mes de Noviembre de 2017 no se cumplio el presupuesto  debido  a que no se recaudo  lo esperado para este mes</t>
  </si>
  <si>
    <t>En el mes de Diciembre de 2017 no se cumplio el presupuesto  debido  a que no se recaudo  lo esperado para este mes</t>
  </si>
  <si>
    <t>El indicador no se cumplio debido a que no haubo flujo de dinero porque las IPS no cumplieron los acuerdos de pagos que se trazaron con Gerencia,  lo cual afecto en la inversion en capacitaciones .</t>
  </si>
  <si>
    <t>En el mes de Marzo el indicador se cumplio debido a que se hizo una alianza estrategica con la camara de comercio el cual nos facilitó la realizacion de las capacitaciones planeadas.</t>
  </si>
  <si>
    <t>En el mes de Abril el indicador no se cumplio porque</t>
  </si>
  <si>
    <t>En el mes de Enero del 2017 no se objetaron facturas por glosas.</t>
  </si>
  <si>
    <t>En el mes de Febrero del 2017 no se objetaron facturas por glosas.</t>
  </si>
  <si>
    <t>En el mes de Marzo del 2017 no se objetaron facturas por glosas.</t>
  </si>
  <si>
    <t>En el mes de Abril del 2017 no se objetaron facturas por glosas.</t>
  </si>
  <si>
    <t>En el mes de Mayo del 2017 no se objetaron facturas por glosas.</t>
  </si>
  <si>
    <t>En el mes de Junio del 2017 no se objetaron facturas por glosas.</t>
  </si>
  <si>
    <t>En el mes de Julio del 2017 no se objetaron facturas por glosas.</t>
  </si>
  <si>
    <t>En el mes de Agosto del 2017 no se objetaron facturas por glosas.</t>
  </si>
  <si>
    <t>En el mes de Octubre del 2017 no se objetaron facturas por glosas.</t>
  </si>
  <si>
    <t>En el mes de Noviembre del 2017 no se objetaron facturas por glosas.</t>
  </si>
  <si>
    <t>En el mes de Diciembre del 2017 no se objetaron facturas por glosas.</t>
  </si>
  <si>
    <t>En el mes de Septiembre del 2017 se cumplio el indicativo ya que se objetaron 3 Glosas por parte de Barrios Unidos</t>
  </si>
  <si>
    <t>En el mes de Enero del 2017 se cumplio con el indicador de Anuladas ya que no hubo un alto nivel de error en las facturas Generadas</t>
  </si>
  <si>
    <t>En el mes de Febrero del 2017 se cumplio con el indicador de Anuladas ya que no hubo un alto nivel de error en las facturas Generadas</t>
  </si>
  <si>
    <t>En el mes de Marzo del 2017 se cumplio con el indicador de Anuladas ya que no hubo un alto nivel de error en las facturas Generadas</t>
  </si>
  <si>
    <t>En el mes de Abril del 2017 se cumplio con el indicador de Anuladas ya que no hubo un alto nivel de error en las facturas Generadas</t>
  </si>
  <si>
    <t>En el mes de Mayo del 2017 se cumplio con el indicador de Anuladas ya que no hubo un alto nivel de error en las facturas Generadas</t>
  </si>
  <si>
    <t>En el mes de Junio del 2017 se cumplio con el indicador de Anuladas ya que no hubo un alto nivel de error en las facturas Generadas</t>
  </si>
  <si>
    <t>En el mes de Julio del 2017 se cumplio con el indicador de Anuladas ya que no hubo un alto nivel de error en las facturas Generadas</t>
  </si>
  <si>
    <t>En el mes de Agosto del 2017 se cumplio con el indicador de Anuladas ya que no hubo un alto nivel de error en las facturas Generadas</t>
  </si>
  <si>
    <t>En el mes de Septiembre del 2017 se cumplio con el indicador de Anuladas ya que no hubo un alto nivel de error en las facturas Generadas</t>
  </si>
  <si>
    <t>En el mes de Octubre del 2017 se cumplio con el indicador de Anuladas ya que no hubo un alto nivel de error en las facturas Generadas</t>
  </si>
  <si>
    <t>En el mes de Noviembre del 2017 se cumplio con el indicador de Anuladas ya que no hubo un alto nivel de error en las facturas Generadas</t>
  </si>
  <si>
    <t>En el mes de Diciembre del 2017 se cumplio con el indicador de Anuladas ya que no hubo un alto nivel de error en las facturas Generadas</t>
  </si>
  <si>
    <t>En el mes de Febrero del 2017 no se cumplio con el indicador de lo facturado ya que todo lo vendido no se facturo Oportunamente por cierre de mes. No se cumplio el indicador de lo Radicado ya que quedaron relaciones radicadas con fecha del mes siguiente por parte de las Ips.</t>
  </si>
  <si>
    <t>En el mes de Enero del 2017 se cumplio con el indicador de lo facturado ya que se facturo lo vendido del mes en curso y lo pendiente del mes anterior. No se cumplio el indicador de lo Radicado ya que quedaron relaciones radicadas con fecha del mes siguiente por parte de las Ips.</t>
  </si>
  <si>
    <t>En el mes de Marzo del 2017 se cumplio con el indicador de lo facturado ya que se facturo lo vendido del mes en curso y lo pendiente del mes anterior. No se cumplio el indicador de lo Radicado ya que quedaron relaciones radicadas con fecha del mes siguiente por parte de las Ips.</t>
  </si>
  <si>
    <t>En el mes de Abril del 2017 se cumplio con el indicador de lo facturado ya que se facturo lo vendido del mes en curso y lo pendiente del mes anterior. se cumplio el indicador de lo Radicado ya que quedaron dos relaciones radicadas con fecha del mes siguiente por parte de las Ips.</t>
  </si>
  <si>
    <t>En el mes de Mayo del 2017 se cumplio con el indicador de lo facturado ya que se facturo lo vendido del mes en curso y lo pendiente del mes anterior. se cumplio el indicador de lo Radicado ya que quedo una relacion radicada con fecha del mes siguiente por parte de las Ips.</t>
  </si>
  <si>
    <t>En el mes de Junio del 2017 se cumplio con el indicador de lo facturado ya que lo vendido del mes en curso se facturo teniendo en cuenta los cortes de cierre. se cumplio el indicador de lo Radicado ya que todas las relaciones de facturas se radicaron dentro del mes por parte de las Ips.</t>
  </si>
  <si>
    <t>En el mes de Julio del 2017 se cumplio con el indicador de lo facturado ya que lo vendido del mes en curso se facturo teniendo en cuenta los cortes de cierre. se cumplio el indicador de lo Radicado ya que todas las relaciones de facturas se radicaron dentro del mes por parte de las Ips.</t>
  </si>
  <si>
    <t>En el mes de Agosto del 2017 se cumplio con el indicador de lo facturado ya que lo vendido del mes en curso se facturo teniendo en cuenta los cortes de cierre. se cumplio el indicador de lo Radicado ya que todas las relaciones de facturas se radicaron dentro del mes por parte de las Ips.</t>
  </si>
  <si>
    <t>En el mes de Septiembre del 2017 se cumplio con el indicador de lo facturado ya que lo vendido del mes en curso se facturo teniendo en cuenta los cortes de cierre. se cumplio el indicador de lo Radicado ya que todas las relaciones de facturas se radicaron dentro del mes por parte de las Ips.</t>
  </si>
  <si>
    <t>En el mes de Octubre del 2017 se cumplio con el indicador de lo facturado ya que lo vendido del mes en curso se facturo teniendo en cuenta los cortes de cierre. se cumplio el indicador de lo Radicado ya que todas las relaciones de facturas se radicaron dentro del mes por parte de las Ips.</t>
  </si>
  <si>
    <t>En el mes de Noviembre del 2017 se cumplio con el indicador de lo facturado ya que lo vendido del mes en curso se facturo teniendo en cuenta los cortes de cierre. se cumplio el indicador de lo Radicado ya que todas las relaciones de facturas se radicaron dentro del mes por parte de las Ips.</t>
  </si>
  <si>
    <t>En el mes de Diciembre del 2017 se cumplio con el indicador de lo facturado ya que se facturo lo vendido del mes en curso y lo pendiente del mes anterior. No se cumplio el indicador de lo Radicado ya que quedaron tres relaciones radicadas con fecha del mes siguiente por parte de las Ips.</t>
  </si>
  <si>
    <t>PROMEDIO</t>
  </si>
  <si>
    <t>Octubre - Diciembre</t>
  </si>
  <si>
    <t>Responsable: Coordinador Asistencial / Coordinador de calidad</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</si>
</sst>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_ * #,##0_ ;_ * \-#,##0_ ;_ * &quot;-&quot;_ ;_ @_ "/>
    <numFmt numFmtId="165" formatCode="_ &quot;$&quot;\ * #,##0.00_ ;_ &quot;$&quot;\ * \-#,##0.00_ ;_ &quot;$&quot;\ * &quot;-&quot;??_ ;_ @_ "/>
    <numFmt numFmtId="166" formatCode="_ * #,##0.00_ ;_ * \-#,##0.00_ ;_ * &quot;-&quot;??_ ;_ @_ "/>
    <numFmt numFmtId="167" formatCode="0.0"/>
    <numFmt numFmtId="168" formatCode="_ * #,##0_ ;_ * \-#,##0_ ;_ * &quot;-&quot;??_ ;_ @_ "/>
    <numFmt numFmtId="169" formatCode="_-* #,##0.00\ _$_-;\-* #,##0.00\ _$_-;_-* &quot;-&quot;??\ _$_-;_-@_-"/>
    <numFmt numFmtId="170" formatCode="_ * #,##0.0_ ;_ * \-#,##0.0_ ;_ * &quot;-&quot;??_ ;_ @_ "/>
  </numFmts>
  <fonts count="32">
    <font>
      <sz val="11"/>
      <color theme="1"/>
      <name val="Calibri"/>
      <family val="2"/>
      <scheme val="minor"/>
    </font>
    <font>
      <sz val="12"/>
      <color theme="1"/>
      <name val="Tahoma"/>
      <family val="2"/>
    </font>
    <font>
      <sz val="11"/>
      <color theme="1"/>
      <name val="Calibri"/>
      <family val="2"/>
      <scheme val="minor"/>
    </font>
    <font>
      <b/>
      <sz val="11"/>
      <color theme="0"/>
      <name val="Calibri"/>
      <family val="2"/>
      <scheme val="minor"/>
    </font>
    <font>
      <sz val="11"/>
      <color rgb="FFFF0000"/>
      <name val="Calibri"/>
      <family val="2"/>
      <scheme val="minor"/>
    </font>
    <font>
      <sz val="11"/>
      <name val="Calibri"/>
      <family val="2"/>
      <scheme val="minor"/>
    </font>
    <font>
      <b/>
      <sz val="18"/>
      <color theme="1"/>
      <name val="Calibri"/>
      <family val="2"/>
      <scheme val="minor"/>
    </font>
    <font>
      <b/>
      <sz val="11"/>
      <color theme="1"/>
      <name val="Calibri"/>
      <family val="2"/>
      <scheme val="minor"/>
    </font>
    <font>
      <sz val="12"/>
      <color theme="1"/>
      <name val="Calibri"/>
      <family val="2"/>
      <scheme val="minor"/>
    </font>
    <font>
      <sz val="10"/>
      <name val="Calibri"/>
      <family val="2"/>
      <scheme val="minor"/>
    </font>
    <font>
      <b/>
      <sz val="18"/>
      <color theme="3"/>
      <name val="Cambria"/>
      <family val="2"/>
      <scheme val="major"/>
    </font>
    <font>
      <sz val="10"/>
      <name val="Verdana   "/>
    </font>
    <font>
      <sz val="10"/>
      <name val="Verdana"/>
      <family val="2"/>
    </font>
    <font>
      <sz val="10"/>
      <color indexed="8"/>
      <name val="MS Sans Serif"/>
      <family val="2"/>
    </font>
    <font>
      <sz val="11"/>
      <color theme="0"/>
      <name val="Calibri"/>
      <family val="2"/>
      <scheme val="minor"/>
    </font>
    <font>
      <sz val="11"/>
      <color rgb="FF006100"/>
      <name val="Calibri"/>
      <family val="2"/>
      <scheme val="minor"/>
    </font>
    <font>
      <b/>
      <sz val="11"/>
      <color rgb="FFFA7D00"/>
      <name val="Calibri"/>
      <family val="2"/>
      <scheme val="minor"/>
    </font>
    <font>
      <sz val="11"/>
      <color rgb="FFFA7D00"/>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sz val="10"/>
      <color indexed="8"/>
      <name val="MS Sans Serif"/>
      <family val="2"/>
    </font>
    <font>
      <b/>
      <sz val="15.95"/>
      <color indexed="8"/>
      <name val="Times New Roman"/>
      <family val="1"/>
    </font>
    <font>
      <sz val="8"/>
      <name val="Calibri"/>
      <family val="2"/>
      <scheme val="minor"/>
    </font>
    <font>
      <sz val="8"/>
      <color theme="1"/>
      <name val="Calibri"/>
      <family val="2"/>
      <scheme val="minor"/>
    </font>
    <font>
      <b/>
      <sz val="48"/>
      <color theme="0"/>
      <name val="Calibri"/>
      <family val="2"/>
      <scheme val="minor"/>
    </font>
    <font>
      <sz val="10"/>
      <color theme="1"/>
      <name val="Calibri"/>
      <family val="2"/>
      <scheme val="minor"/>
    </font>
  </fonts>
  <fills count="37">
    <fill>
      <patternFill patternType="none"/>
    </fill>
    <fill>
      <patternFill patternType="gray125"/>
    </fill>
    <fill>
      <patternFill patternType="solid">
        <fgColor theme="3" tint="-0.249977111117893"/>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204">
    <xf numFmtId="0" fontId="0" fillId="0" borderId="0"/>
    <xf numFmtId="9"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0" fontId="10" fillId="0" borderId="0" applyNumberFormat="0" applyFill="0" applyBorder="0" applyAlignment="0" applyProtection="0"/>
    <xf numFmtId="0" fontId="1" fillId="0" borderId="0"/>
    <xf numFmtId="0" fontId="2" fillId="0" borderId="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18"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2"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26"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0"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34"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2" fillId="35"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16"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0"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4"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28"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2"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4" fillId="3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5" fillId="6" borderId="0" applyNumberFormat="0" applyBorder="0" applyAlignment="0" applyProtection="0"/>
    <xf numFmtId="0" fontId="16" fillId="10" borderId="19" applyNumberFormat="0" applyAlignment="0" applyProtection="0"/>
    <xf numFmtId="0" fontId="16" fillId="10" borderId="19" applyNumberFormat="0" applyAlignment="0" applyProtection="0"/>
    <xf numFmtId="0" fontId="16" fillId="10" borderId="19" applyNumberFormat="0" applyAlignment="0" applyProtection="0"/>
    <xf numFmtId="0" fontId="16" fillId="10" borderId="19" applyNumberFormat="0" applyAlignment="0" applyProtection="0"/>
    <xf numFmtId="0" fontId="3" fillId="11" borderId="22" applyNumberFormat="0" applyAlignment="0" applyProtection="0"/>
    <xf numFmtId="0" fontId="3" fillId="11" borderId="22" applyNumberFormat="0" applyAlignment="0" applyProtection="0"/>
    <xf numFmtId="0" fontId="3" fillId="11" borderId="22" applyNumberFormat="0" applyAlignment="0" applyProtection="0"/>
    <xf numFmtId="0" fontId="3" fillId="11" borderId="22" applyNumberFormat="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3"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17"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1"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5"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29"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4" fillId="33" borderId="0" applyNumberFormat="0" applyBorder="0" applyAlignment="0" applyProtection="0"/>
    <xf numFmtId="0" fontId="19" fillId="9" borderId="19" applyNumberFormat="0" applyAlignment="0" applyProtection="0"/>
    <xf numFmtId="0" fontId="19" fillId="9" borderId="19" applyNumberFormat="0" applyAlignment="0" applyProtection="0"/>
    <xf numFmtId="0" fontId="19" fillId="9" borderId="19" applyNumberFormat="0" applyAlignment="0" applyProtection="0"/>
    <xf numFmtId="0" fontId="19" fillId="9" borderId="19" applyNumberFormat="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0" fontId="20" fillId="7" borderId="0" applyNumberFormat="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2" fillId="0" borderId="0" applyFont="0" applyFill="0" applyBorder="0" applyAlignment="0" applyProtection="0"/>
    <xf numFmtId="166" fontId="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5" fontId="2" fillId="0" borderId="0" applyFont="0" applyFill="0" applyBorder="0" applyAlignment="0" applyProtection="0"/>
    <xf numFmtId="0" fontId="21" fillId="8" borderId="0" applyNumberFormat="0" applyBorder="0" applyAlignment="0" applyProtection="0"/>
    <xf numFmtId="0" fontId="21" fillId="8" borderId="0" applyNumberFormat="0" applyBorder="0" applyAlignment="0" applyProtection="0"/>
    <xf numFmtId="0" fontId="21" fillId="8" borderId="0" applyNumberFormat="0" applyBorder="0" applyAlignment="0" applyProtection="0"/>
    <xf numFmtId="0" fontId="21" fillId="8" borderId="0" applyNumberFormat="0" applyBorder="0" applyAlignment="0" applyProtection="0"/>
    <xf numFmtId="0" fontId="13" fillId="0" borderId="0"/>
    <xf numFmtId="0" fontId="11" fillId="0" borderId="0"/>
    <xf numFmtId="0" fontId="11" fillId="0" borderId="0"/>
    <xf numFmtId="0" fontId="11" fillId="0" borderId="0"/>
    <xf numFmtId="0" fontId="13" fillId="0" borderId="0"/>
    <xf numFmtId="0" fontId="13" fillId="0" borderId="0"/>
    <xf numFmtId="0" fontId="11" fillId="0" borderId="0"/>
    <xf numFmtId="0" fontId="13" fillId="0" borderId="0"/>
    <xf numFmtId="0" fontId="13" fillId="0" borderId="0"/>
    <xf numFmtId="0" fontId="2" fillId="0" borderId="0"/>
    <xf numFmtId="0" fontId="11" fillId="0" borderId="0"/>
    <xf numFmtId="0" fontId="11" fillId="0" borderId="0"/>
    <xf numFmtId="0" fontId="11" fillId="0" borderId="0"/>
    <xf numFmtId="0" fontId="13" fillId="0" borderId="0"/>
    <xf numFmtId="0" fontId="12" fillId="0" borderId="0"/>
    <xf numFmtId="0" fontId="12" fillId="0" borderId="0"/>
    <xf numFmtId="0" fontId="13" fillId="0" borderId="0"/>
    <xf numFmtId="0" fontId="2" fillId="0" borderId="0"/>
    <xf numFmtId="0" fontId="2" fillId="0" borderId="0"/>
    <xf numFmtId="0" fontId="1" fillId="0" borderId="0"/>
    <xf numFmtId="0" fontId="13" fillId="0" borderId="0"/>
    <xf numFmtId="0" fontId="2" fillId="0" borderId="0"/>
    <xf numFmtId="0" fontId="2" fillId="12" borderId="23" applyNumberFormat="0" applyFont="0" applyAlignment="0" applyProtection="0"/>
    <xf numFmtId="0" fontId="2" fillId="12" borderId="23" applyNumberFormat="0" applyFont="0" applyAlignment="0" applyProtection="0"/>
    <xf numFmtId="0" fontId="2" fillId="12" borderId="23" applyNumberFormat="0" applyFont="0" applyAlignment="0" applyProtection="0"/>
    <xf numFmtId="0" fontId="2" fillId="12" borderId="23"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2" fillId="10" borderId="20" applyNumberFormat="0" applyAlignment="0" applyProtection="0"/>
    <xf numFmtId="0" fontId="22" fillId="10" borderId="20" applyNumberFormat="0" applyAlignment="0" applyProtection="0"/>
    <xf numFmtId="0" fontId="22" fillId="10" borderId="20" applyNumberFormat="0" applyAlignment="0" applyProtection="0"/>
    <xf numFmtId="0" fontId="22" fillId="10" borderId="20" applyNumberFormat="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4" fillId="0" borderId="16" applyNumberFormat="0" applyFill="0" applyAlignment="0" applyProtection="0"/>
    <xf numFmtId="0" fontId="24" fillId="0" borderId="16" applyNumberFormat="0" applyFill="0" applyAlignment="0" applyProtection="0"/>
    <xf numFmtId="0" fontId="24" fillId="0" borderId="16" applyNumberFormat="0" applyFill="0" applyAlignment="0" applyProtection="0"/>
    <xf numFmtId="0" fontId="24" fillId="0" borderId="16" applyNumberFormat="0" applyFill="0" applyAlignment="0" applyProtection="0"/>
    <xf numFmtId="0" fontId="25" fillId="0" borderId="17" applyNumberFormat="0" applyFill="0" applyAlignment="0" applyProtection="0"/>
    <xf numFmtId="0" fontId="25" fillId="0" borderId="17" applyNumberFormat="0" applyFill="0" applyAlignment="0" applyProtection="0"/>
    <xf numFmtId="0" fontId="25" fillId="0" borderId="17" applyNumberFormat="0" applyFill="0" applyAlignment="0" applyProtection="0"/>
    <xf numFmtId="0" fontId="25" fillId="0" borderId="17"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18" fillId="0" borderId="18" applyNumberFormat="0" applyFill="0" applyAlignment="0" applyProtection="0"/>
    <xf numFmtId="0" fontId="7" fillId="0" borderId="24" applyNumberFormat="0" applyFill="0" applyAlignment="0" applyProtection="0"/>
    <xf numFmtId="0" fontId="7" fillId="0" borderId="24" applyNumberFormat="0" applyFill="0" applyAlignment="0" applyProtection="0"/>
    <xf numFmtId="0" fontId="7" fillId="0" borderId="24" applyNumberFormat="0" applyFill="0" applyAlignment="0" applyProtection="0"/>
    <xf numFmtId="0" fontId="7" fillId="0" borderId="24" applyNumberFormat="0" applyFill="0" applyAlignment="0" applyProtection="0"/>
    <xf numFmtId="0" fontId="26" fillId="0" borderId="0"/>
    <xf numFmtId="169" fontId="27" fillId="0" borderId="0" applyFont="0" applyFill="0" applyBorder="0" applyAlignment="0" applyProtection="0"/>
  </cellStyleXfs>
  <cellXfs count="239">
    <xf numFmtId="0" fontId="0" fillId="0" borderId="0" xfId="0"/>
    <xf numFmtId="0" fontId="0" fillId="0" borderId="0" xfId="0" applyFont="1"/>
    <xf numFmtId="0" fontId="3" fillId="2" borderId="12" xfId="0" applyFont="1" applyFill="1" applyBorder="1" applyAlignment="1">
      <alignment horizontal="center" vertical="center"/>
    </xf>
    <xf numFmtId="0" fontId="3" fillId="2" borderId="12"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0" fillId="3" borderId="12" xfId="0" applyFont="1" applyFill="1" applyBorder="1" applyAlignment="1">
      <alignment horizontal="center" vertical="center"/>
    </xf>
    <xf numFmtId="9" fontId="0" fillId="0" borderId="0" xfId="1" applyFont="1"/>
    <xf numFmtId="0" fontId="3" fillId="2" borderId="10" xfId="0" applyFont="1" applyFill="1" applyBorder="1" applyAlignment="1">
      <alignment horizontal="center" vertical="center"/>
    </xf>
    <xf numFmtId="0" fontId="3" fillId="2" borderId="10" xfId="0" applyFont="1" applyFill="1" applyBorder="1" applyAlignment="1">
      <alignment horizontal="center" vertical="center" wrapText="1"/>
    </xf>
    <xf numFmtId="0" fontId="0" fillId="3" borderId="12"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0" fillId="3" borderId="0" xfId="0" applyFont="1" applyFill="1" applyBorder="1" applyAlignment="1">
      <alignment horizontal="center" vertical="center" wrapText="1"/>
    </xf>
    <xf numFmtId="0" fontId="0" fillId="3" borderId="9" xfId="0" applyFont="1" applyFill="1" applyBorder="1" applyAlignment="1">
      <alignment horizontal="center" vertical="center" wrapText="1"/>
    </xf>
    <xf numFmtId="0" fontId="0" fillId="3" borderId="4"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12" xfId="0" applyFont="1" applyFill="1" applyBorder="1" applyAlignment="1">
      <alignment horizontal="center" vertical="center"/>
    </xf>
    <xf numFmtId="9" fontId="5" fillId="3" borderId="12" xfId="0" applyNumberFormat="1" applyFont="1" applyFill="1" applyBorder="1" applyAlignment="1">
      <alignment horizontal="center" vertical="center"/>
    </xf>
    <xf numFmtId="167" fontId="5" fillId="3" borderId="12" xfId="0" applyNumberFormat="1" applyFont="1" applyFill="1" applyBorder="1" applyAlignment="1">
      <alignment horizontal="center" vertical="center"/>
    </xf>
    <xf numFmtId="0" fontId="0" fillId="3" borderId="10" xfId="0" applyFont="1" applyFill="1" applyBorder="1" applyAlignment="1">
      <alignment horizontal="center" vertical="center" wrapText="1"/>
    </xf>
    <xf numFmtId="0" fontId="0" fillId="3" borderId="0" xfId="0" applyFont="1" applyFill="1" applyAlignment="1">
      <alignment horizontal="center" vertical="center" wrapText="1"/>
    </xf>
    <xf numFmtId="0" fontId="0" fillId="3" borderId="12" xfId="0" applyFont="1" applyFill="1" applyBorder="1" applyAlignment="1">
      <alignment horizontal="center" vertical="center" wrapText="1"/>
    </xf>
    <xf numFmtId="0" fontId="0" fillId="0" borderId="4" xfId="0" applyBorder="1"/>
    <xf numFmtId="0" fontId="0" fillId="0" borderId="6" xfId="0" applyBorder="1"/>
    <xf numFmtId="0" fontId="0" fillId="0" borderId="12" xfId="0" applyBorder="1"/>
    <xf numFmtId="0" fontId="0" fillId="4" borderId="12" xfId="0" applyFill="1" applyBorder="1"/>
    <xf numFmtId="9" fontId="0" fillId="0" borderId="12" xfId="1" applyFont="1" applyBorder="1"/>
    <xf numFmtId="0" fontId="0" fillId="2" borderId="0" xfId="0" applyFill="1" applyBorder="1" applyAlignment="1">
      <alignment vertical="center"/>
    </xf>
    <xf numFmtId="0" fontId="0" fillId="2" borderId="0" xfId="0" applyFill="1" applyBorder="1" applyAlignment="1">
      <alignment horizontal="left" wrapText="1"/>
    </xf>
    <xf numFmtId="0" fontId="0" fillId="2" borderId="0" xfId="0" applyFill="1"/>
    <xf numFmtId="0" fontId="0" fillId="4" borderId="13" xfId="0" applyFill="1" applyBorder="1"/>
    <xf numFmtId="0" fontId="0" fillId="0" borderId="0" xfId="0" applyBorder="1"/>
    <xf numFmtId="0" fontId="7" fillId="0" borderId="12" xfId="0" applyFont="1" applyBorder="1" applyAlignment="1">
      <alignment vertical="center"/>
    </xf>
    <xf numFmtId="0" fontId="8" fillId="0" borderId="0" xfId="0" applyFont="1" applyFill="1" applyBorder="1"/>
    <xf numFmtId="0" fontId="0" fillId="0" borderId="5" xfId="0" applyBorder="1"/>
    <xf numFmtId="0" fontId="8" fillId="0" borderId="4" xfId="0" applyFont="1" applyFill="1" applyBorder="1"/>
    <xf numFmtId="0" fontId="0" fillId="0" borderId="8" xfId="0" applyBorder="1"/>
    <xf numFmtId="0" fontId="0" fillId="0" borderId="7" xfId="0" applyBorder="1"/>
    <xf numFmtId="2" fontId="0" fillId="2" borderId="0" xfId="0" applyNumberFormat="1" applyFill="1" applyBorder="1" applyAlignment="1">
      <alignment horizontal="left" wrapText="1"/>
    </xf>
    <xf numFmtId="2" fontId="3" fillId="2" borderId="12" xfId="0" applyNumberFormat="1" applyFont="1" applyFill="1" applyBorder="1" applyAlignment="1">
      <alignment horizontal="center" vertical="center" wrapText="1"/>
    </xf>
    <xf numFmtId="2" fontId="0" fillId="0" borderId="0" xfId="0" applyNumberFormat="1" applyBorder="1"/>
    <xf numFmtId="2" fontId="0" fillId="0" borderId="8" xfId="0" applyNumberFormat="1" applyBorder="1"/>
    <xf numFmtId="2" fontId="0" fillId="0" borderId="0" xfId="0" applyNumberFormat="1"/>
    <xf numFmtId="0" fontId="0" fillId="3" borderId="12"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2" xfId="0" applyFont="1" applyFill="1" applyBorder="1" applyAlignment="1">
      <alignment horizontal="center" vertical="center" wrapText="1"/>
    </xf>
    <xf numFmtId="9" fontId="0" fillId="0" borderId="12" xfId="1" applyFont="1" applyBorder="1" applyAlignment="1">
      <alignment horizontal="center"/>
    </xf>
    <xf numFmtId="0" fontId="0" fillId="0" borderId="0" xfId="0" applyBorder="1" applyAlignment="1">
      <alignment horizontal="center" vertical="center" wrapText="1"/>
    </xf>
    <xf numFmtId="0" fontId="0" fillId="0" borderId="5" xfId="0" applyBorder="1" applyAlignment="1">
      <alignment horizontal="center" vertical="center" wrapText="1"/>
    </xf>
    <xf numFmtId="9" fontId="0" fillId="0" borderId="0" xfId="1" applyFont="1" applyBorder="1" applyAlignment="1">
      <alignment horizontal="center"/>
    </xf>
    <xf numFmtId="0" fontId="0" fillId="0" borderId="4" xfId="0" applyFill="1" applyBorder="1"/>
    <xf numFmtId="165" fontId="0" fillId="0" borderId="0" xfId="2" applyFont="1" applyFill="1" applyBorder="1" applyAlignment="1">
      <alignment horizontal="right" vertical="center" wrapText="1"/>
    </xf>
    <xf numFmtId="9" fontId="7" fillId="0" borderId="0" xfId="1" applyFont="1" applyFill="1" applyBorder="1" applyAlignment="1">
      <alignment horizontal="center" vertical="center"/>
    </xf>
    <xf numFmtId="3" fontId="7" fillId="0" borderId="0" xfId="1" applyNumberFormat="1" applyFont="1" applyFill="1" applyBorder="1" applyAlignment="1">
      <alignment horizontal="center" vertical="center"/>
    </xf>
    <xf numFmtId="0" fontId="7" fillId="0" borderId="13" xfId="0" applyFont="1" applyBorder="1" applyAlignment="1">
      <alignment vertical="center"/>
    </xf>
    <xf numFmtId="164" fontId="0" fillId="0" borderId="12" xfId="2" applyNumberFormat="1" applyFont="1" applyFill="1" applyBorder="1" applyAlignment="1">
      <alignment horizontal="right" vertical="center" wrapText="1"/>
    </xf>
    <xf numFmtId="9" fontId="0" fillId="3" borderId="12" xfId="0" applyNumberFormat="1" applyFont="1" applyFill="1" applyBorder="1" applyAlignment="1">
      <alignment horizontal="center" vertical="center"/>
    </xf>
    <xf numFmtId="0" fontId="5" fillId="3" borderId="12" xfId="0" applyFont="1" applyFill="1" applyBorder="1" applyAlignment="1">
      <alignment horizontal="center" vertical="center" wrapText="1"/>
    </xf>
    <xf numFmtId="167" fontId="0" fillId="0" borderId="12" xfId="0" applyNumberFormat="1" applyBorder="1"/>
    <xf numFmtId="0" fontId="3" fillId="2" borderId="12" xfId="0" applyFont="1" applyFill="1" applyBorder="1" applyAlignment="1">
      <alignment horizontal="center" vertical="center"/>
    </xf>
    <xf numFmtId="0" fontId="3" fillId="2" borderId="12" xfId="0" applyFont="1" applyFill="1" applyBorder="1" applyAlignment="1">
      <alignment horizontal="center" vertical="center" wrapText="1"/>
    </xf>
    <xf numFmtId="1" fontId="0" fillId="0" borderId="12" xfId="0" applyNumberFormat="1" applyBorder="1" applyAlignment="1">
      <alignment horizontal="center"/>
    </xf>
    <xf numFmtId="1" fontId="0" fillId="0" borderId="0" xfId="0" applyNumberFormat="1" applyBorder="1" applyAlignment="1">
      <alignment horizontal="center"/>
    </xf>
    <xf numFmtId="9" fontId="0" fillId="0" borderId="0" xfId="1" applyFont="1" applyBorder="1"/>
    <xf numFmtId="9" fontId="5" fillId="3" borderId="12" xfId="1" applyFont="1" applyFill="1" applyBorder="1" applyAlignment="1">
      <alignment horizontal="center" vertical="center"/>
    </xf>
    <xf numFmtId="0" fontId="0" fillId="3"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168" fontId="0" fillId="0" borderId="12" xfId="3" applyNumberFormat="1" applyFont="1" applyBorder="1"/>
    <xf numFmtId="168" fontId="0" fillId="0" borderId="12" xfId="0" applyNumberFormat="1" applyBorder="1"/>
    <xf numFmtId="164" fontId="3" fillId="2" borderId="15" xfId="0" applyNumberFormat="1" applyFont="1" applyFill="1" applyBorder="1" applyAlignment="1">
      <alignment horizontal="center" vertical="center" wrapText="1"/>
    </xf>
    <xf numFmtId="164" fontId="0" fillId="3" borderId="12" xfId="0" applyNumberFormat="1" applyFont="1" applyFill="1" applyBorder="1" applyAlignment="1">
      <alignment horizontal="center" vertical="center"/>
    </xf>
    <xf numFmtId="0" fontId="5" fillId="3" borderId="0" xfId="0" applyFont="1" applyFill="1" applyAlignment="1">
      <alignment horizontal="center" vertical="center"/>
    </xf>
    <xf numFmtId="0" fontId="0" fillId="2" borderId="4" xfId="0" applyFill="1" applyBorder="1" applyAlignment="1">
      <alignment vertical="center"/>
    </xf>
    <xf numFmtId="0" fontId="0" fillId="2" borderId="0" xfId="0" applyFill="1" applyBorder="1"/>
    <xf numFmtId="0" fontId="0" fillId="2" borderId="5" xfId="0" applyFill="1" applyBorder="1"/>
    <xf numFmtId="165" fontId="0" fillId="0" borderId="0" xfId="0" applyNumberFormat="1"/>
    <xf numFmtId="164" fontId="0" fillId="0" borderId="0" xfId="0" applyNumberFormat="1" applyBorder="1" applyAlignment="1">
      <alignment horizontal="center" vertical="center" wrapText="1"/>
    </xf>
    <xf numFmtId="1" fontId="0" fillId="0" borderId="12" xfId="1" applyNumberFormat="1" applyFont="1" applyBorder="1" applyAlignment="1">
      <alignment horizontal="center"/>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0" fontId="0" fillId="3" borderId="12"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0" fontId="0" fillId="5" borderId="0" xfId="0" applyFont="1" applyFill="1"/>
    <xf numFmtId="0" fontId="0" fillId="5" borderId="0" xfId="0" applyFill="1"/>
    <xf numFmtId="49" fontId="0" fillId="3" borderId="12" xfId="0" applyNumberFormat="1" applyFont="1" applyFill="1" applyBorder="1" applyAlignment="1">
      <alignment horizontal="center" vertical="center"/>
    </xf>
    <xf numFmtId="167" fontId="0" fillId="3" borderId="12" xfId="0" applyNumberFormat="1" applyFont="1" applyFill="1" applyBorder="1" applyAlignment="1">
      <alignment horizontal="center" vertical="center"/>
    </xf>
    <xf numFmtId="0" fontId="0" fillId="3" borderId="12" xfId="0" applyFill="1" applyBorder="1" applyAlignment="1">
      <alignment horizontal="center" vertical="center"/>
    </xf>
    <xf numFmtId="9" fontId="0" fillId="3" borderId="12" xfId="0" applyNumberFormat="1" applyFill="1" applyBorder="1" applyAlignment="1">
      <alignment horizontal="center" vertical="center"/>
    </xf>
    <xf numFmtId="1" fontId="0" fillId="3" borderId="12" xfId="0" applyNumberFormat="1" applyFont="1" applyFill="1" applyBorder="1" applyAlignment="1">
      <alignment horizontal="center" vertical="center"/>
    </xf>
    <xf numFmtId="167" fontId="0" fillId="3" borderId="12" xfId="2" applyNumberFormat="1" applyFont="1" applyFill="1" applyBorder="1" applyAlignment="1">
      <alignment horizontal="center" vertical="center"/>
    </xf>
    <xf numFmtId="0" fontId="8" fillId="0" borderId="6" xfId="0" applyFont="1" applyFill="1" applyBorder="1"/>
    <xf numFmtId="0" fontId="3" fillId="2" borderId="13" xfId="0" applyFont="1" applyFill="1" applyBorder="1" applyAlignment="1">
      <alignment horizontal="center" vertical="center" wrapText="1"/>
    </xf>
    <xf numFmtId="168" fontId="2" fillId="0" borderId="12" xfId="132" applyNumberFormat="1" applyFont="1" applyBorder="1" applyProtection="1">
      <protection locked="0"/>
    </xf>
    <xf numFmtId="0" fontId="0" fillId="0" borderId="12" xfId="0" applyBorder="1" applyAlignment="1">
      <alignment horizontal="center"/>
    </xf>
    <xf numFmtId="0" fontId="0" fillId="0" borderId="12" xfId="0" applyBorder="1" applyAlignment="1">
      <alignment horizontal="center"/>
    </xf>
    <xf numFmtId="0" fontId="0" fillId="0" borderId="12" xfId="0" applyBorder="1" applyAlignment="1">
      <alignment horizontal="center"/>
    </xf>
    <xf numFmtId="0" fontId="3" fillId="2" borderId="10" xfId="0" applyFont="1" applyFill="1" applyBorder="1" applyAlignment="1">
      <alignment horizontal="center" vertical="center"/>
    </xf>
    <xf numFmtId="0" fontId="0" fillId="3" borderId="12" xfId="0" applyFont="1" applyFill="1" applyBorder="1" applyAlignment="1">
      <alignment horizontal="center" vertical="center" wrapText="1"/>
    </xf>
    <xf numFmtId="0" fontId="0" fillId="0" borderId="12" xfId="0" applyBorder="1" applyAlignment="1">
      <alignment horizontal="center"/>
    </xf>
    <xf numFmtId="168" fontId="0" fillId="0" borderId="0" xfId="0" applyNumberFormat="1"/>
    <xf numFmtId="0" fontId="7" fillId="0" borderId="4" xfId="0" applyFont="1" applyBorder="1" applyAlignment="1">
      <alignment vertical="center"/>
    </xf>
    <xf numFmtId="0" fontId="7" fillId="0" borderId="0" xfId="0" applyFont="1" applyAlignment="1">
      <alignment vertical="center"/>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0" fontId="5" fillId="0" borderId="12" xfId="0" applyFont="1" applyFill="1" applyBorder="1" applyAlignment="1">
      <alignment vertical="center" wrapText="1"/>
    </xf>
    <xf numFmtId="0" fontId="28" fillId="0" borderId="12" xfId="0" applyFont="1" applyFill="1" applyBorder="1" applyAlignment="1">
      <alignment vertical="center" wrapText="1"/>
    </xf>
    <xf numFmtId="0" fontId="29" fillId="0" borderId="0" xfId="0" applyFont="1"/>
    <xf numFmtId="0" fontId="0" fillId="0" borderId="12" xfId="0" applyBorder="1" applyAlignment="1">
      <alignment horizontal="center" vertical="center"/>
    </xf>
    <xf numFmtId="0" fontId="0" fillId="0" borderId="0" xfId="0" applyAlignment="1">
      <alignment horizontal="center" vertical="center"/>
    </xf>
    <xf numFmtId="0" fontId="0" fillId="5" borderId="0" xfId="0" applyFill="1" applyBorder="1"/>
    <xf numFmtId="0" fontId="0" fillId="5" borderId="5" xfId="0" applyFill="1" applyBorder="1"/>
    <xf numFmtId="0" fontId="7" fillId="0" borderId="0" xfId="0" applyFont="1" applyBorder="1" applyAlignment="1">
      <alignment vertical="center"/>
    </xf>
    <xf numFmtId="0" fontId="7" fillId="0" borderId="1" xfId="0" applyFont="1" applyBorder="1" applyAlignment="1">
      <alignment vertical="center"/>
    </xf>
    <xf numFmtId="0" fontId="0" fillId="5" borderId="8" xfId="0" applyFill="1" applyBorder="1"/>
    <xf numFmtId="0" fontId="0" fillId="5" borderId="7" xfId="0" applyFill="1" applyBorder="1"/>
    <xf numFmtId="0" fontId="3" fillId="2" borderId="12" xfId="0" applyFont="1" applyFill="1" applyBorder="1" applyAlignment="1">
      <alignment vertical="center" wrapText="1"/>
    </xf>
    <xf numFmtId="0" fontId="3" fillId="2" borderId="12" xfId="0" applyFont="1" applyFill="1" applyBorder="1" applyAlignment="1">
      <alignment horizontal="center" vertical="center" textRotation="45" wrapText="1"/>
    </xf>
    <xf numFmtId="0" fontId="3" fillId="2" borderId="12" xfId="0" applyFont="1" applyFill="1" applyBorder="1" applyAlignment="1">
      <alignment horizontal="center" vertical="center" wrapText="1"/>
    </xf>
    <xf numFmtId="0" fontId="3" fillId="2" borderId="12" xfId="0" applyFont="1" applyFill="1" applyBorder="1" applyAlignment="1">
      <alignment horizontal="center" vertical="center"/>
    </xf>
    <xf numFmtId="164" fontId="2" fillId="0" borderId="12" xfId="2" applyNumberFormat="1" applyFont="1" applyFill="1" applyBorder="1" applyAlignment="1">
      <alignment horizontal="center" vertical="center"/>
    </xf>
    <xf numFmtId="0" fontId="0" fillId="0" borderId="12" xfId="0" applyBorder="1" applyAlignment="1">
      <alignment horizontal="center"/>
    </xf>
    <xf numFmtId="0" fontId="5" fillId="0" borderId="12" xfId="0" applyFont="1" applyFill="1" applyBorder="1" applyAlignment="1">
      <alignment horizontal="center" vertical="center" wrapText="1"/>
    </xf>
    <xf numFmtId="0" fontId="9" fillId="0" borderId="12" xfId="0" applyFont="1" applyFill="1" applyBorder="1" applyAlignment="1">
      <alignmen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vertical="center" wrapText="1"/>
    </xf>
    <xf numFmtId="0" fontId="0" fillId="0" borderId="12" xfId="0" applyFont="1" applyBorder="1"/>
    <xf numFmtId="9" fontId="2" fillId="0" borderId="12" xfId="1" applyFont="1" applyBorder="1"/>
    <xf numFmtId="0" fontId="0" fillId="0" borderId="12" xfId="0" applyFont="1" applyFill="1" applyBorder="1"/>
    <xf numFmtId="9" fontId="2" fillId="0" borderId="12" xfId="1" applyFont="1" applyFill="1" applyBorder="1"/>
    <xf numFmtId="168" fontId="0" fillId="0" borderId="0" xfId="3" applyNumberFormat="1" applyFont="1" applyBorder="1"/>
    <xf numFmtId="9" fontId="7" fillId="0" borderId="15" xfId="1" applyFont="1" applyFill="1" applyBorder="1"/>
    <xf numFmtId="168" fontId="9" fillId="0" borderId="12" xfId="132" applyNumberFormat="1" applyFont="1" applyBorder="1"/>
    <xf numFmtId="168" fontId="9" fillId="0" borderId="12" xfId="132" applyNumberFormat="1" applyFont="1" applyFill="1" applyBorder="1"/>
    <xf numFmtId="168" fontId="31" fillId="0" borderId="12" xfId="132" applyNumberFormat="1" applyFont="1" applyFill="1" applyBorder="1"/>
    <xf numFmtId="168" fontId="31" fillId="0" borderId="12" xfId="132" applyNumberFormat="1" applyFont="1" applyBorder="1"/>
    <xf numFmtId="9" fontId="0" fillId="0" borderId="0" xfId="0" applyNumberFormat="1" applyBorder="1" applyAlignment="1">
      <alignment horizontal="center" vertical="center" wrapText="1"/>
    </xf>
    <xf numFmtId="9" fontId="0" fillId="0" borderId="5" xfId="0" applyNumberFormat="1" applyBorder="1" applyAlignment="1">
      <alignment horizontal="center" vertical="center" wrapText="1"/>
    </xf>
    <xf numFmtId="0" fontId="5" fillId="3" borderId="15"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6" fillId="0" borderId="12" xfId="0" applyFont="1" applyBorder="1" applyAlignment="1">
      <alignment horizontal="center" vertical="center"/>
    </xf>
    <xf numFmtId="0" fontId="3" fillId="2" borderId="12" xfId="0" applyFont="1" applyFill="1" applyBorder="1" applyAlignment="1">
      <alignment horizontal="center" vertical="center" wrapText="1"/>
    </xf>
    <xf numFmtId="0" fontId="9" fillId="3" borderId="12" xfId="0" applyFont="1" applyFill="1" applyBorder="1" applyAlignment="1">
      <alignment horizontal="left" vertical="center" wrapText="1"/>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3"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0"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3" fillId="2" borderId="13" xfId="0" applyFont="1" applyFill="1" applyBorder="1" applyAlignment="1">
      <alignment horizontal="center" vertical="center"/>
    </xf>
    <xf numFmtId="0" fontId="3" fillId="2" borderId="15" xfId="0" applyFont="1" applyFill="1" applyBorder="1" applyAlignment="1">
      <alignment horizontal="center" vertical="center"/>
    </xf>
    <xf numFmtId="0" fontId="3" fillId="2" borderId="14" xfId="0" applyFont="1" applyFill="1" applyBorder="1" applyAlignment="1">
      <alignment horizontal="center" vertical="center"/>
    </xf>
    <xf numFmtId="0" fontId="3" fillId="2" borderId="12" xfId="0" applyFont="1" applyFill="1" applyBorder="1" applyAlignment="1">
      <alignment horizontal="center" vertical="center"/>
    </xf>
    <xf numFmtId="0" fontId="0" fillId="3" borderId="12" xfId="0" applyFont="1" applyFill="1" applyBorder="1" applyAlignment="1">
      <alignment horizontal="center" vertical="center" wrapText="1"/>
    </xf>
    <xf numFmtId="0" fontId="0" fillId="3" borderId="9" xfId="0" applyFont="1" applyFill="1" applyBorder="1" applyAlignment="1">
      <alignment horizontal="center" vertical="center" wrapText="1"/>
    </xf>
    <xf numFmtId="0" fontId="0" fillId="3" borderId="11" xfId="0" applyFont="1" applyFill="1" applyBorder="1" applyAlignment="1">
      <alignment horizontal="center" vertical="center" wrapText="1"/>
    </xf>
    <xf numFmtId="0" fontId="0" fillId="3" borderId="10"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0" fillId="0" borderId="0" xfId="0" applyBorder="1" applyAlignment="1">
      <alignment horizontal="center" vertical="center" wrapText="1"/>
    </xf>
    <xf numFmtId="0" fontId="0" fillId="0" borderId="5" xfId="0" applyBorder="1" applyAlignment="1">
      <alignment horizontal="center" vertical="center" wrapText="1"/>
    </xf>
    <xf numFmtId="0" fontId="5" fillId="0" borderId="12" xfId="0" applyFont="1" applyFill="1"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2" borderId="14" xfId="0" applyFill="1" applyBorder="1" applyAlignment="1">
      <alignment horizontal="center"/>
    </xf>
    <xf numFmtId="0" fontId="0" fillId="0" borderId="12" xfId="0" applyBorder="1" applyAlignment="1">
      <alignment horizontal="center"/>
    </xf>
    <xf numFmtId="0" fontId="0" fillId="0" borderId="12" xfId="0" applyBorder="1" applyAlignment="1">
      <alignment horizontal="left"/>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0" fillId="0" borderId="1" xfId="0" applyBorder="1" applyAlignment="1">
      <alignment horizontal="left" wrapText="1"/>
    </xf>
    <xf numFmtId="0" fontId="0" fillId="0" borderId="3" xfId="0" applyBorder="1" applyAlignment="1">
      <alignment horizontal="left" wrapText="1"/>
    </xf>
    <xf numFmtId="0" fontId="0" fillId="0" borderId="2" xfId="0" applyBorder="1" applyAlignment="1">
      <alignment horizontal="left" wrapText="1"/>
    </xf>
    <xf numFmtId="0" fontId="0" fillId="0" borderId="6" xfId="0" applyBorder="1" applyAlignment="1">
      <alignment horizontal="left" wrapText="1"/>
    </xf>
    <xf numFmtId="0" fontId="0" fillId="0" borderId="8" xfId="0" applyBorder="1" applyAlignment="1">
      <alignment horizontal="left" wrapText="1"/>
    </xf>
    <xf numFmtId="0" fontId="0" fillId="0" borderId="7" xfId="0" applyBorder="1" applyAlignment="1">
      <alignment horizontal="left" wrapText="1"/>
    </xf>
    <xf numFmtId="0" fontId="5" fillId="0" borderId="1"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0" borderId="2" xfId="0" applyFont="1" applyFill="1" applyBorder="1" applyAlignment="1">
      <alignment horizontal="left" vertical="center" wrapText="1"/>
    </xf>
    <xf numFmtId="0" fontId="3" fillId="5" borderId="0"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0" fillId="0" borderId="9" xfId="0" applyBorder="1" applyAlignment="1">
      <alignment horizontal="left" vertical="center" wrapText="1"/>
    </xf>
    <xf numFmtId="0" fontId="0" fillId="0" borderId="11" xfId="0" applyBorder="1" applyAlignment="1">
      <alignment horizontal="left" vertical="center" wrapText="1"/>
    </xf>
    <xf numFmtId="0" fontId="0" fillId="0" borderId="10" xfId="0" applyBorder="1" applyAlignment="1">
      <alignment horizontal="left" vertical="center" wrapText="1"/>
    </xf>
    <xf numFmtId="0" fontId="0" fillId="2" borderId="12" xfId="0" applyFill="1" applyBorder="1" applyAlignment="1">
      <alignment horizontal="center"/>
    </xf>
    <xf numFmtId="0" fontId="7" fillId="0" borderId="12" xfId="0" applyFont="1" applyBorder="1" applyAlignment="1">
      <alignment horizontal="center" vertical="center"/>
    </xf>
    <xf numFmtId="0" fontId="0" fillId="0" borderId="12" xfId="0" applyBorder="1" applyAlignment="1">
      <alignment horizontal="left" vertical="center" wrapText="1"/>
    </xf>
    <xf numFmtId="0" fontId="0" fillId="4" borderId="13" xfId="0" applyFill="1" applyBorder="1" applyAlignment="1">
      <alignment horizontal="center" vertical="center" wrapText="1"/>
    </xf>
    <xf numFmtId="0" fontId="0" fillId="4" borderId="15" xfId="0" applyFill="1" applyBorder="1" applyAlignment="1">
      <alignment horizontal="center" vertical="center" wrapText="1"/>
    </xf>
    <xf numFmtId="0" fontId="0" fillId="4" borderId="14" xfId="0" applyFill="1" applyBorder="1" applyAlignment="1">
      <alignment horizontal="center" vertical="center" wrapText="1"/>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xf numFmtId="9" fontId="0" fillId="0" borderId="13" xfId="1" applyFont="1" applyBorder="1" applyAlignment="1">
      <alignment horizontal="center" vertical="center"/>
    </xf>
    <xf numFmtId="9" fontId="0" fillId="0" borderId="15" xfId="1" applyFont="1" applyBorder="1" applyAlignment="1">
      <alignment horizontal="center" vertical="center"/>
    </xf>
    <xf numFmtId="9" fontId="0" fillId="0" borderId="14" xfId="1" applyFont="1" applyBorder="1" applyAlignment="1">
      <alignment horizontal="center" vertical="center"/>
    </xf>
    <xf numFmtId="0" fontId="5" fillId="0" borderId="9"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10" xfId="0" applyBorder="1" applyAlignment="1">
      <alignment horizontal="center" vertical="center" wrapText="1"/>
    </xf>
    <xf numFmtId="0" fontId="7" fillId="0" borderId="3" xfId="0" applyFont="1" applyBorder="1" applyAlignment="1">
      <alignment horizontal="center" vertical="center"/>
    </xf>
    <xf numFmtId="0" fontId="0" fillId="2" borderId="9" xfId="0" applyFill="1" applyBorder="1" applyAlignment="1">
      <alignment horizontal="center"/>
    </xf>
    <xf numFmtId="0" fontId="0" fillId="2" borderId="11" xfId="0" applyFill="1" applyBorder="1" applyAlignment="1">
      <alignment horizontal="center"/>
    </xf>
    <xf numFmtId="0" fontId="0" fillId="2" borderId="10" xfId="0" applyFill="1" applyBorder="1" applyAlignment="1">
      <alignment horizontal="center"/>
    </xf>
    <xf numFmtId="0" fontId="5" fillId="0" borderId="9" xfId="0" applyFont="1" applyFill="1" applyBorder="1" applyAlignment="1">
      <alignment horizontal="center" vertical="top" wrapText="1"/>
    </xf>
    <xf numFmtId="0" fontId="5" fillId="0" borderId="11" xfId="0" applyFont="1" applyFill="1" applyBorder="1" applyAlignment="1">
      <alignment horizontal="center" vertical="top" wrapText="1"/>
    </xf>
    <xf numFmtId="0" fontId="5" fillId="0" borderId="10" xfId="0" applyFont="1" applyFill="1" applyBorder="1" applyAlignment="1">
      <alignment horizontal="center" vertical="top" wrapText="1"/>
    </xf>
    <xf numFmtId="0" fontId="0" fillId="0" borderId="12" xfId="0" applyBorder="1" applyAlignment="1">
      <alignment horizontal="left" wrapText="1"/>
    </xf>
    <xf numFmtId="0" fontId="0" fillId="0" borderId="12" xfId="0" applyBorder="1" applyAlignment="1">
      <alignment horizontal="center" wrapText="1"/>
    </xf>
    <xf numFmtId="167" fontId="0" fillId="0" borderId="13" xfId="1" applyNumberFormat="1" applyFont="1" applyBorder="1" applyAlignment="1">
      <alignment horizontal="center" vertical="center"/>
    </xf>
    <xf numFmtId="167" fontId="0" fillId="0" borderId="15" xfId="1" applyNumberFormat="1" applyFont="1" applyBorder="1" applyAlignment="1">
      <alignment horizontal="center" vertical="center"/>
    </xf>
    <xf numFmtId="167" fontId="0" fillId="0" borderId="14" xfId="1" applyNumberFormat="1" applyFont="1" applyBorder="1" applyAlignment="1">
      <alignment horizontal="center" vertical="center"/>
    </xf>
    <xf numFmtId="0" fontId="0" fillId="0" borderId="12" xfId="0" applyBorder="1" applyAlignment="1">
      <alignment horizontal="center" vertical="center"/>
    </xf>
    <xf numFmtId="0" fontId="30" fillId="2" borderId="1" xfId="0" applyFont="1" applyFill="1" applyBorder="1" applyAlignment="1">
      <alignment horizontal="center" vertical="center" wrapText="1"/>
    </xf>
    <xf numFmtId="0" fontId="30" fillId="2" borderId="3" xfId="0" applyFont="1" applyFill="1" applyBorder="1" applyAlignment="1">
      <alignment horizontal="center" vertical="center" wrapText="1"/>
    </xf>
    <xf numFmtId="0" fontId="30" fillId="2" borderId="2" xfId="0" applyFont="1" applyFill="1" applyBorder="1" applyAlignment="1">
      <alignment horizontal="center" vertical="center" wrapText="1"/>
    </xf>
    <xf numFmtId="9" fontId="0" fillId="0" borderId="0" xfId="1" applyFont="1" applyAlignment="1">
      <alignment vertical="center"/>
    </xf>
    <xf numFmtId="9" fontId="3" fillId="2" borderId="15" xfId="1" applyFont="1" applyFill="1" applyBorder="1" applyAlignment="1">
      <alignment vertical="center"/>
    </xf>
    <xf numFmtId="9" fontId="0" fillId="0" borderId="12" xfId="1" applyFont="1" applyBorder="1" applyAlignment="1">
      <alignment vertical="center"/>
    </xf>
    <xf numFmtId="170" fontId="0" fillId="0" borderId="12" xfId="3" applyNumberFormat="1" applyFont="1" applyBorder="1" applyAlignment="1">
      <alignment vertical="center"/>
    </xf>
    <xf numFmtId="168" fontId="0" fillId="0" borderId="12" xfId="3" applyNumberFormat="1" applyFont="1" applyBorder="1" applyAlignment="1">
      <alignment vertical="center"/>
    </xf>
  </cellXfs>
  <cellStyles count="204">
    <cellStyle name="20% - Énfasis1 2" xfId="8"/>
    <cellStyle name="20% - Énfasis1 3" xfId="9"/>
    <cellStyle name="20% - Énfasis1 4" xfId="10"/>
    <cellStyle name="20% - Énfasis1 5" xfId="7"/>
    <cellStyle name="20% - Énfasis2 2" xfId="12"/>
    <cellStyle name="20% - Énfasis2 3" xfId="13"/>
    <cellStyle name="20% - Énfasis2 4" xfId="14"/>
    <cellStyle name="20% - Énfasis2 5" xfId="11"/>
    <cellStyle name="20% - Énfasis3 2" xfId="16"/>
    <cellStyle name="20% - Énfasis3 3" xfId="17"/>
    <cellStyle name="20% - Énfasis3 4" xfId="18"/>
    <cellStyle name="20% - Énfasis3 5" xfId="15"/>
    <cellStyle name="20% - Énfasis4 2" xfId="20"/>
    <cellStyle name="20% - Énfasis4 3" xfId="21"/>
    <cellStyle name="20% - Énfasis4 4" xfId="22"/>
    <cellStyle name="20% - Énfasis4 5" xfId="19"/>
    <cellStyle name="20% - Énfasis5 2" xfId="24"/>
    <cellStyle name="20% - Énfasis5 3" xfId="25"/>
    <cellStyle name="20% - Énfasis5 4" xfId="26"/>
    <cellStyle name="20% - Énfasis5 5" xfId="23"/>
    <cellStyle name="20% - Énfasis6 2" xfId="28"/>
    <cellStyle name="20% - Énfasis6 3" xfId="29"/>
    <cellStyle name="20% - Énfasis6 4" xfId="30"/>
    <cellStyle name="20% - Énfasis6 5" xfId="27"/>
    <cellStyle name="40% - Énfasis1 2" xfId="32"/>
    <cellStyle name="40% - Énfasis1 3" xfId="33"/>
    <cellStyle name="40% - Énfasis1 4" xfId="34"/>
    <cellStyle name="40% - Énfasis1 5" xfId="31"/>
    <cellStyle name="40% - Énfasis2 2" xfId="36"/>
    <cellStyle name="40% - Énfasis2 3" xfId="37"/>
    <cellStyle name="40% - Énfasis2 4" xfId="38"/>
    <cellStyle name="40% - Énfasis2 5" xfId="35"/>
    <cellStyle name="40% - Énfasis3 2" xfId="40"/>
    <cellStyle name="40% - Énfasis3 3" xfId="41"/>
    <cellStyle name="40% - Énfasis3 4" xfId="42"/>
    <cellStyle name="40% - Énfasis3 5" xfId="39"/>
    <cellStyle name="40% - Énfasis4 2" xfId="44"/>
    <cellStyle name="40% - Énfasis4 3" xfId="45"/>
    <cellStyle name="40% - Énfasis4 4" xfId="46"/>
    <cellStyle name="40% - Énfasis4 5" xfId="43"/>
    <cellStyle name="40% - Énfasis5 2" xfId="48"/>
    <cellStyle name="40% - Énfasis5 3" xfId="49"/>
    <cellStyle name="40% - Énfasis5 4" xfId="50"/>
    <cellStyle name="40% - Énfasis5 5" xfId="47"/>
    <cellStyle name="40% - Énfasis6 2" xfId="52"/>
    <cellStyle name="40% - Énfasis6 3" xfId="53"/>
    <cellStyle name="40% - Énfasis6 4" xfId="54"/>
    <cellStyle name="40% - Énfasis6 5" xfId="51"/>
    <cellStyle name="60% - Énfasis1 2" xfId="56"/>
    <cellStyle name="60% - Énfasis1 3" xfId="57"/>
    <cellStyle name="60% - Énfasis1 4" xfId="58"/>
    <cellStyle name="60% - Énfasis1 5" xfId="55"/>
    <cellStyle name="60% - Énfasis2 2" xfId="60"/>
    <cellStyle name="60% - Énfasis2 3" xfId="61"/>
    <cellStyle name="60% - Énfasis2 4" xfId="62"/>
    <cellStyle name="60% - Énfasis2 5" xfId="59"/>
    <cellStyle name="60% - Énfasis3 2" xfId="64"/>
    <cellStyle name="60% - Énfasis3 3" xfId="65"/>
    <cellStyle name="60% - Énfasis3 4" xfId="66"/>
    <cellStyle name="60% - Énfasis3 5" xfId="63"/>
    <cellStyle name="60% - Énfasis4 2" xfId="68"/>
    <cellStyle name="60% - Énfasis4 3" xfId="69"/>
    <cellStyle name="60% - Énfasis4 4" xfId="70"/>
    <cellStyle name="60% - Énfasis4 5" xfId="67"/>
    <cellStyle name="60% - Énfasis5 2" xfId="72"/>
    <cellStyle name="60% - Énfasis5 3" xfId="73"/>
    <cellStyle name="60% - Énfasis5 4" xfId="74"/>
    <cellStyle name="60% - Énfasis5 5" xfId="71"/>
    <cellStyle name="60% - Énfasis6 2" xfId="76"/>
    <cellStyle name="60% - Énfasis6 3" xfId="77"/>
    <cellStyle name="60% - Énfasis6 4" xfId="78"/>
    <cellStyle name="60% - Énfasis6 5" xfId="75"/>
    <cellStyle name="Buena 2" xfId="80"/>
    <cellStyle name="Buena 3" xfId="81"/>
    <cellStyle name="Buena 4" xfId="82"/>
    <cellStyle name="Buena 5" xfId="79"/>
    <cellStyle name="Cálculo 2" xfId="84"/>
    <cellStyle name="Cálculo 3" xfId="85"/>
    <cellStyle name="Cálculo 4" xfId="86"/>
    <cellStyle name="Cálculo 5" xfId="83"/>
    <cellStyle name="Celda de comprobación 2" xfId="88"/>
    <cellStyle name="Celda de comprobación 3" xfId="89"/>
    <cellStyle name="Celda de comprobación 4" xfId="90"/>
    <cellStyle name="Celda de comprobación 5" xfId="87"/>
    <cellStyle name="Celda vinculada 2" xfId="92"/>
    <cellStyle name="Celda vinculada 3" xfId="93"/>
    <cellStyle name="Celda vinculada 4" xfId="94"/>
    <cellStyle name="Celda vinculada 5" xfId="91"/>
    <cellStyle name="Encabezado 4 2" xfId="96"/>
    <cellStyle name="Encabezado 4 3" xfId="97"/>
    <cellStyle name="Encabezado 4 4" xfId="98"/>
    <cellStyle name="Encabezado 4 5" xfId="95"/>
    <cellStyle name="Énfasis1 2" xfId="100"/>
    <cellStyle name="Énfasis1 3" xfId="101"/>
    <cellStyle name="Énfasis1 4" xfId="102"/>
    <cellStyle name="Énfasis1 5" xfId="99"/>
    <cellStyle name="Énfasis2 2" xfId="104"/>
    <cellStyle name="Énfasis2 3" xfId="105"/>
    <cellStyle name="Énfasis2 4" xfId="106"/>
    <cellStyle name="Énfasis2 5" xfId="103"/>
    <cellStyle name="Énfasis3 2" xfId="108"/>
    <cellStyle name="Énfasis3 3" xfId="109"/>
    <cellStyle name="Énfasis3 4" xfId="110"/>
    <cellStyle name="Énfasis3 5" xfId="107"/>
    <cellStyle name="Énfasis4 2" xfId="112"/>
    <cellStyle name="Énfasis4 3" xfId="113"/>
    <cellStyle name="Énfasis4 4" xfId="114"/>
    <cellStyle name="Énfasis4 5" xfId="111"/>
    <cellStyle name="Énfasis5 2" xfId="116"/>
    <cellStyle name="Énfasis5 3" xfId="117"/>
    <cellStyle name="Énfasis5 4" xfId="118"/>
    <cellStyle name="Énfasis5 5" xfId="115"/>
    <cellStyle name="Énfasis6 2" xfId="120"/>
    <cellStyle name="Énfasis6 3" xfId="121"/>
    <cellStyle name="Énfasis6 4" xfId="122"/>
    <cellStyle name="Énfasis6 5" xfId="119"/>
    <cellStyle name="Entrada 2" xfId="124"/>
    <cellStyle name="Entrada 3" xfId="125"/>
    <cellStyle name="Entrada 4" xfId="126"/>
    <cellStyle name="Entrada 5" xfId="123"/>
    <cellStyle name="Incorrecto 2" xfId="128"/>
    <cellStyle name="Incorrecto 3" xfId="129"/>
    <cellStyle name="Incorrecto 4" xfId="130"/>
    <cellStyle name="Incorrecto 5" xfId="127"/>
    <cellStyle name="Millares" xfId="3" builtinId="3"/>
    <cellStyle name="Millares 2" xfId="132"/>
    <cellStyle name="Millares 3" xfId="133"/>
    <cellStyle name="Millares 4" xfId="134"/>
    <cellStyle name="Millares 5" xfId="135"/>
    <cellStyle name="Millares 6" xfId="131"/>
    <cellStyle name="Millares 6 2" xfId="203"/>
    <cellStyle name="Moneda" xfId="2" builtinId="4"/>
    <cellStyle name="Moneda 2" xfId="137"/>
    <cellStyle name="Moneda 3" xfId="138"/>
    <cellStyle name="Moneda 4" xfId="139"/>
    <cellStyle name="Moneda 5" xfId="136"/>
    <cellStyle name="Neutral 2" xfId="141"/>
    <cellStyle name="Neutral 3" xfId="142"/>
    <cellStyle name="Neutral 4" xfId="143"/>
    <cellStyle name="Neutral 5" xfId="140"/>
    <cellStyle name="Normal" xfId="0" builtinId="0"/>
    <cellStyle name="Normal 10" xfId="144"/>
    <cellStyle name="Normal 10 2" xfId="202"/>
    <cellStyle name="Normal 11" xfId="6"/>
    <cellStyle name="Normal 12" xfId="5"/>
    <cellStyle name="Normal 2" xfId="145"/>
    <cellStyle name="Normal 2 2" xfId="146"/>
    <cellStyle name="Normal 2 2 2" xfId="147"/>
    <cellStyle name="Normal 2 2 3" xfId="148"/>
    <cellStyle name="Normal 2 3" xfId="149"/>
    <cellStyle name="Normal 2 4" xfId="150"/>
    <cellStyle name="Normal 2 5" xfId="151"/>
    <cellStyle name="Normal 2 5 2" xfId="152"/>
    <cellStyle name="Normal 2 6" xfId="153"/>
    <cellStyle name="Normal 2 7" xfId="154"/>
    <cellStyle name="Normal 3" xfId="155"/>
    <cellStyle name="Normal 3 2" xfId="156"/>
    <cellStyle name="Normal 3 3" xfId="157"/>
    <cellStyle name="Normal 4" xfId="158"/>
    <cellStyle name="Normal 5" xfId="159"/>
    <cellStyle name="Normal 6" xfId="160"/>
    <cellStyle name="Normal 6 2" xfId="161"/>
    <cellStyle name="Normal 7" xfId="162"/>
    <cellStyle name="Normal 8" xfId="163"/>
    <cellStyle name="Normal 8 2" xfId="164"/>
    <cellStyle name="Normal 9" xfId="165"/>
    <cellStyle name="Notas 2" xfId="167"/>
    <cellStyle name="Notas 3" xfId="168"/>
    <cellStyle name="Notas 4" xfId="169"/>
    <cellStyle name="Notas 5" xfId="166"/>
    <cellStyle name="Porcentaje" xfId="1" builtinId="5"/>
    <cellStyle name="Porcentaje 2" xfId="171"/>
    <cellStyle name="Porcentaje 3" xfId="172"/>
    <cellStyle name="Porcentaje 4" xfId="173"/>
    <cellStyle name="Porcentaje 5" xfId="170"/>
    <cellStyle name="Salida 2" xfId="175"/>
    <cellStyle name="Salida 3" xfId="176"/>
    <cellStyle name="Salida 4" xfId="177"/>
    <cellStyle name="Salida 5" xfId="174"/>
    <cellStyle name="Texto de advertencia 2" xfId="179"/>
    <cellStyle name="Texto de advertencia 3" xfId="180"/>
    <cellStyle name="Texto de advertencia 4" xfId="181"/>
    <cellStyle name="Texto de advertencia 5" xfId="178"/>
    <cellStyle name="Texto explicativo 2" xfId="183"/>
    <cellStyle name="Texto explicativo 3" xfId="184"/>
    <cellStyle name="Texto explicativo 4" xfId="185"/>
    <cellStyle name="Texto explicativo 5" xfId="182"/>
    <cellStyle name="Título" xfId="4" builtinId="15" customBuiltin="1"/>
    <cellStyle name="Título 1 2" xfId="187"/>
    <cellStyle name="Título 1 3" xfId="188"/>
    <cellStyle name="Título 1 4" xfId="189"/>
    <cellStyle name="Título 1 5" xfId="186"/>
    <cellStyle name="Título 2 2" xfId="191"/>
    <cellStyle name="Título 2 3" xfId="192"/>
    <cellStyle name="Título 2 4" xfId="193"/>
    <cellStyle name="Título 2 5" xfId="190"/>
    <cellStyle name="Título 3 2" xfId="195"/>
    <cellStyle name="Título 3 3" xfId="196"/>
    <cellStyle name="Título 3 4" xfId="197"/>
    <cellStyle name="Título 3 5" xfId="194"/>
    <cellStyle name="Total 2" xfId="199"/>
    <cellStyle name="Total 3" xfId="200"/>
    <cellStyle name="Total 4" xfId="201"/>
    <cellStyle name="Total 5" xfId="198"/>
  </cellStyles>
  <dxfs count="0"/>
  <tableStyles count="0" defaultTableStyle="TableStyleMedium2" defaultPivotStyle="PivotStyleLight16"/>
  <colors>
    <mruColors>
      <color rgb="FF00297A"/>
      <color rgb="FF002776"/>
      <color rgb="FF00133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de Ordenes de Compra Recibidas Completas</a:t>
            </a:r>
          </a:p>
        </c:rich>
      </c:tx>
      <c:layout/>
      <c:overlay val="0"/>
      <c:spPr>
        <a:noFill/>
        <a:ln>
          <a:noFill/>
        </a:ln>
        <a:effectLst/>
      </c:spPr>
    </c:title>
    <c:autoTitleDeleted val="0"/>
    <c:plotArea>
      <c:layout/>
      <c:lineChart>
        <c:grouping val="standard"/>
        <c:varyColors val="0"/>
        <c:ser>
          <c:idx val="0"/>
          <c:order val="0"/>
          <c:tx>
            <c:strRef>
              <c:f>'1'!$D$10</c:f>
              <c:strCache>
                <c:ptCount val="1"/>
                <c:pt idx="0">
                  <c:v>% de Cumplimiento (&gt;70%)</c:v>
                </c:pt>
              </c:strCache>
            </c:strRef>
          </c:tx>
          <c:spPr>
            <a:effectLst>
              <a:outerShdw blurRad="40000" dist="23000" dir="5400000" rotWithShape="0">
                <a:srgbClr val="000000">
                  <a:alpha val="35000"/>
                </a:srgbClr>
              </a:outerShdw>
            </a:effectLst>
          </c:spPr>
          <c:marker>
            <c:symbol val="none"/>
          </c:marker>
          <c:cat>
            <c:strRef>
              <c:f>'1'!$A$11:$A$22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'1'!$D$11:$D$22</c:f>
              <c:numCache>
                <c:formatCode>0%</c:formatCode>
                <c:ptCount val="12"/>
                <c:pt idx="0">
                  <c:v>0.95604395604395609</c:v>
                </c:pt>
                <c:pt idx="1">
                  <c:v>0.9770491803278688</c:v>
                </c:pt>
                <c:pt idx="2">
                  <c:v>0.97516930022573367</c:v>
                </c:pt>
                <c:pt idx="3">
                  <c:v>0.97947214076246336</c:v>
                </c:pt>
                <c:pt idx="4">
                  <c:v>0.97389033942558745</c:v>
                </c:pt>
                <c:pt idx="5">
                  <c:v>0.98750000000000004</c:v>
                </c:pt>
                <c:pt idx="6">
                  <c:v>0.98540145985401462</c:v>
                </c:pt>
                <c:pt idx="7">
                  <c:v>0.99052132701421802</c:v>
                </c:pt>
                <c:pt idx="8">
                  <c:v>0.97575757575757571</c:v>
                </c:pt>
                <c:pt idx="9">
                  <c:v>0.98198198198198194</c:v>
                </c:pt>
                <c:pt idx="10">
                  <c:v>0.95</c:v>
                </c:pt>
                <c:pt idx="11">
                  <c:v>0.91981132075471694</c:v>
                </c:pt>
              </c:numCache>
            </c:numRef>
          </c:val>
          <c:smooth val="0"/>
          <c:extLst xmlns:c16r2="http://schemas.microsoft.com/office/drawing/2015/06/chart">
            <c:ext xmlns:c16="http://schemas.microsoft.com/office/drawing/2014/chart" uri="{C3380CC4-5D6E-409C-BE32-E72D297353CC}">
              <c16:uniqueId val="{00000000-6F15-47AD-AC23-EC5F2E8AC9B0}"/>
            </c:ext>
          </c:extLst>
        </c:ser>
        <c:dLbls>
          <c:showLegendKey val="0"/>
          <c:showVal val="0"/>
          <c:showCatName val="0"/>
          <c:showSerName val="0"/>
          <c:showPercent val="0"/>
          <c:showBubbleSize val="0"/>
        </c:dLbls>
        <c:smooth val="0"/>
        <c:axId val="190960816"/>
        <c:axId val="190954936"/>
      </c:lineChart>
      <c:catAx>
        <c:axId val="19096081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0954936"/>
        <c:crosses val="autoZero"/>
        <c:auto val="1"/>
        <c:lblAlgn val="ctr"/>
        <c:lblOffset val="100"/>
        <c:noMultiLvlLbl val="0"/>
      </c:catAx>
      <c:valAx>
        <c:axId val="190954936"/>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0960816"/>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Incumplimiento de disponibilidad de dispositivos médicos</a:t>
            </a:r>
          </a:p>
        </c:rich>
      </c:tx>
      <c:layout/>
      <c:overlay val="0"/>
      <c:spPr>
        <a:noFill/>
        <a:ln>
          <a:noFill/>
        </a:ln>
        <a:effectLst/>
      </c:spPr>
    </c:title>
    <c:autoTitleDeleted val="0"/>
    <c:plotArea>
      <c:layout/>
      <c:lineChart>
        <c:grouping val="standard"/>
        <c:varyColors val="0"/>
        <c:ser>
          <c:idx val="0"/>
          <c:order val="0"/>
          <c:tx>
            <c:strRef>
              <c:f>'1'!$D$26</c:f>
              <c:strCache>
                <c:ptCount val="1"/>
                <c:pt idx="0">
                  <c:v>% Incumplimiento de disponibilidad de DM</c:v>
                </c:pt>
              </c:strCache>
            </c:strRef>
          </c:tx>
          <c:spPr>
            <a:effectLst>
              <a:outerShdw blurRad="40000" dist="23000" dir="5400000" rotWithShape="0">
                <a:srgbClr val="000000">
                  <a:alpha val="35000"/>
                </a:srgbClr>
              </a:outerShdw>
            </a:effectLst>
          </c:spPr>
          <c:marker>
            <c:symbol val="none"/>
          </c:marker>
          <c:cat>
            <c:strRef>
              <c:f>'1'!$A$27:$A$38</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'1'!$D$27:$D$38</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xmlns:c16r2="http://schemas.microsoft.com/office/drawing/2015/06/chart">
            <c:ext xmlns:c16="http://schemas.microsoft.com/office/drawing/2014/chart" uri="{C3380CC4-5D6E-409C-BE32-E72D297353CC}">
              <c16:uniqueId val="{00000000-82A7-4728-AD2A-2A71D93CA65B}"/>
            </c:ext>
          </c:extLst>
        </c:ser>
        <c:dLbls>
          <c:showLegendKey val="0"/>
          <c:showVal val="0"/>
          <c:showCatName val="0"/>
          <c:showSerName val="0"/>
          <c:showPercent val="0"/>
          <c:showBubbleSize val="0"/>
        </c:dLbls>
        <c:smooth val="0"/>
        <c:axId val="190959248"/>
        <c:axId val="190953368"/>
      </c:lineChart>
      <c:catAx>
        <c:axId val="19095924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0953368"/>
        <c:crosses val="autoZero"/>
        <c:auto val="1"/>
        <c:lblAlgn val="ctr"/>
        <c:lblOffset val="100"/>
        <c:noMultiLvlLbl val="0"/>
      </c:catAx>
      <c:valAx>
        <c:axId val="19095336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0959248"/>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Evaluaciones de Seguimiento</a:t>
            </a:r>
          </a:p>
        </c:rich>
      </c:tx>
      <c:layout/>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7215026701466294E-2"/>
          <c:y val="0.15890384239638294"/>
          <c:w val="0.8929207177767996"/>
          <c:h val="0.3886707973757933"/>
        </c:manualLayout>
      </c:layout>
      <c:bar3DChart>
        <c:barDir val="col"/>
        <c:grouping val="clustered"/>
        <c:varyColors val="0"/>
        <c:ser>
          <c:idx val="0"/>
          <c:order val="0"/>
          <c:tx>
            <c:strRef>
              <c:f>'2'!$B$10</c:f>
              <c:strCache>
                <c:ptCount val="1"/>
                <c:pt idx="0">
                  <c:v>Cumplimiento del servicio (&gt;4.0)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'2'!$B$11:$B$22</c:f>
              <c:numCache>
                <c:formatCode>0.0</c:formatCode>
                <c:ptCount val="12"/>
                <c:pt idx="0">
                  <c:v>4.8</c:v>
                </c:pt>
                <c:pt idx="1">
                  <c:v>4.7</c:v>
                </c:pt>
                <c:pt idx="2">
                  <c:v>4.4000000000000004</c:v>
                </c:pt>
                <c:pt idx="3">
                  <c:v>5</c:v>
                </c:pt>
                <c:pt idx="4">
                  <c:v>4.75</c:v>
                </c:pt>
                <c:pt idx="5">
                  <c:v>4.5</c:v>
                </c:pt>
                <c:pt idx="6">
                  <c:v>4.5</c:v>
                </c:pt>
                <c:pt idx="7">
                  <c:v>4.8</c:v>
                </c:pt>
                <c:pt idx="8">
                  <c:v>4.7</c:v>
                </c:pt>
                <c:pt idx="9">
                  <c:v>4.5</c:v>
                </c:pt>
                <c:pt idx="10">
                  <c:v>4.4000000000000004</c:v>
                </c:pt>
                <c:pt idx="11">
                  <c:v>4.8</c:v>
                </c:pt>
              </c:numCache>
            </c:numRef>
          </c:val>
          <c:extLst xmlns:c16r2="http://schemas.microsoft.com/office/drawing/2015/06/chart">
            <c:ext xmlns:c16="http://schemas.microsoft.com/office/drawing/2014/chart" uri="{C3380CC4-5D6E-409C-BE32-E72D297353CC}">
              <c16:uniqueId val="{00000000-0B7B-4C2E-AF05-10603F7AAE64}"/>
            </c:ext>
          </c:extLst>
        </c:ser>
        <c:ser>
          <c:idx val="1"/>
          <c:order val="1"/>
          <c:tx>
            <c:strRef>
              <c:f>'2'!$C$10</c:f>
              <c:strCache>
                <c:ptCount val="1"/>
                <c:pt idx="0">
                  <c:v>Condiciones del Material Utilizado (&gt;4.0)</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'2'!$C$11:$C$22</c:f>
              <c:numCache>
                <c:formatCode>0.0</c:formatCode>
                <c:ptCount val="12"/>
                <c:pt idx="0">
                  <c:v>4.7</c:v>
                </c:pt>
                <c:pt idx="1">
                  <c:v>4.8</c:v>
                </c:pt>
                <c:pt idx="2">
                  <c:v>4.5999999999999996</c:v>
                </c:pt>
                <c:pt idx="3">
                  <c:v>4.7</c:v>
                </c:pt>
                <c:pt idx="4">
                  <c:v>4.8</c:v>
                </c:pt>
                <c:pt idx="5">
                  <c:v>4.59</c:v>
                </c:pt>
                <c:pt idx="6">
                  <c:v>4.4000000000000004</c:v>
                </c:pt>
                <c:pt idx="7">
                  <c:v>4.7</c:v>
                </c:pt>
                <c:pt idx="8">
                  <c:v>4.8</c:v>
                </c:pt>
                <c:pt idx="9">
                  <c:v>4.4000000000000004</c:v>
                </c:pt>
                <c:pt idx="10">
                  <c:v>4.2</c:v>
                </c:pt>
                <c:pt idx="11">
                  <c:v>4.7</c:v>
                </c:pt>
              </c:numCache>
            </c:numRef>
          </c:val>
          <c:extLst xmlns:c16r2="http://schemas.microsoft.com/office/drawing/2015/06/chart">
            <c:ext xmlns:c16="http://schemas.microsoft.com/office/drawing/2014/chart" uri="{C3380CC4-5D6E-409C-BE32-E72D297353CC}">
              <c16:uniqueId val="{00000001-0B7B-4C2E-AF05-10603F7AAE64}"/>
            </c:ext>
          </c:extLst>
        </c:ser>
        <c:ser>
          <c:idx val="2"/>
          <c:order val="2"/>
          <c:tx>
            <c:strRef>
              <c:f>'2'!$D$10</c:f>
              <c:strCache>
                <c:ptCount val="1"/>
                <c:pt idx="0">
                  <c:v>Habilidad Soporte Técnico (&gt;4.0)</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'2'!$A$11:$A$22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'2'!$D$11:$D$22</c:f>
              <c:numCache>
                <c:formatCode>0.0</c:formatCode>
                <c:ptCount val="12"/>
                <c:pt idx="0">
                  <c:v>4.8</c:v>
                </c:pt>
                <c:pt idx="1">
                  <c:v>4.8</c:v>
                </c:pt>
                <c:pt idx="2">
                  <c:v>4.8</c:v>
                </c:pt>
                <c:pt idx="3">
                  <c:v>4.7</c:v>
                </c:pt>
                <c:pt idx="4">
                  <c:v>4.8</c:v>
                </c:pt>
                <c:pt idx="5">
                  <c:v>4.59</c:v>
                </c:pt>
                <c:pt idx="6">
                  <c:v>4.5</c:v>
                </c:pt>
                <c:pt idx="7">
                  <c:v>4.8</c:v>
                </c:pt>
                <c:pt idx="8">
                  <c:v>4.8</c:v>
                </c:pt>
                <c:pt idx="9">
                  <c:v>4.5666665999999996</c:v>
                </c:pt>
                <c:pt idx="10">
                  <c:v>4.3</c:v>
                </c:pt>
                <c:pt idx="11">
                  <c:v>4.9000000000000004</c:v>
                </c:pt>
              </c:numCache>
            </c:numRef>
          </c:val>
          <c:extLst xmlns:c16r2="http://schemas.microsoft.com/office/drawing/2015/06/chart">
            <c:ext xmlns:c16="http://schemas.microsoft.com/office/drawing/2014/chart" uri="{C3380CC4-5D6E-409C-BE32-E72D297353CC}">
              <c16:uniqueId val="{00000002-0B7B-4C2E-AF05-10603F7AAE64}"/>
            </c:ext>
          </c:extLst>
        </c:ser>
        <c:dLbls>
          <c:showLegendKey val="0"/>
          <c:showVal val="0"/>
          <c:showCatName val="0"/>
          <c:showSerName val="0"/>
          <c:showPercent val="0"/>
          <c:showBubbleSize val="0"/>
        </c:dLbls>
        <c:gapWidth val="150"/>
        <c:shape val="box"/>
        <c:axId val="190954152"/>
        <c:axId val="190959640"/>
        <c:axId val="0"/>
      </c:bar3DChart>
      <c:catAx>
        <c:axId val="19095415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0959640"/>
        <c:crosses val="autoZero"/>
        <c:auto val="1"/>
        <c:lblAlgn val="ctr"/>
        <c:lblOffset val="100"/>
        <c:noMultiLvlLbl val="0"/>
      </c:catAx>
      <c:valAx>
        <c:axId val="190959640"/>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095415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Atención de Quejas,</a:t>
            </a:r>
            <a:r>
              <a:rPr lang="en-US" baseline="0"/>
              <a:t> </a:t>
            </a:r>
            <a:r>
              <a:rPr lang="en-US"/>
              <a:t>Reclamos y/o Sugerencias</a:t>
            </a:r>
          </a:p>
        </c:rich>
      </c:tx>
      <c:layout/>
      <c:overlay val="0"/>
      <c:spPr>
        <a:noFill/>
        <a:ln>
          <a:noFill/>
        </a:ln>
        <a:effectLst/>
      </c:spPr>
    </c:title>
    <c:autoTitleDeleted val="0"/>
    <c:plotArea>
      <c:layout/>
      <c:lineChart>
        <c:grouping val="standard"/>
        <c:varyColors val="0"/>
        <c:ser>
          <c:idx val="0"/>
          <c:order val="0"/>
          <c:tx>
            <c:strRef>
              <c:f>'2'!$D$26</c:f>
              <c:strCache>
                <c:ptCount val="1"/>
                <c:pt idx="0">
                  <c:v>Porcentaje de atención de Quejas, Reclamos o sugerencias</c:v>
                </c:pt>
              </c:strCache>
            </c:strRef>
          </c:tx>
          <c:spPr>
            <a:effectLst>
              <a:outerShdw blurRad="40000" dist="23000" dir="5400000" rotWithShape="0">
                <a:srgbClr val="000000">
                  <a:alpha val="35000"/>
                </a:srgbClr>
              </a:outerShdw>
            </a:effectLst>
          </c:spPr>
          <c:marker>
            <c:symbol val="none"/>
          </c:marker>
          <c:cat>
            <c:strRef>
              <c:f>'2'!$A$27:$A$38</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'2'!$D$27:$D$38</c:f>
              <c:numCache>
                <c:formatCode>0%</c:formatCode>
                <c:ptCount val="12"/>
                <c:pt idx="0">
                  <c:v>0</c:v>
                </c:pt>
                <c:pt idx="1">
                  <c:v>0</c:v>
                </c:pt>
                <c:pt idx="2">
                  <c:v>1</c:v>
                </c:pt>
                <c:pt idx="3">
                  <c:v>0</c:v>
                </c:pt>
                <c:pt idx="4">
                  <c:v>0</c:v>
                </c:pt>
                <c:pt idx="5">
                  <c:v>0</c:v>
                </c:pt>
                <c:pt idx="6">
                  <c:v>0</c:v>
                </c:pt>
                <c:pt idx="7">
                  <c:v>0</c:v>
                </c:pt>
                <c:pt idx="8">
                  <c:v>0</c:v>
                </c:pt>
                <c:pt idx="9">
                  <c:v>0</c:v>
                </c:pt>
                <c:pt idx="10">
                  <c:v>0</c:v>
                </c:pt>
                <c:pt idx="11">
                  <c:v>0</c:v>
                </c:pt>
              </c:numCache>
            </c:numRef>
          </c:val>
          <c:smooth val="0"/>
          <c:extLst xmlns:c16r2="http://schemas.microsoft.com/office/drawing/2015/06/chart">
            <c:ext xmlns:c16="http://schemas.microsoft.com/office/drawing/2014/chart" uri="{C3380CC4-5D6E-409C-BE32-E72D297353CC}">
              <c16:uniqueId val="{00000000-A414-4539-9759-88A4264CAF88}"/>
            </c:ext>
          </c:extLst>
        </c:ser>
        <c:dLbls>
          <c:showLegendKey val="0"/>
          <c:showVal val="0"/>
          <c:showCatName val="0"/>
          <c:showSerName val="0"/>
          <c:showPercent val="0"/>
          <c:showBubbleSize val="0"/>
        </c:dLbls>
        <c:smooth val="0"/>
        <c:axId val="190956112"/>
        <c:axId val="190956504"/>
      </c:lineChart>
      <c:catAx>
        <c:axId val="19095611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0956504"/>
        <c:crosses val="autoZero"/>
        <c:auto val="1"/>
        <c:lblAlgn val="ctr"/>
        <c:lblOffset val="100"/>
        <c:noMultiLvlLbl val="0"/>
      </c:catAx>
      <c:valAx>
        <c:axId val="190956504"/>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0956112"/>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de Cumplimiento de Especificaciones Técnicas </a:t>
            </a:r>
          </a:p>
        </c:rich>
      </c:tx>
      <c:layout>
        <c:manualLayout>
          <c:xMode val="edge"/>
          <c:yMode val="edge"/>
          <c:x val="0.15446361595208721"/>
          <c:y val="3.8668111900035322E-2"/>
        </c:manualLayout>
      </c:layout>
      <c:overlay val="0"/>
      <c:spPr>
        <a:noFill/>
        <a:ln>
          <a:noFill/>
        </a:ln>
        <a:effectLst/>
      </c:spPr>
    </c:title>
    <c:autoTitleDeleted val="0"/>
    <c:plotArea>
      <c:layout/>
      <c:lineChart>
        <c:grouping val="standard"/>
        <c:varyColors val="0"/>
        <c:ser>
          <c:idx val="0"/>
          <c:order val="0"/>
          <c:tx>
            <c:strRef>
              <c:f>'3'!$D$10</c:f>
              <c:strCache>
                <c:ptCount val="1"/>
                <c:pt idx="0">
                  <c:v>% de Cumplimiento (100%)</c:v>
                </c:pt>
              </c:strCache>
            </c:strRef>
          </c:tx>
          <c:spPr>
            <a:effectLst>
              <a:outerShdw blurRad="40000" dist="23000" dir="5400000" rotWithShape="0">
                <a:srgbClr val="000000">
                  <a:alpha val="35000"/>
                </a:srgbClr>
              </a:outerShdw>
            </a:effectLst>
          </c:spPr>
          <c:marker>
            <c:symbol val="none"/>
          </c:marker>
          <c:cat>
            <c:strRef>
              <c:f>'3'!$A$11:$A$22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'3'!$D$11:$D$22</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xmlns:c16r2="http://schemas.microsoft.com/office/drawing/2015/06/chart">
            <c:ext xmlns:c16="http://schemas.microsoft.com/office/drawing/2014/chart" uri="{C3380CC4-5D6E-409C-BE32-E72D297353CC}">
              <c16:uniqueId val="{00000000-0E20-4D6B-B263-DE8D26369583}"/>
            </c:ext>
          </c:extLst>
        </c:ser>
        <c:dLbls>
          <c:showLegendKey val="0"/>
          <c:showVal val="0"/>
          <c:showCatName val="0"/>
          <c:showSerName val="0"/>
          <c:showPercent val="0"/>
          <c:showBubbleSize val="0"/>
        </c:dLbls>
        <c:smooth val="0"/>
        <c:axId val="190957288"/>
        <c:axId val="190957680"/>
      </c:lineChart>
      <c:catAx>
        <c:axId val="19095728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0957680"/>
        <c:crosses val="autoZero"/>
        <c:auto val="1"/>
        <c:lblAlgn val="ctr"/>
        <c:lblOffset val="100"/>
        <c:noMultiLvlLbl val="0"/>
      </c:catAx>
      <c:valAx>
        <c:axId val="19095768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0957288"/>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Reportes de Tecnovigilancia</a:t>
            </a:r>
          </a:p>
        </c:rich>
      </c:tx>
      <c:layout/>
      <c:overlay val="0"/>
      <c:spPr>
        <a:noFill/>
        <a:ln>
          <a:noFill/>
        </a:ln>
        <a:effectLst/>
      </c:spPr>
    </c:title>
    <c:autoTitleDeleted val="0"/>
    <c:plotArea>
      <c:layout/>
      <c:lineChart>
        <c:grouping val="standard"/>
        <c:varyColors val="0"/>
        <c:ser>
          <c:idx val="0"/>
          <c:order val="0"/>
          <c:tx>
            <c:strRef>
              <c:f>'3'!$D$26</c:f>
              <c:strCache>
                <c:ptCount val="1"/>
                <c:pt idx="0">
                  <c:v>% de Cumplimiento (100%)</c:v>
                </c:pt>
              </c:strCache>
            </c:strRef>
          </c:tx>
          <c:spPr>
            <a:effectLst>
              <a:outerShdw blurRad="40000" dist="23000" dir="5400000" rotWithShape="0">
                <a:srgbClr val="000000">
                  <a:alpha val="35000"/>
                </a:srgbClr>
              </a:outerShdw>
            </a:effectLst>
          </c:spPr>
          <c:marker>
            <c:symbol val="none"/>
          </c:marker>
          <c:cat>
            <c:strRef>
              <c:f>'3'!$A$27:$A$38</c:f>
              <c:strCache>
                <c:ptCount val="10"/>
                <c:pt idx="0">
                  <c:v>Enero - Marzo</c:v>
                </c:pt>
                <c:pt idx="3">
                  <c:v>Abril - Junio</c:v>
                </c:pt>
                <c:pt idx="6">
                  <c:v>Julio - Septiembre</c:v>
                </c:pt>
                <c:pt idx="9">
                  <c:v>Octubre - Dicembre</c:v>
                </c:pt>
              </c:strCache>
            </c:strRef>
          </c:cat>
          <c:val>
            <c:numRef>
              <c:f>'3'!$D$27:$D$38</c:f>
              <c:numCache>
                <c:formatCode>0%</c:formatCode>
                <c:ptCount val="12"/>
                <c:pt idx="0">
                  <c:v>0</c:v>
                </c:pt>
                <c:pt idx="3">
                  <c:v>0</c:v>
                </c:pt>
                <c:pt idx="6">
                  <c:v>0</c:v>
                </c:pt>
                <c:pt idx="9">
                  <c:v>0</c:v>
                </c:pt>
              </c:numCache>
            </c:numRef>
          </c:val>
          <c:smooth val="0"/>
          <c:extLst xmlns:c16r2="http://schemas.microsoft.com/office/drawing/2015/06/chart">
            <c:ext xmlns:c16="http://schemas.microsoft.com/office/drawing/2014/chart" uri="{C3380CC4-5D6E-409C-BE32-E72D297353CC}">
              <c16:uniqueId val="{00000000-6F84-4BC4-AA89-7A9F18E32039}"/>
            </c:ext>
          </c:extLst>
        </c:ser>
        <c:dLbls>
          <c:showLegendKey val="0"/>
          <c:showVal val="0"/>
          <c:showCatName val="0"/>
          <c:showSerName val="0"/>
          <c:showPercent val="0"/>
          <c:showBubbleSize val="0"/>
        </c:dLbls>
        <c:smooth val="0"/>
        <c:axId val="244531624"/>
        <c:axId val="244532016"/>
      </c:lineChart>
      <c:catAx>
        <c:axId val="244531624"/>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44532016"/>
        <c:crosses val="autoZero"/>
        <c:auto val="1"/>
        <c:lblAlgn val="ctr"/>
        <c:lblOffset val="100"/>
        <c:noMultiLvlLbl val="0"/>
      </c:catAx>
      <c:valAx>
        <c:axId val="244532016"/>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44531624"/>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Cierres</a:t>
            </a:r>
            <a:r>
              <a:rPr lang="es-CO" b="1" baseline="0"/>
              <a:t> de planes de Acción</a:t>
            </a:r>
            <a:r>
              <a:rPr lang="es-CO" b="1"/>
              <a:t>)</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'4'!$D$10</c:f>
              <c:strCache>
                <c:ptCount val="1"/>
                <c:pt idx="0">
                  <c:v>% de Cumplimiento (100%)</c:v>
                </c:pt>
              </c:strCache>
            </c:strRef>
          </c:tx>
          <c:spPr>
            <a:solidFill>
              <a:schemeClr val="accent1"/>
            </a:solidFill>
            <a:ln>
              <a:noFill/>
            </a:ln>
            <a:effectLst/>
            <a:sp3d/>
          </c:spPr>
          <c:invertIfNegative val="0"/>
          <c:cat>
            <c:strRef>
              <c:f>'4'!$A$11:$A$22</c:f>
              <c:strCache>
                <c:ptCount val="10"/>
                <c:pt idx="0">
                  <c:v>Enero - Marzo</c:v>
                </c:pt>
                <c:pt idx="3">
                  <c:v>Abril - Junio</c:v>
                </c:pt>
                <c:pt idx="6">
                  <c:v>Julio - Septiembre</c:v>
                </c:pt>
                <c:pt idx="9">
                  <c:v>Octubre - Diciembre</c:v>
                </c:pt>
              </c:strCache>
            </c:strRef>
          </c:cat>
          <c:val>
            <c:numRef>
              <c:f>'4'!$D$11:$D$22</c:f>
              <c:numCache>
                <c:formatCode>0%</c:formatCode>
                <c:ptCount val="12"/>
                <c:pt idx="0">
                  <c:v>1</c:v>
                </c:pt>
                <c:pt idx="3">
                  <c:v>1</c:v>
                </c:pt>
                <c:pt idx="6">
                  <c:v>0.81818181818181823</c:v>
                </c:pt>
                <c:pt idx="9">
                  <c:v>1</c:v>
                </c:pt>
              </c:numCache>
            </c:numRef>
          </c:val>
          <c:extLst xmlns:c16r2="http://schemas.microsoft.com/office/drawing/2015/06/chart">
            <c:ext xmlns:c16="http://schemas.microsoft.com/office/drawing/2014/chart" uri="{C3380CC4-5D6E-409C-BE32-E72D297353CC}">
              <c16:uniqueId val="{00000000-D865-400D-9A86-9A85A5ABC631}"/>
            </c:ext>
          </c:extLst>
        </c:ser>
        <c:dLbls>
          <c:showLegendKey val="0"/>
          <c:showVal val="0"/>
          <c:showCatName val="0"/>
          <c:showSerName val="0"/>
          <c:showPercent val="0"/>
          <c:showBubbleSize val="0"/>
        </c:dLbls>
        <c:gapWidth val="150"/>
        <c:shape val="box"/>
        <c:axId val="244532408"/>
        <c:axId val="244526528"/>
        <c:axId val="0"/>
      </c:bar3DChart>
      <c:catAx>
        <c:axId val="244532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4526528"/>
        <c:crosses val="autoZero"/>
        <c:auto val="1"/>
        <c:lblAlgn val="ctr"/>
        <c:lblOffset val="100"/>
        <c:noMultiLvlLbl val="0"/>
      </c:catAx>
      <c:valAx>
        <c:axId val="2445265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453240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Cumplimiento de Presupuesto</a:t>
            </a:r>
          </a:p>
        </c:rich>
      </c:tx>
      <c:overlay val="0"/>
      <c:spPr>
        <a:noFill/>
        <a:ln>
          <a:noFill/>
        </a:ln>
        <a:effectLst/>
      </c:spPr>
    </c:title>
    <c:autoTitleDeleted val="0"/>
    <c:plotArea>
      <c:layout/>
      <c:lineChart>
        <c:grouping val="standard"/>
        <c:varyColors val="0"/>
        <c:ser>
          <c:idx val="0"/>
          <c:order val="0"/>
          <c:tx>
            <c:strRef>
              <c:f>'5'!$D$10</c:f>
              <c:strCache>
                <c:ptCount val="1"/>
                <c:pt idx="0">
                  <c:v>% de Cumplimiento (&gt;90%)</c:v>
                </c:pt>
              </c:strCache>
            </c:strRef>
          </c:tx>
          <c:spPr>
            <a:effectLst>
              <a:outerShdw blurRad="40000" dist="23000" dir="5400000" rotWithShape="0">
                <a:srgbClr val="000000">
                  <a:alpha val="35000"/>
                </a:srgbClr>
              </a:outerShdw>
            </a:effectLst>
          </c:spPr>
          <c:marker>
            <c:symbol val="none"/>
          </c:marker>
          <c:cat>
            <c:strRef>
              <c:f>'5'!$A$11:$A$22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'5'!$D$11:$D$22</c:f>
              <c:numCache>
                <c:formatCode>0%</c:formatCode>
                <c:ptCount val="12"/>
                <c:pt idx="0">
                  <c:v>1.0394709388712757</c:v>
                </c:pt>
                <c:pt idx="1">
                  <c:v>1.2957935286801938</c:v>
                </c:pt>
                <c:pt idx="2">
                  <c:v>1.0316239444862203</c:v>
                </c:pt>
                <c:pt idx="3">
                  <c:v>0.96562587679880396</c:v>
                </c:pt>
                <c:pt idx="4">
                  <c:v>0.91303022473660633</c:v>
                </c:pt>
                <c:pt idx="5">
                  <c:v>1.1123367590299185</c:v>
                </c:pt>
                <c:pt idx="6">
                  <c:v>0.93308702815092215</c:v>
                </c:pt>
                <c:pt idx="7">
                  <c:v>0.89613564496144049</c:v>
                </c:pt>
                <c:pt idx="8">
                  <c:v>0.9240968620414719</c:v>
                </c:pt>
                <c:pt idx="9">
                  <c:v>0.80859627394639755</c:v>
                </c:pt>
                <c:pt idx="10">
                  <c:v>0.69418369787129286</c:v>
                </c:pt>
                <c:pt idx="11">
                  <c:v>0.80945856338098354</c:v>
                </c:pt>
              </c:numCache>
            </c:numRef>
          </c:val>
          <c:smooth val="0"/>
          <c:extLst xmlns:c16r2="http://schemas.microsoft.com/office/drawing/2015/06/chart">
            <c:ext xmlns:c16="http://schemas.microsoft.com/office/drawing/2014/chart" uri="{C3380CC4-5D6E-409C-BE32-E72D297353CC}">
              <c16:uniqueId val="{00000000-91E0-4DA0-8191-4C9F933E2F44}"/>
            </c:ext>
          </c:extLst>
        </c:ser>
        <c:dLbls>
          <c:showLegendKey val="0"/>
          <c:showVal val="0"/>
          <c:showCatName val="0"/>
          <c:showSerName val="0"/>
          <c:showPercent val="0"/>
          <c:showBubbleSize val="0"/>
        </c:dLbls>
        <c:smooth val="0"/>
        <c:axId val="244526920"/>
        <c:axId val="244532800"/>
      </c:lineChart>
      <c:catAx>
        <c:axId val="24452692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44532800"/>
        <c:crosses val="autoZero"/>
        <c:auto val="1"/>
        <c:lblAlgn val="ctr"/>
        <c:lblOffset val="100"/>
        <c:noMultiLvlLbl val="0"/>
      </c:catAx>
      <c:valAx>
        <c:axId val="24453280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44526920"/>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Utilidad Mensual</a:t>
            </a:r>
          </a:p>
        </c:rich>
      </c:tx>
      <c:overlay val="0"/>
      <c:spPr>
        <a:noFill/>
        <a:ln>
          <a:noFill/>
        </a:ln>
        <a:effectLst/>
      </c:spPr>
    </c:title>
    <c:autoTitleDeleted val="0"/>
    <c:plotArea>
      <c:layout/>
      <c:lineChart>
        <c:grouping val="standard"/>
        <c:varyColors val="0"/>
        <c:ser>
          <c:idx val="0"/>
          <c:order val="0"/>
          <c:tx>
            <c:strRef>
              <c:f>'5'!$E$26</c:f>
              <c:strCache>
                <c:ptCount val="1"/>
                <c:pt idx="0">
                  <c:v>Utilidad (&gt;1,000,000,000)</c:v>
                </c:pt>
              </c:strCache>
            </c:strRef>
          </c:tx>
          <c:spPr>
            <a:effectLst>
              <a:outerShdw blurRad="40000" dist="23000" dir="5400000" rotWithShape="0">
                <a:srgbClr val="000000">
                  <a:alpha val="35000"/>
                </a:srgbClr>
              </a:outerShdw>
            </a:effectLst>
          </c:spPr>
          <c:marker>
            <c:symbol val="none"/>
          </c:marker>
          <c:cat>
            <c:strRef>
              <c:f>'5'!$A$27:$A$38</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'5'!$E$27:$E$38</c:f>
              <c:numCache>
                <c:formatCode>_ * #,##0_ ;_ * \-#,##0_ ;_ * "-"??_ ;_ @_ </c:formatCode>
                <c:ptCount val="12"/>
                <c:pt idx="0">
                  <c:v>1699414984.74</c:v>
                </c:pt>
                <c:pt idx="1">
                  <c:v>928833194.24000001</c:v>
                </c:pt>
                <c:pt idx="2">
                  <c:v>1335875098.51</c:v>
                </c:pt>
                <c:pt idx="3">
                  <c:v>1180744620.74</c:v>
                </c:pt>
                <c:pt idx="4">
                  <c:v>1267717322.1899998</c:v>
                </c:pt>
                <c:pt idx="5">
                  <c:v>1285330740.9000001</c:v>
                </c:pt>
                <c:pt idx="6">
                  <c:v>1415896161.6300001</c:v>
                </c:pt>
                <c:pt idx="7">
                  <c:v>1146590825.9400001</c:v>
                </c:pt>
                <c:pt idx="8">
                  <c:v>1689272791.6200004</c:v>
                </c:pt>
                <c:pt idx="9">
                  <c:v>1395591226.4000001</c:v>
                </c:pt>
                <c:pt idx="10">
                  <c:v>1889652632.3500001</c:v>
                </c:pt>
                <c:pt idx="11">
                  <c:v>1630395501.1400001</c:v>
                </c:pt>
              </c:numCache>
            </c:numRef>
          </c:val>
          <c:smooth val="0"/>
          <c:extLst xmlns:c16r2="http://schemas.microsoft.com/office/drawing/2015/06/chart">
            <c:ext xmlns:c16="http://schemas.microsoft.com/office/drawing/2014/chart" uri="{C3380CC4-5D6E-409C-BE32-E72D297353CC}">
              <c16:uniqueId val="{00000000-1EA2-4284-8007-636B9C51C9C7}"/>
            </c:ext>
          </c:extLst>
        </c:ser>
        <c:dLbls>
          <c:showLegendKey val="0"/>
          <c:showVal val="0"/>
          <c:showCatName val="0"/>
          <c:showSerName val="0"/>
          <c:showPercent val="0"/>
          <c:showBubbleSize val="0"/>
        </c:dLbls>
        <c:smooth val="0"/>
        <c:axId val="244527312"/>
        <c:axId val="244530056"/>
      </c:lineChart>
      <c:catAx>
        <c:axId val="24452731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44530056"/>
        <c:crosses val="autoZero"/>
        <c:auto val="1"/>
        <c:lblAlgn val="ctr"/>
        <c:lblOffset val="100"/>
        <c:noMultiLvlLbl val="0"/>
      </c:catAx>
      <c:valAx>
        <c:axId val="244530056"/>
        <c:scaling>
          <c:orientation val="minMax"/>
        </c:scaling>
        <c:delete val="0"/>
        <c:axPos val="l"/>
        <c:majorGridlines>
          <c:spPr>
            <a:ln w="9525" cap="flat" cmpd="sng" algn="ctr">
              <a:solidFill>
                <a:schemeClr val="tx2">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44527312"/>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Cumplimiento de Facturación y Radicado</a:t>
            </a:r>
          </a:p>
        </c:rich>
      </c:tx>
      <c:overlay val="0"/>
      <c:spPr>
        <a:noFill/>
        <a:ln>
          <a:noFill/>
        </a:ln>
        <a:effectLst/>
      </c:sp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'5'!$E$42</c:f>
              <c:strCache>
                <c:ptCount val="1"/>
                <c:pt idx="0">
                  <c:v>% de cumplimiento de facturación (&gt;90%)</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invertIfNegative val="0"/>
          <c:cat>
            <c:strRef>
              <c:f>'5'!$A$43:$A$54</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'5'!$E$43:$E$54</c:f>
              <c:numCache>
                <c:formatCode>0%</c:formatCode>
                <c:ptCount val="12"/>
                <c:pt idx="0">
                  <c:v>1.2051101091067276</c:v>
                </c:pt>
                <c:pt idx="1">
                  <c:v>0.86518895997152079</c:v>
                </c:pt>
                <c:pt idx="2">
                  <c:v>1.0557841307849671</c:v>
                </c:pt>
                <c:pt idx="3">
                  <c:v>0.95591992415911597</c:v>
                </c:pt>
                <c:pt idx="4">
                  <c:v>0.92793283912951119</c:v>
                </c:pt>
                <c:pt idx="5">
                  <c:v>0.99433295831265256</c:v>
                </c:pt>
                <c:pt idx="6">
                  <c:v>1.0224114608801209</c:v>
                </c:pt>
                <c:pt idx="7">
                  <c:v>0.90685597603273027</c:v>
                </c:pt>
                <c:pt idx="8">
                  <c:v>0.99864694267788123</c:v>
                </c:pt>
                <c:pt idx="9">
                  <c:v>0.91756689023778526</c:v>
                </c:pt>
                <c:pt idx="10">
                  <c:v>1.1142610264120063</c:v>
                </c:pt>
                <c:pt idx="11">
                  <c:v>1.0248274947755514</c:v>
                </c:pt>
              </c:numCache>
            </c:numRef>
          </c:val>
          <c:extLst xmlns:c16r2="http://schemas.microsoft.com/office/drawing/2015/06/chart">
            <c:ext xmlns:c16="http://schemas.microsoft.com/office/drawing/2014/chart" uri="{C3380CC4-5D6E-409C-BE32-E72D297353CC}">
              <c16:uniqueId val="{00000000-622A-4CAD-ADAF-1C31F48234DC}"/>
            </c:ext>
          </c:extLst>
        </c:ser>
        <c:ser>
          <c:idx val="1"/>
          <c:order val="1"/>
          <c:tx>
            <c:strRef>
              <c:f>'5'!$F$42</c:f>
              <c:strCache>
                <c:ptCount val="1"/>
                <c:pt idx="0">
                  <c:v>% de cumplimiento de radicado (&gt;95%)</c:v>
                </c:pt>
              </c:strCache>
            </c:strRef>
          </c:tx>
          <c:spPr>
            <a:solidFill>
              <a:schemeClr val="tx2">
                <a:lumMod val="75000"/>
              </a:schemeClr>
            </a:solidFill>
            <a:ln>
              <a:noFill/>
            </a:ln>
            <a:effectLst>
              <a:outerShdw blurRad="40000" dist="23000" dir="5400000" rotWithShape="0">
                <a:srgbClr val="000000">
                  <a:alpha val="35000"/>
                </a:srgbClr>
              </a:outerShdw>
            </a:effectLst>
            <a:sp3d/>
          </c:spPr>
          <c:invertIfNegative val="0"/>
          <c:cat>
            <c:strRef>
              <c:f>'5'!$A$43:$A$54</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'5'!$F$43:$F$54</c:f>
              <c:numCache>
                <c:formatCode>0%</c:formatCode>
                <c:ptCount val="12"/>
                <c:pt idx="0">
                  <c:v>0.94308749808569881</c:v>
                </c:pt>
                <c:pt idx="1">
                  <c:v>0.91264951433113795</c:v>
                </c:pt>
                <c:pt idx="2">
                  <c:v>0.80070660945809125</c:v>
                </c:pt>
                <c:pt idx="3">
                  <c:v>0.97321754206215683</c:v>
                </c:pt>
                <c:pt idx="4">
                  <c:v>0.99684597600730473</c:v>
                </c:pt>
                <c:pt idx="5">
                  <c:v>1</c:v>
                </c:pt>
                <c:pt idx="6">
                  <c:v>1</c:v>
                </c:pt>
                <c:pt idx="7">
                  <c:v>1</c:v>
                </c:pt>
                <c:pt idx="8">
                  <c:v>1</c:v>
                </c:pt>
                <c:pt idx="9">
                  <c:v>1</c:v>
                </c:pt>
                <c:pt idx="10">
                  <c:v>1</c:v>
                </c:pt>
                <c:pt idx="11">
                  <c:v>0.94606479089531237</c:v>
                </c:pt>
              </c:numCache>
            </c:numRef>
          </c:val>
          <c:extLst xmlns:c16r2="http://schemas.microsoft.com/office/drawing/2015/06/chart">
            <c:ext xmlns:c16="http://schemas.microsoft.com/office/drawing/2014/chart" uri="{C3380CC4-5D6E-409C-BE32-E72D297353CC}">
              <c16:uniqueId val="{00000001-622A-4CAD-ADAF-1C31F48234DC}"/>
            </c:ext>
          </c:extLst>
        </c:ser>
        <c:dLbls>
          <c:showLegendKey val="0"/>
          <c:showVal val="0"/>
          <c:showCatName val="0"/>
          <c:showSerName val="0"/>
          <c:showPercent val="0"/>
          <c:showBubbleSize val="0"/>
        </c:dLbls>
        <c:gapWidth val="150"/>
        <c:shape val="box"/>
        <c:axId val="244531232"/>
        <c:axId val="244528096"/>
        <c:axId val="0"/>
      </c:bar3DChart>
      <c:catAx>
        <c:axId val="244531232"/>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44528096"/>
        <c:crosses val="autoZero"/>
        <c:auto val="1"/>
        <c:lblAlgn val="ctr"/>
        <c:lblOffset val="100"/>
        <c:noMultiLvlLbl val="0"/>
      </c:catAx>
      <c:valAx>
        <c:axId val="244528096"/>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44531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a:t>
            </a:r>
            <a:r>
              <a:rPr lang="en-US" baseline="0"/>
              <a:t> </a:t>
            </a:r>
            <a:r>
              <a:rPr lang="en-US"/>
              <a:t>Facturas Anuladas</a:t>
            </a:r>
          </a:p>
        </c:rich>
      </c:tx>
      <c:layout/>
      <c:overlay val="0"/>
      <c:spPr>
        <a:noFill/>
        <a:ln>
          <a:noFill/>
        </a:ln>
        <a:effectLst/>
      </c:spPr>
    </c:title>
    <c:autoTitleDeleted val="0"/>
    <c:plotArea>
      <c:layout/>
      <c:lineChart>
        <c:grouping val="standard"/>
        <c:varyColors val="0"/>
        <c:ser>
          <c:idx val="0"/>
          <c:order val="0"/>
          <c:tx>
            <c:strRef>
              <c:f>'5'!$D$74</c:f>
              <c:strCache>
                <c:ptCount val="1"/>
                <c:pt idx="0">
                  <c:v>% de Cumplimiento (&lt;5%)</c:v>
                </c:pt>
              </c:strCache>
            </c:strRef>
          </c:tx>
          <c:spPr>
            <a:effectLst>
              <a:outerShdw blurRad="40000" dist="23000" dir="5400000" rotWithShape="0">
                <a:srgbClr val="000000">
                  <a:alpha val="35000"/>
                </a:srgbClr>
              </a:outerShdw>
            </a:effectLst>
          </c:spPr>
          <c:marker>
            <c:symbol val="none"/>
          </c:marker>
          <c:cat>
            <c:strRef>
              <c:f>'5'!$A$75:$A$86</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'5'!$D$75:$D$86</c:f>
              <c:numCache>
                <c:formatCode>0%</c:formatCode>
                <c:ptCount val="12"/>
                <c:pt idx="0">
                  <c:v>1.2664393570384803E-2</c:v>
                </c:pt>
                <c:pt idx="1">
                  <c:v>9.5563139931740607E-3</c:v>
                </c:pt>
                <c:pt idx="2">
                  <c:v>1.2086513994910942E-2</c:v>
                </c:pt>
                <c:pt idx="3">
                  <c:v>8.744038155802861E-3</c:v>
                </c:pt>
                <c:pt idx="4">
                  <c:v>4.3936731107205628E-3</c:v>
                </c:pt>
                <c:pt idx="5">
                  <c:v>1.5993907083015995E-2</c:v>
                </c:pt>
                <c:pt idx="6">
                  <c:v>1.1041009463722398E-2</c:v>
                </c:pt>
                <c:pt idx="7">
                  <c:v>9.3062605752961079E-3</c:v>
                </c:pt>
                <c:pt idx="8">
                  <c:v>9.0027700831024939E-3</c:v>
                </c:pt>
                <c:pt idx="9">
                  <c:v>1.3127413127413128E-2</c:v>
                </c:pt>
                <c:pt idx="10">
                  <c:v>1.098901098901099E-2</c:v>
                </c:pt>
                <c:pt idx="11">
                  <c:v>1.4788732394366197E-2</c:v>
                </c:pt>
              </c:numCache>
            </c:numRef>
          </c:val>
          <c:smooth val="0"/>
          <c:extLst xmlns:c16r2="http://schemas.microsoft.com/office/drawing/2015/06/chart">
            <c:ext xmlns:c16="http://schemas.microsoft.com/office/drawing/2014/chart" uri="{C3380CC4-5D6E-409C-BE32-E72D297353CC}">
              <c16:uniqueId val="{00000000-7CEB-40F6-BC6A-4FF7983A306C}"/>
            </c:ext>
          </c:extLst>
        </c:ser>
        <c:dLbls>
          <c:showLegendKey val="0"/>
          <c:showVal val="0"/>
          <c:showCatName val="0"/>
          <c:showSerName val="0"/>
          <c:showPercent val="0"/>
          <c:showBubbleSize val="0"/>
        </c:dLbls>
        <c:smooth val="0"/>
        <c:axId val="244528488"/>
        <c:axId val="244528880"/>
      </c:lineChart>
      <c:catAx>
        <c:axId val="24452848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44528880"/>
        <c:crosses val="autoZero"/>
        <c:auto val="1"/>
        <c:lblAlgn val="ctr"/>
        <c:lblOffset val="100"/>
        <c:noMultiLvlLbl val="0"/>
      </c:catAx>
      <c:valAx>
        <c:axId val="244528880"/>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44528488"/>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 Facturas Glosadas</a:t>
            </a:r>
            <a:r>
              <a:rPr lang="en-US" baseline="0"/>
              <a:t> por EPS</a:t>
            </a:r>
            <a:endParaRPr lang="en-US"/>
          </a:p>
        </c:rich>
      </c:tx>
      <c:layout/>
      <c:overlay val="0"/>
      <c:spPr>
        <a:noFill/>
        <a:ln>
          <a:noFill/>
        </a:ln>
        <a:effectLst/>
      </c:spPr>
    </c:title>
    <c:autoTitleDeleted val="0"/>
    <c:plotArea>
      <c:layout/>
      <c:lineChart>
        <c:grouping val="standard"/>
        <c:varyColors val="0"/>
        <c:ser>
          <c:idx val="0"/>
          <c:order val="0"/>
          <c:tx>
            <c:strRef>
              <c:f>'5'!$D$90</c:f>
              <c:strCache>
                <c:ptCount val="1"/>
                <c:pt idx="0">
                  <c:v>% de Cumplimiento (&lt;30%)</c:v>
                </c:pt>
              </c:strCache>
            </c:strRef>
          </c:tx>
          <c:spPr>
            <a:effectLst>
              <a:outerShdw blurRad="40000" dist="23000" dir="5400000" rotWithShape="0">
                <a:srgbClr val="000000">
                  <a:alpha val="35000"/>
                </a:srgbClr>
              </a:outerShdw>
            </a:effectLst>
          </c:spPr>
          <c:marker>
            <c:symbol val="none"/>
          </c:marker>
          <c:cat>
            <c:strRef>
              <c:f>'5'!$A$91:$A$102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'5'!$D$91:$D$102</c:f>
              <c:numCache>
                <c:formatCode>0%</c:formatCode>
                <c:ptCount val="12"/>
                <c:pt idx="0">
                  <c:v>0</c:v>
                </c:pt>
                <c:pt idx="1">
                  <c:v>0</c:v>
                </c:pt>
                <c:pt idx="2">
                  <c:v>0</c:v>
                </c:pt>
                <c:pt idx="3">
                  <c:v>0</c:v>
                </c:pt>
                <c:pt idx="4">
                  <c:v>0</c:v>
                </c:pt>
                <c:pt idx="5">
                  <c:v>0</c:v>
                </c:pt>
                <c:pt idx="6">
                  <c:v>0</c:v>
                </c:pt>
                <c:pt idx="7">
                  <c:v>0</c:v>
                </c:pt>
                <c:pt idx="8">
                  <c:v>2.0775623268698062E-3</c:v>
                </c:pt>
                <c:pt idx="9">
                  <c:v>0</c:v>
                </c:pt>
                <c:pt idx="10">
                  <c:v>0</c:v>
                </c:pt>
                <c:pt idx="11">
                  <c:v>0</c:v>
                </c:pt>
              </c:numCache>
            </c:numRef>
          </c:val>
          <c:smooth val="0"/>
          <c:extLst xmlns:c16r2="http://schemas.microsoft.com/office/drawing/2015/06/chart">
            <c:ext xmlns:c16="http://schemas.microsoft.com/office/drawing/2014/chart" uri="{C3380CC4-5D6E-409C-BE32-E72D297353CC}">
              <c16:uniqueId val="{00000000-38BC-4E6D-ACB4-09A7F509E40F}"/>
            </c:ext>
          </c:extLst>
        </c:ser>
        <c:dLbls>
          <c:showLegendKey val="0"/>
          <c:showVal val="0"/>
          <c:showCatName val="0"/>
          <c:showSerName val="0"/>
          <c:showPercent val="0"/>
          <c:showBubbleSize val="0"/>
        </c:dLbls>
        <c:smooth val="0"/>
        <c:axId val="244530840"/>
        <c:axId val="190958072"/>
      </c:lineChart>
      <c:catAx>
        <c:axId val="24453084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0958072"/>
        <c:crosses val="autoZero"/>
        <c:auto val="1"/>
        <c:lblAlgn val="ctr"/>
        <c:lblOffset val="100"/>
        <c:noMultiLvlLbl val="0"/>
      </c:catAx>
      <c:valAx>
        <c:axId val="190958072"/>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44530840"/>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a:t>
            </a:r>
            <a:r>
              <a:rPr lang="en-US" baseline="0"/>
              <a:t> Cotizaciones Facturadas</a:t>
            </a:r>
            <a:endParaRPr lang="en-US"/>
          </a:p>
        </c:rich>
      </c:tx>
      <c:layout/>
      <c:overlay val="0"/>
      <c:spPr>
        <a:noFill/>
        <a:ln>
          <a:noFill/>
        </a:ln>
        <a:effectLst/>
      </c:spPr>
    </c:title>
    <c:autoTitleDeleted val="0"/>
    <c:plotArea>
      <c:layout/>
      <c:lineChart>
        <c:grouping val="standard"/>
        <c:varyColors val="0"/>
        <c:ser>
          <c:idx val="0"/>
          <c:order val="0"/>
          <c:tx>
            <c:strRef>
              <c:f>'5'!$D$74</c:f>
              <c:strCache>
                <c:ptCount val="1"/>
                <c:pt idx="0">
                  <c:v>% de Cumplimiento (&lt;5%)</c:v>
                </c:pt>
              </c:strCache>
            </c:strRef>
          </c:tx>
          <c:spPr>
            <a:effectLst>
              <a:outerShdw blurRad="40000" dist="23000" dir="5400000" rotWithShape="0">
                <a:srgbClr val="000000">
                  <a:alpha val="35000"/>
                </a:srgbClr>
              </a:outerShdw>
            </a:effectLst>
          </c:spPr>
          <c:marker>
            <c:symbol val="none"/>
          </c:marker>
          <c:cat>
            <c:strRef>
              <c:f>'5'!$A$75:$A$86</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'5'!$D$75:$D$86</c:f>
              <c:numCache>
                <c:formatCode>0%</c:formatCode>
                <c:ptCount val="12"/>
                <c:pt idx="0">
                  <c:v>1.2664393570384803E-2</c:v>
                </c:pt>
                <c:pt idx="1">
                  <c:v>9.5563139931740607E-3</c:v>
                </c:pt>
                <c:pt idx="2">
                  <c:v>1.2086513994910942E-2</c:v>
                </c:pt>
                <c:pt idx="3">
                  <c:v>8.744038155802861E-3</c:v>
                </c:pt>
                <c:pt idx="4">
                  <c:v>4.3936731107205628E-3</c:v>
                </c:pt>
                <c:pt idx="5">
                  <c:v>1.5993907083015995E-2</c:v>
                </c:pt>
                <c:pt idx="6">
                  <c:v>1.1041009463722398E-2</c:v>
                </c:pt>
                <c:pt idx="7">
                  <c:v>9.3062605752961079E-3</c:v>
                </c:pt>
                <c:pt idx="8">
                  <c:v>9.0027700831024939E-3</c:v>
                </c:pt>
                <c:pt idx="9">
                  <c:v>1.3127413127413128E-2</c:v>
                </c:pt>
                <c:pt idx="10">
                  <c:v>1.098901098901099E-2</c:v>
                </c:pt>
                <c:pt idx="11">
                  <c:v>1.4788732394366197E-2</c:v>
                </c:pt>
              </c:numCache>
            </c:numRef>
          </c:val>
          <c:smooth val="0"/>
          <c:extLst xmlns:c16r2="http://schemas.microsoft.com/office/drawing/2015/06/chart">
            <c:ext xmlns:c16="http://schemas.microsoft.com/office/drawing/2014/chart" uri="{C3380CC4-5D6E-409C-BE32-E72D297353CC}">
              <c16:uniqueId val="{00000000-7CEB-40F6-BC6A-4FF7983A306C}"/>
            </c:ext>
          </c:extLst>
        </c:ser>
        <c:dLbls>
          <c:showLegendKey val="0"/>
          <c:showVal val="0"/>
          <c:showCatName val="0"/>
          <c:showSerName val="0"/>
          <c:showPercent val="0"/>
          <c:showBubbleSize val="0"/>
        </c:dLbls>
        <c:smooth val="0"/>
        <c:axId val="190954544"/>
        <c:axId val="190955720"/>
      </c:lineChart>
      <c:catAx>
        <c:axId val="190954544"/>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0955720"/>
        <c:crosses val="autoZero"/>
        <c:auto val="1"/>
        <c:lblAlgn val="ctr"/>
        <c:lblOffset val="100"/>
        <c:noMultiLvlLbl val="0"/>
      </c:catAx>
      <c:valAx>
        <c:axId val="190955720"/>
        <c:scaling>
          <c:orientation val="minMax"/>
        </c:scaling>
        <c:delete val="0"/>
        <c:axPos val="l"/>
        <c:majorGridlines>
          <c:spPr>
            <a:ln w="9525" cap="flat" cmpd="sng" algn="ctr">
              <a:solidFill>
                <a:schemeClr val="tx2">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190954544"/>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Ejecución del Programa de Capacitación</a:t>
            </a:r>
          </a:p>
        </c:rich>
      </c:tx>
      <c:layout/>
      <c:overlay val="0"/>
      <c:spPr>
        <a:noFill/>
        <a:ln>
          <a:noFill/>
        </a:ln>
        <a:effectLst/>
      </c:spPr>
    </c:title>
    <c:autoTitleDeleted val="0"/>
    <c:plotArea>
      <c:layout/>
      <c:lineChart>
        <c:grouping val="standard"/>
        <c:varyColors val="0"/>
        <c:ser>
          <c:idx val="0"/>
          <c:order val="0"/>
          <c:tx>
            <c:strRef>
              <c:f>'6'!$D$10</c:f>
              <c:strCache>
                <c:ptCount val="1"/>
                <c:pt idx="0">
                  <c:v>% de Cumplimiento (&gt;70%)</c:v>
                </c:pt>
              </c:strCache>
            </c:strRef>
          </c:tx>
          <c:spPr>
            <a:effectLst>
              <a:outerShdw blurRad="40000" dist="23000" dir="5400000" rotWithShape="0">
                <a:srgbClr val="000000">
                  <a:alpha val="35000"/>
                </a:srgbClr>
              </a:outerShdw>
            </a:effectLst>
          </c:spPr>
          <c:marker>
            <c:symbol val="none"/>
          </c:marker>
          <c:cat>
            <c:strRef>
              <c:f>'6'!$A$11:$A$22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'6'!$D$11:$D$22</c:f>
              <c:numCache>
                <c:formatCode>0%</c:formatCode>
                <c:ptCount val="12"/>
                <c:pt idx="0">
                  <c:v>1</c:v>
                </c:pt>
                <c:pt idx="1">
                  <c:v>0.5</c:v>
                </c:pt>
                <c:pt idx="2">
                  <c:v>1</c:v>
                </c:pt>
                <c:pt idx="3">
                  <c:v>0.5</c:v>
                </c:pt>
                <c:pt idx="4">
                  <c:v>0.8</c:v>
                </c:pt>
                <c:pt idx="5">
                  <c:v>1</c:v>
                </c:pt>
                <c:pt idx="6">
                  <c:v>1</c:v>
                </c:pt>
                <c:pt idx="7">
                  <c:v>0.66666666666666663</c:v>
                </c:pt>
                <c:pt idx="8">
                  <c:v>0.83333333333333337</c:v>
                </c:pt>
                <c:pt idx="9">
                  <c:v>0</c:v>
                </c:pt>
                <c:pt idx="10">
                  <c:v>0.25</c:v>
                </c:pt>
                <c:pt idx="11">
                  <c:v>1</c:v>
                </c:pt>
              </c:numCache>
            </c:numRef>
          </c:val>
          <c:smooth val="0"/>
          <c:extLst xmlns:c16r2="http://schemas.microsoft.com/office/drawing/2015/06/chart">
            <c:ext xmlns:c16="http://schemas.microsoft.com/office/drawing/2014/chart" uri="{C3380CC4-5D6E-409C-BE32-E72D297353CC}">
              <c16:uniqueId val="{00000000-0ED1-4D89-A03A-20BD07AF26DF}"/>
            </c:ext>
          </c:extLst>
        </c:ser>
        <c:dLbls>
          <c:showLegendKey val="0"/>
          <c:showVal val="0"/>
          <c:showCatName val="0"/>
          <c:showSerName val="0"/>
          <c:showPercent val="0"/>
          <c:showBubbleSize val="0"/>
        </c:dLbls>
        <c:smooth val="0"/>
        <c:axId val="245457448"/>
        <c:axId val="245453528"/>
      </c:lineChart>
      <c:catAx>
        <c:axId val="245457448"/>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45453528"/>
        <c:crosses val="autoZero"/>
        <c:auto val="1"/>
        <c:lblAlgn val="ctr"/>
        <c:lblOffset val="100"/>
        <c:noMultiLvlLbl val="0"/>
      </c:catAx>
      <c:valAx>
        <c:axId val="245453528"/>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45457448"/>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s-ES" sz="1600" b="1" i="0" u="none" strike="noStrike" kern="1200" baseline="0">
                <a:solidFill>
                  <a:schemeClr val="tx2"/>
                </a:solidFill>
                <a:latin typeface="+mn-lt"/>
                <a:ea typeface="+mn-ea"/>
                <a:cs typeface="+mn-cs"/>
              </a:defRPr>
            </a:pPr>
            <a:r>
              <a:rPr lang="en-US"/>
              <a:t>Cumplimiento de Proveedores</a:t>
            </a:r>
          </a:p>
        </c:rich>
      </c:tx>
      <c:layout/>
      <c:overlay val="0"/>
      <c:spPr>
        <a:noFill/>
        <a:ln>
          <a:noFill/>
        </a:ln>
        <a:effectLst/>
      </c:spPr>
    </c:title>
    <c:autoTitleDeleted val="0"/>
    <c:plotArea>
      <c:layout/>
      <c:lineChart>
        <c:grouping val="standard"/>
        <c:varyColors val="0"/>
        <c:ser>
          <c:idx val="2"/>
          <c:order val="0"/>
          <c:tx>
            <c:strRef>
              <c:f>'7'!$D$10</c:f>
              <c:strCache>
                <c:ptCount val="1"/>
                <c:pt idx="0">
                  <c:v>Calificación (&gt;95)</c:v>
                </c:pt>
              </c:strCache>
            </c:strRef>
          </c:tx>
          <c:spPr>
            <a:effectLst>
              <a:outerShdw blurRad="40000" dist="23000" dir="5400000" rotWithShape="0">
                <a:srgbClr val="000000">
                  <a:alpha val="35000"/>
                </a:srgbClr>
              </a:outerShdw>
            </a:effectLst>
          </c:spPr>
          <c:marker>
            <c:symbol val="none"/>
          </c:marker>
          <c:cat>
            <c:strRef>
              <c:f>'7'!$A$11:$A$22</c:f>
              <c:strCache>
                <c:ptCount val="12"/>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strCache>
            </c:strRef>
          </c:cat>
          <c:val>
            <c:numRef>
              <c:f>'7'!$D$11:$D$22</c:f>
              <c:numCache>
                <c:formatCode>0</c:formatCode>
                <c:ptCount val="12"/>
                <c:pt idx="0">
                  <c:v>99.875</c:v>
                </c:pt>
                <c:pt idx="1">
                  <c:v>99.3</c:v>
                </c:pt>
                <c:pt idx="2">
                  <c:v>97.611111111111114</c:v>
                </c:pt>
                <c:pt idx="3">
                  <c:v>97.761904761904759</c:v>
                </c:pt>
                <c:pt idx="4">
                  <c:v>98.117647058823536</c:v>
                </c:pt>
                <c:pt idx="5">
                  <c:v>97.2</c:v>
                </c:pt>
                <c:pt idx="6">
                  <c:v>95.65</c:v>
                </c:pt>
                <c:pt idx="7">
                  <c:v>94.722222222222229</c:v>
                </c:pt>
                <c:pt idx="8">
                  <c:v>94.84210526315789</c:v>
                </c:pt>
                <c:pt idx="9">
                  <c:v>96.444444444444443</c:v>
                </c:pt>
                <c:pt idx="10">
                  <c:v>96.315789473684205</c:v>
                </c:pt>
                <c:pt idx="11">
                  <c:v>96.45</c:v>
                </c:pt>
              </c:numCache>
            </c:numRef>
          </c:val>
          <c:smooth val="0"/>
          <c:extLst xmlns:c16r2="http://schemas.microsoft.com/office/drawing/2015/06/chart">
            <c:ext xmlns:c16="http://schemas.microsoft.com/office/drawing/2014/chart" uri="{C3380CC4-5D6E-409C-BE32-E72D297353CC}">
              <c16:uniqueId val="{00000000-CB57-47AB-B38C-70315533733B}"/>
            </c:ext>
          </c:extLst>
        </c:ser>
        <c:dLbls>
          <c:showLegendKey val="0"/>
          <c:showVal val="0"/>
          <c:showCatName val="0"/>
          <c:showSerName val="0"/>
          <c:showPercent val="0"/>
          <c:showBubbleSize val="0"/>
        </c:dLbls>
        <c:smooth val="0"/>
        <c:axId val="245455880"/>
        <c:axId val="245453920"/>
      </c:lineChart>
      <c:catAx>
        <c:axId val="245455880"/>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45453920"/>
        <c:crosses val="autoZero"/>
        <c:auto val="1"/>
        <c:lblAlgn val="ctr"/>
        <c:lblOffset val="100"/>
        <c:noMultiLvlLbl val="0"/>
      </c:catAx>
      <c:valAx>
        <c:axId val="245453920"/>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s-ES" sz="900" b="0" i="0" u="none" strike="noStrike" kern="1200" baseline="0">
                <a:solidFill>
                  <a:schemeClr val="tx2"/>
                </a:solidFill>
                <a:latin typeface="+mn-lt"/>
                <a:ea typeface="+mn-ea"/>
                <a:cs typeface="+mn-cs"/>
              </a:defRPr>
            </a:pPr>
            <a:endParaRPr lang="es-CO"/>
          </a:p>
        </c:txPr>
        <c:crossAx val="245455880"/>
        <c:crosses val="autoZero"/>
        <c:crossBetween val="between"/>
      </c:valAx>
      <c:spPr>
        <a:noFill/>
        <a:ln>
          <a:noFill/>
        </a:ln>
        <a:effectLst/>
        <a:sp3d/>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000000000000044" l="0.7000000000000004" r="0.7000000000000004" t="0.75000000000000044" header="0.30000000000000021" footer="0.30000000000000021"/>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CO"/>
              <a:t>Satisfacción del cliente</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CO"/>
        </a:p>
      </c:txPr>
    </c:title>
    <c:autoTitleDeleted val="0"/>
    <c:plotArea>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CO"/>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'8'!$A$11:$A$22</c:f>
              <c:strCache>
                <c:ptCount val="7"/>
                <c:pt idx="0">
                  <c:v>Primer Semestre</c:v>
                </c:pt>
                <c:pt idx="6">
                  <c:v>Segundo Semestre</c:v>
                </c:pt>
              </c:strCache>
            </c:strRef>
          </c:cat>
          <c:val>
            <c:numRef>
              <c:f>'8'!$D$11:$D$22</c:f>
              <c:numCache>
                <c:formatCode>0.0</c:formatCode>
                <c:ptCount val="12"/>
                <c:pt idx="0">
                  <c:v>4.6399999999999997</c:v>
                </c:pt>
                <c:pt idx="6">
                  <c:v>5</c:v>
                </c:pt>
              </c:numCache>
            </c:numRef>
          </c:val>
        </c:ser>
        <c:dLbls>
          <c:dLblPos val="inEnd"/>
          <c:showLegendKey val="0"/>
          <c:showVal val="1"/>
          <c:showCatName val="0"/>
          <c:showSerName val="0"/>
          <c:showPercent val="0"/>
          <c:showBubbleSize val="0"/>
        </c:dLbls>
        <c:gapWidth val="65"/>
        <c:axId val="311404392"/>
        <c:axId val="311407920"/>
      </c:barChart>
      <c:catAx>
        <c:axId val="3114043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CO"/>
          </a:p>
        </c:txPr>
        <c:crossAx val="311407920"/>
        <c:crosses val="autoZero"/>
        <c:auto val="1"/>
        <c:lblAlgn val="ctr"/>
        <c:lblOffset val="100"/>
        <c:noMultiLvlLbl val="0"/>
      </c:catAx>
      <c:valAx>
        <c:axId val="311407920"/>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crossAx val="311404392"/>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2.jpeg"/><Relationship Id="rId5" Type="http://schemas.openxmlformats.org/officeDocument/2006/relationships/chart" Target="../charts/chart12.xml"/><Relationship Id="rId4"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42335</xdr:colOff>
      <xdr:row>9</xdr:row>
      <xdr:rowOff>15850</xdr:rowOff>
    </xdr:from>
    <xdr:to>
      <xdr:col>9</xdr:col>
      <xdr:colOff>703613</xdr:colOff>
      <xdr:row>21</xdr:row>
      <xdr:rowOff>142850</xdr:rowOff>
    </xdr:to>
    <xdr:graphicFrame macro="">
      <xdr:nvGraphicFramePr>
        <xdr:cNvPr id="3" name="2 Gráfico">
          <a:extLst>
            <a:ext uri="{FF2B5EF4-FFF2-40B4-BE49-F238E27FC236}">
              <a16:creationId xmlns:a16="http://schemas.microsoft.com/office/drawing/2014/main" xmlns=""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xdr:colOff>
      <xdr:row>25</xdr:row>
      <xdr:rowOff>42334</xdr:rowOff>
    </xdr:from>
    <xdr:to>
      <xdr:col>9</xdr:col>
      <xdr:colOff>687917</xdr:colOff>
      <xdr:row>38</xdr:row>
      <xdr:rowOff>10584</xdr:rowOff>
    </xdr:to>
    <xdr:graphicFrame macro="">
      <xdr:nvGraphicFramePr>
        <xdr:cNvPr id="5" name="4 Gráfico">
          <a:extLst>
            <a:ext uri="{FF2B5EF4-FFF2-40B4-BE49-F238E27FC236}">
              <a16:creationId xmlns:a16="http://schemas.microsoft.com/office/drawing/2014/main" xmlns=""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179916</xdr:colOff>
      <xdr:row>0</xdr:row>
      <xdr:rowOff>42335</xdr:rowOff>
    </xdr:from>
    <xdr:to>
      <xdr:col>1</xdr:col>
      <xdr:colOff>350539</xdr:colOff>
      <xdr:row>2</xdr:row>
      <xdr:rowOff>169335</xdr:rowOff>
    </xdr:to>
    <xdr:pic>
      <xdr:nvPicPr>
        <xdr:cNvPr id="6" name="Imagen 5" descr="D:\Desktop\ARCHIVOS\Logo_Biosteel-001.jpg">
          <a:extLst>
            <a:ext uri="{FF2B5EF4-FFF2-40B4-BE49-F238E27FC236}">
              <a16:creationId xmlns:a16="http://schemas.microsoft.com/office/drawing/2014/main" xmlns="" id="{00000000-0008-0000-0100-000006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9916" y="42335"/>
          <a:ext cx="994833" cy="5080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42334</xdr:colOff>
      <xdr:row>9</xdr:row>
      <xdr:rowOff>42334</xdr:rowOff>
    </xdr:from>
    <xdr:to>
      <xdr:col>9</xdr:col>
      <xdr:colOff>698501</xdr:colOff>
      <xdr:row>21</xdr:row>
      <xdr:rowOff>169334</xdr:rowOff>
    </xdr:to>
    <xdr:graphicFrame macro="">
      <xdr:nvGraphicFramePr>
        <xdr:cNvPr id="2" name="1 Gráfico">
          <a:extLst>
            <a:ext uri="{FF2B5EF4-FFF2-40B4-BE49-F238E27FC236}">
              <a16:creationId xmlns:a16="http://schemas.microsoft.com/office/drawing/2014/main" xmlns=""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63499</xdr:colOff>
      <xdr:row>25</xdr:row>
      <xdr:rowOff>63500</xdr:rowOff>
    </xdr:from>
    <xdr:to>
      <xdr:col>9</xdr:col>
      <xdr:colOff>719666</xdr:colOff>
      <xdr:row>38</xdr:row>
      <xdr:rowOff>0</xdr:rowOff>
    </xdr:to>
    <xdr:graphicFrame macro="">
      <xdr:nvGraphicFramePr>
        <xdr:cNvPr id="6" name="5 Gráfico">
          <a:extLst>
            <a:ext uri="{FF2B5EF4-FFF2-40B4-BE49-F238E27FC236}">
              <a16:creationId xmlns:a16="http://schemas.microsoft.com/office/drawing/2014/main" xmlns=""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349250</xdr:colOff>
      <xdr:row>0</xdr:row>
      <xdr:rowOff>0</xdr:rowOff>
    </xdr:from>
    <xdr:to>
      <xdr:col>1</xdr:col>
      <xdr:colOff>476250</xdr:colOff>
      <xdr:row>2</xdr:row>
      <xdr:rowOff>105833</xdr:rowOff>
    </xdr:to>
    <xdr:pic>
      <xdr:nvPicPr>
        <xdr:cNvPr id="5" name="Imagen 4" descr="D:\Desktop\ARCHIVOS\Logo_Biosteel-001.jpg">
          <a:extLst>
            <a:ext uri="{FF2B5EF4-FFF2-40B4-BE49-F238E27FC236}">
              <a16:creationId xmlns:a16="http://schemas.microsoft.com/office/drawing/2014/main" xmlns="" id="{00000000-0008-0000-0200-000005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49250" y="0"/>
          <a:ext cx="941917" cy="486833"/>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84667</xdr:colOff>
      <xdr:row>9</xdr:row>
      <xdr:rowOff>43391</xdr:rowOff>
    </xdr:from>
    <xdr:to>
      <xdr:col>9</xdr:col>
      <xdr:colOff>740834</xdr:colOff>
      <xdr:row>21</xdr:row>
      <xdr:rowOff>162982</xdr:rowOff>
    </xdr:to>
    <xdr:graphicFrame macro="">
      <xdr:nvGraphicFramePr>
        <xdr:cNvPr id="3" name="2 Gráfico">
          <a:extLst>
            <a:ext uri="{FF2B5EF4-FFF2-40B4-BE49-F238E27FC236}">
              <a16:creationId xmlns:a16="http://schemas.microsoft.com/office/drawing/2014/main" xmlns=""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31750</xdr:colOff>
      <xdr:row>25</xdr:row>
      <xdr:rowOff>32808</xdr:rowOff>
    </xdr:from>
    <xdr:to>
      <xdr:col>9</xdr:col>
      <xdr:colOff>687917</xdr:colOff>
      <xdr:row>37</xdr:row>
      <xdr:rowOff>152399</xdr:rowOff>
    </xdr:to>
    <xdr:graphicFrame macro="">
      <xdr:nvGraphicFramePr>
        <xdr:cNvPr id="5" name="4 Gráfico">
          <a:extLst>
            <a:ext uri="{FF2B5EF4-FFF2-40B4-BE49-F238E27FC236}">
              <a16:creationId xmlns:a16="http://schemas.microsoft.com/office/drawing/2014/main" xmlns=""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444500</xdr:colOff>
      <xdr:row>0</xdr:row>
      <xdr:rowOff>21167</xdr:rowOff>
    </xdr:from>
    <xdr:to>
      <xdr:col>1</xdr:col>
      <xdr:colOff>571500</xdr:colOff>
      <xdr:row>2</xdr:row>
      <xdr:rowOff>127000</xdr:rowOff>
    </xdr:to>
    <xdr:pic>
      <xdr:nvPicPr>
        <xdr:cNvPr id="6" name="Imagen 5" descr="D:\Desktop\ARCHIVOS\Logo_Biosteel-001.jpg">
          <a:extLst>
            <a:ext uri="{FF2B5EF4-FFF2-40B4-BE49-F238E27FC236}">
              <a16:creationId xmlns:a16="http://schemas.microsoft.com/office/drawing/2014/main" xmlns="" id="{00000000-0008-0000-0300-000006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44500" y="21167"/>
          <a:ext cx="941917" cy="486833"/>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317500</xdr:colOff>
      <xdr:row>0</xdr:row>
      <xdr:rowOff>10583</xdr:rowOff>
    </xdr:from>
    <xdr:to>
      <xdr:col>1</xdr:col>
      <xdr:colOff>444500</xdr:colOff>
      <xdr:row>2</xdr:row>
      <xdr:rowOff>116416</xdr:rowOff>
    </xdr:to>
    <xdr:pic>
      <xdr:nvPicPr>
        <xdr:cNvPr id="4" name="Imagen 3" descr="D:\Desktop\ARCHIVOS\Logo_Biosteel-001.jpg">
          <a:extLst>
            <a:ext uri="{FF2B5EF4-FFF2-40B4-BE49-F238E27FC236}">
              <a16:creationId xmlns:a16="http://schemas.microsoft.com/office/drawing/2014/main" xmlns="" id="{00000000-0008-0000-04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7500" y="10583"/>
          <a:ext cx="941917" cy="486833"/>
        </a:xfrm>
        <a:prstGeom prst="rect">
          <a:avLst/>
        </a:prstGeom>
        <a:noFill/>
        <a:ln>
          <a:noFill/>
        </a:ln>
      </xdr:spPr>
    </xdr:pic>
    <xdr:clientData/>
  </xdr:twoCellAnchor>
  <xdr:twoCellAnchor>
    <xdr:from>
      <xdr:col>4</xdr:col>
      <xdr:colOff>79374</xdr:colOff>
      <xdr:row>9</xdr:row>
      <xdr:rowOff>30690</xdr:rowOff>
    </xdr:from>
    <xdr:to>
      <xdr:col>9</xdr:col>
      <xdr:colOff>629708</xdr:colOff>
      <xdr:row>21</xdr:row>
      <xdr:rowOff>179916</xdr:rowOff>
    </xdr:to>
    <xdr:graphicFrame macro="">
      <xdr:nvGraphicFramePr>
        <xdr:cNvPr id="3" name="Gráfico 2">
          <a:extLst>
            <a:ext uri="{FF2B5EF4-FFF2-40B4-BE49-F238E27FC236}">
              <a16:creationId xmlns:a16="http://schemas.microsoft.com/office/drawing/2014/main" xmlns="" id="{DD3A2B08-80B6-440D-9525-79203C986B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42334</xdr:colOff>
      <xdr:row>9</xdr:row>
      <xdr:rowOff>42334</xdr:rowOff>
    </xdr:from>
    <xdr:to>
      <xdr:col>9</xdr:col>
      <xdr:colOff>730250</xdr:colOff>
      <xdr:row>21</xdr:row>
      <xdr:rowOff>169334</xdr:rowOff>
    </xdr:to>
    <xdr:graphicFrame macro="">
      <xdr:nvGraphicFramePr>
        <xdr:cNvPr id="2" name="1 Gráfico">
          <a:extLst>
            <a:ext uri="{FF2B5EF4-FFF2-40B4-BE49-F238E27FC236}">
              <a16:creationId xmlns:a16="http://schemas.microsoft.com/office/drawing/2014/main" xmlns=""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31751</xdr:colOff>
      <xdr:row>25</xdr:row>
      <xdr:rowOff>31750</xdr:rowOff>
    </xdr:from>
    <xdr:to>
      <xdr:col>9</xdr:col>
      <xdr:colOff>751418</xdr:colOff>
      <xdr:row>37</xdr:row>
      <xdr:rowOff>169333</xdr:rowOff>
    </xdr:to>
    <xdr:graphicFrame macro="">
      <xdr:nvGraphicFramePr>
        <xdr:cNvPr id="3" name="2 Gráfico">
          <a:extLst>
            <a:ext uri="{FF2B5EF4-FFF2-40B4-BE49-F238E27FC236}">
              <a16:creationId xmlns:a16="http://schemas.microsoft.com/office/drawing/2014/main" xmlns=""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52916</xdr:colOff>
      <xdr:row>54</xdr:row>
      <xdr:rowOff>42334</xdr:rowOff>
    </xdr:from>
    <xdr:to>
      <xdr:col>9</xdr:col>
      <xdr:colOff>719667</xdr:colOff>
      <xdr:row>69</xdr:row>
      <xdr:rowOff>84668</xdr:rowOff>
    </xdr:to>
    <xdr:graphicFrame macro="">
      <xdr:nvGraphicFramePr>
        <xdr:cNvPr id="7" name="6 Gráfico">
          <a:extLst>
            <a:ext uri="{FF2B5EF4-FFF2-40B4-BE49-F238E27FC236}">
              <a16:creationId xmlns:a16="http://schemas.microsoft.com/office/drawing/2014/main" xmlns=""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42333</xdr:colOff>
      <xdr:row>73</xdr:row>
      <xdr:rowOff>63500</xdr:rowOff>
    </xdr:from>
    <xdr:to>
      <xdr:col>9</xdr:col>
      <xdr:colOff>730249</xdr:colOff>
      <xdr:row>86</xdr:row>
      <xdr:rowOff>0</xdr:rowOff>
    </xdr:to>
    <xdr:graphicFrame macro="">
      <xdr:nvGraphicFramePr>
        <xdr:cNvPr id="14" name="5 Gráfico">
          <a:extLst>
            <a:ext uri="{FF2B5EF4-FFF2-40B4-BE49-F238E27FC236}">
              <a16:creationId xmlns:a16="http://schemas.microsoft.com/office/drawing/2014/main" xmlns="" id="{00000000-0008-0000-05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42333</xdr:colOff>
      <xdr:row>89</xdr:row>
      <xdr:rowOff>63500</xdr:rowOff>
    </xdr:from>
    <xdr:to>
      <xdr:col>9</xdr:col>
      <xdr:colOff>730249</xdr:colOff>
      <xdr:row>102</xdr:row>
      <xdr:rowOff>0</xdr:rowOff>
    </xdr:to>
    <xdr:graphicFrame macro="">
      <xdr:nvGraphicFramePr>
        <xdr:cNvPr id="15" name="5 Gráfico">
          <a:extLst>
            <a:ext uri="{FF2B5EF4-FFF2-40B4-BE49-F238E27FC236}">
              <a16:creationId xmlns:a16="http://schemas.microsoft.com/office/drawing/2014/main" xmlns="" id="{00000000-0008-0000-05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412749</xdr:colOff>
      <xdr:row>0</xdr:row>
      <xdr:rowOff>42334</xdr:rowOff>
    </xdr:from>
    <xdr:to>
      <xdr:col>1</xdr:col>
      <xdr:colOff>677332</xdr:colOff>
      <xdr:row>2</xdr:row>
      <xdr:rowOff>127001</xdr:rowOff>
    </xdr:to>
    <xdr:pic>
      <xdr:nvPicPr>
        <xdr:cNvPr id="8" name="Imagen 7" descr="D:\Desktop\ARCHIVOS\Logo_Biosteel-001.jpg">
          <a:extLst>
            <a:ext uri="{FF2B5EF4-FFF2-40B4-BE49-F238E27FC236}">
              <a16:creationId xmlns:a16="http://schemas.microsoft.com/office/drawing/2014/main" xmlns="" id="{00000000-0008-0000-0500-000008000000}"/>
            </a:ext>
          </a:extLst>
        </xdr:cNvPr>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12749" y="42334"/>
          <a:ext cx="1079500" cy="465667"/>
        </a:xfrm>
        <a:prstGeom prst="rect">
          <a:avLst/>
        </a:prstGeom>
        <a:noFill/>
        <a:ln>
          <a:noFill/>
        </a:ln>
      </xdr:spPr>
    </xdr:pic>
    <xdr:clientData/>
  </xdr:twoCellAnchor>
  <xdr:twoCellAnchor>
    <xdr:from>
      <xdr:col>4</xdr:col>
      <xdr:colOff>42333</xdr:colOff>
      <xdr:row>104</xdr:row>
      <xdr:rowOff>63500</xdr:rowOff>
    </xdr:from>
    <xdr:to>
      <xdr:col>9</xdr:col>
      <xdr:colOff>730249</xdr:colOff>
      <xdr:row>117</xdr:row>
      <xdr:rowOff>0</xdr:rowOff>
    </xdr:to>
    <xdr:graphicFrame macro="">
      <xdr:nvGraphicFramePr>
        <xdr:cNvPr id="9" name="5 Gráfico">
          <a:extLst>
            <a:ext uri="{FF2B5EF4-FFF2-40B4-BE49-F238E27FC236}">
              <a16:creationId xmlns:a16="http://schemas.microsoft.com/office/drawing/2014/main" xmlns="" id="{00000000-0008-0000-0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42334</xdr:colOff>
      <xdr:row>9</xdr:row>
      <xdr:rowOff>42334</xdr:rowOff>
    </xdr:from>
    <xdr:to>
      <xdr:col>9</xdr:col>
      <xdr:colOff>698501</xdr:colOff>
      <xdr:row>21</xdr:row>
      <xdr:rowOff>169334</xdr:rowOff>
    </xdr:to>
    <xdr:graphicFrame macro="">
      <xdr:nvGraphicFramePr>
        <xdr:cNvPr id="2" name="1 Gráfico">
          <a:extLst>
            <a:ext uri="{FF2B5EF4-FFF2-40B4-BE49-F238E27FC236}">
              <a16:creationId xmlns:a16="http://schemas.microsoft.com/office/drawing/2014/main" xmlns=""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370417</xdr:colOff>
      <xdr:row>0</xdr:row>
      <xdr:rowOff>0</xdr:rowOff>
    </xdr:from>
    <xdr:to>
      <xdr:col>1</xdr:col>
      <xdr:colOff>497417</xdr:colOff>
      <xdr:row>2</xdr:row>
      <xdr:rowOff>105833</xdr:rowOff>
    </xdr:to>
    <xdr:pic>
      <xdr:nvPicPr>
        <xdr:cNvPr id="5" name="Imagen 4" descr="D:\Desktop\ARCHIVOS\Logo_Biosteel-001.jpg">
          <a:extLst>
            <a:ext uri="{FF2B5EF4-FFF2-40B4-BE49-F238E27FC236}">
              <a16:creationId xmlns:a16="http://schemas.microsoft.com/office/drawing/2014/main" xmlns="" id="{00000000-0008-0000-0600-000005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0417" y="0"/>
          <a:ext cx="941917" cy="486833"/>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63500</xdr:colOff>
      <xdr:row>9</xdr:row>
      <xdr:rowOff>52917</xdr:rowOff>
    </xdr:from>
    <xdr:to>
      <xdr:col>9</xdr:col>
      <xdr:colOff>698500</xdr:colOff>
      <xdr:row>22</xdr:row>
      <xdr:rowOff>10584</xdr:rowOff>
    </xdr:to>
    <xdr:graphicFrame macro="">
      <xdr:nvGraphicFramePr>
        <xdr:cNvPr id="6" name="5 Gráfico">
          <a:extLst>
            <a:ext uri="{FF2B5EF4-FFF2-40B4-BE49-F238E27FC236}">
              <a16:creationId xmlns:a16="http://schemas.microsoft.com/office/drawing/2014/main" xmlns=""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381000</xdr:colOff>
      <xdr:row>0</xdr:row>
      <xdr:rowOff>42333</xdr:rowOff>
    </xdr:from>
    <xdr:to>
      <xdr:col>1</xdr:col>
      <xdr:colOff>508000</xdr:colOff>
      <xdr:row>2</xdr:row>
      <xdr:rowOff>148166</xdr:rowOff>
    </xdr:to>
    <xdr:pic>
      <xdr:nvPicPr>
        <xdr:cNvPr id="4" name="Imagen 3" descr="D:\Desktop\ARCHIVOS\Logo_Biosteel-001.jpg">
          <a:extLst>
            <a:ext uri="{FF2B5EF4-FFF2-40B4-BE49-F238E27FC236}">
              <a16:creationId xmlns:a16="http://schemas.microsoft.com/office/drawing/2014/main" xmlns="" id="{00000000-0008-0000-0700-000004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0" y="42333"/>
          <a:ext cx="941917" cy="486833"/>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254000</xdr:colOff>
      <xdr:row>0</xdr:row>
      <xdr:rowOff>21167</xdr:rowOff>
    </xdr:from>
    <xdr:to>
      <xdr:col>1</xdr:col>
      <xdr:colOff>412750</xdr:colOff>
      <xdr:row>2</xdr:row>
      <xdr:rowOff>137583</xdr:rowOff>
    </xdr:to>
    <xdr:pic>
      <xdr:nvPicPr>
        <xdr:cNvPr id="4" name="Imagen 3" descr="D:\Desktop\ARCHIVOS\Logo_Biosteel-001.jpg">
          <a:extLst>
            <a:ext uri="{FF2B5EF4-FFF2-40B4-BE49-F238E27FC236}">
              <a16:creationId xmlns:a16="http://schemas.microsoft.com/office/drawing/2014/main" xmlns="" id="{00000000-0008-0000-08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000" y="21167"/>
          <a:ext cx="973667" cy="497416"/>
        </a:xfrm>
        <a:prstGeom prst="rect">
          <a:avLst/>
        </a:prstGeom>
        <a:noFill/>
        <a:ln>
          <a:noFill/>
        </a:ln>
      </xdr:spPr>
    </xdr:pic>
    <xdr:clientData/>
  </xdr:twoCellAnchor>
  <xdr:twoCellAnchor>
    <xdr:from>
      <xdr:col>4</xdr:col>
      <xdr:colOff>42332</xdr:colOff>
      <xdr:row>9</xdr:row>
      <xdr:rowOff>9524</xdr:rowOff>
    </xdr:from>
    <xdr:to>
      <xdr:col>9</xdr:col>
      <xdr:colOff>730249</xdr:colOff>
      <xdr:row>21</xdr:row>
      <xdr:rowOff>158750</xdr:rowOff>
    </xdr:to>
    <xdr:graphicFrame macro="">
      <xdr:nvGraphicFramePr>
        <xdr:cNvPr id="5" name="Gráfico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107157</xdr:colOff>
      <xdr:row>0</xdr:row>
      <xdr:rowOff>119062</xdr:rowOff>
    </xdr:from>
    <xdr:to>
      <xdr:col>2</xdr:col>
      <xdr:colOff>357188</xdr:colOff>
      <xdr:row>0</xdr:row>
      <xdr:rowOff>678656</xdr:rowOff>
    </xdr:to>
    <xdr:pic>
      <xdr:nvPicPr>
        <xdr:cNvPr id="2" name="Imagen 1" descr="D:\Desktop\ARCHIVOS\Logo_Biosteel-001.jpg">
          <a:extLst>
            <a:ext uri="{FF2B5EF4-FFF2-40B4-BE49-F238E27FC236}">
              <a16:creationId xmlns:a16="http://schemas.microsoft.com/office/drawing/2014/main" xmlns="" id="{00000000-0008-0000-0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1938" y="119062"/>
          <a:ext cx="1190625" cy="559594"/>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2"/>
  <sheetViews>
    <sheetView topLeftCell="P10" zoomScale="80" zoomScaleNormal="80" workbookViewId="0">
      <selection activeCell="AD14" sqref="AD14"/>
    </sheetView>
  </sheetViews>
  <sheetFormatPr baseColWidth="10" defaultRowHeight="15"/>
  <cols>
    <col min="1" max="1" width="2.28515625" style="1" bestFit="1" customWidth="1"/>
    <col min="2" max="2" width="38.140625" style="1" bestFit="1" customWidth="1"/>
    <col min="3" max="3" width="15.140625" style="1" customWidth="1"/>
    <col min="4" max="6" width="11.42578125" style="1"/>
    <col min="7" max="7" width="13.85546875" style="1" customWidth="1"/>
    <col min="8" max="8" width="102.7109375" style="1" customWidth="1"/>
    <col min="9" max="9" width="19.140625" style="1" customWidth="1"/>
    <col min="10" max="10" width="25.5703125" style="1" customWidth="1"/>
    <col min="11" max="11" width="23.85546875" style="1" customWidth="1"/>
    <col min="12" max="12" width="21" style="1" customWidth="1"/>
    <col min="13" max="13" width="21.5703125" style="1" customWidth="1"/>
    <col min="14" max="14" width="33" style="1" customWidth="1"/>
    <col min="15" max="15" width="14.5703125" style="1" customWidth="1"/>
    <col min="16" max="16" width="12.42578125" style="1" customWidth="1"/>
    <col min="17" max="17" width="18" style="1" customWidth="1"/>
    <col min="18" max="18" width="14.5703125" style="1" customWidth="1"/>
    <col min="19" max="19" width="13" style="1" customWidth="1"/>
    <col min="20" max="29" width="14.5703125" customWidth="1"/>
    <col min="30" max="30" width="17.42578125" style="234" bestFit="1" customWidth="1"/>
  </cols>
  <sheetData>
    <row r="1" spans="1:30">
      <c r="A1" s="142" t="s">
        <v>162</v>
      </c>
      <c r="B1" s="142"/>
      <c r="C1" s="142"/>
      <c r="D1" s="142"/>
      <c r="E1" s="142"/>
      <c r="F1" s="142"/>
      <c r="G1" s="142"/>
      <c r="H1" s="142"/>
      <c r="I1" s="142"/>
      <c r="J1" s="142"/>
      <c r="K1" s="142"/>
      <c r="L1" s="142"/>
      <c r="M1" s="142"/>
      <c r="N1" s="142"/>
      <c r="O1" s="142"/>
      <c r="P1" s="142"/>
      <c r="Q1" s="142"/>
      <c r="R1" s="84"/>
      <c r="S1" s="84"/>
      <c r="T1" s="85"/>
      <c r="U1" s="85"/>
      <c r="V1" s="85"/>
      <c r="W1" s="85"/>
      <c r="X1" s="85"/>
      <c r="Y1" s="85"/>
      <c r="Z1" s="85"/>
      <c r="AA1" s="85"/>
      <c r="AB1" s="85"/>
      <c r="AC1" s="85"/>
    </row>
    <row r="2" spans="1:30">
      <c r="A2" s="142"/>
      <c r="B2" s="142"/>
      <c r="C2" s="142"/>
      <c r="D2" s="142"/>
      <c r="E2" s="142"/>
      <c r="F2" s="142"/>
      <c r="G2" s="142"/>
      <c r="H2" s="142"/>
      <c r="I2" s="142"/>
      <c r="J2" s="142"/>
      <c r="K2" s="142"/>
      <c r="L2" s="142"/>
      <c r="M2" s="142"/>
      <c r="N2" s="142"/>
      <c r="O2" s="142"/>
      <c r="P2" s="142"/>
      <c r="Q2" s="142"/>
      <c r="R2" s="84"/>
      <c r="S2" s="84"/>
      <c r="T2" s="85"/>
      <c r="U2" s="85"/>
      <c r="V2" s="85"/>
      <c r="W2" s="85"/>
      <c r="X2" s="85"/>
      <c r="Y2" s="85"/>
      <c r="Z2" s="85"/>
      <c r="AA2" s="85"/>
      <c r="AB2" s="85"/>
      <c r="AC2" s="85"/>
    </row>
    <row r="3" spans="1:30">
      <c r="A3" s="142"/>
      <c r="B3" s="142"/>
      <c r="C3" s="142"/>
      <c r="D3" s="142"/>
      <c r="E3" s="142"/>
      <c r="F3" s="142"/>
      <c r="G3" s="142"/>
      <c r="H3" s="142"/>
      <c r="I3" s="142"/>
      <c r="J3" s="142"/>
      <c r="K3" s="142"/>
      <c r="L3" s="142"/>
      <c r="M3" s="142"/>
      <c r="N3" s="142"/>
      <c r="O3" s="142"/>
      <c r="P3" s="142"/>
      <c r="Q3" s="142"/>
      <c r="R3" s="84"/>
      <c r="S3" s="84"/>
      <c r="T3" s="85"/>
      <c r="U3" s="85"/>
      <c r="V3" s="85"/>
      <c r="W3" s="85"/>
      <c r="X3" s="85"/>
      <c r="Y3" s="85"/>
      <c r="Z3" s="85"/>
      <c r="AA3" s="85"/>
      <c r="AB3" s="85"/>
      <c r="AC3" s="85"/>
    </row>
    <row r="4" spans="1:30">
      <c r="A4" s="143" t="s">
        <v>0</v>
      </c>
      <c r="B4" s="143"/>
      <c r="C4" s="144" t="s">
        <v>196</v>
      </c>
      <c r="D4" s="144"/>
      <c r="E4" s="144"/>
      <c r="F4" s="144"/>
      <c r="G4" s="144"/>
      <c r="H4" s="144"/>
      <c r="I4" s="144"/>
      <c r="J4" s="144"/>
      <c r="K4" s="144"/>
      <c r="L4" s="144"/>
      <c r="M4" s="144"/>
      <c r="N4" s="144"/>
      <c r="O4" s="144"/>
      <c r="P4" s="144"/>
      <c r="Q4" s="144"/>
      <c r="R4" s="84"/>
      <c r="S4" s="84"/>
      <c r="T4" s="85"/>
      <c r="U4" s="85"/>
      <c r="V4" s="85"/>
      <c r="W4" s="85"/>
      <c r="X4" s="85"/>
      <c r="Y4" s="85"/>
      <c r="Z4" s="85"/>
      <c r="AA4" s="85"/>
      <c r="AB4" s="85"/>
      <c r="AC4" s="85"/>
    </row>
    <row r="5" spans="1:30">
      <c r="A5" s="143"/>
      <c r="B5" s="143"/>
      <c r="C5" s="144"/>
      <c r="D5" s="144"/>
      <c r="E5" s="144"/>
      <c r="F5" s="144"/>
      <c r="G5" s="144"/>
      <c r="H5" s="144"/>
      <c r="I5" s="144"/>
      <c r="J5" s="144"/>
      <c r="K5" s="144"/>
      <c r="L5" s="144"/>
      <c r="M5" s="144"/>
      <c r="N5" s="144"/>
      <c r="O5" s="144"/>
      <c r="P5" s="144"/>
      <c r="Q5" s="144"/>
      <c r="R5" s="84"/>
      <c r="S5" s="84"/>
      <c r="T5" s="85"/>
      <c r="U5" s="85"/>
      <c r="V5" s="85"/>
      <c r="W5" s="85"/>
      <c r="X5" s="85"/>
      <c r="Y5" s="85"/>
      <c r="Z5" s="85"/>
      <c r="AA5" s="85"/>
      <c r="AB5" s="85"/>
      <c r="AC5" s="85"/>
    </row>
    <row r="6" spans="1:30">
      <c r="A6" s="143"/>
      <c r="B6" s="143"/>
      <c r="C6" s="144"/>
      <c r="D6" s="144"/>
      <c r="E6" s="144"/>
      <c r="F6" s="144"/>
      <c r="G6" s="144"/>
      <c r="H6" s="144"/>
      <c r="I6" s="144"/>
      <c r="J6" s="144"/>
      <c r="K6" s="144"/>
      <c r="L6" s="144"/>
      <c r="M6" s="144"/>
      <c r="N6" s="144"/>
      <c r="O6" s="144"/>
      <c r="P6" s="144"/>
      <c r="Q6" s="144"/>
      <c r="R6" s="84"/>
      <c r="S6" s="84"/>
      <c r="T6" s="85"/>
      <c r="U6" s="85"/>
      <c r="V6" s="85"/>
      <c r="W6" s="85"/>
      <c r="X6" s="85"/>
      <c r="Y6" s="85"/>
      <c r="Z6" s="85"/>
      <c r="AA6" s="85"/>
      <c r="AB6" s="85"/>
      <c r="AC6" s="85"/>
    </row>
    <row r="7" spans="1:30">
      <c r="A7" s="143"/>
      <c r="B7" s="143"/>
      <c r="C7" s="144"/>
      <c r="D7" s="144"/>
      <c r="E7" s="144"/>
      <c r="F7" s="144"/>
      <c r="G7" s="144"/>
      <c r="H7" s="144"/>
      <c r="I7" s="144"/>
      <c r="J7" s="144"/>
      <c r="K7" s="144"/>
      <c r="L7" s="144"/>
      <c r="M7" s="144"/>
      <c r="N7" s="144"/>
      <c r="O7" s="144"/>
      <c r="P7" s="144"/>
      <c r="Q7" s="144"/>
      <c r="R7" s="84"/>
      <c r="S7" s="84"/>
      <c r="T7" s="85"/>
      <c r="U7" s="85"/>
      <c r="V7" s="85"/>
      <c r="W7" s="85"/>
      <c r="X7" s="85"/>
      <c r="Y7" s="85"/>
      <c r="Z7" s="85"/>
      <c r="AA7" s="85"/>
      <c r="AB7" s="85"/>
      <c r="AC7" s="85"/>
    </row>
    <row r="8" spans="1:30">
      <c r="A8" s="143"/>
      <c r="B8" s="143"/>
      <c r="C8" s="144"/>
      <c r="D8" s="144"/>
      <c r="E8" s="144"/>
      <c r="F8" s="144"/>
      <c r="G8" s="144"/>
      <c r="H8" s="144"/>
      <c r="I8" s="144"/>
      <c r="J8" s="144"/>
      <c r="K8" s="144"/>
      <c r="L8" s="144"/>
      <c r="M8" s="144"/>
      <c r="N8" s="144"/>
      <c r="O8" s="144"/>
      <c r="P8" s="144"/>
      <c r="Q8" s="144"/>
      <c r="R8" s="84"/>
      <c r="S8" s="84"/>
      <c r="T8" s="85"/>
      <c r="U8" s="85"/>
      <c r="V8" s="85"/>
      <c r="W8" s="85"/>
      <c r="X8" s="85"/>
      <c r="Y8" s="85"/>
      <c r="Z8" s="85"/>
      <c r="AA8" s="85"/>
      <c r="AB8" s="85"/>
      <c r="AC8" s="85"/>
    </row>
    <row r="9" spans="1:30" ht="30">
      <c r="A9" s="145" t="s">
        <v>1</v>
      </c>
      <c r="B9" s="146"/>
      <c r="C9" s="145" t="s">
        <v>2</v>
      </c>
      <c r="D9" s="147"/>
      <c r="E9" s="147"/>
      <c r="F9" s="147"/>
      <c r="G9" s="146"/>
      <c r="H9" s="98" t="s">
        <v>212</v>
      </c>
      <c r="I9" s="7" t="s">
        <v>28</v>
      </c>
      <c r="J9" s="7" t="s">
        <v>29</v>
      </c>
      <c r="K9" s="8" t="s">
        <v>30</v>
      </c>
      <c r="L9" s="8" t="s">
        <v>31</v>
      </c>
      <c r="M9" s="2" t="s">
        <v>3</v>
      </c>
      <c r="N9" s="2" t="s">
        <v>4</v>
      </c>
      <c r="O9" s="2" t="s">
        <v>5</v>
      </c>
      <c r="P9" s="2" t="s">
        <v>6</v>
      </c>
      <c r="Q9" s="3" t="s">
        <v>7</v>
      </c>
      <c r="R9" s="80" t="s">
        <v>167</v>
      </c>
      <c r="S9" s="80" t="s">
        <v>168</v>
      </c>
      <c r="T9" s="80" t="s">
        <v>169</v>
      </c>
      <c r="U9" s="80" t="s">
        <v>170</v>
      </c>
      <c r="V9" s="80" t="s">
        <v>171</v>
      </c>
      <c r="W9" s="80" t="s">
        <v>172</v>
      </c>
      <c r="X9" s="80" t="s">
        <v>173</v>
      </c>
      <c r="Y9" s="80" t="s">
        <v>174</v>
      </c>
      <c r="Z9" s="80" t="s">
        <v>175</v>
      </c>
      <c r="AA9" s="80" t="s">
        <v>176</v>
      </c>
      <c r="AB9" s="80" t="s">
        <v>177</v>
      </c>
      <c r="AC9" s="80" t="s">
        <v>178</v>
      </c>
      <c r="AD9" s="235" t="s">
        <v>353</v>
      </c>
    </row>
    <row r="10" spans="1:30" ht="45">
      <c r="A10" s="160">
        <v>1</v>
      </c>
      <c r="B10" s="148" t="s">
        <v>32</v>
      </c>
      <c r="C10" s="151" t="s">
        <v>25</v>
      </c>
      <c r="D10" s="152"/>
      <c r="E10" s="152"/>
      <c r="F10" s="152"/>
      <c r="G10" s="153"/>
      <c r="H10" s="140" t="s">
        <v>213</v>
      </c>
      <c r="I10" s="140" t="s">
        <v>33</v>
      </c>
      <c r="J10" s="140" t="s">
        <v>209</v>
      </c>
      <c r="K10" s="140" t="s">
        <v>95</v>
      </c>
      <c r="L10" s="140" t="s">
        <v>46</v>
      </c>
      <c r="M10" s="14" t="s">
        <v>49</v>
      </c>
      <c r="N10" s="10" t="s">
        <v>82</v>
      </c>
      <c r="O10" s="15" t="s">
        <v>10</v>
      </c>
      <c r="P10" s="15" t="s">
        <v>8</v>
      </c>
      <c r="Q10" s="10" t="s">
        <v>48</v>
      </c>
      <c r="R10" s="55">
        <f>'1'!D11</f>
        <v>0.95604395604395609</v>
      </c>
      <c r="S10" s="55">
        <f>'1'!D12</f>
        <v>0.9770491803278688</v>
      </c>
      <c r="T10" s="55">
        <f>'1'!D13</f>
        <v>0.97516930022573367</v>
      </c>
      <c r="U10" s="55">
        <f>'1'!D14</f>
        <v>0.97947214076246336</v>
      </c>
      <c r="V10" s="55">
        <f>'1'!D15</f>
        <v>0.97389033942558745</v>
      </c>
      <c r="W10" s="55">
        <f>'1'!D16</f>
        <v>0.98750000000000004</v>
      </c>
      <c r="X10" s="55">
        <f>'1'!D17</f>
        <v>0.98540145985401462</v>
      </c>
      <c r="Y10" s="55">
        <f>'1'!D18</f>
        <v>0.99052132701421802</v>
      </c>
      <c r="Z10" s="55">
        <f>'1'!D19</f>
        <v>0.97575757575757571</v>
      </c>
      <c r="AA10" s="55">
        <f>'1'!D20</f>
        <v>0.98198198198198194</v>
      </c>
      <c r="AB10" s="55">
        <f>'1'!D21</f>
        <v>0.95</v>
      </c>
      <c r="AC10" s="55">
        <f>'1'!D22</f>
        <v>0.91981132075471694</v>
      </c>
      <c r="AD10" s="236">
        <f>AVERAGE(R10:AC10)</f>
        <v>0.9710498818456762</v>
      </c>
    </row>
    <row r="11" spans="1:30" ht="60">
      <c r="A11" s="161"/>
      <c r="B11" s="149"/>
      <c r="C11" s="154"/>
      <c r="D11" s="155"/>
      <c r="E11" s="155"/>
      <c r="F11" s="155"/>
      <c r="G11" s="156"/>
      <c r="H11" s="141"/>
      <c r="I11" s="141"/>
      <c r="J11" s="141"/>
      <c r="K11" s="141"/>
      <c r="L11" s="141"/>
      <c r="M11" s="14" t="s">
        <v>93</v>
      </c>
      <c r="N11" s="10" t="s">
        <v>89</v>
      </c>
      <c r="O11" s="16">
        <v>0</v>
      </c>
      <c r="P11" s="15" t="s">
        <v>8</v>
      </c>
      <c r="Q11" s="10" t="s">
        <v>96</v>
      </c>
      <c r="R11" s="55">
        <f>'1'!D27</f>
        <v>0</v>
      </c>
      <c r="S11" s="55">
        <f>'1'!D28</f>
        <v>0</v>
      </c>
      <c r="T11" s="55">
        <f>'1'!D29</f>
        <v>0</v>
      </c>
      <c r="U11" s="55">
        <f>'1'!D30</f>
        <v>0</v>
      </c>
      <c r="V11" s="55">
        <f>'1'!D31</f>
        <v>0</v>
      </c>
      <c r="W11" s="55">
        <f>'1'!D32</f>
        <v>0</v>
      </c>
      <c r="X11" s="55">
        <f>'1'!D33</f>
        <v>0</v>
      </c>
      <c r="Y11" s="55">
        <f>'1'!D34</f>
        <v>0</v>
      </c>
      <c r="Z11" s="55">
        <f>'1'!D35</f>
        <v>0</v>
      </c>
      <c r="AA11" s="55">
        <f>'1'!D36</f>
        <v>0</v>
      </c>
      <c r="AB11" s="55">
        <f>'1'!D37</f>
        <v>0</v>
      </c>
      <c r="AC11" s="55">
        <f>'1'!D38</f>
        <v>0</v>
      </c>
      <c r="AD11" s="236">
        <f t="shared" ref="AD11:AD23" si="0">AVERAGE(R11:AC11)</f>
        <v>0</v>
      </c>
    </row>
    <row r="12" spans="1:30" ht="45">
      <c r="A12" s="163">
        <v>2</v>
      </c>
      <c r="B12" s="143" t="s">
        <v>16</v>
      </c>
      <c r="C12" s="168" t="s">
        <v>19</v>
      </c>
      <c r="D12" s="168"/>
      <c r="E12" s="168"/>
      <c r="F12" s="168"/>
      <c r="G12" s="168"/>
      <c r="H12" s="140" t="s">
        <v>214</v>
      </c>
      <c r="I12" s="168" t="s">
        <v>34</v>
      </c>
      <c r="J12" s="168" t="s">
        <v>38</v>
      </c>
      <c r="K12" s="168" t="s">
        <v>43</v>
      </c>
      <c r="L12" s="168" t="s">
        <v>46</v>
      </c>
      <c r="M12" s="14" t="s">
        <v>205</v>
      </c>
      <c r="N12" s="44" t="s">
        <v>206</v>
      </c>
      <c r="O12" s="16">
        <v>1</v>
      </c>
      <c r="P12" s="15" t="s">
        <v>8</v>
      </c>
      <c r="Q12" s="44" t="s">
        <v>207</v>
      </c>
      <c r="R12" s="55">
        <f>'2'!D27</f>
        <v>0</v>
      </c>
      <c r="S12" s="55">
        <f>'2'!D28</f>
        <v>0</v>
      </c>
      <c r="T12" s="55">
        <f>'2'!D29</f>
        <v>1</v>
      </c>
      <c r="U12" s="55">
        <f>'2'!D30</f>
        <v>0</v>
      </c>
      <c r="V12" s="55">
        <f>'2'!D31</f>
        <v>0</v>
      </c>
      <c r="W12" s="55">
        <f>'2'!D32</f>
        <v>0</v>
      </c>
      <c r="X12" s="55">
        <f>'2'!D33</f>
        <v>0</v>
      </c>
      <c r="Y12" s="55">
        <f>'2'!D34</f>
        <v>0</v>
      </c>
      <c r="Z12" s="55">
        <f>'2'!D35</f>
        <v>0</v>
      </c>
      <c r="AA12" s="55">
        <f>'2'!D36</f>
        <v>0</v>
      </c>
      <c r="AB12" s="55">
        <f>'2'!D37</f>
        <v>0</v>
      </c>
      <c r="AC12" s="55">
        <f>'2'!D38</f>
        <v>0</v>
      </c>
      <c r="AD12" s="236">
        <f t="shared" si="0"/>
        <v>8.3333333333333329E-2</v>
      </c>
    </row>
    <row r="13" spans="1:30" ht="60">
      <c r="A13" s="163"/>
      <c r="B13" s="143"/>
      <c r="C13" s="168"/>
      <c r="D13" s="168"/>
      <c r="E13" s="168"/>
      <c r="F13" s="168"/>
      <c r="G13" s="168"/>
      <c r="H13" s="141"/>
      <c r="I13" s="168"/>
      <c r="J13" s="168"/>
      <c r="K13" s="168"/>
      <c r="L13" s="168"/>
      <c r="M13" s="14" t="s">
        <v>140</v>
      </c>
      <c r="N13" s="10" t="s">
        <v>52</v>
      </c>
      <c r="O13" s="17">
        <v>4</v>
      </c>
      <c r="P13" s="15" t="s">
        <v>8</v>
      </c>
      <c r="Q13" s="10" t="s">
        <v>9</v>
      </c>
      <c r="R13" s="87">
        <f>('2'!B11+'2'!C11+'2'!D11)/3</f>
        <v>4.7666666666666666</v>
      </c>
      <c r="S13" s="87">
        <f>('2'!B12+'2'!C12+'2'!D12)/3</f>
        <v>4.7666666666666666</v>
      </c>
      <c r="T13" s="87">
        <f>('2'!B13+'2'!C13+'2'!D13)/3</f>
        <v>4.6000000000000005</v>
      </c>
      <c r="U13" s="87">
        <f>('2'!B14+'2'!C14+'2'!D14)/3</f>
        <v>4.8</v>
      </c>
      <c r="V13" s="87">
        <f>('2'!B15+'2'!C15+'2'!D15)/3</f>
        <v>4.7833333333333341</v>
      </c>
      <c r="W13" s="87">
        <f>('2'!B16+'2'!C16+'2'!D16)/3</f>
        <v>4.5599999999999996</v>
      </c>
      <c r="X13" s="87">
        <f>('2'!B17+'2'!C17+'2'!D17)/3</f>
        <v>4.4666666666666668</v>
      </c>
      <c r="Y13" s="87">
        <f>('2'!B18+'2'!C18+'2'!D18)/3</f>
        <v>4.7666666666666666</v>
      </c>
      <c r="Z13" s="87">
        <f>('2'!B19+'2'!C19+'2'!D19)/3</f>
        <v>4.7666666666666666</v>
      </c>
      <c r="AA13" s="87">
        <f>('2'!B20+'2'!C20+'2'!D20)/3</f>
        <v>4.4888888666666666</v>
      </c>
      <c r="AB13" s="87">
        <f>('2'!B21+'2'!C21+'2'!D21)/3</f>
        <v>4.3000000000000007</v>
      </c>
      <c r="AC13" s="87">
        <f>('2'!B22+'2'!C22+'2'!D22)/3</f>
        <v>4.8</v>
      </c>
      <c r="AD13" s="237">
        <f t="shared" si="0"/>
        <v>4.6554629611111098</v>
      </c>
    </row>
    <row r="14" spans="1:30" ht="60">
      <c r="A14" s="160">
        <v>3</v>
      </c>
      <c r="B14" s="148" t="s">
        <v>17</v>
      </c>
      <c r="C14" s="151" t="s">
        <v>18</v>
      </c>
      <c r="D14" s="152"/>
      <c r="E14" s="152"/>
      <c r="F14" s="152"/>
      <c r="G14" s="153"/>
      <c r="H14" s="140" t="s">
        <v>215</v>
      </c>
      <c r="I14" s="140" t="s">
        <v>145</v>
      </c>
      <c r="J14" s="140" t="s">
        <v>208</v>
      </c>
      <c r="K14" s="140" t="s">
        <v>146</v>
      </c>
      <c r="L14" s="140" t="s">
        <v>46</v>
      </c>
      <c r="M14" s="14" t="s">
        <v>147</v>
      </c>
      <c r="N14" s="56" t="s">
        <v>148</v>
      </c>
      <c r="O14" s="63">
        <v>1</v>
      </c>
      <c r="P14" s="15" t="s">
        <v>11</v>
      </c>
      <c r="Q14" s="56" t="s">
        <v>149</v>
      </c>
      <c r="R14" s="5" t="s">
        <v>165</v>
      </c>
      <c r="S14" s="5" t="s">
        <v>165</v>
      </c>
      <c r="T14" s="55" t="str">
        <f>'3'!D27</f>
        <v>N/A</v>
      </c>
      <c r="U14" s="88" t="s">
        <v>165</v>
      </c>
      <c r="V14" s="88" t="s">
        <v>165</v>
      </c>
      <c r="W14" s="89" t="str">
        <f>'3'!D30</f>
        <v>N/A</v>
      </c>
      <c r="X14" s="88" t="s">
        <v>165</v>
      </c>
      <c r="Y14" s="88" t="s">
        <v>165</v>
      </c>
      <c r="Z14" s="89" t="str">
        <f>'3'!D33</f>
        <v>N/A</v>
      </c>
      <c r="AA14" s="88" t="s">
        <v>165</v>
      </c>
      <c r="AB14" s="88" t="s">
        <v>165</v>
      </c>
      <c r="AC14" s="89" t="str">
        <f>'3'!D36</f>
        <v>N/A</v>
      </c>
      <c r="AD14" s="236" t="s">
        <v>165</v>
      </c>
    </row>
    <row r="15" spans="1:30" ht="45">
      <c r="A15" s="162"/>
      <c r="B15" s="150"/>
      <c r="C15" s="157"/>
      <c r="D15" s="158"/>
      <c r="E15" s="158"/>
      <c r="F15" s="158"/>
      <c r="G15" s="159"/>
      <c r="H15" s="141"/>
      <c r="I15" s="141"/>
      <c r="J15" s="141"/>
      <c r="K15" s="141"/>
      <c r="L15" s="141"/>
      <c r="M15" s="14" t="s">
        <v>50</v>
      </c>
      <c r="N15" s="10" t="s">
        <v>51</v>
      </c>
      <c r="O15" s="16">
        <v>1</v>
      </c>
      <c r="P15" s="15" t="s">
        <v>8</v>
      </c>
      <c r="Q15" s="10" t="s">
        <v>48</v>
      </c>
      <c r="R15" s="55">
        <f>'3'!D11</f>
        <v>1</v>
      </c>
      <c r="S15" s="55">
        <f>'3'!D12</f>
        <v>1</v>
      </c>
      <c r="T15" s="55">
        <f>'3'!D13</f>
        <v>1</v>
      </c>
      <c r="U15" s="55">
        <f>'3'!D14</f>
        <v>1</v>
      </c>
      <c r="V15" s="55">
        <f>'3'!D15</f>
        <v>1</v>
      </c>
      <c r="W15" s="55">
        <f>'3'!D16</f>
        <v>1</v>
      </c>
      <c r="X15" s="55">
        <f>'3'!D17</f>
        <v>1</v>
      </c>
      <c r="Y15" s="55">
        <f>'3'!D18</f>
        <v>1</v>
      </c>
      <c r="Z15" s="55">
        <f>'3'!D19</f>
        <v>1</v>
      </c>
      <c r="AA15" s="55">
        <f>'3'!D20</f>
        <v>1</v>
      </c>
      <c r="AB15" s="55">
        <f>'3'!D21</f>
        <v>1</v>
      </c>
      <c r="AC15" s="55">
        <f>'3'!D22</f>
        <v>1</v>
      </c>
      <c r="AD15" s="236">
        <f t="shared" si="0"/>
        <v>1</v>
      </c>
    </row>
    <row r="16" spans="1:30" ht="75">
      <c r="A16" s="2">
        <v>4</v>
      </c>
      <c r="B16" s="3" t="s">
        <v>20</v>
      </c>
      <c r="C16" s="165" t="s">
        <v>26</v>
      </c>
      <c r="D16" s="166"/>
      <c r="E16" s="166"/>
      <c r="F16" s="166"/>
      <c r="G16" s="167"/>
      <c r="H16" s="99" t="s">
        <v>216</v>
      </c>
      <c r="I16" s="4" t="s">
        <v>35</v>
      </c>
      <c r="J16" s="11" t="s">
        <v>42</v>
      </c>
      <c r="K16" s="13" t="s">
        <v>44</v>
      </c>
      <c r="L16" s="10" t="s">
        <v>46</v>
      </c>
      <c r="M16" s="19" t="s">
        <v>97</v>
      </c>
      <c r="N16" s="9" t="s">
        <v>99</v>
      </c>
      <c r="O16" s="5" t="s">
        <v>10</v>
      </c>
      <c r="P16" s="5" t="s">
        <v>11</v>
      </c>
      <c r="Q16" s="4" t="s">
        <v>12</v>
      </c>
      <c r="R16" s="5" t="s">
        <v>165</v>
      </c>
      <c r="S16" s="5" t="s">
        <v>165</v>
      </c>
      <c r="T16" s="55">
        <f>'4'!D11</f>
        <v>1</v>
      </c>
      <c r="U16" s="88" t="s">
        <v>165</v>
      </c>
      <c r="V16" s="88" t="s">
        <v>165</v>
      </c>
      <c r="W16" s="89">
        <f>'4'!D14</f>
        <v>1</v>
      </c>
      <c r="X16" s="88" t="s">
        <v>165</v>
      </c>
      <c r="Y16" s="88" t="s">
        <v>165</v>
      </c>
      <c r="Z16" s="89">
        <f>'4'!D17</f>
        <v>0.81818181818181823</v>
      </c>
      <c r="AA16" s="88" t="s">
        <v>165</v>
      </c>
      <c r="AB16" s="88" t="s">
        <v>165</v>
      </c>
      <c r="AC16" s="89">
        <f>'4'!D20</f>
        <v>1</v>
      </c>
      <c r="AD16" s="236">
        <f t="shared" si="0"/>
        <v>0.95454545454545459</v>
      </c>
    </row>
    <row r="17" spans="1:31" ht="45">
      <c r="A17" s="160">
        <v>5</v>
      </c>
      <c r="B17" s="148" t="s">
        <v>21</v>
      </c>
      <c r="C17" s="151" t="s">
        <v>107</v>
      </c>
      <c r="D17" s="152"/>
      <c r="E17" s="152"/>
      <c r="F17" s="152"/>
      <c r="G17" s="153"/>
      <c r="H17" s="139" t="s">
        <v>217</v>
      </c>
      <c r="I17" s="140" t="s">
        <v>137</v>
      </c>
      <c r="J17" s="140" t="s">
        <v>136</v>
      </c>
      <c r="K17" s="140" t="s">
        <v>45</v>
      </c>
      <c r="L17" s="140" t="s">
        <v>46</v>
      </c>
      <c r="M17" s="18" t="s">
        <v>59</v>
      </c>
      <c r="N17" s="4" t="s">
        <v>58</v>
      </c>
      <c r="O17" s="86" t="s">
        <v>10</v>
      </c>
      <c r="P17" s="5" t="s">
        <v>8</v>
      </c>
      <c r="Q17" s="4" t="s">
        <v>60</v>
      </c>
      <c r="R17" s="55">
        <f>'5'!D11</f>
        <v>1.0394709388712757</v>
      </c>
      <c r="S17" s="55">
        <f>'5'!D12</f>
        <v>1.2957935286801938</v>
      </c>
      <c r="T17" s="55">
        <f>'5'!D13</f>
        <v>1.0316239444862203</v>
      </c>
      <c r="U17" s="55">
        <f>'5'!D14</f>
        <v>0.96562587679880396</v>
      </c>
      <c r="V17" s="55">
        <f>'5'!D15</f>
        <v>0.91303022473660633</v>
      </c>
      <c r="W17" s="55">
        <f>'5'!D16</f>
        <v>1.1123367590299185</v>
      </c>
      <c r="X17" s="55">
        <f>'5'!D17</f>
        <v>0.93308702815092215</v>
      </c>
      <c r="Y17" s="55">
        <f>'5'!D18</f>
        <v>0.89613564496144049</v>
      </c>
      <c r="Z17" s="55">
        <f>'5'!D19</f>
        <v>0.9240968620414719</v>
      </c>
      <c r="AA17" s="55">
        <f>'5'!D20</f>
        <v>0.80859627394639755</v>
      </c>
      <c r="AB17" s="55">
        <f>'5'!D21</f>
        <v>0.69418369787129286</v>
      </c>
      <c r="AC17" s="55">
        <f>'5'!D22</f>
        <v>0.80945856338098354</v>
      </c>
      <c r="AD17" s="236">
        <f t="shared" si="0"/>
        <v>0.95195327857962708</v>
      </c>
    </row>
    <row r="18" spans="1:31" ht="60">
      <c r="A18" s="161"/>
      <c r="B18" s="149"/>
      <c r="C18" s="154"/>
      <c r="D18" s="155"/>
      <c r="E18" s="155"/>
      <c r="F18" s="155"/>
      <c r="G18" s="156"/>
      <c r="H18" s="139"/>
      <c r="I18" s="139"/>
      <c r="J18" s="139"/>
      <c r="K18" s="139"/>
      <c r="L18" s="139"/>
      <c r="M18" s="72" t="s">
        <v>158</v>
      </c>
      <c r="N18" s="64" t="s">
        <v>153</v>
      </c>
      <c r="O18" s="71">
        <v>1000000000</v>
      </c>
      <c r="P18" s="5" t="s">
        <v>8</v>
      </c>
      <c r="Q18" s="20" t="s">
        <v>61</v>
      </c>
      <c r="R18" s="71">
        <f>'5'!E27</f>
        <v>1699414984.74</v>
      </c>
      <c r="S18" s="71">
        <f>'5'!E28</f>
        <v>928833194.24000001</v>
      </c>
      <c r="T18" s="71">
        <f>'5'!E29</f>
        <v>1335875098.51</v>
      </c>
      <c r="U18" s="71">
        <f>'5'!E30</f>
        <v>1180744620.74</v>
      </c>
      <c r="V18" s="71">
        <f>'5'!E31</f>
        <v>1267717322.1899998</v>
      </c>
      <c r="W18" s="71">
        <f>'5'!E32</f>
        <v>1285330740.9000001</v>
      </c>
      <c r="X18" s="71">
        <f>'5'!E33</f>
        <v>1415896161.6300001</v>
      </c>
      <c r="Y18" s="71">
        <f>'5'!E34</f>
        <v>1146590825.9400001</v>
      </c>
      <c r="Z18" s="71">
        <f>'5'!E35</f>
        <v>1689272791.6200004</v>
      </c>
      <c r="AA18" s="71">
        <f>'5'!E36</f>
        <v>1395591226.4000001</v>
      </c>
      <c r="AB18" s="71">
        <f>'5'!E37</f>
        <v>1889652632.3500001</v>
      </c>
      <c r="AC18" s="71">
        <f>'5'!E38</f>
        <v>1630395501.1400001</v>
      </c>
      <c r="AD18" s="238">
        <f t="shared" si="0"/>
        <v>1405442925.0333335</v>
      </c>
    </row>
    <row r="19" spans="1:31" ht="30">
      <c r="A19" s="161"/>
      <c r="B19" s="149"/>
      <c r="C19" s="154"/>
      <c r="D19" s="155"/>
      <c r="E19" s="155"/>
      <c r="F19" s="155"/>
      <c r="G19" s="156"/>
      <c r="H19" s="139"/>
      <c r="I19" s="139"/>
      <c r="J19" s="139"/>
      <c r="K19" s="139"/>
      <c r="L19" s="139"/>
      <c r="M19" s="43" t="s">
        <v>131</v>
      </c>
      <c r="N19" s="42" t="s">
        <v>134</v>
      </c>
      <c r="O19" s="55">
        <v>0.9</v>
      </c>
      <c r="P19" s="5" t="s">
        <v>8</v>
      </c>
      <c r="Q19" s="42" t="s">
        <v>133</v>
      </c>
      <c r="R19" s="55">
        <f>'5'!E43</f>
        <v>1.2051101091067276</v>
      </c>
      <c r="S19" s="55">
        <f>'5'!E44</f>
        <v>0.86518895997152079</v>
      </c>
      <c r="T19" s="55">
        <f>'5'!E45</f>
        <v>1.0557841307849671</v>
      </c>
      <c r="U19" s="55">
        <f>'5'!E46</f>
        <v>0.95591992415911597</v>
      </c>
      <c r="V19" s="55">
        <f>'5'!E47</f>
        <v>0.92793283912951119</v>
      </c>
      <c r="W19" s="55">
        <f>'5'!E48</f>
        <v>0.99433295831265256</v>
      </c>
      <c r="X19" s="55">
        <f>'5'!E49</f>
        <v>1.0224114608801209</v>
      </c>
      <c r="Y19" s="55">
        <f>'5'!E50</f>
        <v>0.90685597603273027</v>
      </c>
      <c r="Z19" s="55">
        <f>'5'!E51</f>
        <v>0.99864694267788123</v>
      </c>
      <c r="AA19" s="55">
        <f>'5'!E52</f>
        <v>0.91756689023778526</v>
      </c>
      <c r="AB19" s="55">
        <f>'5'!E53</f>
        <v>1.1142610264120063</v>
      </c>
      <c r="AC19" s="55">
        <f>'5'!E54</f>
        <v>1.0248274947755514</v>
      </c>
      <c r="AD19" s="236">
        <f t="shared" si="0"/>
        <v>0.99906989270671398</v>
      </c>
    </row>
    <row r="20" spans="1:31" ht="30">
      <c r="A20" s="161"/>
      <c r="B20" s="149"/>
      <c r="C20" s="154"/>
      <c r="D20" s="155"/>
      <c r="E20" s="155"/>
      <c r="F20" s="155"/>
      <c r="G20" s="156"/>
      <c r="H20" s="139"/>
      <c r="I20" s="139"/>
      <c r="J20" s="139"/>
      <c r="K20" s="139"/>
      <c r="L20" s="139"/>
      <c r="M20" s="43" t="s">
        <v>132</v>
      </c>
      <c r="N20" s="42" t="s">
        <v>135</v>
      </c>
      <c r="O20" s="55">
        <v>0.95</v>
      </c>
      <c r="P20" s="5" t="s">
        <v>8</v>
      </c>
      <c r="Q20" s="42" t="s">
        <v>133</v>
      </c>
      <c r="R20" s="55">
        <f>'5'!F43</f>
        <v>0.94308749808569881</v>
      </c>
      <c r="S20" s="55">
        <f>'5'!F44</f>
        <v>0.91264951433113795</v>
      </c>
      <c r="T20" s="55">
        <f>'5'!F45</f>
        <v>0.80070660945809125</v>
      </c>
      <c r="U20" s="55">
        <f>'5'!F46</f>
        <v>0.97321754206215683</v>
      </c>
      <c r="V20" s="55">
        <f>'5'!F47</f>
        <v>0.99684597600730473</v>
      </c>
      <c r="W20" s="55">
        <f>'5'!F48</f>
        <v>1</v>
      </c>
      <c r="X20" s="55">
        <f>'5'!F49</f>
        <v>1</v>
      </c>
      <c r="Y20" s="55">
        <f>'5'!F50</f>
        <v>1</v>
      </c>
      <c r="Z20" s="55">
        <f>'5'!F51</f>
        <v>1</v>
      </c>
      <c r="AA20" s="55">
        <f>'5'!F52</f>
        <v>1</v>
      </c>
      <c r="AB20" s="55">
        <f>'5'!F53</f>
        <v>1</v>
      </c>
      <c r="AC20" s="55">
        <f>'5'!F54</f>
        <v>0.94606479089531237</v>
      </c>
      <c r="AD20" s="236">
        <f t="shared" si="0"/>
        <v>0.96438099423664181</v>
      </c>
    </row>
    <row r="21" spans="1:31" ht="30">
      <c r="A21" s="161"/>
      <c r="B21" s="149"/>
      <c r="C21" s="154"/>
      <c r="D21" s="155"/>
      <c r="E21" s="155"/>
      <c r="F21" s="155"/>
      <c r="G21" s="156"/>
      <c r="H21" s="139"/>
      <c r="I21" s="139"/>
      <c r="J21" s="139"/>
      <c r="K21" s="139"/>
      <c r="L21" s="139"/>
      <c r="M21" s="14" t="s">
        <v>184</v>
      </c>
      <c r="N21" s="81" t="s">
        <v>180</v>
      </c>
      <c r="O21" s="55" t="s">
        <v>183</v>
      </c>
      <c r="P21" s="5" t="s">
        <v>8</v>
      </c>
      <c r="Q21" s="81" t="s">
        <v>181</v>
      </c>
      <c r="R21" s="55">
        <f>'5'!D75</f>
        <v>1.2664393570384803E-2</v>
      </c>
      <c r="S21" s="55">
        <f>'5'!D76</f>
        <v>9.5563139931740607E-3</v>
      </c>
      <c r="T21" s="55">
        <f>'5'!D77</f>
        <v>1.2086513994910942E-2</v>
      </c>
      <c r="U21" s="55">
        <f>'5'!D78</f>
        <v>8.744038155802861E-3</v>
      </c>
      <c r="V21" s="55">
        <f>'5'!D79</f>
        <v>4.3936731107205628E-3</v>
      </c>
      <c r="W21" s="55">
        <f>'5'!D80</f>
        <v>1.5993907083015995E-2</v>
      </c>
      <c r="X21" s="55">
        <f>'5'!D81</f>
        <v>1.1041009463722398E-2</v>
      </c>
      <c r="Y21" s="55">
        <f>'5'!D82</f>
        <v>9.3062605752961079E-3</v>
      </c>
      <c r="Z21" s="55">
        <f>'5'!D83</f>
        <v>9.0027700831024939E-3</v>
      </c>
      <c r="AA21" s="55">
        <f>'5'!D84</f>
        <v>1.3127413127413128E-2</v>
      </c>
      <c r="AB21" s="55">
        <f>'5'!D85</f>
        <v>1.098901098901099E-2</v>
      </c>
      <c r="AC21" s="55">
        <f>'5'!D86</f>
        <v>1.4788732394366197E-2</v>
      </c>
      <c r="AD21" s="236">
        <f t="shared" si="0"/>
        <v>1.0974503045076711E-2</v>
      </c>
    </row>
    <row r="22" spans="1:31" ht="30">
      <c r="A22" s="162"/>
      <c r="B22" s="150"/>
      <c r="C22" s="157"/>
      <c r="D22" s="158"/>
      <c r="E22" s="158"/>
      <c r="F22" s="158"/>
      <c r="G22" s="159"/>
      <c r="H22" s="139"/>
      <c r="I22" s="141"/>
      <c r="J22" s="141"/>
      <c r="K22" s="141"/>
      <c r="L22" s="141"/>
      <c r="M22" s="14" t="s">
        <v>185</v>
      </c>
      <c r="N22" s="81" t="s">
        <v>182</v>
      </c>
      <c r="O22" s="55" t="s">
        <v>192</v>
      </c>
      <c r="P22" s="5" t="s">
        <v>8</v>
      </c>
      <c r="Q22" s="81" t="s">
        <v>189</v>
      </c>
      <c r="R22" s="55">
        <f>'5'!D91</f>
        <v>0</v>
      </c>
      <c r="S22" s="55">
        <f>'5'!D92</f>
        <v>0</v>
      </c>
      <c r="T22" s="55">
        <f>'5'!D93</f>
        <v>0</v>
      </c>
      <c r="U22" s="55">
        <f>'5'!D94</f>
        <v>0</v>
      </c>
      <c r="V22" s="55">
        <f>'5'!D95</f>
        <v>0</v>
      </c>
      <c r="W22" s="55">
        <f>'5'!D96</f>
        <v>0</v>
      </c>
      <c r="X22" s="55">
        <f>'5'!D97</f>
        <v>0</v>
      </c>
      <c r="Y22" s="55">
        <f>'5'!D98</f>
        <v>0</v>
      </c>
      <c r="Z22" s="55">
        <f>'5'!D99</f>
        <v>2.0775623268698062E-3</v>
      </c>
      <c r="AA22" s="55">
        <f>'5'!D100</f>
        <v>0</v>
      </c>
      <c r="AB22" s="55">
        <f>'5'!D101</f>
        <v>0</v>
      </c>
      <c r="AC22" s="55">
        <f>'5'!D102</f>
        <v>0</v>
      </c>
      <c r="AD22" s="236">
        <f t="shared" si="0"/>
        <v>1.7313019390581717E-4</v>
      </c>
    </row>
    <row r="23" spans="1:31" ht="45">
      <c r="A23" s="2">
        <v>6</v>
      </c>
      <c r="B23" s="3" t="s">
        <v>22</v>
      </c>
      <c r="C23" s="164" t="s">
        <v>112</v>
      </c>
      <c r="D23" s="164"/>
      <c r="E23" s="164"/>
      <c r="F23" s="164"/>
      <c r="G23" s="164"/>
      <c r="H23" s="99" t="s">
        <v>218</v>
      </c>
      <c r="I23" s="4" t="s">
        <v>36</v>
      </c>
      <c r="J23" s="12" t="s">
        <v>41</v>
      </c>
      <c r="K23" s="4" t="s">
        <v>44</v>
      </c>
      <c r="L23" s="4" t="s">
        <v>46</v>
      </c>
      <c r="M23" s="18" t="s">
        <v>13</v>
      </c>
      <c r="N23" s="4" t="s">
        <v>14</v>
      </c>
      <c r="O23" s="5" t="s">
        <v>10</v>
      </c>
      <c r="P23" s="5" t="s">
        <v>8</v>
      </c>
      <c r="Q23" s="4" t="s">
        <v>15</v>
      </c>
      <c r="R23" s="55">
        <f>'6'!D11</f>
        <v>1</v>
      </c>
      <c r="S23" s="55">
        <f>'6'!D12</f>
        <v>0.5</v>
      </c>
      <c r="T23" s="55">
        <f>'6'!D13</f>
        <v>1</v>
      </c>
      <c r="U23" s="55">
        <f>'6'!D14</f>
        <v>0.5</v>
      </c>
      <c r="V23" s="55">
        <f>'6'!D15</f>
        <v>0.8</v>
      </c>
      <c r="W23" s="55">
        <f>'6'!D16</f>
        <v>1</v>
      </c>
      <c r="X23" s="55">
        <f>'6'!D17</f>
        <v>1</v>
      </c>
      <c r="Y23" s="55">
        <f>'6'!D18</f>
        <v>0.66666666666666663</v>
      </c>
      <c r="Z23" s="55">
        <f>'6'!D19</f>
        <v>0.83333333333333337</v>
      </c>
      <c r="AA23" s="55">
        <f>'6'!D20</f>
        <v>0</v>
      </c>
      <c r="AB23" s="55">
        <f>'6'!D21</f>
        <v>0.25</v>
      </c>
      <c r="AC23" s="55">
        <f>'6'!D22</f>
        <v>1</v>
      </c>
      <c r="AD23" s="236">
        <f t="shared" si="0"/>
        <v>0.71250000000000002</v>
      </c>
    </row>
    <row r="24" spans="1:31" ht="45">
      <c r="A24" s="2">
        <v>7</v>
      </c>
      <c r="B24" s="3" t="s">
        <v>23</v>
      </c>
      <c r="C24" s="164" t="s">
        <v>117</v>
      </c>
      <c r="D24" s="164"/>
      <c r="E24" s="164"/>
      <c r="F24" s="164"/>
      <c r="G24" s="164"/>
      <c r="H24" s="99" t="s">
        <v>219</v>
      </c>
      <c r="I24" s="4" t="s">
        <v>39</v>
      </c>
      <c r="J24" s="12" t="s">
        <v>40</v>
      </c>
      <c r="K24" s="4" t="s">
        <v>44</v>
      </c>
      <c r="L24" s="4" t="s">
        <v>46</v>
      </c>
      <c r="M24" s="18" t="s">
        <v>55</v>
      </c>
      <c r="N24" s="10" t="s">
        <v>52</v>
      </c>
      <c r="O24" s="5" t="s">
        <v>53</v>
      </c>
      <c r="P24" s="5" t="s">
        <v>8</v>
      </c>
      <c r="Q24" s="4" t="s">
        <v>54</v>
      </c>
      <c r="R24" s="90">
        <f>'7'!D11</f>
        <v>99.875</v>
      </c>
      <c r="S24" s="90">
        <f>'7'!D12</f>
        <v>99.3</v>
      </c>
      <c r="T24" s="90">
        <f>'7'!D13</f>
        <v>97.611111111111114</v>
      </c>
      <c r="U24" s="90">
        <f>'7'!D14</f>
        <v>97.761904761904759</v>
      </c>
      <c r="V24" s="90">
        <f>'7'!D15</f>
        <v>98.117647058823536</v>
      </c>
      <c r="W24" s="90">
        <f>'7'!D16</f>
        <v>97.2</v>
      </c>
      <c r="X24" s="90">
        <f>'7'!D17</f>
        <v>95.65</v>
      </c>
      <c r="Y24" s="90">
        <f>'7'!D18</f>
        <v>94.722222222222229</v>
      </c>
      <c r="Z24" s="90">
        <f>'7'!D19</f>
        <v>94.84210526315789</v>
      </c>
      <c r="AA24" s="90">
        <f>'7'!D20</f>
        <v>96.444444444444443</v>
      </c>
      <c r="AB24" s="90">
        <f>'7'!D21</f>
        <v>96.315789473684205</v>
      </c>
      <c r="AC24" s="90">
        <f>'7'!D22</f>
        <v>96.45</v>
      </c>
      <c r="AD24" s="236">
        <v>0.97</v>
      </c>
    </row>
    <row r="25" spans="1:31" ht="60">
      <c r="A25" s="2">
        <v>8</v>
      </c>
      <c r="B25" s="3" t="s">
        <v>24</v>
      </c>
      <c r="C25" s="164" t="s">
        <v>27</v>
      </c>
      <c r="D25" s="164"/>
      <c r="E25" s="164"/>
      <c r="F25" s="164"/>
      <c r="G25" s="164"/>
      <c r="H25" s="99" t="s">
        <v>220</v>
      </c>
      <c r="I25" s="4" t="s">
        <v>37</v>
      </c>
      <c r="J25" s="12" t="s">
        <v>38</v>
      </c>
      <c r="K25" s="4" t="s">
        <v>47</v>
      </c>
      <c r="L25" s="4" t="s">
        <v>46</v>
      </c>
      <c r="M25" s="18" t="s">
        <v>56</v>
      </c>
      <c r="N25" s="10" t="s">
        <v>52</v>
      </c>
      <c r="O25" s="5" t="s">
        <v>164</v>
      </c>
      <c r="P25" s="5" t="s">
        <v>144</v>
      </c>
      <c r="Q25" s="4" t="s">
        <v>57</v>
      </c>
      <c r="R25" s="90" t="s">
        <v>165</v>
      </c>
      <c r="S25" s="90" t="s">
        <v>165</v>
      </c>
      <c r="T25" s="90" t="s">
        <v>165</v>
      </c>
      <c r="U25" s="90" t="s">
        <v>165</v>
      </c>
      <c r="V25" s="90" t="s">
        <v>165</v>
      </c>
      <c r="W25" s="91">
        <f>'8'!D11</f>
        <v>4.6399999999999997</v>
      </c>
      <c r="X25" s="90" t="s">
        <v>165</v>
      </c>
      <c r="Y25" s="90" t="s">
        <v>165</v>
      </c>
      <c r="Z25" s="90" t="s">
        <v>165</v>
      </c>
      <c r="AA25" s="90" t="s">
        <v>165</v>
      </c>
      <c r="AB25" s="90" t="s">
        <v>165</v>
      </c>
      <c r="AC25" s="90">
        <f>'8'!D17</f>
        <v>5</v>
      </c>
      <c r="AD25" s="237">
        <f>AVERAGE(W25,AC25)</f>
        <v>4.82</v>
      </c>
      <c r="AE25" s="6"/>
    </row>
    <row r="26" spans="1:31">
      <c r="S26" s="6"/>
    </row>
    <row r="27" spans="1:31">
      <c r="S27" s="6"/>
    </row>
    <row r="28" spans="1:31">
      <c r="S28" s="6"/>
    </row>
    <row r="30" spans="1:31">
      <c r="W30">
        <v>4.5999999999999996</v>
      </c>
    </row>
    <row r="31" spans="1:31">
      <c r="W31">
        <v>5</v>
      </c>
    </row>
    <row r="32" spans="1:31">
      <c r="W32">
        <f>SUM(W30:W31)</f>
        <v>9.6</v>
      </c>
      <c r="X32">
        <f>AVERAGE(W30,W31)</f>
        <v>4.8</v>
      </c>
    </row>
  </sheetData>
  <mergeCells count="41">
    <mergeCell ref="I10:I11"/>
    <mergeCell ref="J10:J11"/>
    <mergeCell ref="K10:K11"/>
    <mergeCell ref="L10:L11"/>
    <mergeCell ref="C12:G13"/>
    <mergeCell ref="I12:I13"/>
    <mergeCell ref="J12:J13"/>
    <mergeCell ref="K12:K13"/>
    <mergeCell ref="L12:L13"/>
    <mergeCell ref="H10:H11"/>
    <mergeCell ref="H12:H13"/>
    <mergeCell ref="C24:G24"/>
    <mergeCell ref="C25:G25"/>
    <mergeCell ref="C16:G16"/>
    <mergeCell ref="C23:G23"/>
    <mergeCell ref="C10:G11"/>
    <mergeCell ref="B17:B22"/>
    <mergeCell ref="C17:G22"/>
    <mergeCell ref="A17:A22"/>
    <mergeCell ref="B10:B11"/>
    <mergeCell ref="A10:A11"/>
    <mergeCell ref="B12:B13"/>
    <mergeCell ref="A12:A13"/>
    <mergeCell ref="B14:B15"/>
    <mergeCell ref="A14:A15"/>
    <mergeCell ref="C14:G15"/>
    <mergeCell ref="A1:Q3"/>
    <mergeCell ref="A4:B8"/>
    <mergeCell ref="C4:Q8"/>
    <mergeCell ref="A9:B9"/>
    <mergeCell ref="C9:G9"/>
    <mergeCell ref="L17:L22"/>
    <mergeCell ref="K14:K15"/>
    <mergeCell ref="L14:L15"/>
    <mergeCell ref="I14:I15"/>
    <mergeCell ref="J14:J15"/>
    <mergeCell ref="H17:H22"/>
    <mergeCell ref="H14:H15"/>
    <mergeCell ref="I17:I22"/>
    <mergeCell ref="J17:J22"/>
    <mergeCell ref="K17:K22"/>
  </mergeCells>
  <pageMargins left="0" right="0" top="0.74803149606299213" bottom="0.74803149606299213" header="0.31496062992125984" footer="0.31496062992125984"/>
  <pageSetup paperSize="9" scale="3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
  <sheetViews>
    <sheetView topLeftCell="A16" zoomScale="82" zoomScaleNormal="82" workbookViewId="0">
      <selection activeCell="D27" sqref="D27"/>
    </sheetView>
  </sheetViews>
  <sheetFormatPr baseColWidth="10" defaultRowHeight="15"/>
  <cols>
    <col min="1" max="1" width="12.42578125" customWidth="1"/>
    <col min="2" max="2" width="14.42578125" customWidth="1"/>
    <col min="3" max="5" width="14.5703125" customWidth="1"/>
  </cols>
  <sheetData>
    <row r="1" spans="1:19">
      <c r="A1" s="178"/>
      <c r="B1" s="178"/>
      <c r="C1" s="142" t="s">
        <v>84</v>
      </c>
      <c r="D1" s="142"/>
      <c r="E1" s="142"/>
      <c r="F1" s="142"/>
      <c r="G1" s="142"/>
      <c r="H1" s="142"/>
      <c r="I1" s="179" t="s">
        <v>159</v>
      </c>
      <c r="J1" s="179"/>
    </row>
    <row r="2" spans="1:19">
      <c r="A2" s="178"/>
      <c r="B2" s="178"/>
      <c r="C2" s="142"/>
      <c r="D2" s="142"/>
      <c r="E2" s="142"/>
      <c r="F2" s="142"/>
      <c r="G2" s="142"/>
      <c r="H2" s="142"/>
      <c r="I2" s="179" t="s">
        <v>85</v>
      </c>
      <c r="J2" s="179"/>
      <c r="N2" s="30"/>
      <c r="O2" s="30"/>
      <c r="P2" s="30"/>
      <c r="Q2" s="30"/>
      <c r="R2" s="30"/>
      <c r="S2" s="30"/>
    </row>
    <row r="3" spans="1:19">
      <c r="A3" s="178"/>
      <c r="B3" s="178"/>
      <c r="C3" s="142"/>
      <c r="D3" s="142"/>
      <c r="E3" s="142"/>
      <c r="F3" s="142"/>
      <c r="G3" s="142"/>
      <c r="H3" s="142"/>
      <c r="I3" s="179" t="s">
        <v>127</v>
      </c>
      <c r="J3" s="179"/>
      <c r="N3" s="169"/>
      <c r="O3" s="169"/>
      <c r="P3" s="169"/>
      <c r="Q3" s="169"/>
      <c r="R3" s="169"/>
      <c r="S3" s="169"/>
    </row>
    <row r="4" spans="1:19" ht="15" customHeight="1">
      <c r="A4" s="182" t="s">
        <v>211</v>
      </c>
      <c r="B4" s="183"/>
      <c r="C4" s="186" t="s">
        <v>25</v>
      </c>
      <c r="D4" s="187"/>
      <c r="E4" s="187"/>
      <c r="F4" s="187"/>
      <c r="G4" s="187"/>
      <c r="H4" s="187"/>
      <c r="I4" s="187"/>
      <c r="J4" s="188"/>
      <c r="N4" s="30"/>
      <c r="O4" s="30"/>
      <c r="P4" s="30"/>
      <c r="Q4" s="30"/>
      <c r="R4" s="30"/>
      <c r="S4" s="30"/>
    </row>
    <row r="5" spans="1:19">
      <c r="A5" s="184"/>
      <c r="B5" s="185"/>
      <c r="C5" s="189"/>
      <c r="D5" s="190"/>
      <c r="E5" s="190"/>
      <c r="F5" s="190"/>
      <c r="G5" s="190"/>
      <c r="H5" s="190"/>
      <c r="I5" s="190"/>
      <c r="J5" s="191"/>
      <c r="N5" s="30"/>
      <c r="O5" s="30"/>
      <c r="P5" s="30"/>
      <c r="Q5" s="30"/>
      <c r="R5" s="30"/>
      <c r="S5" s="30"/>
    </row>
    <row r="6" spans="1:19" ht="30.75" customHeight="1">
      <c r="A6" s="180" t="s">
        <v>212</v>
      </c>
      <c r="B6" s="181"/>
      <c r="C6" s="192" t="s">
        <v>213</v>
      </c>
      <c r="D6" s="193"/>
      <c r="E6" s="193"/>
      <c r="F6" s="193"/>
      <c r="G6" s="193"/>
      <c r="H6" s="193"/>
      <c r="I6" s="193"/>
      <c r="J6" s="194"/>
      <c r="N6" s="30"/>
      <c r="O6" s="30"/>
      <c r="P6" s="30"/>
      <c r="Q6" s="30"/>
      <c r="R6" s="30"/>
      <c r="S6" s="30"/>
    </row>
    <row r="7" spans="1:19">
      <c r="A7" s="26"/>
      <c r="B7" s="27"/>
      <c r="C7" s="26"/>
      <c r="D7" s="27"/>
      <c r="E7" s="26"/>
      <c r="F7" s="27"/>
      <c r="G7" s="26"/>
      <c r="H7" s="27"/>
      <c r="I7" s="26"/>
      <c r="J7" s="27"/>
      <c r="N7" s="30"/>
      <c r="O7" s="30"/>
      <c r="P7" s="30"/>
      <c r="Q7" s="30"/>
      <c r="R7" s="30"/>
      <c r="S7" s="30"/>
    </row>
    <row r="8" spans="1:19" ht="15" customHeight="1">
      <c r="A8" s="114" t="s">
        <v>3</v>
      </c>
      <c r="B8" s="170" t="s">
        <v>49</v>
      </c>
      <c r="C8" s="170"/>
      <c r="D8" s="170"/>
      <c r="E8" s="170"/>
      <c r="F8" s="170"/>
      <c r="G8" s="170"/>
      <c r="H8" s="170"/>
      <c r="I8" s="170"/>
      <c r="J8" s="171"/>
    </row>
    <row r="9" spans="1:19">
      <c r="A9" s="102" t="s">
        <v>63</v>
      </c>
      <c r="B9" s="172" t="s">
        <v>80</v>
      </c>
      <c r="C9" s="172"/>
      <c r="D9" s="172"/>
      <c r="E9" s="172"/>
      <c r="F9" s="172"/>
      <c r="G9" s="172"/>
      <c r="H9" s="172"/>
      <c r="I9" s="172"/>
      <c r="J9" s="173"/>
    </row>
    <row r="10" spans="1:19" ht="58.5" customHeight="1">
      <c r="A10" s="105" t="s">
        <v>65</v>
      </c>
      <c r="B10" s="104" t="s">
        <v>78</v>
      </c>
      <c r="C10" s="104" t="s">
        <v>222</v>
      </c>
      <c r="D10" s="104" t="s">
        <v>64</v>
      </c>
      <c r="E10" s="195"/>
      <c r="F10" s="195"/>
      <c r="G10" s="195"/>
      <c r="H10" s="195"/>
      <c r="I10" s="195"/>
      <c r="J10" s="196"/>
      <c r="K10" s="113"/>
      <c r="L10" s="103"/>
      <c r="M10" s="103"/>
      <c r="N10" s="103"/>
      <c r="O10" s="103"/>
    </row>
    <row r="11" spans="1:19">
      <c r="A11" s="24" t="s">
        <v>66</v>
      </c>
      <c r="B11" s="23">
        <v>348</v>
      </c>
      <c r="C11" s="23">
        <v>364</v>
      </c>
      <c r="D11" s="25">
        <f>B11/C11</f>
        <v>0.95604395604395609</v>
      </c>
      <c r="E11" s="111"/>
      <c r="F11" s="111"/>
      <c r="G11" s="111"/>
      <c r="H11" s="111"/>
      <c r="I11" s="111"/>
      <c r="J11" s="112"/>
    </row>
    <row r="12" spans="1:19">
      <c r="A12" s="24" t="s">
        <v>67</v>
      </c>
      <c r="B12" s="23">
        <v>298</v>
      </c>
      <c r="C12" s="23">
        <v>305</v>
      </c>
      <c r="D12" s="25">
        <f t="shared" ref="D12:D22" si="0">B12/C12</f>
        <v>0.9770491803278688</v>
      </c>
      <c r="E12" s="111"/>
      <c r="F12" s="111"/>
      <c r="G12" s="111"/>
      <c r="H12" s="111"/>
      <c r="I12" s="111"/>
      <c r="J12" s="112"/>
    </row>
    <row r="13" spans="1:19">
      <c r="A13" s="24" t="s">
        <v>68</v>
      </c>
      <c r="B13" s="23">
        <v>432</v>
      </c>
      <c r="C13" s="23">
        <v>443</v>
      </c>
      <c r="D13" s="25">
        <f t="shared" si="0"/>
        <v>0.97516930022573367</v>
      </c>
      <c r="E13" s="111"/>
      <c r="F13" s="111"/>
      <c r="G13" s="111"/>
      <c r="H13" s="111"/>
      <c r="I13" s="111"/>
      <c r="J13" s="112"/>
    </row>
    <row r="14" spans="1:19">
      <c r="A14" s="24" t="s">
        <v>69</v>
      </c>
      <c r="B14" s="23">
        <v>334</v>
      </c>
      <c r="C14" s="23">
        <v>341</v>
      </c>
      <c r="D14" s="25">
        <f t="shared" si="0"/>
        <v>0.97947214076246336</v>
      </c>
      <c r="E14" s="111"/>
      <c r="F14" s="111"/>
      <c r="G14" s="111"/>
      <c r="H14" s="111"/>
      <c r="I14" s="111"/>
      <c r="J14" s="112"/>
    </row>
    <row r="15" spans="1:19">
      <c r="A15" s="24" t="s">
        <v>70</v>
      </c>
      <c r="B15" s="23">
        <v>373</v>
      </c>
      <c r="C15" s="23">
        <v>383</v>
      </c>
      <c r="D15" s="25">
        <f t="shared" si="0"/>
        <v>0.97389033942558745</v>
      </c>
      <c r="E15" s="111"/>
      <c r="F15" s="111"/>
      <c r="G15" s="111"/>
      <c r="H15" s="111"/>
      <c r="I15" s="111"/>
      <c r="J15" s="112"/>
      <c r="L15" t="s">
        <v>210</v>
      </c>
    </row>
    <row r="16" spans="1:19">
      <c r="A16" s="24" t="s">
        <v>71</v>
      </c>
      <c r="B16" s="23">
        <v>395</v>
      </c>
      <c r="C16" s="23">
        <v>400</v>
      </c>
      <c r="D16" s="25">
        <f t="shared" si="0"/>
        <v>0.98750000000000004</v>
      </c>
      <c r="E16" s="111"/>
      <c r="F16" s="111"/>
      <c r="G16" s="111"/>
      <c r="H16" s="111"/>
      <c r="I16" s="111"/>
      <c r="J16" s="112"/>
    </row>
    <row r="17" spans="1:10">
      <c r="A17" s="24" t="s">
        <v>72</v>
      </c>
      <c r="B17" s="23">
        <v>405</v>
      </c>
      <c r="C17" s="23">
        <v>411</v>
      </c>
      <c r="D17" s="25">
        <f t="shared" si="0"/>
        <v>0.98540145985401462</v>
      </c>
      <c r="E17" s="111"/>
      <c r="F17" s="111"/>
      <c r="G17" s="111"/>
      <c r="H17" s="111"/>
      <c r="I17" s="111"/>
      <c r="J17" s="112"/>
    </row>
    <row r="18" spans="1:10">
      <c r="A18" s="24" t="s">
        <v>73</v>
      </c>
      <c r="B18" s="23">
        <v>418</v>
      </c>
      <c r="C18" s="23">
        <v>422</v>
      </c>
      <c r="D18" s="25">
        <f t="shared" si="0"/>
        <v>0.99052132701421802</v>
      </c>
      <c r="E18" s="111"/>
      <c r="F18" s="111"/>
      <c r="G18" s="111"/>
      <c r="H18" s="111"/>
      <c r="I18" s="111"/>
      <c r="J18" s="112"/>
    </row>
    <row r="19" spans="1:10">
      <c r="A19" s="24" t="s">
        <v>74</v>
      </c>
      <c r="B19" s="23">
        <v>483</v>
      </c>
      <c r="C19" s="23">
        <v>495</v>
      </c>
      <c r="D19" s="25">
        <f t="shared" si="0"/>
        <v>0.97575757575757571</v>
      </c>
      <c r="E19" s="111"/>
      <c r="F19" s="111"/>
      <c r="G19" s="111"/>
      <c r="H19" s="111"/>
      <c r="I19" s="111"/>
      <c r="J19" s="112"/>
    </row>
    <row r="20" spans="1:10">
      <c r="A20" s="24" t="s">
        <v>75</v>
      </c>
      <c r="B20" s="23">
        <v>436</v>
      </c>
      <c r="C20" s="23">
        <v>444</v>
      </c>
      <c r="D20" s="25">
        <f t="shared" si="0"/>
        <v>0.98198198198198194</v>
      </c>
      <c r="E20" s="111"/>
      <c r="F20" s="111"/>
      <c r="G20" s="111"/>
      <c r="H20" s="111"/>
      <c r="I20" s="111"/>
      <c r="J20" s="112"/>
    </row>
    <row r="21" spans="1:10">
      <c r="A21" s="24" t="s">
        <v>76</v>
      </c>
      <c r="B21" s="23">
        <v>418</v>
      </c>
      <c r="C21" s="23">
        <v>440</v>
      </c>
      <c r="D21" s="25">
        <f t="shared" si="0"/>
        <v>0.95</v>
      </c>
      <c r="E21" s="111"/>
      <c r="F21" s="111"/>
      <c r="G21" s="111"/>
      <c r="H21" s="111"/>
      <c r="I21" s="111"/>
      <c r="J21" s="112"/>
    </row>
    <row r="22" spans="1:10">
      <c r="A22" s="24" t="s">
        <v>77</v>
      </c>
      <c r="B22" s="23">
        <v>390</v>
      </c>
      <c r="C22" s="23">
        <v>424</v>
      </c>
      <c r="D22" s="25">
        <f t="shared" si="0"/>
        <v>0.91981132075471694</v>
      </c>
      <c r="E22" s="115"/>
      <c r="F22" s="115"/>
      <c r="G22" s="115"/>
      <c r="H22" s="115"/>
      <c r="I22" s="115"/>
      <c r="J22" s="116"/>
    </row>
    <row r="23" spans="1:10">
      <c r="A23" s="177"/>
      <c r="B23" s="177"/>
      <c r="C23" s="177"/>
      <c r="D23" s="177"/>
      <c r="E23" s="177"/>
      <c r="F23" s="177"/>
      <c r="G23" s="177"/>
      <c r="H23" s="177"/>
      <c r="I23" s="177"/>
      <c r="J23" s="177"/>
    </row>
    <row r="24" spans="1:10">
      <c r="A24" s="31" t="s">
        <v>3</v>
      </c>
      <c r="B24" s="174" t="s">
        <v>92</v>
      </c>
      <c r="C24" s="174"/>
      <c r="D24" s="174"/>
      <c r="E24" s="174"/>
      <c r="F24" s="174"/>
      <c r="G24" s="174"/>
      <c r="H24" s="174"/>
      <c r="I24" s="174"/>
      <c r="J24" s="174"/>
    </row>
    <row r="25" spans="1:10">
      <c r="A25" s="31" t="s">
        <v>63</v>
      </c>
      <c r="B25" s="175" t="s">
        <v>89</v>
      </c>
      <c r="C25" s="175"/>
      <c r="D25" s="175"/>
      <c r="E25" s="176"/>
      <c r="F25" s="176"/>
      <c r="G25" s="176"/>
      <c r="H25" s="176"/>
      <c r="I25" s="176"/>
      <c r="J25" s="176"/>
    </row>
    <row r="26" spans="1:10" ht="90">
      <c r="A26" s="2" t="s">
        <v>65</v>
      </c>
      <c r="B26" s="3" t="s">
        <v>91</v>
      </c>
      <c r="C26" s="3" t="s">
        <v>90</v>
      </c>
      <c r="D26" s="3" t="s">
        <v>94</v>
      </c>
      <c r="E26" s="30"/>
      <c r="F26" s="30"/>
      <c r="G26" s="30"/>
      <c r="H26" s="30"/>
      <c r="I26" s="30"/>
      <c r="J26" s="33"/>
    </row>
    <row r="27" spans="1:10">
      <c r="A27" s="24" t="s">
        <v>66</v>
      </c>
      <c r="B27" s="23">
        <v>0</v>
      </c>
      <c r="C27" s="23">
        <v>98</v>
      </c>
      <c r="D27" s="25">
        <f t="shared" ref="D27:D38" si="1">B27/C27</f>
        <v>0</v>
      </c>
      <c r="E27" s="30"/>
      <c r="F27" s="30"/>
      <c r="G27" s="30"/>
      <c r="H27" s="30"/>
      <c r="I27" s="30"/>
      <c r="J27" s="33"/>
    </row>
    <row r="28" spans="1:10">
      <c r="A28" s="24" t="s">
        <v>67</v>
      </c>
      <c r="B28" s="23">
        <v>0</v>
      </c>
      <c r="C28" s="23">
        <v>69</v>
      </c>
      <c r="D28" s="25">
        <f t="shared" si="1"/>
        <v>0</v>
      </c>
      <c r="E28" s="30"/>
      <c r="F28" s="30"/>
      <c r="G28" s="30"/>
      <c r="H28" s="30"/>
      <c r="I28" s="30"/>
      <c r="J28" s="33"/>
    </row>
    <row r="29" spans="1:10">
      <c r="A29" s="24" t="s">
        <v>68</v>
      </c>
      <c r="B29" s="23">
        <v>0</v>
      </c>
      <c r="C29" s="23">
        <v>82</v>
      </c>
      <c r="D29" s="25">
        <f t="shared" si="1"/>
        <v>0</v>
      </c>
      <c r="E29" s="30"/>
      <c r="F29" s="30"/>
      <c r="G29" s="30"/>
      <c r="H29" s="30"/>
      <c r="I29" s="30"/>
      <c r="J29" s="33"/>
    </row>
    <row r="30" spans="1:10">
      <c r="A30" s="24" t="s">
        <v>69</v>
      </c>
      <c r="B30" s="23">
        <v>0</v>
      </c>
      <c r="C30" s="23">
        <v>72</v>
      </c>
      <c r="D30" s="25">
        <f t="shared" si="1"/>
        <v>0</v>
      </c>
      <c r="E30" s="30"/>
      <c r="F30" s="30"/>
      <c r="G30" s="30"/>
      <c r="H30" s="30"/>
      <c r="I30" s="30"/>
      <c r="J30" s="33"/>
    </row>
    <row r="31" spans="1:10">
      <c r="A31" s="24" t="s">
        <v>70</v>
      </c>
      <c r="B31" s="23">
        <v>0</v>
      </c>
      <c r="C31" s="23">
        <v>119</v>
      </c>
      <c r="D31" s="25">
        <f t="shared" si="1"/>
        <v>0</v>
      </c>
      <c r="E31" s="30"/>
      <c r="F31" s="30"/>
      <c r="G31" s="30"/>
      <c r="H31" s="30"/>
      <c r="I31" s="30"/>
      <c r="J31" s="33"/>
    </row>
    <row r="32" spans="1:10">
      <c r="A32" s="24" t="s">
        <v>71</v>
      </c>
      <c r="B32" s="23">
        <v>0</v>
      </c>
      <c r="C32" s="23">
        <v>99</v>
      </c>
      <c r="D32" s="25">
        <f t="shared" si="1"/>
        <v>0</v>
      </c>
      <c r="E32" s="30"/>
      <c r="F32" s="30"/>
      <c r="G32" s="30"/>
      <c r="H32" s="30"/>
      <c r="I32" s="30"/>
      <c r="J32" s="33"/>
    </row>
    <row r="33" spans="1:10">
      <c r="A33" s="24" t="s">
        <v>72</v>
      </c>
      <c r="B33" s="23">
        <v>0</v>
      </c>
      <c r="C33" s="23">
        <v>85</v>
      </c>
      <c r="D33" s="25">
        <f t="shared" si="1"/>
        <v>0</v>
      </c>
      <c r="E33" s="30"/>
      <c r="F33" s="30"/>
      <c r="G33" s="30"/>
      <c r="H33" s="30"/>
      <c r="I33" s="30"/>
      <c r="J33" s="33"/>
    </row>
    <row r="34" spans="1:10">
      <c r="A34" s="24" t="s">
        <v>73</v>
      </c>
      <c r="B34" s="23">
        <v>0</v>
      </c>
      <c r="C34" s="23">
        <v>72</v>
      </c>
      <c r="D34" s="25">
        <f t="shared" si="1"/>
        <v>0</v>
      </c>
      <c r="E34" s="30"/>
      <c r="F34" s="30"/>
      <c r="G34" s="30"/>
      <c r="H34" s="30"/>
      <c r="I34" s="30"/>
      <c r="J34" s="33"/>
    </row>
    <row r="35" spans="1:10">
      <c r="A35" s="24" t="s">
        <v>74</v>
      </c>
      <c r="B35" s="23">
        <v>0</v>
      </c>
      <c r="C35" s="23">
        <v>61</v>
      </c>
      <c r="D35" s="25">
        <f t="shared" si="1"/>
        <v>0</v>
      </c>
      <c r="E35" s="30"/>
      <c r="F35" s="30"/>
      <c r="G35" s="30"/>
      <c r="H35" s="30"/>
      <c r="I35" s="30"/>
      <c r="J35" s="33"/>
    </row>
    <row r="36" spans="1:10">
      <c r="A36" s="24" t="s">
        <v>75</v>
      </c>
      <c r="B36" s="23">
        <v>0</v>
      </c>
      <c r="C36" s="23">
        <v>69</v>
      </c>
      <c r="D36" s="25">
        <f t="shared" si="1"/>
        <v>0</v>
      </c>
      <c r="E36" s="30"/>
      <c r="F36" s="30"/>
      <c r="G36" s="30"/>
      <c r="H36" s="30"/>
      <c r="I36" s="30"/>
      <c r="J36" s="33"/>
    </row>
    <row r="37" spans="1:10">
      <c r="A37" s="24" t="s">
        <v>76</v>
      </c>
      <c r="B37" s="23">
        <v>0</v>
      </c>
      <c r="C37" s="23">
        <v>70</v>
      </c>
      <c r="D37" s="25">
        <f t="shared" si="1"/>
        <v>0</v>
      </c>
      <c r="E37" s="30"/>
      <c r="F37" s="30"/>
      <c r="G37" s="30"/>
      <c r="H37" s="30"/>
      <c r="I37" s="30"/>
      <c r="J37" s="33"/>
    </row>
    <row r="38" spans="1:10">
      <c r="A38" s="24" t="s">
        <v>77</v>
      </c>
      <c r="B38" s="23">
        <v>0</v>
      </c>
      <c r="C38" s="23">
        <v>57</v>
      </c>
      <c r="D38" s="25">
        <f t="shared" si="1"/>
        <v>0</v>
      </c>
      <c r="E38" s="30"/>
      <c r="F38" s="30"/>
      <c r="G38" s="30"/>
      <c r="H38" s="30"/>
      <c r="I38" s="30"/>
      <c r="J38" s="33"/>
    </row>
    <row r="39" spans="1:10">
      <c r="A39" s="21"/>
      <c r="B39" s="30"/>
      <c r="C39" s="30"/>
      <c r="D39" s="30"/>
      <c r="E39" s="30"/>
      <c r="F39" s="30"/>
      <c r="G39" s="30"/>
      <c r="H39" s="30"/>
      <c r="I39" s="30"/>
      <c r="J39" s="33"/>
    </row>
    <row r="40" spans="1:10" ht="15.75">
      <c r="A40" s="34" t="s">
        <v>194</v>
      </c>
      <c r="B40" s="32"/>
      <c r="C40" s="30"/>
      <c r="D40" s="30"/>
      <c r="E40" s="30"/>
      <c r="F40" s="30"/>
      <c r="G40" s="30"/>
      <c r="H40" s="30"/>
      <c r="I40" s="30"/>
      <c r="J40" s="33"/>
    </row>
    <row r="41" spans="1:10">
      <c r="A41" s="22"/>
      <c r="B41" s="35"/>
      <c r="C41" s="35"/>
      <c r="D41" s="35"/>
      <c r="E41" s="35"/>
      <c r="F41" s="35"/>
      <c r="G41" s="35"/>
      <c r="H41" s="35"/>
      <c r="I41" s="35"/>
      <c r="J41" s="36"/>
    </row>
  </sheetData>
  <mergeCells count="16">
    <mergeCell ref="N3:S3"/>
    <mergeCell ref="B8:J8"/>
    <mergeCell ref="B9:J9"/>
    <mergeCell ref="B24:J24"/>
    <mergeCell ref="B25:J25"/>
    <mergeCell ref="A23:J23"/>
    <mergeCell ref="A1:B3"/>
    <mergeCell ref="C1:H3"/>
    <mergeCell ref="I1:J1"/>
    <mergeCell ref="I2:J2"/>
    <mergeCell ref="I3:J3"/>
    <mergeCell ref="A6:B6"/>
    <mergeCell ref="A4:B5"/>
    <mergeCell ref="C4:J5"/>
    <mergeCell ref="C6:J6"/>
    <mergeCell ref="E10:J10"/>
  </mergeCells>
  <pageMargins left="0.7" right="0.7" top="0.75" bottom="0.75" header="0.3" footer="0.3"/>
  <pageSetup scale="7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2"/>
  <sheetViews>
    <sheetView zoomScale="90" zoomScaleNormal="90" workbookViewId="0">
      <selection activeCell="L13" sqref="L13"/>
    </sheetView>
  </sheetViews>
  <sheetFormatPr baseColWidth="10" defaultRowHeight="15"/>
  <cols>
    <col min="1" max="1" width="12.28515625" customWidth="1"/>
    <col min="2" max="5" width="14.5703125" customWidth="1"/>
  </cols>
  <sheetData>
    <row r="1" spans="1:19">
      <c r="A1" s="178"/>
      <c r="B1" s="178"/>
      <c r="C1" s="142" t="s">
        <v>84</v>
      </c>
      <c r="D1" s="142"/>
      <c r="E1" s="142"/>
      <c r="F1" s="142"/>
      <c r="G1" s="142"/>
      <c r="H1" s="142"/>
      <c r="I1" s="179" t="s">
        <v>159</v>
      </c>
      <c r="J1" s="179"/>
    </row>
    <row r="2" spans="1:19">
      <c r="A2" s="178"/>
      <c r="B2" s="178"/>
      <c r="C2" s="142"/>
      <c r="D2" s="142"/>
      <c r="E2" s="142"/>
      <c r="F2" s="142"/>
      <c r="G2" s="142"/>
      <c r="H2" s="142"/>
      <c r="I2" s="179" t="s">
        <v>85</v>
      </c>
      <c r="J2" s="179"/>
      <c r="N2" s="30"/>
      <c r="O2" s="30"/>
      <c r="P2" s="30"/>
      <c r="Q2" s="30"/>
      <c r="R2" s="30"/>
      <c r="S2" s="30"/>
    </row>
    <row r="3" spans="1:19">
      <c r="A3" s="178"/>
      <c r="B3" s="178"/>
      <c r="C3" s="142"/>
      <c r="D3" s="142"/>
      <c r="E3" s="142"/>
      <c r="F3" s="142"/>
      <c r="G3" s="142"/>
      <c r="H3" s="142"/>
      <c r="I3" s="179" t="s">
        <v>126</v>
      </c>
      <c r="J3" s="179"/>
      <c r="N3" s="169"/>
      <c r="O3" s="169"/>
      <c r="P3" s="169"/>
      <c r="Q3" s="169"/>
      <c r="R3" s="169"/>
      <c r="S3" s="169"/>
    </row>
    <row r="4" spans="1:19" ht="15" customHeight="1">
      <c r="A4" s="201" t="s">
        <v>62</v>
      </c>
      <c r="B4" s="201"/>
      <c r="C4" s="202" t="s">
        <v>19</v>
      </c>
      <c r="D4" s="202"/>
      <c r="E4" s="202"/>
      <c r="F4" s="202"/>
      <c r="G4" s="202"/>
      <c r="H4" s="202"/>
      <c r="I4" s="202"/>
      <c r="J4" s="202"/>
      <c r="N4" s="30"/>
      <c r="O4" s="30"/>
      <c r="P4" s="30"/>
      <c r="Q4" s="30"/>
      <c r="R4" s="30"/>
      <c r="S4" s="30"/>
    </row>
    <row r="5" spans="1:19">
      <c r="A5" s="201"/>
      <c r="B5" s="201"/>
      <c r="C5" s="202"/>
      <c r="D5" s="202"/>
      <c r="E5" s="202"/>
      <c r="F5" s="202"/>
      <c r="G5" s="202"/>
      <c r="H5" s="202"/>
      <c r="I5" s="202"/>
      <c r="J5" s="202"/>
      <c r="N5" s="30"/>
      <c r="O5" s="30"/>
      <c r="P5" s="30"/>
      <c r="Q5" s="30"/>
      <c r="R5" s="30"/>
      <c r="S5" s="30"/>
    </row>
    <row r="6" spans="1:19" ht="50.25" customHeight="1">
      <c r="A6" s="201" t="s">
        <v>212</v>
      </c>
      <c r="B6" s="201"/>
      <c r="C6" s="197" t="s">
        <v>214</v>
      </c>
      <c r="D6" s="198"/>
      <c r="E6" s="198"/>
      <c r="F6" s="198"/>
      <c r="G6" s="198"/>
      <c r="H6" s="198"/>
      <c r="I6" s="198"/>
      <c r="J6" s="199"/>
      <c r="N6" s="30"/>
      <c r="O6" s="30"/>
      <c r="P6" s="30"/>
      <c r="Q6" s="30"/>
      <c r="R6" s="30"/>
      <c r="S6" s="30"/>
    </row>
    <row r="7" spans="1:19">
      <c r="A7" s="26"/>
      <c r="B7" s="27"/>
      <c r="C7" s="27"/>
      <c r="D7" s="27"/>
      <c r="E7" s="27"/>
      <c r="F7" s="27"/>
      <c r="G7" s="27"/>
      <c r="H7" s="27"/>
      <c r="I7" s="27"/>
      <c r="J7" s="27"/>
      <c r="N7" s="30"/>
      <c r="O7" s="30"/>
      <c r="P7" s="30"/>
      <c r="Q7" s="30"/>
      <c r="R7" s="30"/>
      <c r="S7" s="30"/>
    </row>
    <row r="8" spans="1:19" ht="15" customHeight="1">
      <c r="A8" s="31" t="s">
        <v>3</v>
      </c>
      <c r="B8" s="174" t="s">
        <v>140</v>
      </c>
      <c r="C8" s="174"/>
      <c r="D8" s="174"/>
      <c r="E8" s="174"/>
      <c r="F8" s="174"/>
      <c r="G8" s="174"/>
      <c r="H8" s="174"/>
      <c r="I8" s="174"/>
      <c r="J8" s="174"/>
    </row>
    <row r="9" spans="1:19">
      <c r="A9" s="31" t="s">
        <v>63</v>
      </c>
      <c r="B9" s="176" t="s">
        <v>87</v>
      </c>
      <c r="C9" s="176"/>
      <c r="D9" s="176"/>
      <c r="E9" s="176"/>
      <c r="F9" s="176"/>
      <c r="G9" s="176"/>
      <c r="H9" s="176"/>
      <c r="I9" s="176"/>
      <c r="J9" s="176"/>
    </row>
    <row r="10" spans="1:19" ht="58.5" customHeight="1">
      <c r="A10" s="2" t="s">
        <v>65</v>
      </c>
      <c r="B10" s="3" t="s">
        <v>141</v>
      </c>
      <c r="C10" s="3" t="s">
        <v>142</v>
      </c>
      <c r="D10" s="3" t="s">
        <v>143</v>
      </c>
      <c r="E10" s="30"/>
      <c r="F10" s="30"/>
      <c r="G10" s="30"/>
      <c r="H10" s="30"/>
      <c r="I10" s="30"/>
      <c r="J10" s="33"/>
    </row>
    <row r="11" spans="1:19">
      <c r="A11" s="24" t="s">
        <v>66</v>
      </c>
      <c r="B11" s="57">
        <v>4.8</v>
      </c>
      <c r="C11" s="57">
        <v>4.7</v>
      </c>
      <c r="D11" s="57">
        <v>4.8</v>
      </c>
      <c r="E11" s="30"/>
      <c r="F11" s="30"/>
      <c r="G11" s="30"/>
      <c r="H11" s="30"/>
      <c r="I11" s="30"/>
      <c r="J11" s="33"/>
    </row>
    <row r="12" spans="1:19">
      <c r="A12" s="24" t="s">
        <v>67</v>
      </c>
      <c r="B12" s="57">
        <v>4.7</v>
      </c>
      <c r="C12" s="57">
        <v>4.8</v>
      </c>
      <c r="D12" s="57">
        <v>4.8</v>
      </c>
      <c r="E12" s="30"/>
      <c r="F12" s="30"/>
      <c r="G12" s="30"/>
      <c r="H12" s="30"/>
      <c r="I12" s="30"/>
      <c r="J12" s="33"/>
    </row>
    <row r="13" spans="1:19">
      <c r="A13" s="24" t="s">
        <v>68</v>
      </c>
      <c r="B13" s="57">
        <v>4.4000000000000004</v>
      </c>
      <c r="C13" s="57">
        <v>4.5999999999999996</v>
      </c>
      <c r="D13" s="57">
        <v>4.8</v>
      </c>
      <c r="E13" s="30"/>
      <c r="F13" s="30"/>
      <c r="G13" s="30"/>
      <c r="H13" s="30"/>
      <c r="I13" s="30"/>
      <c r="J13" s="33"/>
      <c r="L13">
        <f>56.4/12</f>
        <v>4.7</v>
      </c>
    </row>
    <row r="14" spans="1:19">
      <c r="A14" s="24" t="s">
        <v>69</v>
      </c>
      <c r="B14" s="57">
        <v>5</v>
      </c>
      <c r="C14" s="57">
        <v>4.7</v>
      </c>
      <c r="D14" s="57">
        <v>4.7</v>
      </c>
      <c r="E14" s="30"/>
      <c r="F14" s="30"/>
      <c r="G14" s="30"/>
      <c r="H14" s="30"/>
      <c r="I14" s="30"/>
      <c r="J14" s="33"/>
    </row>
    <row r="15" spans="1:19">
      <c r="A15" s="24" t="s">
        <v>70</v>
      </c>
      <c r="B15" s="57">
        <v>4.75</v>
      </c>
      <c r="C15" s="57">
        <v>4.8</v>
      </c>
      <c r="D15" s="57">
        <v>4.8</v>
      </c>
      <c r="E15" s="30"/>
      <c r="F15" s="30"/>
      <c r="G15" s="30"/>
      <c r="H15" s="30"/>
      <c r="I15" s="30"/>
      <c r="J15" s="33"/>
    </row>
    <row r="16" spans="1:19">
      <c r="A16" s="24" t="s">
        <v>71</v>
      </c>
      <c r="B16" s="57">
        <v>4.5</v>
      </c>
      <c r="C16" s="57">
        <v>4.59</v>
      </c>
      <c r="D16" s="57">
        <v>4.59</v>
      </c>
      <c r="E16" s="30"/>
      <c r="F16" s="30"/>
      <c r="G16" s="30"/>
      <c r="H16" s="30"/>
      <c r="I16" s="30"/>
      <c r="J16" s="33"/>
    </row>
    <row r="17" spans="1:10">
      <c r="A17" s="24" t="s">
        <v>72</v>
      </c>
      <c r="B17" s="57">
        <v>4.5</v>
      </c>
      <c r="C17" s="57">
        <v>4.4000000000000004</v>
      </c>
      <c r="D17" s="57">
        <v>4.5</v>
      </c>
      <c r="E17" s="30"/>
      <c r="F17" s="30"/>
      <c r="G17" s="30"/>
      <c r="H17" s="30"/>
      <c r="I17" s="30"/>
      <c r="J17" s="33"/>
    </row>
    <row r="18" spans="1:10">
      <c r="A18" s="24" t="s">
        <v>73</v>
      </c>
      <c r="B18" s="57">
        <v>4.8</v>
      </c>
      <c r="C18" s="57">
        <v>4.7</v>
      </c>
      <c r="D18" s="57">
        <v>4.8</v>
      </c>
      <c r="E18" s="30"/>
      <c r="F18" s="30"/>
      <c r="G18" s="30"/>
      <c r="H18" s="30"/>
      <c r="I18" s="30"/>
      <c r="J18" s="33"/>
    </row>
    <row r="19" spans="1:10">
      <c r="A19" s="24" t="s">
        <v>74</v>
      </c>
      <c r="B19" s="57">
        <v>4.7</v>
      </c>
      <c r="C19" s="57">
        <v>4.8</v>
      </c>
      <c r="D19" s="57">
        <v>4.8</v>
      </c>
      <c r="E19" s="30"/>
      <c r="F19" s="30"/>
      <c r="G19" s="30"/>
      <c r="H19" s="30"/>
      <c r="I19" s="30"/>
      <c r="J19" s="33"/>
    </row>
    <row r="20" spans="1:10">
      <c r="A20" s="24" t="s">
        <v>75</v>
      </c>
      <c r="B20" s="57">
        <v>4.5</v>
      </c>
      <c r="C20" s="57">
        <v>4.4000000000000004</v>
      </c>
      <c r="D20" s="57">
        <v>4.5666665999999996</v>
      </c>
      <c r="E20" s="30"/>
      <c r="F20" s="30"/>
      <c r="G20" s="30"/>
      <c r="H20" s="30"/>
      <c r="I20" s="30"/>
      <c r="J20" s="33"/>
    </row>
    <row r="21" spans="1:10">
      <c r="A21" s="24" t="s">
        <v>76</v>
      </c>
      <c r="B21" s="57">
        <v>4.4000000000000004</v>
      </c>
      <c r="C21" s="57">
        <v>4.2</v>
      </c>
      <c r="D21" s="57">
        <v>4.3</v>
      </c>
      <c r="E21" s="30"/>
      <c r="F21" s="30"/>
      <c r="G21" s="30"/>
      <c r="H21" s="30"/>
      <c r="I21" s="30"/>
      <c r="J21" s="33"/>
    </row>
    <row r="22" spans="1:10">
      <c r="A22" s="29" t="s">
        <v>77</v>
      </c>
      <c r="B22" s="57">
        <v>4.8</v>
      </c>
      <c r="C22" s="57">
        <v>4.7</v>
      </c>
      <c r="D22" s="57">
        <v>4.9000000000000004</v>
      </c>
      <c r="E22" s="30"/>
      <c r="F22" s="30"/>
      <c r="G22" s="30"/>
      <c r="H22" s="30"/>
      <c r="I22" s="30"/>
      <c r="J22" s="33"/>
    </row>
    <row r="23" spans="1:10">
      <c r="A23" s="200"/>
      <c r="B23" s="200"/>
      <c r="C23" s="200"/>
      <c r="D23" s="200"/>
      <c r="E23" s="200"/>
      <c r="F23" s="200"/>
      <c r="G23" s="200"/>
      <c r="H23" s="200"/>
      <c r="I23" s="200"/>
      <c r="J23" s="200"/>
    </row>
    <row r="24" spans="1:10">
      <c r="A24" s="31" t="s">
        <v>3</v>
      </c>
      <c r="B24" s="174" t="s">
        <v>200</v>
      </c>
      <c r="C24" s="174"/>
      <c r="D24" s="174"/>
      <c r="E24" s="174"/>
      <c r="F24" s="174"/>
      <c r="G24" s="174"/>
      <c r="H24" s="174"/>
      <c r="I24" s="174"/>
      <c r="J24" s="174"/>
    </row>
    <row r="25" spans="1:10">
      <c r="A25" s="31" t="s">
        <v>63</v>
      </c>
      <c r="B25" s="176" t="s">
        <v>201</v>
      </c>
      <c r="C25" s="176"/>
      <c r="D25" s="176"/>
      <c r="E25" s="176"/>
      <c r="F25" s="176"/>
      <c r="G25" s="176"/>
      <c r="H25" s="176"/>
      <c r="I25" s="176"/>
      <c r="J25" s="176"/>
    </row>
    <row r="26" spans="1:10" ht="75">
      <c r="A26" s="2" t="s">
        <v>65</v>
      </c>
      <c r="B26" s="3" t="s">
        <v>202</v>
      </c>
      <c r="C26" s="3" t="s">
        <v>203</v>
      </c>
      <c r="D26" s="3" t="s">
        <v>204</v>
      </c>
      <c r="E26" s="30"/>
      <c r="F26" s="30"/>
      <c r="G26" s="30"/>
      <c r="H26" s="30"/>
      <c r="I26" s="30"/>
      <c r="J26" s="33"/>
    </row>
    <row r="27" spans="1:10">
      <c r="A27" s="24" t="s">
        <v>66</v>
      </c>
      <c r="B27" s="60">
        <v>0</v>
      </c>
      <c r="C27" s="60">
        <v>0</v>
      </c>
      <c r="D27" s="25">
        <v>0</v>
      </c>
      <c r="E27" s="30"/>
      <c r="F27" s="30"/>
      <c r="G27" s="30"/>
      <c r="H27" s="30"/>
      <c r="I27" s="30"/>
      <c r="J27" s="33"/>
    </row>
    <row r="28" spans="1:10">
      <c r="A28" s="24" t="s">
        <v>67</v>
      </c>
      <c r="B28" s="60">
        <v>0</v>
      </c>
      <c r="C28" s="60">
        <v>0</v>
      </c>
      <c r="D28" s="25">
        <v>0</v>
      </c>
      <c r="E28" s="30"/>
      <c r="F28" s="30"/>
      <c r="G28" s="30"/>
      <c r="H28" s="30"/>
      <c r="I28" s="30"/>
      <c r="J28" s="33"/>
    </row>
    <row r="29" spans="1:10">
      <c r="A29" s="24" t="s">
        <v>68</v>
      </c>
      <c r="B29" s="60">
        <v>1</v>
      </c>
      <c r="C29" s="60">
        <v>1</v>
      </c>
      <c r="D29" s="25">
        <f t="shared" ref="D29" si="0">C29/B29</f>
        <v>1</v>
      </c>
      <c r="E29" s="30"/>
      <c r="F29" s="30"/>
      <c r="G29" s="30"/>
      <c r="H29" s="30"/>
      <c r="I29" s="30"/>
      <c r="J29" s="33"/>
    </row>
    <row r="30" spans="1:10">
      <c r="A30" s="24" t="s">
        <v>69</v>
      </c>
      <c r="B30" s="60">
        <v>0</v>
      </c>
      <c r="C30" s="60">
        <v>0</v>
      </c>
      <c r="D30" s="25">
        <v>0</v>
      </c>
      <c r="E30" s="30"/>
      <c r="F30" s="30"/>
      <c r="G30" s="30"/>
      <c r="H30" s="30"/>
      <c r="I30" s="30"/>
      <c r="J30" s="33"/>
    </row>
    <row r="31" spans="1:10">
      <c r="A31" s="24" t="s">
        <v>70</v>
      </c>
      <c r="B31" s="60">
        <v>0</v>
      </c>
      <c r="C31" s="60">
        <v>0</v>
      </c>
      <c r="D31" s="25">
        <v>0</v>
      </c>
      <c r="E31" s="30"/>
      <c r="F31" s="30"/>
      <c r="G31" s="30"/>
      <c r="H31" s="30"/>
      <c r="I31" s="30"/>
      <c r="J31" s="33"/>
    </row>
    <row r="32" spans="1:10">
      <c r="A32" s="24" t="s">
        <v>71</v>
      </c>
      <c r="B32" s="60">
        <v>0</v>
      </c>
      <c r="C32" s="60">
        <v>0</v>
      </c>
      <c r="D32" s="25">
        <v>0</v>
      </c>
      <c r="E32" s="30"/>
      <c r="F32" s="30"/>
      <c r="G32" s="30"/>
      <c r="H32" s="30"/>
      <c r="I32" s="30"/>
      <c r="J32" s="33"/>
    </row>
    <row r="33" spans="1:10">
      <c r="A33" s="24" t="s">
        <v>72</v>
      </c>
      <c r="B33" s="60">
        <v>0</v>
      </c>
      <c r="C33" s="60">
        <v>0</v>
      </c>
      <c r="D33" s="25">
        <v>0</v>
      </c>
      <c r="E33" s="30"/>
      <c r="F33" s="30"/>
      <c r="G33" s="30"/>
      <c r="H33" s="30"/>
      <c r="I33" s="30"/>
      <c r="J33" s="33"/>
    </row>
    <row r="34" spans="1:10">
      <c r="A34" s="24" t="s">
        <v>73</v>
      </c>
      <c r="B34" s="60">
        <v>0</v>
      </c>
      <c r="C34" s="60">
        <v>0</v>
      </c>
      <c r="D34" s="25">
        <v>0</v>
      </c>
      <c r="E34" s="30"/>
      <c r="F34" s="30"/>
      <c r="G34" s="30"/>
      <c r="H34" s="30"/>
      <c r="I34" s="30"/>
      <c r="J34" s="33"/>
    </row>
    <row r="35" spans="1:10">
      <c r="A35" s="24" t="s">
        <v>74</v>
      </c>
      <c r="B35" s="60">
        <v>0</v>
      </c>
      <c r="C35" s="60">
        <v>0</v>
      </c>
      <c r="D35" s="25">
        <v>0</v>
      </c>
      <c r="E35" s="30"/>
      <c r="F35" s="30"/>
      <c r="G35" s="30"/>
      <c r="H35" s="30"/>
      <c r="I35" s="30"/>
      <c r="J35" s="33"/>
    </row>
    <row r="36" spans="1:10">
      <c r="A36" s="24" t="s">
        <v>75</v>
      </c>
      <c r="B36" s="60">
        <v>0</v>
      </c>
      <c r="C36" s="60">
        <v>0</v>
      </c>
      <c r="D36" s="25">
        <v>0</v>
      </c>
      <c r="E36" s="30"/>
      <c r="F36" s="30"/>
      <c r="G36" s="30"/>
      <c r="H36" s="30"/>
      <c r="I36" s="30"/>
      <c r="J36" s="33"/>
    </row>
    <row r="37" spans="1:10">
      <c r="A37" s="24" t="s">
        <v>76</v>
      </c>
      <c r="B37" s="60">
        <v>0</v>
      </c>
      <c r="C37" s="60">
        <v>0</v>
      </c>
      <c r="D37" s="25">
        <v>0</v>
      </c>
      <c r="E37" s="30"/>
      <c r="F37" s="30"/>
      <c r="G37" s="30"/>
      <c r="H37" s="30"/>
      <c r="I37" s="30"/>
      <c r="J37" s="33"/>
    </row>
    <row r="38" spans="1:10">
      <c r="A38" s="24" t="s">
        <v>77</v>
      </c>
      <c r="B38" s="60">
        <v>0</v>
      </c>
      <c r="C38" s="60">
        <v>0</v>
      </c>
      <c r="D38" s="25">
        <v>0</v>
      </c>
      <c r="E38" s="30"/>
      <c r="F38" s="30"/>
      <c r="G38" s="30"/>
      <c r="H38" s="30"/>
      <c r="I38" s="30"/>
      <c r="J38" s="33"/>
    </row>
    <row r="39" spans="1:10">
      <c r="A39" s="49"/>
      <c r="B39" s="61"/>
      <c r="C39" s="61"/>
      <c r="D39" s="62"/>
      <c r="E39" s="30"/>
      <c r="F39" s="30"/>
      <c r="G39" s="30"/>
      <c r="H39" s="30"/>
      <c r="I39" s="30"/>
      <c r="J39" s="33"/>
    </row>
    <row r="40" spans="1:10">
      <c r="A40" s="49"/>
      <c r="B40" s="61"/>
      <c r="C40" s="61"/>
      <c r="D40" s="62"/>
      <c r="E40" s="30"/>
      <c r="F40" s="30"/>
      <c r="G40" s="30"/>
      <c r="H40" s="30"/>
      <c r="I40" s="30"/>
      <c r="J40" s="33"/>
    </row>
    <row r="41" spans="1:10" ht="15.75">
      <c r="A41" s="34" t="s">
        <v>106</v>
      </c>
      <c r="B41" s="32"/>
      <c r="C41" s="30"/>
      <c r="D41" s="30"/>
      <c r="E41" s="30"/>
      <c r="F41" s="30"/>
      <c r="G41" s="30"/>
      <c r="H41" s="30"/>
      <c r="I41" s="30"/>
      <c r="J41" s="33"/>
    </row>
    <row r="42" spans="1:10">
      <c r="A42" s="22"/>
      <c r="B42" s="35"/>
      <c r="C42" s="35"/>
      <c r="D42" s="35"/>
      <c r="E42" s="35"/>
      <c r="F42" s="35"/>
      <c r="G42" s="35"/>
      <c r="H42" s="35"/>
      <c r="I42" s="35"/>
      <c r="J42" s="36"/>
    </row>
  </sheetData>
  <mergeCells count="15">
    <mergeCell ref="C6:J6"/>
    <mergeCell ref="B24:J24"/>
    <mergeCell ref="B25:J25"/>
    <mergeCell ref="A23:J23"/>
    <mergeCell ref="N3:S3"/>
    <mergeCell ref="B8:J8"/>
    <mergeCell ref="B9:J9"/>
    <mergeCell ref="A1:B3"/>
    <mergeCell ref="C1:H3"/>
    <mergeCell ref="I1:J1"/>
    <mergeCell ref="I2:J2"/>
    <mergeCell ref="I3:J3"/>
    <mergeCell ref="A4:B5"/>
    <mergeCell ref="C4:J5"/>
    <mergeCell ref="A6:B6"/>
  </mergeCells>
  <pageMargins left="0.7" right="0.7" top="0.75" bottom="0.75" header="0.3" footer="0.3"/>
  <pageSetup scale="7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1"/>
  <sheetViews>
    <sheetView topLeftCell="A22" zoomScale="90" zoomScaleNormal="90" workbookViewId="0">
      <selection activeCell="C33" sqref="C33:C35"/>
    </sheetView>
  </sheetViews>
  <sheetFormatPr baseColWidth="10" defaultRowHeight="15"/>
  <cols>
    <col min="1" max="1" width="12.28515625" customWidth="1"/>
    <col min="2" max="5" width="14.5703125" customWidth="1"/>
  </cols>
  <sheetData>
    <row r="1" spans="1:19">
      <c r="A1" s="178"/>
      <c r="B1" s="178"/>
      <c r="C1" s="142" t="s">
        <v>84</v>
      </c>
      <c r="D1" s="142"/>
      <c r="E1" s="142"/>
      <c r="F1" s="142"/>
      <c r="G1" s="142"/>
      <c r="H1" s="142"/>
      <c r="I1" s="179" t="s">
        <v>159</v>
      </c>
      <c r="J1" s="179"/>
    </row>
    <row r="2" spans="1:19">
      <c r="A2" s="178"/>
      <c r="B2" s="178"/>
      <c r="C2" s="142"/>
      <c r="D2" s="142"/>
      <c r="E2" s="142"/>
      <c r="F2" s="142"/>
      <c r="G2" s="142"/>
      <c r="H2" s="142"/>
      <c r="I2" s="179" t="s">
        <v>85</v>
      </c>
      <c r="J2" s="179"/>
      <c r="N2" s="30"/>
      <c r="O2" s="30"/>
      <c r="P2" s="30"/>
      <c r="Q2" s="30"/>
      <c r="R2" s="30"/>
      <c r="S2" s="30"/>
    </row>
    <row r="3" spans="1:19">
      <c r="A3" s="178"/>
      <c r="B3" s="178"/>
      <c r="C3" s="142"/>
      <c r="D3" s="142"/>
      <c r="E3" s="142"/>
      <c r="F3" s="142"/>
      <c r="G3" s="142"/>
      <c r="H3" s="142"/>
      <c r="I3" s="179" t="s">
        <v>125</v>
      </c>
      <c r="J3" s="179"/>
      <c r="N3" s="169"/>
      <c r="O3" s="169"/>
      <c r="P3" s="169"/>
      <c r="Q3" s="169"/>
      <c r="R3" s="169"/>
      <c r="S3" s="169"/>
    </row>
    <row r="4" spans="1:19" ht="15" customHeight="1">
      <c r="A4" s="201" t="s">
        <v>62</v>
      </c>
      <c r="B4" s="201"/>
      <c r="C4" s="202" t="s">
        <v>18</v>
      </c>
      <c r="D4" s="202"/>
      <c r="E4" s="202"/>
      <c r="F4" s="202"/>
      <c r="G4" s="202"/>
      <c r="H4" s="202"/>
      <c r="I4" s="202"/>
      <c r="J4" s="202"/>
      <c r="N4" s="30"/>
      <c r="O4" s="30"/>
      <c r="P4" s="30"/>
      <c r="Q4" s="30"/>
      <c r="R4" s="30"/>
      <c r="S4" s="30"/>
    </row>
    <row r="5" spans="1:19">
      <c r="A5" s="201"/>
      <c r="B5" s="201"/>
      <c r="C5" s="202"/>
      <c r="D5" s="202"/>
      <c r="E5" s="202"/>
      <c r="F5" s="202"/>
      <c r="G5" s="202"/>
      <c r="H5" s="202"/>
      <c r="I5" s="202"/>
      <c r="J5" s="202"/>
      <c r="N5" s="30"/>
      <c r="O5" s="30"/>
      <c r="P5" s="30"/>
      <c r="Q5" s="30"/>
      <c r="R5" s="30"/>
      <c r="S5" s="30"/>
    </row>
    <row r="6" spans="1:19" ht="46.5" customHeight="1">
      <c r="A6" s="218" t="s">
        <v>212</v>
      </c>
      <c r="B6" s="218"/>
      <c r="C6" s="197" t="s">
        <v>215</v>
      </c>
      <c r="D6" s="198"/>
      <c r="E6" s="198"/>
      <c r="F6" s="198"/>
      <c r="G6" s="198"/>
      <c r="H6" s="198"/>
      <c r="I6" s="198"/>
      <c r="J6" s="199"/>
      <c r="N6" s="30"/>
      <c r="O6" s="30"/>
      <c r="P6" s="30"/>
      <c r="Q6" s="30"/>
      <c r="R6" s="30"/>
      <c r="S6" s="30"/>
    </row>
    <row r="7" spans="1:19">
      <c r="A7" s="26"/>
      <c r="B7" s="27"/>
      <c r="C7" s="27"/>
      <c r="D7" s="27"/>
      <c r="E7" s="27"/>
      <c r="F7" s="27"/>
      <c r="G7" s="27"/>
      <c r="H7" s="27"/>
      <c r="I7" s="27"/>
      <c r="J7" s="27"/>
      <c r="N7" s="30"/>
      <c r="O7" s="30"/>
      <c r="P7" s="30"/>
      <c r="Q7" s="30"/>
      <c r="R7" s="30"/>
      <c r="S7" s="30"/>
    </row>
    <row r="8" spans="1:19" ht="15" customHeight="1">
      <c r="A8" s="31" t="s">
        <v>3</v>
      </c>
      <c r="B8" s="212" t="s">
        <v>79</v>
      </c>
      <c r="C8" s="213"/>
      <c r="D8" s="213"/>
      <c r="E8" s="213"/>
      <c r="F8" s="213"/>
      <c r="G8" s="213"/>
      <c r="H8" s="213"/>
      <c r="I8" s="213"/>
      <c r="J8" s="214"/>
    </row>
    <row r="9" spans="1:19" ht="15" customHeight="1">
      <c r="A9" s="31" t="s">
        <v>63</v>
      </c>
      <c r="B9" s="215" t="s">
        <v>195</v>
      </c>
      <c r="C9" s="216"/>
      <c r="D9" s="216"/>
      <c r="E9" s="216"/>
      <c r="F9" s="216"/>
      <c r="G9" s="216"/>
      <c r="H9" s="216"/>
      <c r="I9" s="216"/>
      <c r="J9" s="217"/>
    </row>
    <row r="10" spans="1:19" ht="58.5" customHeight="1">
      <c r="A10" s="2" t="s">
        <v>65</v>
      </c>
      <c r="B10" s="3" t="s">
        <v>83</v>
      </c>
      <c r="C10" s="3" t="s">
        <v>81</v>
      </c>
      <c r="D10" s="3" t="s">
        <v>152</v>
      </c>
      <c r="E10" s="30"/>
      <c r="F10" s="30"/>
      <c r="G10" s="30"/>
      <c r="H10" s="30"/>
      <c r="I10" s="30"/>
      <c r="J10" s="33"/>
    </row>
    <row r="11" spans="1:19">
      <c r="A11" s="24" t="s">
        <v>66</v>
      </c>
      <c r="B11" s="23">
        <v>97</v>
      </c>
      <c r="C11" s="23">
        <v>97</v>
      </c>
      <c r="D11" s="25">
        <f>B11/C11</f>
        <v>1</v>
      </c>
      <c r="E11" s="30"/>
      <c r="F11" s="30"/>
      <c r="G11" s="30"/>
      <c r="H11" s="30"/>
      <c r="I11" s="30"/>
      <c r="J11" s="33"/>
    </row>
    <row r="12" spans="1:19">
      <c r="A12" s="24" t="s">
        <v>67</v>
      </c>
      <c r="B12" s="23">
        <v>91</v>
      </c>
      <c r="C12" s="23">
        <v>91</v>
      </c>
      <c r="D12" s="25">
        <f t="shared" ref="D12:D22" si="0">B12/C12</f>
        <v>1</v>
      </c>
      <c r="E12" s="30"/>
      <c r="F12" s="30"/>
      <c r="G12" s="30"/>
      <c r="H12" s="30"/>
      <c r="I12" s="30"/>
      <c r="J12" s="33"/>
    </row>
    <row r="13" spans="1:19">
      <c r="A13" s="24" t="s">
        <v>68</v>
      </c>
      <c r="B13" s="23">
        <v>71</v>
      </c>
      <c r="C13" s="23">
        <v>71</v>
      </c>
      <c r="D13" s="25">
        <f t="shared" si="0"/>
        <v>1</v>
      </c>
      <c r="E13" s="30"/>
      <c r="F13" s="30"/>
      <c r="G13" s="30"/>
      <c r="H13" s="30"/>
      <c r="I13" s="30"/>
      <c r="J13" s="33"/>
    </row>
    <row r="14" spans="1:19">
      <c r="A14" s="24" t="s">
        <v>69</v>
      </c>
      <c r="B14" s="23">
        <v>108</v>
      </c>
      <c r="C14" s="23">
        <v>108</v>
      </c>
      <c r="D14" s="25">
        <f t="shared" si="0"/>
        <v>1</v>
      </c>
      <c r="E14" s="30"/>
      <c r="F14" s="30"/>
      <c r="G14" s="30"/>
      <c r="H14" s="30"/>
      <c r="I14" s="30"/>
      <c r="J14" s="33"/>
    </row>
    <row r="15" spans="1:19">
      <c r="A15" s="24" t="s">
        <v>70</v>
      </c>
      <c r="B15" s="23">
        <v>93</v>
      </c>
      <c r="C15" s="23">
        <v>93</v>
      </c>
      <c r="D15" s="25">
        <f t="shared" si="0"/>
        <v>1</v>
      </c>
      <c r="E15" s="30"/>
      <c r="F15" s="30"/>
      <c r="G15" s="30"/>
      <c r="H15" s="30"/>
      <c r="I15" s="30"/>
      <c r="J15" s="33"/>
    </row>
    <row r="16" spans="1:19">
      <c r="A16" s="24" t="s">
        <v>71</v>
      </c>
      <c r="B16" s="23">
        <v>91</v>
      </c>
      <c r="C16" s="23">
        <v>91</v>
      </c>
      <c r="D16" s="25">
        <f t="shared" si="0"/>
        <v>1</v>
      </c>
      <c r="E16" s="30"/>
      <c r="F16" s="30"/>
      <c r="G16" s="30"/>
      <c r="H16" s="30"/>
      <c r="I16" s="30"/>
      <c r="J16" s="33"/>
    </row>
    <row r="17" spans="1:10">
      <c r="A17" s="24" t="s">
        <v>72</v>
      </c>
      <c r="B17" s="23">
        <v>99</v>
      </c>
      <c r="C17" s="23">
        <v>99</v>
      </c>
      <c r="D17" s="25">
        <f t="shared" si="0"/>
        <v>1</v>
      </c>
      <c r="E17" s="30"/>
      <c r="F17" s="30"/>
      <c r="G17" s="30"/>
      <c r="H17" s="30"/>
      <c r="I17" s="30"/>
      <c r="J17" s="33"/>
    </row>
    <row r="18" spans="1:10">
      <c r="A18" s="24" t="s">
        <v>73</v>
      </c>
      <c r="B18" s="23">
        <v>104</v>
      </c>
      <c r="C18" s="23">
        <v>104</v>
      </c>
      <c r="D18" s="25">
        <f t="shared" si="0"/>
        <v>1</v>
      </c>
      <c r="E18" s="30"/>
      <c r="F18" s="30"/>
      <c r="G18" s="30"/>
      <c r="H18" s="30"/>
      <c r="I18" s="30"/>
      <c r="J18" s="33"/>
    </row>
    <row r="19" spans="1:10">
      <c r="A19" s="24" t="s">
        <v>74</v>
      </c>
      <c r="B19" s="23">
        <v>128</v>
      </c>
      <c r="C19" s="23">
        <v>128</v>
      </c>
      <c r="D19" s="25">
        <f t="shared" si="0"/>
        <v>1</v>
      </c>
      <c r="E19" s="30"/>
      <c r="F19" s="30"/>
      <c r="G19" s="30"/>
      <c r="H19" s="30"/>
      <c r="I19" s="30"/>
      <c r="J19" s="33"/>
    </row>
    <row r="20" spans="1:10">
      <c r="A20" s="24" t="s">
        <v>75</v>
      </c>
      <c r="B20" s="23">
        <v>99</v>
      </c>
      <c r="C20" s="23">
        <v>99</v>
      </c>
      <c r="D20" s="25">
        <f t="shared" si="0"/>
        <v>1</v>
      </c>
      <c r="E20" s="30"/>
      <c r="F20" s="30"/>
      <c r="G20" s="30"/>
      <c r="H20" s="30"/>
      <c r="I20" s="30"/>
      <c r="J20" s="33"/>
    </row>
    <row r="21" spans="1:10">
      <c r="A21" s="24" t="s">
        <v>76</v>
      </c>
      <c r="B21" s="23">
        <v>91</v>
      </c>
      <c r="C21" s="23">
        <v>91</v>
      </c>
      <c r="D21" s="25">
        <f t="shared" si="0"/>
        <v>1</v>
      </c>
      <c r="E21" s="30"/>
      <c r="F21" s="30"/>
      <c r="G21" s="30"/>
      <c r="H21" s="30"/>
      <c r="I21" s="30"/>
      <c r="J21" s="33"/>
    </row>
    <row r="22" spans="1:10">
      <c r="A22" s="24" t="s">
        <v>77</v>
      </c>
      <c r="B22" s="23">
        <v>92</v>
      </c>
      <c r="C22" s="23">
        <v>92</v>
      </c>
      <c r="D22" s="25">
        <f t="shared" si="0"/>
        <v>1</v>
      </c>
      <c r="E22" s="30"/>
      <c r="F22" s="30"/>
      <c r="G22" s="30"/>
      <c r="H22" s="30"/>
      <c r="I22" s="30"/>
      <c r="J22" s="33"/>
    </row>
    <row r="23" spans="1:10">
      <c r="A23" s="26"/>
      <c r="B23" s="27"/>
      <c r="C23" s="27"/>
      <c r="D23" s="27"/>
      <c r="E23" s="27"/>
      <c r="F23" s="27"/>
      <c r="G23" s="28"/>
      <c r="H23" s="28"/>
      <c r="I23" s="28"/>
      <c r="J23" s="28"/>
    </row>
    <row r="24" spans="1:10">
      <c r="A24" s="31" t="s">
        <v>3</v>
      </c>
      <c r="B24" s="212" t="s">
        <v>193</v>
      </c>
      <c r="C24" s="213"/>
      <c r="D24" s="213"/>
      <c r="E24" s="213"/>
      <c r="F24" s="213"/>
      <c r="G24" s="213"/>
      <c r="H24" s="213"/>
      <c r="I24" s="213"/>
      <c r="J24" s="214"/>
    </row>
    <row r="25" spans="1:10">
      <c r="A25" s="31" t="s">
        <v>63</v>
      </c>
      <c r="B25" s="215" t="s">
        <v>166</v>
      </c>
      <c r="C25" s="216"/>
      <c r="D25" s="216"/>
      <c r="E25" s="216"/>
      <c r="F25" s="216"/>
      <c r="G25" s="216"/>
      <c r="H25" s="216"/>
      <c r="I25" s="216"/>
      <c r="J25" s="217"/>
    </row>
    <row r="26" spans="1:10" ht="60">
      <c r="A26" s="58" t="s">
        <v>65</v>
      </c>
      <c r="B26" s="59" t="s">
        <v>150</v>
      </c>
      <c r="C26" s="59" t="s">
        <v>151</v>
      </c>
      <c r="D26" s="59" t="s">
        <v>152</v>
      </c>
      <c r="E26" s="30"/>
      <c r="F26" s="30"/>
      <c r="G26" s="30"/>
      <c r="H26" s="30"/>
      <c r="I26" s="30"/>
      <c r="J26" s="33"/>
    </row>
    <row r="27" spans="1:10">
      <c r="A27" s="203" t="s">
        <v>101</v>
      </c>
      <c r="B27" s="206">
        <v>0</v>
      </c>
      <c r="C27" s="206">
        <v>0</v>
      </c>
      <c r="D27" s="209" t="s">
        <v>165</v>
      </c>
      <c r="E27" s="30"/>
      <c r="F27" s="30"/>
      <c r="G27" s="30"/>
      <c r="H27" s="30"/>
      <c r="I27" s="30"/>
      <c r="J27" s="33"/>
    </row>
    <row r="28" spans="1:10">
      <c r="A28" s="204"/>
      <c r="B28" s="207"/>
      <c r="C28" s="207"/>
      <c r="D28" s="210"/>
      <c r="E28" s="30"/>
      <c r="F28" s="30"/>
      <c r="G28" s="30"/>
      <c r="H28" s="30"/>
      <c r="I28" s="30"/>
      <c r="J28" s="33"/>
    </row>
    <row r="29" spans="1:10">
      <c r="A29" s="205"/>
      <c r="B29" s="208"/>
      <c r="C29" s="208"/>
      <c r="D29" s="211"/>
      <c r="E29" s="30"/>
      <c r="F29" s="30"/>
      <c r="G29" s="30"/>
      <c r="H29" s="30"/>
      <c r="I29" s="30"/>
      <c r="J29" s="33"/>
    </row>
    <row r="30" spans="1:10">
      <c r="A30" s="203" t="s">
        <v>102</v>
      </c>
      <c r="B30" s="206">
        <v>0</v>
      </c>
      <c r="C30" s="206">
        <v>0</v>
      </c>
      <c r="D30" s="209" t="s">
        <v>165</v>
      </c>
      <c r="E30" s="30"/>
      <c r="F30" s="30"/>
      <c r="G30" s="30"/>
      <c r="H30" s="30"/>
      <c r="I30" s="30"/>
      <c r="J30" s="33"/>
    </row>
    <row r="31" spans="1:10">
      <c r="A31" s="204"/>
      <c r="B31" s="207"/>
      <c r="C31" s="207"/>
      <c r="D31" s="210"/>
      <c r="E31" s="30"/>
      <c r="F31" s="30"/>
      <c r="G31" s="30"/>
      <c r="H31" s="30"/>
      <c r="I31" s="30"/>
      <c r="J31" s="33"/>
    </row>
    <row r="32" spans="1:10">
      <c r="A32" s="205"/>
      <c r="B32" s="208"/>
      <c r="C32" s="208"/>
      <c r="D32" s="211"/>
      <c r="E32" s="30"/>
      <c r="F32" s="30"/>
      <c r="G32" s="30"/>
      <c r="H32" s="30"/>
      <c r="I32" s="30"/>
      <c r="J32" s="33"/>
    </row>
    <row r="33" spans="1:10">
      <c r="A33" s="203" t="s">
        <v>103</v>
      </c>
      <c r="B33" s="206">
        <v>0</v>
      </c>
      <c r="C33" s="206">
        <v>0</v>
      </c>
      <c r="D33" s="209" t="s">
        <v>165</v>
      </c>
      <c r="E33" s="30"/>
      <c r="F33" s="30"/>
      <c r="G33" s="30"/>
      <c r="H33" s="30"/>
      <c r="I33" s="30"/>
      <c r="J33" s="33"/>
    </row>
    <row r="34" spans="1:10">
      <c r="A34" s="204"/>
      <c r="B34" s="207"/>
      <c r="C34" s="207"/>
      <c r="D34" s="210"/>
      <c r="E34" s="30"/>
      <c r="F34" s="30"/>
      <c r="G34" s="30"/>
      <c r="H34" s="30"/>
      <c r="I34" s="30"/>
      <c r="J34" s="33"/>
    </row>
    <row r="35" spans="1:10">
      <c r="A35" s="205"/>
      <c r="B35" s="208"/>
      <c r="C35" s="208"/>
      <c r="D35" s="211"/>
      <c r="E35" s="30"/>
      <c r="F35" s="30"/>
      <c r="G35" s="30"/>
      <c r="H35" s="30"/>
      <c r="I35" s="30"/>
      <c r="J35" s="33"/>
    </row>
    <row r="36" spans="1:10">
      <c r="A36" s="203" t="s">
        <v>104</v>
      </c>
      <c r="B36" s="206">
        <v>0</v>
      </c>
      <c r="C36" s="206">
        <v>0</v>
      </c>
      <c r="D36" s="209" t="s">
        <v>165</v>
      </c>
      <c r="E36" s="30"/>
      <c r="F36" s="30"/>
      <c r="G36" s="30"/>
      <c r="H36" s="30"/>
      <c r="I36" s="30"/>
      <c r="J36" s="33"/>
    </row>
    <row r="37" spans="1:10">
      <c r="A37" s="204"/>
      <c r="B37" s="207"/>
      <c r="C37" s="207"/>
      <c r="D37" s="210"/>
      <c r="E37" s="30"/>
      <c r="F37" s="30"/>
      <c r="G37" s="30"/>
      <c r="H37" s="30"/>
      <c r="I37" s="30"/>
      <c r="J37" s="33"/>
    </row>
    <row r="38" spans="1:10">
      <c r="A38" s="205"/>
      <c r="B38" s="208"/>
      <c r="C38" s="208"/>
      <c r="D38" s="211"/>
      <c r="E38" s="30"/>
      <c r="F38" s="30"/>
      <c r="G38" s="30"/>
      <c r="H38" s="30"/>
      <c r="I38" s="30"/>
      <c r="J38" s="33"/>
    </row>
    <row r="39" spans="1:10">
      <c r="E39" s="30"/>
      <c r="F39" s="30"/>
      <c r="G39" s="30"/>
      <c r="H39" s="30"/>
      <c r="I39" s="30"/>
      <c r="J39" s="33"/>
    </row>
    <row r="40" spans="1:10" ht="15.75">
      <c r="A40" s="34" t="s">
        <v>287</v>
      </c>
      <c r="B40" s="32"/>
      <c r="C40" s="30"/>
      <c r="D40" s="30"/>
      <c r="E40" s="30"/>
      <c r="F40" s="30"/>
      <c r="G40" s="30"/>
      <c r="H40" s="30"/>
      <c r="I40" s="30"/>
      <c r="J40" s="33"/>
    </row>
    <row r="41" spans="1:10">
      <c r="A41" s="22"/>
      <c r="B41" s="35"/>
      <c r="C41" s="35"/>
      <c r="D41" s="35"/>
      <c r="E41" s="35"/>
      <c r="F41" s="35"/>
      <c r="G41" s="35"/>
      <c r="H41" s="35"/>
      <c r="I41" s="35"/>
      <c r="J41" s="36"/>
    </row>
  </sheetData>
  <mergeCells count="30">
    <mergeCell ref="B24:J24"/>
    <mergeCell ref="B25:J25"/>
    <mergeCell ref="N3:S3"/>
    <mergeCell ref="B8:J8"/>
    <mergeCell ref="B9:J9"/>
    <mergeCell ref="A1:B3"/>
    <mergeCell ref="C1:H3"/>
    <mergeCell ref="I1:J1"/>
    <mergeCell ref="I2:J2"/>
    <mergeCell ref="I3:J3"/>
    <mergeCell ref="A4:B5"/>
    <mergeCell ref="C4:J5"/>
    <mergeCell ref="A6:B6"/>
    <mergeCell ref="C6:J6"/>
    <mergeCell ref="A27:A29"/>
    <mergeCell ref="B27:B29"/>
    <mergeCell ref="C27:C29"/>
    <mergeCell ref="D27:D29"/>
    <mergeCell ref="A30:A32"/>
    <mergeCell ref="B30:B32"/>
    <mergeCell ref="C30:C32"/>
    <mergeCell ref="D30:D32"/>
    <mergeCell ref="A33:A35"/>
    <mergeCell ref="B33:B35"/>
    <mergeCell ref="C33:C35"/>
    <mergeCell ref="D33:D35"/>
    <mergeCell ref="A36:A38"/>
    <mergeCell ref="B36:B38"/>
    <mergeCell ref="C36:C38"/>
    <mergeCell ref="D36:D38"/>
  </mergeCells>
  <pageMargins left="0.7" right="0.7" top="0.75" bottom="0.75" header="0.3" footer="0.3"/>
  <pageSetup scale="7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
  <sheetViews>
    <sheetView topLeftCell="A7" zoomScale="90" zoomScaleNormal="90" workbookViewId="0">
      <selection activeCell="C17" sqref="C17:C19"/>
    </sheetView>
  </sheetViews>
  <sheetFormatPr baseColWidth="10" defaultRowHeight="15"/>
  <cols>
    <col min="1" max="1" width="12.28515625" customWidth="1"/>
    <col min="2" max="5" width="14.5703125" customWidth="1"/>
  </cols>
  <sheetData>
    <row r="1" spans="1:19">
      <c r="A1" s="178"/>
      <c r="B1" s="178"/>
      <c r="C1" s="142" t="s">
        <v>84</v>
      </c>
      <c r="D1" s="142"/>
      <c r="E1" s="142"/>
      <c r="F1" s="142"/>
      <c r="G1" s="142"/>
      <c r="H1" s="142"/>
      <c r="I1" s="179" t="s">
        <v>159</v>
      </c>
      <c r="J1" s="179"/>
    </row>
    <row r="2" spans="1:19">
      <c r="A2" s="178"/>
      <c r="B2" s="178"/>
      <c r="C2" s="142"/>
      <c r="D2" s="142"/>
      <c r="E2" s="142"/>
      <c r="F2" s="142"/>
      <c r="G2" s="142"/>
      <c r="H2" s="142"/>
      <c r="I2" s="179" t="s">
        <v>85</v>
      </c>
      <c r="J2" s="179"/>
      <c r="N2" s="30"/>
      <c r="O2" s="30"/>
      <c r="P2" s="30"/>
      <c r="Q2" s="30"/>
      <c r="R2" s="30"/>
      <c r="S2" s="30"/>
    </row>
    <row r="3" spans="1:19">
      <c r="A3" s="178"/>
      <c r="B3" s="178"/>
      <c r="C3" s="142"/>
      <c r="D3" s="142"/>
      <c r="E3" s="142"/>
      <c r="F3" s="142"/>
      <c r="G3" s="142"/>
      <c r="H3" s="142"/>
      <c r="I3" s="179" t="s">
        <v>124</v>
      </c>
      <c r="J3" s="179"/>
      <c r="N3" s="169"/>
      <c r="O3" s="169"/>
      <c r="P3" s="169"/>
      <c r="Q3" s="169"/>
      <c r="R3" s="169"/>
      <c r="S3" s="169"/>
    </row>
    <row r="4" spans="1:19" ht="15" customHeight="1">
      <c r="A4" s="201" t="s">
        <v>62</v>
      </c>
      <c r="B4" s="201"/>
      <c r="C4" s="176" t="s">
        <v>26</v>
      </c>
      <c r="D4" s="176"/>
      <c r="E4" s="176"/>
      <c r="F4" s="176"/>
      <c r="G4" s="176"/>
      <c r="H4" s="176"/>
      <c r="I4" s="176"/>
      <c r="J4" s="176"/>
      <c r="N4" s="30"/>
      <c r="O4" s="30"/>
      <c r="P4" s="30"/>
      <c r="Q4" s="30"/>
      <c r="R4" s="30"/>
      <c r="S4" s="30"/>
    </row>
    <row r="5" spans="1:19">
      <c r="A5" s="201"/>
      <c r="B5" s="201"/>
      <c r="C5" s="176"/>
      <c r="D5" s="176"/>
      <c r="E5" s="176"/>
      <c r="F5" s="176"/>
      <c r="G5" s="176"/>
      <c r="H5" s="176"/>
      <c r="I5" s="176"/>
      <c r="J5" s="176"/>
      <c r="N5" s="30"/>
      <c r="O5" s="30"/>
      <c r="P5" s="30"/>
      <c r="Q5" s="30"/>
      <c r="R5" s="30"/>
      <c r="S5" s="30"/>
    </row>
    <row r="6" spans="1:19" ht="30.75" customHeight="1">
      <c r="A6" s="201" t="s">
        <v>212</v>
      </c>
      <c r="B6" s="201"/>
      <c r="C6" s="202" t="s">
        <v>216</v>
      </c>
      <c r="D6" s="202"/>
      <c r="E6" s="202"/>
      <c r="F6" s="202"/>
      <c r="G6" s="202"/>
      <c r="H6" s="202"/>
      <c r="I6" s="202"/>
      <c r="J6" s="202"/>
      <c r="N6" s="30"/>
      <c r="O6" s="30"/>
      <c r="P6" s="30"/>
      <c r="Q6" s="30"/>
      <c r="R6" s="30"/>
      <c r="S6" s="30"/>
    </row>
    <row r="7" spans="1:19">
      <c r="A7" s="26"/>
      <c r="B7" s="27"/>
      <c r="C7" s="27"/>
      <c r="D7" s="27"/>
      <c r="E7" s="27"/>
      <c r="F7" s="27"/>
      <c r="G7" s="28"/>
      <c r="H7" s="28"/>
      <c r="I7" s="28"/>
      <c r="J7" s="28"/>
      <c r="N7" s="30"/>
      <c r="O7" s="30"/>
      <c r="P7" s="30"/>
      <c r="Q7" s="30"/>
      <c r="R7" s="30"/>
      <c r="S7" s="30"/>
    </row>
    <row r="8" spans="1:19" ht="15" customHeight="1">
      <c r="A8" s="31" t="s">
        <v>3</v>
      </c>
      <c r="B8" s="212" t="s">
        <v>97</v>
      </c>
      <c r="C8" s="213"/>
      <c r="D8" s="213"/>
      <c r="E8" s="213"/>
      <c r="F8" s="213"/>
      <c r="G8" s="213"/>
      <c r="H8" s="213"/>
      <c r="I8" s="213"/>
      <c r="J8" s="214"/>
    </row>
    <row r="9" spans="1:19" ht="15" customHeight="1">
      <c r="A9" s="31" t="s">
        <v>63</v>
      </c>
      <c r="B9" s="215" t="s">
        <v>99</v>
      </c>
      <c r="C9" s="216"/>
      <c r="D9" s="216"/>
      <c r="E9" s="216"/>
      <c r="F9" s="216"/>
      <c r="G9" s="216"/>
      <c r="H9" s="216"/>
      <c r="I9" s="216"/>
      <c r="J9" s="217"/>
    </row>
    <row r="10" spans="1:19" ht="58.5" customHeight="1">
      <c r="A10" s="2" t="s">
        <v>65</v>
      </c>
      <c r="B10" s="3" t="s">
        <v>100</v>
      </c>
      <c r="C10" s="3" t="s">
        <v>98</v>
      </c>
      <c r="D10" s="3" t="s">
        <v>152</v>
      </c>
      <c r="E10" s="30"/>
      <c r="F10" s="30"/>
      <c r="G10" s="30"/>
      <c r="H10" s="30"/>
      <c r="I10" s="30"/>
      <c r="J10" s="33"/>
    </row>
    <row r="11" spans="1:19">
      <c r="A11" s="203" t="s">
        <v>101</v>
      </c>
      <c r="B11" s="206">
        <v>104</v>
      </c>
      <c r="C11" s="206">
        <v>104</v>
      </c>
      <c r="D11" s="209">
        <f>B11/C11</f>
        <v>1</v>
      </c>
      <c r="E11" s="30"/>
      <c r="F11" s="30"/>
      <c r="G11" s="30"/>
      <c r="H11" s="30"/>
      <c r="I11" s="30"/>
      <c r="J11" s="33"/>
    </row>
    <row r="12" spans="1:19">
      <c r="A12" s="204"/>
      <c r="B12" s="207"/>
      <c r="C12" s="207"/>
      <c r="D12" s="210"/>
      <c r="E12" s="30"/>
      <c r="F12" s="30"/>
      <c r="G12" s="30"/>
      <c r="H12" s="30"/>
      <c r="I12" s="30"/>
      <c r="J12" s="33"/>
    </row>
    <row r="13" spans="1:19">
      <c r="A13" s="205"/>
      <c r="B13" s="208"/>
      <c r="C13" s="208"/>
      <c r="D13" s="211"/>
      <c r="E13" s="30"/>
      <c r="F13" s="30"/>
      <c r="G13" s="30"/>
      <c r="H13" s="30"/>
      <c r="I13" s="30"/>
      <c r="J13" s="33"/>
    </row>
    <row r="14" spans="1:19">
      <c r="A14" s="203" t="s">
        <v>102</v>
      </c>
      <c r="B14" s="206">
        <v>2</v>
      </c>
      <c r="C14" s="206">
        <v>2</v>
      </c>
      <c r="D14" s="209">
        <f>B14/C14</f>
        <v>1</v>
      </c>
      <c r="E14" s="30"/>
      <c r="F14" s="30"/>
      <c r="G14" s="30"/>
      <c r="H14" s="30"/>
      <c r="I14" s="30"/>
      <c r="J14" s="33"/>
    </row>
    <row r="15" spans="1:19">
      <c r="A15" s="204"/>
      <c r="B15" s="207"/>
      <c r="C15" s="207"/>
      <c r="D15" s="210"/>
      <c r="E15" s="30"/>
      <c r="F15" s="30"/>
      <c r="G15" s="30"/>
      <c r="H15" s="30"/>
      <c r="I15" s="30"/>
      <c r="J15" s="33"/>
    </row>
    <row r="16" spans="1:19">
      <c r="A16" s="205"/>
      <c r="B16" s="208"/>
      <c r="C16" s="208"/>
      <c r="D16" s="211"/>
      <c r="E16" s="30"/>
      <c r="F16" s="30"/>
      <c r="G16" s="30"/>
      <c r="H16" s="30"/>
      <c r="I16" s="30"/>
      <c r="J16" s="33"/>
    </row>
    <row r="17" spans="1:10">
      <c r="A17" s="203" t="s">
        <v>103</v>
      </c>
      <c r="B17" s="206">
        <v>9</v>
      </c>
      <c r="C17" s="206">
        <v>11</v>
      </c>
      <c r="D17" s="209">
        <f>B17/C17</f>
        <v>0.81818181818181823</v>
      </c>
      <c r="E17" s="30"/>
      <c r="F17" s="30"/>
      <c r="G17" s="30"/>
      <c r="H17" s="30"/>
      <c r="I17" s="30"/>
      <c r="J17" s="33"/>
    </row>
    <row r="18" spans="1:10">
      <c r="A18" s="204"/>
      <c r="B18" s="207"/>
      <c r="C18" s="207"/>
      <c r="D18" s="210"/>
      <c r="E18" s="30"/>
      <c r="F18" s="30"/>
      <c r="G18" s="30"/>
      <c r="H18" s="30"/>
      <c r="I18" s="30"/>
      <c r="J18" s="33"/>
    </row>
    <row r="19" spans="1:10">
      <c r="A19" s="205"/>
      <c r="B19" s="208"/>
      <c r="C19" s="208"/>
      <c r="D19" s="211"/>
      <c r="E19" s="30"/>
      <c r="F19" s="30"/>
      <c r="G19" s="30"/>
      <c r="H19" s="30"/>
      <c r="I19" s="30"/>
      <c r="J19" s="33"/>
    </row>
    <row r="20" spans="1:10">
      <c r="A20" s="203" t="s">
        <v>354</v>
      </c>
      <c r="B20" s="206">
        <v>1</v>
      </c>
      <c r="C20" s="206">
        <v>1</v>
      </c>
      <c r="D20" s="209">
        <f>B20/C20</f>
        <v>1</v>
      </c>
      <c r="E20" s="30"/>
      <c r="F20" s="30"/>
      <c r="G20" s="30"/>
      <c r="H20" s="30"/>
      <c r="I20" s="30"/>
      <c r="J20" s="33"/>
    </row>
    <row r="21" spans="1:10">
      <c r="A21" s="204"/>
      <c r="B21" s="207"/>
      <c r="C21" s="207"/>
      <c r="D21" s="210"/>
      <c r="E21" s="30"/>
      <c r="F21" s="30"/>
      <c r="G21" s="30"/>
      <c r="H21" s="30"/>
      <c r="I21" s="30"/>
      <c r="J21" s="33"/>
    </row>
    <row r="22" spans="1:10">
      <c r="A22" s="205"/>
      <c r="B22" s="208"/>
      <c r="C22" s="208"/>
      <c r="D22" s="211"/>
      <c r="E22" s="30"/>
      <c r="F22" s="30"/>
      <c r="G22" s="30"/>
      <c r="H22" s="30"/>
      <c r="I22" s="30"/>
      <c r="J22" s="33"/>
    </row>
    <row r="23" spans="1:10">
      <c r="E23" s="30"/>
      <c r="F23" s="30"/>
      <c r="G23" s="30"/>
      <c r="H23" s="30"/>
      <c r="I23" s="30"/>
      <c r="J23" s="33"/>
    </row>
    <row r="24" spans="1:10">
      <c r="A24" s="21"/>
      <c r="B24" s="30"/>
      <c r="C24" s="30"/>
      <c r="D24" s="30"/>
      <c r="E24" s="30"/>
      <c r="F24" s="30"/>
      <c r="G24" s="30"/>
      <c r="H24" s="30"/>
      <c r="I24" s="30"/>
      <c r="J24" s="33"/>
    </row>
    <row r="25" spans="1:10" ht="15.75">
      <c r="A25" s="34" t="s">
        <v>105</v>
      </c>
      <c r="B25" s="32"/>
      <c r="C25" s="30"/>
      <c r="D25" s="30"/>
      <c r="E25" s="30"/>
      <c r="F25" s="30"/>
      <c r="G25" s="30"/>
      <c r="H25" s="30"/>
      <c r="I25" s="30"/>
      <c r="J25" s="33"/>
    </row>
    <row r="26" spans="1:10">
      <c r="A26" s="22"/>
      <c r="B26" s="35"/>
      <c r="C26" s="35"/>
      <c r="D26" s="35"/>
      <c r="E26" s="35"/>
      <c r="F26" s="35"/>
      <c r="G26" s="35"/>
      <c r="H26" s="35"/>
      <c r="I26" s="35"/>
      <c r="J26" s="36"/>
    </row>
  </sheetData>
  <sheetProtection algorithmName="SHA-512" hashValue="6CG4A9VjDAohskcT2I6SAQuDovCZ9EBohIEB+MQxDHty6wHlw5uo+uOpnIrf6bh2UXORLkV8+UYwqRnx0zN1NQ==" saltValue="CRpUcJaRp2kvvxTyVRT1YA==" spinCount="100000" sheet="1" objects="1" scenarios="1"/>
  <mergeCells count="28">
    <mergeCell ref="A4:B5"/>
    <mergeCell ref="C4:J5"/>
    <mergeCell ref="A6:B6"/>
    <mergeCell ref="C6:J6"/>
    <mergeCell ref="N3:S3"/>
    <mergeCell ref="A1:B3"/>
    <mergeCell ref="C1:H3"/>
    <mergeCell ref="I1:J1"/>
    <mergeCell ref="I2:J2"/>
    <mergeCell ref="I3:J3"/>
    <mergeCell ref="B8:J8"/>
    <mergeCell ref="B9:J9"/>
    <mergeCell ref="B11:B13"/>
    <mergeCell ref="C11:C13"/>
    <mergeCell ref="D11:D13"/>
    <mergeCell ref="B20:B22"/>
    <mergeCell ref="C20:C22"/>
    <mergeCell ref="D20:D22"/>
    <mergeCell ref="A11:A13"/>
    <mergeCell ref="A14:A16"/>
    <mergeCell ref="A17:A19"/>
    <mergeCell ref="A20:A22"/>
    <mergeCell ref="B14:B16"/>
    <mergeCell ref="C14:C16"/>
    <mergeCell ref="D14:D16"/>
    <mergeCell ref="B17:B19"/>
    <mergeCell ref="C17:C19"/>
    <mergeCell ref="D17:D19"/>
  </mergeCells>
  <pageMargins left="0.7" right="0.7" top="0.75" bottom="0.75" header="0.3" footer="0.3"/>
  <pageSetup scale="7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21"/>
  <sheetViews>
    <sheetView topLeftCell="A100" zoomScale="90" zoomScaleNormal="90" workbookViewId="0">
      <selection activeCell="D48" sqref="D48"/>
    </sheetView>
  </sheetViews>
  <sheetFormatPr baseColWidth="10" defaultRowHeight="15"/>
  <cols>
    <col min="1" max="1" width="12.28515625" customWidth="1"/>
    <col min="2" max="2" width="19.85546875" bestFit="1" customWidth="1"/>
    <col min="3" max="3" width="20.140625" bestFit="1" customWidth="1"/>
    <col min="4" max="4" width="18.28515625" bestFit="1" customWidth="1"/>
    <col min="5" max="5" width="15.85546875" customWidth="1"/>
    <col min="6" max="6" width="14" customWidth="1"/>
    <col min="7" max="8" width="14.28515625" customWidth="1"/>
    <col min="9" max="10" width="12.140625" customWidth="1"/>
    <col min="12" max="12" width="20.140625" bestFit="1" customWidth="1"/>
  </cols>
  <sheetData>
    <row r="1" spans="1:19">
      <c r="A1" s="178"/>
      <c r="B1" s="178"/>
      <c r="C1" s="142" t="s">
        <v>84</v>
      </c>
      <c r="D1" s="142"/>
      <c r="E1" s="142"/>
      <c r="F1" s="142"/>
      <c r="G1" s="142"/>
      <c r="H1" s="142"/>
      <c r="I1" s="179" t="s">
        <v>159</v>
      </c>
      <c r="J1" s="179"/>
    </row>
    <row r="2" spans="1:19">
      <c r="A2" s="178"/>
      <c r="B2" s="178"/>
      <c r="C2" s="142"/>
      <c r="D2" s="142"/>
      <c r="E2" s="142"/>
      <c r="F2" s="142"/>
      <c r="G2" s="142"/>
      <c r="H2" s="142"/>
      <c r="I2" s="179" t="s">
        <v>85</v>
      </c>
      <c r="J2" s="179"/>
      <c r="N2" s="30"/>
      <c r="O2" s="30"/>
      <c r="P2" s="30"/>
      <c r="Q2" s="30"/>
      <c r="R2" s="30"/>
      <c r="S2" s="30"/>
    </row>
    <row r="3" spans="1:19">
      <c r="A3" s="178"/>
      <c r="B3" s="178"/>
      <c r="C3" s="142"/>
      <c r="D3" s="142"/>
      <c r="E3" s="142"/>
      <c r="F3" s="142"/>
      <c r="G3" s="142"/>
      <c r="H3" s="142"/>
      <c r="I3" s="179" t="s">
        <v>123</v>
      </c>
      <c r="J3" s="179"/>
      <c r="N3" s="169"/>
      <c r="O3" s="169"/>
      <c r="P3" s="169"/>
      <c r="Q3" s="169"/>
      <c r="R3" s="169"/>
      <c r="S3" s="169"/>
    </row>
    <row r="4" spans="1:19" ht="15" customHeight="1">
      <c r="A4" s="201" t="s">
        <v>62</v>
      </c>
      <c r="B4" s="201"/>
      <c r="C4" s="202" t="s">
        <v>107</v>
      </c>
      <c r="D4" s="202"/>
      <c r="E4" s="202"/>
      <c r="F4" s="202"/>
      <c r="G4" s="202"/>
      <c r="H4" s="202"/>
      <c r="I4" s="202"/>
      <c r="J4" s="202"/>
      <c r="N4" s="30"/>
      <c r="O4" s="30"/>
      <c r="P4" s="30"/>
      <c r="Q4" s="30"/>
      <c r="R4" s="30"/>
      <c r="S4" s="30"/>
    </row>
    <row r="5" spans="1:19">
      <c r="A5" s="201"/>
      <c r="B5" s="201"/>
      <c r="C5" s="202"/>
      <c r="D5" s="202"/>
      <c r="E5" s="202"/>
      <c r="F5" s="202"/>
      <c r="G5" s="202"/>
      <c r="H5" s="202"/>
      <c r="I5" s="202"/>
      <c r="J5" s="202"/>
      <c r="N5" s="30"/>
      <c r="O5" s="30"/>
      <c r="P5" s="30"/>
      <c r="Q5" s="30"/>
      <c r="R5" s="30"/>
      <c r="S5" s="30"/>
    </row>
    <row r="6" spans="1:19" ht="32.25" customHeight="1">
      <c r="A6" s="201" t="s">
        <v>212</v>
      </c>
      <c r="B6" s="201"/>
      <c r="C6" s="202" t="s">
        <v>217</v>
      </c>
      <c r="D6" s="202"/>
      <c r="E6" s="202"/>
      <c r="F6" s="202"/>
      <c r="G6" s="202"/>
      <c r="H6" s="202"/>
      <c r="I6" s="202"/>
      <c r="J6" s="202"/>
      <c r="N6" s="30"/>
      <c r="O6" s="30"/>
      <c r="P6" s="30"/>
      <c r="Q6" s="30"/>
      <c r="R6" s="30"/>
      <c r="S6" s="30"/>
    </row>
    <row r="7" spans="1:19">
      <c r="A7" s="73"/>
      <c r="B7" s="27"/>
      <c r="C7" s="27"/>
      <c r="D7" s="27"/>
      <c r="E7" s="27"/>
      <c r="F7" s="27"/>
      <c r="G7" s="74"/>
      <c r="H7" s="74"/>
      <c r="I7" s="74"/>
      <c r="J7" s="75"/>
      <c r="N7" s="30"/>
      <c r="O7" s="30"/>
      <c r="P7" s="30"/>
      <c r="Q7" s="30"/>
      <c r="R7" s="30"/>
      <c r="S7" s="30"/>
    </row>
    <row r="8" spans="1:19" ht="15" customHeight="1">
      <c r="A8" s="31" t="s">
        <v>3</v>
      </c>
      <c r="B8" s="174" t="s">
        <v>108</v>
      </c>
      <c r="C8" s="174"/>
      <c r="D8" s="174"/>
      <c r="E8" s="174"/>
      <c r="F8" s="174"/>
      <c r="G8" s="174"/>
      <c r="H8" s="174"/>
      <c r="I8" s="174"/>
      <c r="J8" s="174"/>
    </row>
    <row r="9" spans="1:19">
      <c r="A9" s="31" t="s">
        <v>63</v>
      </c>
      <c r="B9" s="176" t="s">
        <v>58</v>
      </c>
      <c r="C9" s="176"/>
      <c r="D9" s="176"/>
      <c r="E9" s="176"/>
      <c r="F9" s="176"/>
      <c r="G9" s="176"/>
      <c r="H9" s="176"/>
      <c r="I9" s="176"/>
      <c r="J9" s="176"/>
    </row>
    <row r="10" spans="1:19" ht="58.5" customHeight="1">
      <c r="A10" s="67" t="s">
        <v>65</v>
      </c>
      <c r="B10" s="66" t="s">
        <v>109</v>
      </c>
      <c r="C10" s="66" t="s">
        <v>110</v>
      </c>
      <c r="D10" s="66" t="s">
        <v>111</v>
      </c>
      <c r="E10" s="30"/>
      <c r="F10" s="30"/>
      <c r="G10" s="30"/>
      <c r="H10" s="30"/>
      <c r="I10" s="30"/>
      <c r="J10" s="33"/>
    </row>
    <row r="11" spans="1:19">
      <c r="A11" s="24" t="s">
        <v>66</v>
      </c>
      <c r="B11" s="133">
        <v>1870552433</v>
      </c>
      <c r="C11" s="133">
        <v>1799523549</v>
      </c>
      <c r="D11" s="25">
        <f>B11/C11</f>
        <v>1.0394709388712757</v>
      </c>
      <c r="E11" s="30"/>
      <c r="F11" s="30"/>
      <c r="G11" s="30"/>
      <c r="H11" s="30"/>
      <c r="I11" s="30"/>
      <c r="J11" s="33"/>
    </row>
    <row r="12" spans="1:19">
      <c r="A12" s="24" t="s">
        <v>67</v>
      </c>
      <c r="B12" s="134">
        <v>1527139050</v>
      </c>
      <c r="C12" s="134">
        <v>1178535790</v>
      </c>
      <c r="D12" s="25">
        <f>B12/C12</f>
        <v>1.2957935286801938</v>
      </c>
      <c r="E12" s="30"/>
      <c r="F12" s="30"/>
      <c r="G12" s="30"/>
      <c r="H12" s="30"/>
      <c r="I12" s="30"/>
      <c r="J12" s="33"/>
    </row>
    <row r="13" spans="1:19">
      <c r="A13" s="24" t="s">
        <v>68</v>
      </c>
      <c r="B13" s="133">
        <v>2393203262</v>
      </c>
      <c r="C13" s="133">
        <v>2319840747</v>
      </c>
      <c r="D13" s="25">
        <f>B13/C13</f>
        <v>1.0316239444862203</v>
      </c>
      <c r="E13" s="30"/>
      <c r="F13" s="30"/>
      <c r="G13" s="30"/>
      <c r="H13" s="30"/>
      <c r="I13" s="30"/>
      <c r="J13" s="33"/>
    </row>
    <row r="14" spans="1:19">
      <c r="A14" s="24" t="s">
        <v>69</v>
      </c>
      <c r="B14" s="133">
        <v>1497144777.78</v>
      </c>
      <c r="C14" s="133">
        <v>1550439786</v>
      </c>
      <c r="D14" s="25">
        <f t="shared" ref="D14:D22" si="0">B14/C14</f>
        <v>0.96562587679880396</v>
      </c>
      <c r="E14" s="30"/>
      <c r="F14" s="30"/>
      <c r="G14" s="30"/>
      <c r="H14" s="30"/>
      <c r="I14" s="30"/>
      <c r="J14" s="33"/>
    </row>
    <row r="15" spans="1:19">
      <c r="A15" s="24" t="s">
        <v>70</v>
      </c>
      <c r="B15" s="133">
        <v>1917090244</v>
      </c>
      <c r="C15" s="133">
        <v>2099700746</v>
      </c>
      <c r="D15" s="25">
        <f t="shared" si="0"/>
        <v>0.91303022473660633</v>
      </c>
      <c r="E15" s="30"/>
      <c r="F15" s="30"/>
      <c r="G15" s="30"/>
      <c r="H15" s="30"/>
      <c r="I15" s="30"/>
      <c r="J15" s="33"/>
    </row>
    <row r="16" spans="1:19">
      <c r="A16" s="24" t="s">
        <v>71</v>
      </c>
      <c r="B16" s="134">
        <v>1385409449</v>
      </c>
      <c r="C16" s="134">
        <v>1245494620</v>
      </c>
      <c r="D16" s="25">
        <f t="shared" si="0"/>
        <v>1.1123367590299185</v>
      </c>
      <c r="E16" s="30"/>
      <c r="F16" s="30"/>
      <c r="G16" s="30"/>
      <c r="H16" s="30"/>
      <c r="I16" s="30"/>
      <c r="J16" s="33"/>
    </row>
    <row r="17" spans="1:10">
      <c r="A17" s="24" t="s">
        <v>72</v>
      </c>
      <c r="B17" s="134">
        <v>1527506865.76</v>
      </c>
      <c r="C17" s="134">
        <v>1637046513</v>
      </c>
      <c r="D17" s="25">
        <f t="shared" si="0"/>
        <v>0.93308702815092215</v>
      </c>
      <c r="E17" s="30"/>
      <c r="F17" s="30"/>
      <c r="G17" s="30"/>
      <c r="H17" s="30"/>
      <c r="I17" s="30"/>
      <c r="J17" s="33"/>
    </row>
    <row r="18" spans="1:10">
      <c r="A18" s="24" t="s">
        <v>73</v>
      </c>
      <c r="B18" s="134">
        <v>1514874568.4100001</v>
      </c>
      <c r="C18" s="135">
        <v>1690452307</v>
      </c>
      <c r="D18" s="25">
        <f t="shared" si="0"/>
        <v>0.89613564496144049</v>
      </c>
      <c r="E18" s="30"/>
      <c r="F18" s="30"/>
      <c r="G18" s="30"/>
      <c r="H18" s="30"/>
      <c r="I18" s="30"/>
      <c r="J18" s="33"/>
    </row>
    <row r="19" spans="1:10">
      <c r="A19" s="24" t="s">
        <v>74</v>
      </c>
      <c r="B19" s="133">
        <v>1906561385</v>
      </c>
      <c r="C19" s="136">
        <v>2063161843</v>
      </c>
      <c r="D19" s="25">
        <f t="shared" si="0"/>
        <v>0.9240968620414719</v>
      </c>
      <c r="E19" s="30"/>
      <c r="F19" s="30"/>
      <c r="G19" s="30"/>
      <c r="H19" s="30"/>
      <c r="I19" s="30"/>
      <c r="J19" s="33"/>
    </row>
    <row r="20" spans="1:10">
      <c r="A20" s="24" t="s">
        <v>75</v>
      </c>
      <c r="B20" s="133">
        <v>1113878338</v>
      </c>
      <c r="C20" s="136">
        <v>1377545722</v>
      </c>
      <c r="D20" s="25">
        <f t="shared" si="0"/>
        <v>0.80859627394639755</v>
      </c>
      <c r="E20" s="30"/>
      <c r="F20" s="30"/>
      <c r="G20" s="30"/>
      <c r="H20" s="30"/>
      <c r="I20" s="30"/>
      <c r="J20" s="33"/>
    </row>
    <row r="21" spans="1:10">
      <c r="A21" s="24" t="s">
        <v>76</v>
      </c>
      <c r="B21" s="133">
        <v>1143521336.4199998</v>
      </c>
      <c r="C21" s="133">
        <v>1647289240.48</v>
      </c>
      <c r="D21" s="25">
        <f t="shared" si="0"/>
        <v>0.69418369787129286</v>
      </c>
      <c r="E21" s="30"/>
      <c r="F21" s="30"/>
      <c r="G21" s="30"/>
      <c r="H21" s="30"/>
      <c r="I21" s="30"/>
      <c r="J21" s="33"/>
    </row>
    <row r="22" spans="1:10">
      <c r="A22" s="29" t="s">
        <v>77</v>
      </c>
      <c r="B22" s="133">
        <v>1218894573.8299999</v>
      </c>
      <c r="C22" s="133">
        <v>1505814663</v>
      </c>
      <c r="D22" s="25">
        <f t="shared" si="0"/>
        <v>0.80945856338098354</v>
      </c>
      <c r="E22" s="30"/>
      <c r="F22" s="30"/>
      <c r="G22" s="30"/>
      <c r="H22" s="30"/>
      <c r="I22" s="30"/>
      <c r="J22" s="33"/>
    </row>
    <row r="23" spans="1:10">
      <c r="A23" s="200"/>
      <c r="B23" s="200"/>
      <c r="C23" s="200"/>
      <c r="D23" s="200"/>
      <c r="E23" s="200"/>
      <c r="F23" s="200"/>
      <c r="G23" s="200"/>
      <c r="H23" s="200"/>
      <c r="I23" s="200"/>
      <c r="J23" s="200"/>
    </row>
    <row r="24" spans="1:10">
      <c r="A24" s="31" t="s">
        <v>3</v>
      </c>
      <c r="B24" s="174" t="s">
        <v>158</v>
      </c>
      <c r="C24" s="174"/>
      <c r="D24" s="174"/>
      <c r="E24" s="174"/>
      <c r="F24" s="174"/>
      <c r="G24" s="174"/>
      <c r="H24" s="174"/>
      <c r="I24" s="174"/>
      <c r="J24" s="174"/>
    </row>
    <row r="25" spans="1:10">
      <c r="A25" s="31" t="s">
        <v>63</v>
      </c>
      <c r="B25" s="175" t="s">
        <v>153</v>
      </c>
      <c r="C25" s="175"/>
      <c r="D25" s="175"/>
      <c r="E25" s="176"/>
      <c r="F25" s="176"/>
      <c r="G25" s="176"/>
      <c r="H25" s="176"/>
      <c r="I25" s="176"/>
      <c r="J25" s="176"/>
    </row>
    <row r="26" spans="1:10" ht="30">
      <c r="A26" s="67" t="s">
        <v>65</v>
      </c>
      <c r="B26" s="93" t="s">
        <v>154</v>
      </c>
      <c r="C26" s="93" t="s">
        <v>155</v>
      </c>
      <c r="D26" s="65" t="s">
        <v>156</v>
      </c>
      <c r="E26" s="70" t="s">
        <v>157</v>
      </c>
      <c r="F26" s="30"/>
      <c r="G26" s="30"/>
      <c r="H26" s="30"/>
      <c r="I26" s="30"/>
      <c r="J26" s="33"/>
    </row>
    <row r="27" spans="1:10">
      <c r="A27" s="24" t="s">
        <v>66</v>
      </c>
      <c r="B27" s="94">
        <v>3097726784</v>
      </c>
      <c r="C27" s="94">
        <v>180196675</v>
      </c>
      <c r="D27" s="94">
        <v>1218115124.26</v>
      </c>
      <c r="E27" s="69">
        <f>B27-C27-D27</f>
        <v>1699414984.74</v>
      </c>
      <c r="F27" s="30"/>
      <c r="G27" s="30"/>
      <c r="H27" s="30"/>
      <c r="I27" s="30"/>
      <c r="J27" s="33"/>
    </row>
    <row r="28" spans="1:10">
      <c r="A28" s="24" t="s">
        <v>67</v>
      </c>
      <c r="B28" s="94">
        <v>1926518569</v>
      </c>
      <c r="C28" s="94">
        <v>209434311</v>
      </c>
      <c r="D28" s="94">
        <v>788251063.75999999</v>
      </c>
      <c r="E28" s="69">
        <f t="shared" ref="E28:E32" si="1">B28-C28-D28</f>
        <v>928833194.24000001</v>
      </c>
      <c r="F28" s="30"/>
      <c r="G28" s="30"/>
      <c r="H28" s="30"/>
      <c r="I28" s="30"/>
      <c r="J28" s="33"/>
    </row>
    <row r="29" spans="1:10">
      <c r="A29" s="24" t="s">
        <v>68</v>
      </c>
      <c r="B29" s="68">
        <v>2957975259</v>
      </c>
      <c r="C29" s="68">
        <v>403985036.23000002</v>
      </c>
      <c r="D29" s="68">
        <v>1218115124.26</v>
      </c>
      <c r="E29" s="69">
        <f t="shared" si="1"/>
        <v>1335875098.51</v>
      </c>
      <c r="F29" s="30"/>
      <c r="G29" s="30"/>
      <c r="H29" s="30"/>
      <c r="I29" s="30"/>
      <c r="J29" s="33"/>
    </row>
    <row r="30" spans="1:10">
      <c r="A30" s="24" t="s">
        <v>69</v>
      </c>
      <c r="B30" s="68">
        <v>2576507119</v>
      </c>
      <c r="C30" s="68">
        <v>177647374</v>
      </c>
      <c r="D30" s="68">
        <v>1218115124.26</v>
      </c>
      <c r="E30" s="69">
        <f t="shared" si="1"/>
        <v>1180744620.74</v>
      </c>
      <c r="F30" s="30"/>
      <c r="G30" s="30"/>
      <c r="H30" s="30"/>
      <c r="I30" s="30"/>
      <c r="J30" s="33"/>
    </row>
    <row r="31" spans="1:10">
      <c r="A31" s="24" t="s">
        <v>70</v>
      </c>
      <c r="B31" s="68">
        <v>2708772247</v>
      </c>
      <c r="C31" s="68">
        <v>222939800.55000001</v>
      </c>
      <c r="D31" s="68">
        <v>1218115124.26</v>
      </c>
      <c r="E31" s="69">
        <f t="shared" si="1"/>
        <v>1267717322.1899998</v>
      </c>
      <c r="F31" s="30"/>
      <c r="G31" s="30"/>
      <c r="H31" s="30"/>
      <c r="I31" s="30"/>
      <c r="J31" s="33"/>
    </row>
    <row r="32" spans="1:10">
      <c r="A32" s="24" t="s">
        <v>71</v>
      </c>
      <c r="B32" s="68">
        <v>2627397706</v>
      </c>
      <c r="C32" s="68">
        <v>191268154</v>
      </c>
      <c r="D32" s="68">
        <v>1150798811.0999999</v>
      </c>
      <c r="E32" s="69">
        <f t="shared" si="1"/>
        <v>1285330740.9000001</v>
      </c>
      <c r="F32" s="30"/>
      <c r="G32" s="30"/>
      <c r="H32" s="30"/>
      <c r="I32" s="30"/>
      <c r="J32" s="33"/>
    </row>
    <row r="33" spans="1:10">
      <c r="A33" s="24" t="s">
        <v>72</v>
      </c>
      <c r="B33" s="68">
        <v>2805059680</v>
      </c>
      <c r="C33" s="68">
        <v>238364707.26999998</v>
      </c>
      <c r="D33" s="68">
        <v>1150798811.0999999</v>
      </c>
      <c r="E33" s="69">
        <f>B33-C33-D33</f>
        <v>1415896161.6300001</v>
      </c>
      <c r="F33" s="30"/>
      <c r="G33" s="30"/>
      <c r="H33" s="30"/>
      <c r="I33" s="30"/>
      <c r="J33" s="33"/>
    </row>
    <row r="34" spans="1:10">
      <c r="A34" s="24" t="s">
        <v>73</v>
      </c>
      <c r="B34" s="68">
        <v>2551762024</v>
      </c>
      <c r="C34" s="68">
        <v>254372386.96000001</v>
      </c>
      <c r="D34" s="68">
        <v>1150798811.0999999</v>
      </c>
      <c r="E34" s="69">
        <f t="shared" ref="E34:E38" si="2">B34-C34-D34</f>
        <v>1146590825.9400001</v>
      </c>
      <c r="F34" s="30"/>
      <c r="G34" s="30"/>
      <c r="H34" s="30"/>
      <c r="I34" s="30"/>
      <c r="J34" s="33"/>
    </row>
    <row r="35" spans="1:10">
      <c r="A35" s="24" t="s">
        <v>74</v>
      </c>
      <c r="B35" s="68">
        <v>3158847571</v>
      </c>
      <c r="C35" s="68">
        <v>318775968.27999997</v>
      </c>
      <c r="D35" s="68">
        <v>1150798811.0999999</v>
      </c>
      <c r="E35" s="69">
        <f t="shared" si="2"/>
        <v>1689272791.6200004</v>
      </c>
      <c r="F35" s="30"/>
      <c r="G35" s="30"/>
      <c r="H35" s="30"/>
      <c r="I35" s="30"/>
      <c r="J35" s="33"/>
    </row>
    <row r="36" spans="1:10">
      <c r="A36" s="24" t="s">
        <v>75</v>
      </c>
      <c r="B36" s="68">
        <v>2666913591</v>
      </c>
      <c r="C36" s="68">
        <v>244827980.46999997</v>
      </c>
      <c r="D36" s="68">
        <v>1026494384.13</v>
      </c>
      <c r="E36" s="69">
        <f t="shared" si="2"/>
        <v>1395591226.4000001</v>
      </c>
      <c r="F36" s="30"/>
      <c r="G36" s="30"/>
      <c r="H36" s="30"/>
      <c r="I36" s="30"/>
      <c r="J36" s="33"/>
    </row>
    <row r="37" spans="1:10">
      <c r="A37" s="24" t="s">
        <v>76</v>
      </c>
      <c r="B37" s="68">
        <v>3463886297</v>
      </c>
      <c r="C37" s="68">
        <v>241246242.78999999</v>
      </c>
      <c r="D37" s="68">
        <v>1332987421.8599999</v>
      </c>
      <c r="E37" s="69">
        <f t="shared" si="2"/>
        <v>1889652632.3500001</v>
      </c>
      <c r="F37" s="30"/>
      <c r="G37" s="30"/>
      <c r="H37" s="30"/>
      <c r="I37" s="30"/>
      <c r="J37" s="33"/>
    </row>
    <row r="38" spans="1:10">
      <c r="A38" s="24" t="s">
        <v>77</v>
      </c>
      <c r="B38" s="68">
        <v>3055740585</v>
      </c>
      <c r="C38" s="68">
        <v>284105684.68000001</v>
      </c>
      <c r="D38" s="68">
        <v>1141239399.1800001</v>
      </c>
      <c r="E38" s="69">
        <f t="shared" si="2"/>
        <v>1630395501.1400001</v>
      </c>
      <c r="F38" s="30"/>
      <c r="G38" s="30"/>
      <c r="H38" s="30"/>
      <c r="I38" s="30"/>
      <c r="J38" s="33"/>
    </row>
    <row r="39" spans="1:10">
      <c r="A39" s="200"/>
      <c r="B39" s="200"/>
      <c r="C39" s="200"/>
      <c r="D39" s="200"/>
      <c r="E39" s="200"/>
      <c r="F39" s="200"/>
      <c r="G39" s="200"/>
      <c r="H39" s="200"/>
      <c r="I39" s="200"/>
      <c r="J39" s="200"/>
    </row>
    <row r="40" spans="1:10">
      <c r="A40" s="31" t="s">
        <v>3</v>
      </c>
      <c r="B40" s="222" t="s">
        <v>138</v>
      </c>
      <c r="C40" s="223"/>
      <c r="D40" s="223"/>
      <c r="E40" s="223"/>
      <c r="F40" s="223"/>
      <c r="G40" s="223"/>
      <c r="H40" s="223"/>
      <c r="I40" s="223"/>
      <c r="J40" s="224"/>
    </row>
    <row r="41" spans="1:10">
      <c r="A41" s="53" t="s">
        <v>63</v>
      </c>
      <c r="B41" s="175" t="s">
        <v>139</v>
      </c>
      <c r="C41" s="175"/>
      <c r="D41" s="175"/>
      <c r="E41" s="175"/>
      <c r="F41" s="175"/>
      <c r="G41" s="176"/>
      <c r="H41" s="176"/>
      <c r="I41" s="176"/>
      <c r="J41" s="176"/>
    </row>
    <row r="42" spans="1:10" ht="60">
      <c r="A42" s="67" t="s">
        <v>65</v>
      </c>
      <c r="B42" s="66" t="s">
        <v>128</v>
      </c>
      <c r="C42" s="66" t="s">
        <v>129</v>
      </c>
      <c r="D42" s="66" t="s">
        <v>130</v>
      </c>
      <c r="E42" s="66" t="s">
        <v>199</v>
      </c>
      <c r="F42" s="66" t="s">
        <v>198</v>
      </c>
      <c r="G42" s="46"/>
      <c r="H42" s="46"/>
      <c r="I42" s="46"/>
      <c r="J42" s="47"/>
    </row>
    <row r="43" spans="1:10">
      <c r="A43" s="24" t="s">
        <v>66</v>
      </c>
      <c r="B43" s="54">
        <v>4375599842</v>
      </c>
      <c r="C43" s="54">
        <v>5273079603</v>
      </c>
      <c r="D43" s="54">
        <v>4972975450</v>
      </c>
      <c r="E43" s="45">
        <f>C43/B43</f>
        <v>1.2051101091067276</v>
      </c>
      <c r="F43" s="45">
        <f>D43/C43</f>
        <v>0.94308749808569881</v>
      </c>
      <c r="G43" s="46"/>
      <c r="H43" s="137">
        <f>AVERAGE(E43:E51)</f>
        <v>0.99246481122835861</v>
      </c>
      <c r="I43" s="137">
        <f>AVERAGE(F43:F51)</f>
        <v>0.95850079332715454</v>
      </c>
      <c r="J43" s="138">
        <f>AVERAGE(H43:I43)</f>
        <v>0.97548280227775663</v>
      </c>
    </row>
    <row r="44" spans="1:10">
      <c r="A44" s="24" t="s">
        <v>67</v>
      </c>
      <c r="B44" s="54">
        <v>3884455523</v>
      </c>
      <c r="C44" s="54">
        <v>3360788034</v>
      </c>
      <c r="D44" s="54">
        <v>3067221567</v>
      </c>
      <c r="E44" s="45">
        <f t="shared" ref="E44:E54" si="3">C44/B44</f>
        <v>0.86518895997152079</v>
      </c>
      <c r="F44" s="45">
        <f t="shared" ref="F44:F54" si="4">D44/C44</f>
        <v>0.91264951433113795</v>
      </c>
      <c r="G44" s="46"/>
      <c r="H44" s="46"/>
      <c r="I44" s="46"/>
      <c r="J44" s="47"/>
    </row>
    <row r="45" spans="1:10">
      <c r="A45" s="24" t="s">
        <v>68</v>
      </c>
      <c r="B45" s="54">
        <v>4833614797</v>
      </c>
      <c r="C45" s="54">
        <v>5103253797</v>
      </c>
      <c r="D45" s="54">
        <v>4086209045</v>
      </c>
      <c r="E45" s="45">
        <f t="shared" si="3"/>
        <v>1.0557841307849671</v>
      </c>
      <c r="F45" s="45">
        <f t="shared" si="4"/>
        <v>0.80070660945809125</v>
      </c>
      <c r="G45" s="46"/>
      <c r="H45" s="46"/>
      <c r="I45" s="46"/>
      <c r="J45" s="47"/>
    </row>
    <row r="46" spans="1:10">
      <c r="A46" s="24" t="s">
        <v>69</v>
      </c>
      <c r="B46" s="54">
        <v>4585464479</v>
      </c>
      <c r="C46" s="54">
        <v>4383336857</v>
      </c>
      <c r="D46" s="54">
        <v>4265940322</v>
      </c>
      <c r="E46" s="45">
        <f t="shared" si="3"/>
        <v>0.95591992415911597</v>
      </c>
      <c r="F46" s="45">
        <f t="shared" si="4"/>
        <v>0.97321754206215683</v>
      </c>
      <c r="G46" s="46"/>
      <c r="H46" s="46"/>
      <c r="I46" s="46"/>
      <c r="J46" s="47"/>
    </row>
    <row r="47" spans="1:10">
      <c r="A47" s="24" t="s">
        <v>70</v>
      </c>
      <c r="B47" s="54">
        <v>4331720984</v>
      </c>
      <c r="C47" s="54">
        <v>4019546151</v>
      </c>
      <c r="D47" s="54">
        <v>4006868406</v>
      </c>
      <c r="E47" s="45">
        <f t="shared" si="3"/>
        <v>0.92793283912951119</v>
      </c>
      <c r="F47" s="45">
        <f t="shared" si="4"/>
        <v>0.99684597600730473</v>
      </c>
      <c r="G47" s="46"/>
      <c r="H47" s="46"/>
      <c r="I47" s="46"/>
      <c r="J47" s="47"/>
    </row>
    <row r="48" spans="1:10">
      <c r="A48" s="24" t="s">
        <v>71</v>
      </c>
      <c r="B48" s="54">
        <v>4364858839</v>
      </c>
      <c r="C48" s="54">
        <v>4340123002</v>
      </c>
      <c r="D48" s="54">
        <v>4340123002</v>
      </c>
      <c r="E48" s="45">
        <f t="shared" si="3"/>
        <v>0.99433295831265256</v>
      </c>
      <c r="F48" s="45">
        <f t="shared" si="4"/>
        <v>1</v>
      </c>
      <c r="G48" s="46"/>
      <c r="H48" s="77"/>
      <c r="I48" s="46"/>
      <c r="J48" s="47"/>
    </row>
    <row r="49" spans="1:12">
      <c r="A49" s="24" t="s">
        <v>72</v>
      </c>
      <c r="B49" s="54">
        <v>4570377654</v>
      </c>
      <c r="C49" s="54">
        <v>4672806494</v>
      </c>
      <c r="D49" s="54">
        <v>4672806494</v>
      </c>
      <c r="E49" s="45">
        <f t="shared" si="3"/>
        <v>1.0224114608801209</v>
      </c>
      <c r="F49" s="45">
        <f t="shared" si="4"/>
        <v>1</v>
      </c>
      <c r="G49" s="46"/>
      <c r="H49" s="46"/>
      <c r="I49" s="46"/>
      <c r="J49" s="47"/>
      <c r="L49" s="76"/>
    </row>
    <row r="50" spans="1:12">
      <c r="A50" s="24" t="s">
        <v>73</v>
      </c>
      <c r="B50" s="54">
        <v>4735829216</v>
      </c>
      <c r="C50" s="54">
        <v>4294715026</v>
      </c>
      <c r="D50" s="54">
        <v>4294715026</v>
      </c>
      <c r="E50" s="45">
        <f>C50/B50</f>
        <v>0.90685597603273027</v>
      </c>
      <c r="F50" s="45">
        <f t="shared" si="4"/>
        <v>1</v>
      </c>
      <c r="G50" s="46"/>
      <c r="H50" s="46"/>
      <c r="I50" s="46"/>
      <c r="J50" s="47"/>
      <c r="L50" s="76"/>
    </row>
    <row r="51" spans="1:12">
      <c r="A51" s="24" t="s">
        <v>74</v>
      </c>
      <c r="B51" s="54">
        <v>4846183449</v>
      </c>
      <c r="C51" s="54">
        <v>4839626285</v>
      </c>
      <c r="D51" s="54">
        <v>4839626285</v>
      </c>
      <c r="E51" s="45">
        <f t="shared" si="3"/>
        <v>0.99864694267788123</v>
      </c>
      <c r="F51" s="45">
        <f t="shared" si="4"/>
        <v>1</v>
      </c>
      <c r="G51" s="46"/>
      <c r="H51" s="46"/>
      <c r="I51" s="46"/>
      <c r="J51" s="47"/>
    </row>
    <row r="52" spans="1:12">
      <c r="A52" s="24" t="s">
        <v>75</v>
      </c>
      <c r="B52" s="54">
        <v>4862717689</v>
      </c>
      <c r="C52" s="121">
        <v>4461868748</v>
      </c>
      <c r="D52" s="121">
        <v>4461868748</v>
      </c>
      <c r="E52" s="45">
        <f t="shared" si="3"/>
        <v>0.91756689023778526</v>
      </c>
      <c r="F52" s="45">
        <f t="shared" si="4"/>
        <v>1</v>
      </c>
      <c r="G52" s="46"/>
      <c r="H52" s="46"/>
      <c r="I52" s="46"/>
      <c r="J52" s="47"/>
    </row>
    <row r="53" spans="1:12">
      <c r="A53" s="24" t="s">
        <v>76</v>
      </c>
      <c r="B53" s="54">
        <v>4684646916</v>
      </c>
      <c r="C53" s="121">
        <v>5219919481</v>
      </c>
      <c r="D53" s="121">
        <v>5219919481</v>
      </c>
      <c r="E53" s="45">
        <f t="shared" si="3"/>
        <v>1.1142610264120063</v>
      </c>
      <c r="F53" s="45">
        <f t="shared" si="4"/>
        <v>1</v>
      </c>
      <c r="G53" s="46"/>
      <c r="H53" s="46"/>
      <c r="I53" s="46"/>
      <c r="J53" s="47"/>
    </row>
    <row r="54" spans="1:12">
      <c r="A54" s="24" t="s">
        <v>77</v>
      </c>
      <c r="B54" s="54">
        <v>4958519823</v>
      </c>
      <c r="C54" s="121">
        <v>5081627448</v>
      </c>
      <c r="D54" s="121">
        <v>4807548809</v>
      </c>
      <c r="E54" s="45">
        <f t="shared" si="3"/>
        <v>1.0248274947755514</v>
      </c>
      <c r="F54" s="45">
        <f t="shared" si="4"/>
        <v>0.94606479089531237</v>
      </c>
      <c r="G54" s="30"/>
      <c r="H54" s="30"/>
      <c r="I54" s="30"/>
      <c r="J54" s="33"/>
    </row>
    <row r="55" spans="1:12">
      <c r="A55" s="49"/>
      <c r="B55" s="50"/>
      <c r="C55" s="51"/>
      <c r="D55" s="52"/>
      <c r="E55" s="48"/>
      <c r="F55" s="48"/>
      <c r="G55" s="30"/>
      <c r="H55" s="30"/>
      <c r="I55" s="30"/>
      <c r="J55" s="33"/>
    </row>
    <row r="56" spans="1:12">
      <c r="A56" s="49"/>
      <c r="B56" s="50"/>
      <c r="C56" s="51"/>
      <c r="D56" s="52"/>
      <c r="E56" s="48"/>
      <c r="F56" s="48"/>
      <c r="G56" s="30"/>
      <c r="H56" s="30"/>
      <c r="I56" s="30"/>
      <c r="J56" s="33"/>
    </row>
    <row r="57" spans="1:12">
      <c r="A57" s="49"/>
      <c r="B57" s="50"/>
      <c r="C57" s="51"/>
      <c r="D57" s="52"/>
      <c r="E57" s="48"/>
      <c r="F57" s="48"/>
      <c r="G57" s="30"/>
      <c r="H57" s="30"/>
      <c r="I57" s="30"/>
      <c r="J57" s="33"/>
    </row>
    <row r="58" spans="1:12">
      <c r="A58" s="49"/>
      <c r="B58" s="50"/>
      <c r="C58" s="51"/>
      <c r="D58" s="52"/>
      <c r="E58" s="48"/>
      <c r="F58" s="48"/>
      <c r="G58" s="30"/>
      <c r="H58" s="30"/>
      <c r="I58" s="30"/>
      <c r="J58" s="33"/>
    </row>
    <row r="59" spans="1:12">
      <c r="A59" s="49"/>
      <c r="B59" s="50"/>
      <c r="C59" s="51"/>
      <c r="D59" s="52"/>
      <c r="E59" s="48"/>
      <c r="F59" s="48"/>
      <c r="G59" s="30"/>
      <c r="H59" s="30"/>
      <c r="I59" s="30"/>
      <c r="J59" s="33"/>
    </row>
    <row r="60" spans="1:12">
      <c r="A60" s="49"/>
      <c r="B60" s="50"/>
      <c r="C60" s="51"/>
      <c r="D60" s="52"/>
      <c r="E60" s="48"/>
      <c r="F60" s="48"/>
      <c r="G60" s="30"/>
      <c r="H60" s="30"/>
      <c r="I60" s="30"/>
      <c r="J60" s="33"/>
    </row>
    <row r="61" spans="1:12">
      <c r="A61" s="49"/>
      <c r="B61" s="50"/>
      <c r="C61" s="51"/>
      <c r="D61" s="52"/>
      <c r="E61" s="48"/>
      <c r="F61" s="48"/>
      <c r="G61" s="30"/>
      <c r="H61" s="30"/>
      <c r="I61" s="30"/>
      <c r="J61" s="33"/>
    </row>
    <row r="62" spans="1:12">
      <c r="A62" s="49"/>
      <c r="B62" s="50"/>
      <c r="C62" s="51"/>
      <c r="D62" s="52"/>
      <c r="E62" s="48"/>
      <c r="F62" s="48"/>
      <c r="G62" s="30"/>
      <c r="H62" s="30"/>
      <c r="I62" s="30"/>
      <c r="J62" s="33"/>
    </row>
    <row r="63" spans="1:12">
      <c r="A63" s="49"/>
      <c r="B63" s="50"/>
      <c r="C63" s="51"/>
      <c r="D63" s="52"/>
      <c r="E63" s="48"/>
      <c r="F63" s="48"/>
      <c r="G63" s="30"/>
      <c r="H63" s="30"/>
      <c r="I63" s="30"/>
      <c r="J63" s="33"/>
    </row>
    <row r="64" spans="1:12">
      <c r="A64" s="49"/>
      <c r="B64" s="50"/>
      <c r="C64" s="51"/>
      <c r="D64" s="52"/>
      <c r="E64" s="48"/>
      <c r="F64" s="48"/>
      <c r="G64" s="30"/>
      <c r="H64" s="30"/>
      <c r="I64" s="30"/>
      <c r="J64" s="33"/>
    </row>
    <row r="65" spans="1:12">
      <c r="A65" s="49"/>
      <c r="B65" s="50"/>
      <c r="C65" s="51"/>
      <c r="D65" s="52"/>
      <c r="E65" s="48"/>
      <c r="F65" s="48"/>
      <c r="G65" s="30"/>
      <c r="H65" s="30"/>
      <c r="I65" s="30"/>
      <c r="J65" s="33"/>
    </row>
    <row r="66" spans="1:12">
      <c r="A66" s="49"/>
      <c r="B66" s="50"/>
      <c r="C66" s="51"/>
      <c r="D66" s="52"/>
      <c r="E66" s="48"/>
      <c r="F66" s="48"/>
      <c r="G66" s="30"/>
      <c r="H66" s="30"/>
      <c r="I66" s="30"/>
      <c r="J66" s="33"/>
    </row>
    <row r="67" spans="1:12">
      <c r="A67" s="49"/>
      <c r="B67" s="50"/>
      <c r="C67" s="51"/>
      <c r="D67" s="52"/>
      <c r="E67" s="48"/>
      <c r="F67" s="48"/>
      <c r="G67" s="30"/>
      <c r="H67" s="30"/>
      <c r="I67" s="30"/>
      <c r="J67" s="33"/>
    </row>
    <row r="68" spans="1:12">
      <c r="A68" s="49"/>
      <c r="B68" s="50"/>
      <c r="C68" s="51"/>
      <c r="D68" s="52"/>
      <c r="E68" s="48"/>
      <c r="F68" s="48"/>
      <c r="G68" s="30"/>
      <c r="H68" s="30"/>
      <c r="I68" s="30"/>
      <c r="J68" s="33"/>
    </row>
    <row r="69" spans="1:12">
      <c r="A69" s="49"/>
      <c r="B69" s="50"/>
      <c r="C69" s="51"/>
      <c r="D69" s="52"/>
      <c r="E69" s="48"/>
      <c r="F69" s="48"/>
      <c r="G69" s="30"/>
      <c r="H69" s="30"/>
      <c r="I69" s="30"/>
      <c r="J69" s="33"/>
    </row>
    <row r="70" spans="1:12">
      <c r="A70" s="49"/>
      <c r="B70" s="50"/>
      <c r="C70" s="51"/>
      <c r="D70" s="52"/>
      <c r="E70" s="48"/>
      <c r="F70" s="48"/>
      <c r="G70" s="30"/>
      <c r="H70" s="30"/>
      <c r="I70" s="30"/>
      <c r="J70" s="33"/>
    </row>
    <row r="71" spans="1:12">
      <c r="A71" s="219"/>
      <c r="B71" s="220"/>
      <c r="C71" s="220"/>
      <c r="D71" s="220"/>
      <c r="E71" s="220"/>
      <c r="F71" s="220"/>
      <c r="G71" s="220"/>
      <c r="H71" s="220"/>
      <c r="I71" s="220"/>
      <c r="J71" s="221"/>
    </row>
    <row r="72" spans="1:12">
      <c r="A72" s="31" t="s">
        <v>3</v>
      </c>
      <c r="B72" s="174" t="s">
        <v>184</v>
      </c>
      <c r="C72" s="174"/>
      <c r="D72" s="174"/>
      <c r="E72" s="174"/>
      <c r="F72" s="174"/>
      <c r="G72" s="174"/>
      <c r="H72" s="174"/>
      <c r="I72" s="174"/>
      <c r="J72" s="174"/>
    </row>
    <row r="73" spans="1:12">
      <c r="A73" s="31" t="s">
        <v>63</v>
      </c>
      <c r="B73" s="176" t="s">
        <v>180</v>
      </c>
      <c r="C73" s="176"/>
      <c r="D73" s="176"/>
      <c r="E73" s="176"/>
      <c r="F73" s="176"/>
      <c r="G73" s="176"/>
      <c r="H73" s="176"/>
      <c r="I73" s="176"/>
      <c r="J73" s="176"/>
    </row>
    <row r="74" spans="1:12" ht="45">
      <c r="A74" s="80" t="s">
        <v>65</v>
      </c>
      <c r="B74" s="79" t="s">
        <v>179</v>
      </c>
      <c r="C74" s="79" t="s">
        <v>186</v>
      </c>
      <c r="D74" s="79" t="s">
        <v>187</v>
      </c>
      <c r="E74" s="30"/>
      <c r="F74" s="30"/>
      <c r="G74" s="30"/>
      <c r="H74" s="30"/>
      <c r="I74" s="30"/>
      <c r="J74" s="33"/>
    </row>
    <row r="75" spans="1:12">
      <c r="A75" s="24" t="s">
        <v>66</v>
      </c>
      <c r="B75" s="68">
        <v>26</v>
      </c>
      <c r="C75" s="68">
        <v>2053</v>
      </c>
      <c r="D75" s="25">
        <f>B75/C75</f>
        <v>1.2664393570384803E-2</v>
      </c>
      <c r="E75" s="30"/>
      <c r="F75" s="30"/>
      <c r="G75" s="30"/>
      <c r="H75" s="30"/>
      <c r="I75" s="30"/>
      <c r="J75" s="33"/>
    </row>
    <row r="76" spans="1:12">
      <c r="A76" s="24" t="s">
        <v>67</v>
      </c>
      <c r="B76" s="68">
        <v>14</v>
      </c>
      <c r="C76" s="68">
        <v>1465</v>
      </c>
      <c r="D76" s="25">
        <f t="shared" ref="D76:D86" si="5">B76/C76</f>
        <v>9.5563139931740607E-3</v>
      </c>
      <c r="E76" s="30"/>
      <c r="F76" s="30"/>
      <c r="G76" s="30"/>
      <c r="H76" s="30"/>
      <c r="I76" s="30"/>
      <c r="J76" s="33"/>
    </row>
    <row r="77" spans="1:12">
      <c r="A77" s="24" t="s">
        <v>68</v>
      </c>
      <c r="B77" s="68">
        <v>19</v>
      </c>
      <c r="C77" s="68">
        <v>1572</v>
      </c>
      <c r="D77" s="25">
        <f t="shared" si="5"/>
        <v>1.2086513994910942E-2</v>
      </c>
      <c r="E77" s="30"/>
      <c r="F77" s="30"/>
      <c r="G77" s="30"/>
      <c r="H77" s="30"/>
      <c r="I77" s="30"/>
      <c r="J77" s="33"/>
    </row>
    <row r="78" spans="1:12">
      <c r="A78" s="24" t="s">
        <v>69</v>
      </c>
      <c r="B78" s="68">
        <v>11</v>
      </c>
      <c r="C78" s="68">
        <v>1258</v>
      </c>
      <c r="D78" s="25">
        <f t="shared" si="5"/>
        <v>8.744038155802861E-3</v>
      </c>
      <c r="E78" s="30"/>
      <c r="F78" s="30"/>
      <c r="G78" s="30"/>
      <c r="H78" s="30"/>
      <c r="I78" s="30"/>
      <c r="J78" s="33"/>
    </row>
    <row r="79" spans="1:12">
      <c r="A79" s="24" t="s">
        <v>70</v>
      </c>
      <c r="B79" s="68">
        <v>5</v>
      </c>
      <c r="C79" s="68">
        <v>1138</v>
      </c>
      <c r="D79" s="25">
        <f t="shared" si="5"/>
        <v>4.3936731107205628E-3</v>
      </c>
      <c r="E79" s="30"/>
      <c r="F79" s="30"/>
      <c r="G79" s="30"/>
      <c r="H79" s="30"/>
      <c r="I79" s="30"/>
      <c r="J79" s="33"/>
      <c r="L79" s="101"/>
    </row>
    <row r="80" spans="1:12">
      <c r="A80" s="24" t="s">
        <v>71</v>
      </c>
      <c r="B80" s="68">
        <v>21</v>
      </c>
      <c r="C80" s="68">
        <v>1313</v>
      </c>
      <c r="D80" s="25">
        <f t="shared" si="5"/>
        <v>1.5993907083015995E-2</v>
      </c>
      <c r="E80" s="30"/>
      <c r="F80" s="30"/>
      <c r="G80" s="30"/>
      <c r="H80" s="30"/>
      <c r="I80" s="30"/>
      <c r="J80" s="33"/>
      <c r="L80" s="101"/>
    </row>
    <row r="81" spans="1:12">
      <c r="A81" s="24" t="s">
        <v>72</v>
      </c>
      <c r="B81" s="68">
        <v>14</v>
      </c>
      <c r="C81" s="68">
        <v>1268</v>
      </c>
      <c r="D81" s="25">
        <f t="shared" si="5"/>
        <v>1.1041009463722398E-2</v>
      </c>
      <c r="E81" s="30"/>
      <c r="F81" s="30"/>
      <c r="G81" s="30"/>
      <c r="H81" s="30"/>
      <c r="I81" s="30"/>
      <c r="J81" s="33"/>
      <c r="L81" s="101"/>
    </row>
    <row r="82" spans="1:12">
      <c r="A82" s="24" t="s">
        <v>73</v>
      </c>
      <c r="B82" s="68">
        <v>11</v>
      </c>
      <c r="C82" s="68">
        <v>1182</v>
      </c>
      <c r="D82" s="25">
        <f t="shared" si="5"/>
        <v>9.3062605752961079E-3</v>
      </c>
      <c r="E82" s="30"/>
      <c r="F82" s="30"/>
      <c r="G82" s="30"/>
      <c r="H82" s="30"/>
      <c r="I82" s="30"/>
      <c r="J82" s="33"/>
      <c r="L82" s="101"/>
    </row>
    <row r="83" spans="1:12">
      <c r="A83" s="24" t="s">
        <v>74</v>
      </c>
      <c r="B83" s="68">
        <v>13</v>
      </c>
      <c r="C83" s="68">
        <v>1444</v>
      </c>
      <c r="D83" s="25">
        <f t="shared" si="5"/>
        <v>9.0027700831024939E-3</v>
      </c>
      <c r="E83" s="30"/>
      <c r="F83" s="30"/>
      <c r="G83" s="30"/>
      <c r="H83" s="30"/>
      <c r="I83" s="30"/>
      <c r="J83" s="33"/>
      <c r="L83" s="101"/>
    </row>
    <row r="84" spans="1:12">
      <c r="A84" s="24" t="s">
        <v>75</v>
      </c>
      <c r="B84" s="68">
        <v>17</v>
      </c>
      <c r="C84" s="68">
        <v>1295</v>
      </c>
      <c r="D84" s="25">
        <f t="shared" si="5"/>
        <v>1.3127413127413128E-2</v>
      </c>
      <c r="E84" s="30"/>
      <c r="F84" s="30"/>
      <c r="G84" s="30"/>
      <c r="H84" s="30"/>
      <c r="I84" s="30"/>
      <c r="J84" s="33"/>
      <c r="L84" s="101"/>
    </row>
    <row r="85" spans="1:12">
      <c r="A85" s="24" t="s">
        <v>76</v>
      </c>
      <c r="B85" s="68">
        <v>15</v>
      </c>
      <c r="C85" s="68">
        <v>1365</v>
      </c>
      <c r="D85" s="25">
        <f t="shared" si="5"/>
        <v>1.098901098901099E-2</v>
      </c>
      <c r="E85" s="30"/>
      <c r="F85" s="30"/>
      <c r="G85" s="30"/>
      <c r="H85" s="30"/>
      <c r="I85" s="30"/>
      <c r="J85" s="33"/>
    </row>
    <row r="86" spans="1:12">
      <c r="A86" s="24" t="s">
        <v>77</v>
      </c>
      <c r="B86" s="68">
        <v>21</v>
      </c>
      <c r="C86" s="68">
        <v>1420</v>
      </c>
      <c r="D86" s="25">
        <f t="shared" si="5"/>
        <v>1.4788732394366197E-2</v>
      </c>
      <c r="E86" s="30"/>
      <c r="F86" s="30"/>
      <c r="G86" s="30"/>
      <c r="H86" s="30"/>
      <c r="I86" s="30"/>
      <c r="J86" s="33"/>
    </row>
    <row r="87" spans="1:12">
      <c r="A87" s="219"/>
      <c r="B87" s="220"/>
      <c r="C87" s="220"/>
      <c r="D87" s="220"/>
      <c r="E87" s="220"/>
      <c r="F87" s="220"/>
      <c r="G87" s="220"/>
      <c r="H87" s="220"/>
      <c r="I87" s="220"/>
      <c r="J87" s="221"/>
    </row>
    <row r="88" spans="1:12">
      <c r="A88" s="31" t="s">
        <v>3</v>
      </c>
      <c r="B88" s="174" t="s">
        <v>185</v>
      </c>
      <c r="C88" s="174"/>
      <c r="D88" s="174"/>
      <c r="E88" s="174"/>
      <c r="F88" s="174"/>
      <c r="G88" s="174"/>
      <c r="H88" s="174"/>
      <c r="I88" s="174"/>
      <c r="J88" s="174"/>
    </row>
    <row r="89" spans="1:12">
      <c r="A89" s="31" t="s">
        <v>63</v>
      </c>
      <c r="B89" s="176" t="s">
        <v>188</v>
      </c>
      <c r="C89" s="176"/>
      <c r="D89" s="176"/>
      <c r="E89" s="176"/>
      <c r="F89" s="176"/>
      <c r="G89" s="176"/>
      <c r="H89" s="176"/>
      <c r="I89" s="176"/>
      <c r="J89" s="176"/>
    </row>
    <row r="90" spans="1:12" ht="45">
      <c r="A90" s="83" t="s">
        <v>65</v>
      </c>
      <c r="B90" s="82" t="s">
        <v>190</v>
      </c>
      <c r="C90" s="82" t="s">
        <v>186</v>
      </c>
      <c r="D90" s="82" t="s">
        <v>191</v>
      </c>
      <c r="E90" s="30"/>
      <c r="F90" s="30"/>
      <c r="G90" s="30"/>
      <c r="H90" s="30"/>
      <c r="I90" s="30"/>
      <c r="J90" s="33"/>
    </row>
    <row r="91" spans="1:12">
      <c r="A91" s="24" t="s">
        <v>66</v>
      </c>
      <c r="B91" s="68">
        <v>0</v>
      </c>
      <c r="C91" s="68">
        <v>2053</v>
      </c>
      <c r="D91" s="25">
        <f>B91/C91</f>
        <v>0</v>
      </c>
      <c r="E91" s="30"/>
      <c r="F91" s="30"/>
      <c r="G91" s="30"/>
      <c r="H91" s="30"/>
      <c r="I91" s="30"/>
      <c r="J91" s="33"/>
    </row>
    <row r="92" spans="1:12">
      <c r="A92" s="24" t="s">
        <v>67</v>
      </c>
      <c r="B92" s="68">
        <v>0</v>
      </c>
      <c r="C92" s="68">
        <v>1465</v>
      </c>
      <c r="D92" s="25">
        <f>B92/C92</f>
        <v>0</v>
      </c>
      <c r="E92" s="30"/>
      <c r="F92" s="30"/>
      <c r="G92" s="30"/>
      <c r="H92" s="30"/>
      <c r="I92" s="30"/>
      <c r="J92" s="33"/>
    </row>
    <row r="93" spans="1:12">
      <c r="A93" s="24" t="s">
        <v>68</v>
      </c>
      <c r="B93" s="68">
        <v>0</v>
      </c>
      <c r="C93" s="68">
        <v>1572</v>
      </c>
      <c r="D93" s="25">
        <f t="shared" ref="D93:D102" si="6">B93/C93</f>
        <v>0</v>
      </c>
      <c r="E93" s="30"/>
      <c r="F93" s="30"/>
      <c r="G93" s="30"/>
      <c r="H93" s="30"/>
      <c r="I93" s="30"/>
      <c r="J93" s="33"/>
    </row>
    <row r="94" spans="1:12">
      <c r="A94" s="24" t="s">
        <v>69</v>
      </c>
      <c r="B94" s="68">
        <v>0</v>
      </c>
      <c r="C94" s="68">
        <v>1258</v>
      </c>
      <c r="D94" s="25">
        <f t="shared" si="6"/>
        <v>0</v>
      </c>
      <c r="E94" s="30"/>
      <c r="F94" s="30"/>
      <c r="G94" s="30"/>
      <c r="H94" s="30"/>
      <c r="I94" s="30"/>
      <c r="J94" s="33"/>
    </row>
    <row r="95" spans="1:12">
      <c r="A95" s="24" t="s">
        <v>70</v>
      </c>
      <c r="B95" s="68">
        <v>0</v>
      </c>
      <c r="C95" s="68">
        <v>1138</v>
      </c>
      <c r="D95" s="25">
        <f t="shared" si="6"/>
        <v>0</v>
      </c>
      <c r="E95" s="30"/>
      <c r="F95" s="30"/>
      <c r="G95" s="30"/>
      <c r="H95" s="30"/>
      <c r="I95" s="30"/>
      <c r="J95" s="33"/>
    </row>
    <row r="96" spans="1:12">
      <c r="A96" s="24" t="s">
        <v>71</v>
      </c>
      <c r="B96" s="68">
        <v>0</v>
      </c>
      <c r="C96" s="68">
        <v>1313</v>
      </c>
      <c r="D96" s="25">
        <f t="shared" si="6"/>
        <v>0</v>
      </c>
      <c r="E96" s="30"/>
      <c r="F96" s="30"/>
      <c r="G96" s="30"/>
      <c r="H96" s="30"/>
      <c r="I96" s="30"/>
      <c r="J96" s="33"/>
    </row>
    <row r="97" spans="1:10">
      <c r="A97" s="24" t="s">
        <v>72</v>
      </c>
      <c r="B97" s="68">
        <v>0</v>
      </c>
      <c r="C97" s="68">
        <v>1268</v>
      </c>
      <c r="D97" s="25">
        <f t="shared" si="6"/>
        <v>0</v>
      </c>
      <c r="E97" s="30"/>
      <c r="F97" s="30"/>
      <c r="G97" s="30"/>
      <c r="H97" s="30"/>
      <c r="I97" s="30"/>
      <c r="J97" s="33"/>
    </row>
    <row r="98" spans="1:10">
      <c r="A98" s="24" t="s">
        <v>73</v>
      </c>
      <c r="B98" s="68">
        <v>0</v>
      </c>
      <c r="C98" s="68">
        <v>1182</v>
      </c>
      <c r="D98" s="25">
        <f t="shared" si="6"/>
        <v>0</v>
      </c>
      <c r="E98" s="30"/>
      <c r="F98" s="30"/>
      <c r="G98" s="30"/>
      <c r="H98" s="30"/>
      <c r="I98" s="30"/>
      <c r="J98" s="33"/>
    </row>
    <row r="99" spans="1:10">
      <c r="A99" s="24" t="s">
        <v>74</v>
      </c>
      <c r="B99" s="68">
        <v>3</v>
      </c>
      <c r="C99" s="68">
        <v>1444</v>
      </c>
      <c r="D99" s="25">
        <f>B99/C99</f>
        <v>2.0775623268698062E-3</v>
      </c>
      <c r="E99" s="30"/>
      <c r="F99" s="30"/>
      <c r="G99" s="30"/>
      <c r="H99" s="30"/>
      <c r="I99" s="30"/>
      <c r="J99" s="33"/>
    </row>
    <row r="100" spans="1:10">
      <c r="A100" s="24" t="s">
        <v>75</v>
      </c>
      <c r="B100" s="68">
        <v>0</v>
      </c>
      <c r="C100" s="68">
        <v>1295</v>
      </c>
      <c r="D100" s="25">
        <f t="shared" si="6"/>
        <v>0</v>
      </c>
      <c r="E100" s="30"/>
      <c r="F100" s="30"/>
      <c r="G100" s="30"/>
      <c r="H100" s="30"/>
      <c r="I100" s="30"/>
      <c r="J100" s="33"/>
    </row>
    <row r="101" spans="1:10">
      <c r="A101" s="24" t="s">
        <v>76</v>
      </c>
      <c r="B101" s="68">
        <v>0</v>
      </c>
      <c r="C101" s="68">
        <v>1365</v>
      </c>
      <c r="D101" s="25">
        <f t="shared" si="6"/>
        <v>0</v>
      </c>
      <c r="E101" s="30"/>
      <c r="F101" s="30"/>
      <c r="G101" s="30"/>
      <c r="H101" s="30"/>
      <c r="I101" s="30"/>
      <c r="J101" s="33"/>
    </row>
    <row r="102" spans="1:10">
      <c r="A102" s="24" t="s">
        <v>77</v>
      </c>
      <c r="B102" s="68">
        <v>0</v>
      </c>
      <c r="C102" s="68">
        <v>1420</v>
      </c>
      <c r="D102" s="25">
        <f t="shared" si="6"/>
        <v>0</v>
      </c>
      <c r="E102" s="30"/>
      <c r="F102" s="30"/>
      <c r="G102" s="30"/>
      <c r="H102" s="30"/>
      <c r="I102" s="30"/>
      <c r="J102" s="33"/>
    </row>
    <row r="103" spans="1:10">
      <c r="A103" s="31" t="s">
        <v>3</v>
      </c>
      <c r="B103" s="174" t="s">
        <v>233</v>
      </c>
      <c r="C103" s="174"/>
      <c r="D103" s="174"/>
      <c r="E103" s="174"/>
      <c r="F103" s="174"/>
      <c r="G103" s="174"/>
      <c r="H103" s="174"/>
      <c r="I103" s="174"/>
      <c r="J103" s="174"/>
    </row>
    <row r="104" spans="1:10">
      <c r="A104" s="31" t="s">
        <v>63</v>
      </c>
      <c r="B104" s="176" t="s">
        <v>234</v>
      </c>
      <c r="C104" s="176"/>
      <c r="D104" s="176"/>
      <c r="E104" s="176"/>
      <c r="F104" s="176"/>
      <c r="G104" s="176"/>
      <c r="H104" s="176"/>
      <c r="I104" s="176"/>
      <c r="J104" s="176"/>
    </row>
    <row r="105" spans="1:10" ht="30">
      <c r="A105" s="120" t="s">
        <v>65</v>
      </c>
      <c r="B105" s="119" t="s">
        <v>235</v>
      </c>
      <c r="C105" s="119" t="s">
        <v>236</v>
      </c>
      <c r="D105" s="119" t="s">
        <v>237</v>
      </c>
      <c r="E105" s="30"/>
      <c r="F105" s="30"/>
      <c r="G105" s="30"/>
      <c r="H105" s="30"/>
      <c r="I105" s="30"/>
      <c r="J105" s="33"/>
    </row>
    <row r="106" spans="1:10">
      <c r="A106" s="24" t="s">
        <v>66</v>
      </c>
      <c r="B106" s="68"/>
      <c r="C106" s="68"/>
      <c r="D106" s="25" t="e">
        <f>B106/C106</f>
        <v>#DIV/0!</v>
      </c>
      <c r="E106" s="30"/>
      <c r="F106" s="30"/>
      <c r="G106" s="30"/>
      <c r="H106" s="30"/>
      <c r="I106" s="30"/>
      <c r="J106" s="33"/>
    </row>
    <row r="107" spans="1:10">
      <c r="A107" s="24" t="s">
        <v>67</v>
      </c>
      <c r="B107" s="68"/>
      <c r="C107" s="68"/>
      <c r="D107" s="25" t="e">
        <f t="shared" ref="D107:D117" si="7">B107/C107</f>
        <v>#DIV/0!</v>
      </c>
      <c r="E107" s="30"/>
      <c r="F107" s="30"/>
      <c r="G107" s="30"/>
      <c r="H107" s="30"/>
      <c r="I107" s="30"/>
      <c r="J107" s="33"/>
    </row>
    <row r="108" spans="1:10">
      <c r="A108" s="24" t="s">
        <v>68</v>
      </c>
      <c r="B108" s="68"/>
      <c r="C108" s="68"/>
      <c r="D108" s="25" t="e">
        <f t="shared" si="7"/>
        <v>#DIV/0!</v>
      </c>
      <c r="E108" s="30"/>
      <c r="F108" s="30"/>
      <c r="G108" s="30"/>
      <c r="H108" s="30"/>
      <c r="I108" s="30"/>
      <c r="J108" s="33"/>
    </row>
    <row r="109" spans="1:10">
      <c r="A109" s="24" t="s">
        <v>69</v>
      </c>
      <c r="B109" s="68"/>
      <c r="C109" s="68"/>
      <c r="D109" s="25" t="e">
        <f t="shared" si="7"/>
        <v>#DIV/0!</v>
      </c>
      <c r="E109" s="30"/>
      <c r="F109" s="30"/>
      <c r="G109" s="30"/>
      <c r="H109" s="30"/>
      <c r="I109" s="30"/>
      <c r="J109" s="33"/>
    </row>
    <row r="110" spans="1:10">
      <c r="A110" s="24" t="s">
        <v>70</v>
      </c>
      <c r="B110" s="68"/>
      <c r="C110" s="68"/>
      <c r="D110" s="25" t="e">
        <f t="shared" si="7"/>
        <v>#DIV/0!</v>
      </c>
      <c r="E110" s="30"/>
      <c r="F110" s="30"/>
      <c r="G110" s="30"/>
      <c r="H110" s="30"/>
      <c r="I110" s="30"/>
      <c r="J110" s="33"/>
    </row>
    <row r="111" spans="1:10">
      <c r="A111" s="24" t="s">
        <v>71</v>
      </c>
      <c r="B111" s="68"/>
      <c r="C111" s="68"/>
      <c r="D111" s="25" t="e">
        <f t="shared" si="7"/>
        <v>#DIV/0!</v>
      </c>
      <c r="E111" s="30"/>
      <c r="F111" s="30"/>
      <c r="G111" s="30"/>
      <c r="H111" s="30"/>
      <c r="I111" s="30"/>
      <c r="J111" s="33"/>
    </row>
    <row r="112" spans="1:10">
      <c r="A112" s="24" t="s">
        <v>72</v>
      </c>
      <c r="B112" s="68"/>
      <c r="C112" s="68"/>
      <c r="D112" s="25" t="e">
        <f t="shared" si="7"/>
        <v>#DIV/0!</v>
      </c>
      <c r="E112" s="30"/>
      <c r="F112" s="30"/>
      <c r="G112" s="30"/>
      <c r="H112" s="30"/>
      <c r="I112" s="30"/>
      <c r="J112" s="33"/>
    </row>
    <row r="113" spans="1:10">
      <c r="A113" s="24" t="s">
        <v>73</v>
      </c>
      <c r="B113" s="68"/>
      <c r="C113" s="68"/>
      <c r="D113" s="25" t="e">
        <f t="shared" si="7"/>
        <v>#DIV/0!</v>
      </c>
      <c r="E113" s="30"/>
      <c r="F113" s="30"/>
      <c r="G113" s="30"/>
      <c r="H113" s="30"/>
      <c r="I113" s="30"/>
      <c r="J113" s="33"/>
    </row>
    <row r="114" spans="1:10">
      <c r="A114" s="24" t="s">
        <v>74</v>
      </c>
      <c r="B114" s="68"/>
      <c r="C114" s="68"/>
      <c r="D114" s="25" t="e">
        <f t="shared" si="7"/>
        <v>#DIV/0!</v>
      </c>
      <c r="E114" s="30"/>
      <c r="F114" s="30"/>
      <c r="G114" s="30"/>
      <c r="H114" s="30"/>
      <c r="I114" s="30"/>
      <c r="J114" s="33"/>
    </row>
    <row r="115" spans="1:10">
      <c r="A115" s="24" t="s">
        <v>75</v>
      </c>
      <c r="B115" s="68"/>
      <c r="C115" s="68"/>
      <c r="D115" s="25" t="e">
        <f t="shared" si="7"/>
        <v>#DIV/0!</v>
      </c>
      <c r="E115" s="30"/>
      <c r="F115" s="30"/>
      <c r="G115" s="30"/>
      <c r="H115" s="30"/>
      <c r="I115" s="30"/>
      <c r="J115" s="33"/>
    </row>
    <row r="116" spans="1:10">
      <c r="A116" s="24" t="s">
        <v>76</v>
      </c>
      <c r="B116" s="68"/>
      <c r="C116" s="68"/>
      <c r="D116" s="25" t="e">
        <f t="shared" si="7"/>
        <v>#DIV/0!</v>
      </c>
      <c r="E116" s="30"/>
      <c r="F116" s="30"/>
      <c r="G116" s="30"/>
      <c r="H116" s="30"/>
      <c r="I116" s="30"/>
      <c r="J116" s="33"/>
    </row>
    <row r="117" spans="1:10">
      <c r="A117" s="24" t="s">
        <v>77</v>
      </c>
      <c r="B117" s="68"/>
      <c r="C117" s="68"/>
      <c r="D117" s="25" t="e">
        <f t="shared" si="7"/>
        <v>#DIV/0!</v>
      </c>
      <c r="E117" s="30"/>
      <c r="F117" s="30"/>
      <c r="G117" s="30"/>
      <c r="H117" s="30"/>
      <c r="I117" s="30"/>
      <c r="J117" s="33"/>
    </row>
    <row r="118" spans="1:10">
      <c r="A118" s="219"/>
      <c r="B118" s="220"/>
      <c r="C118" s="220"/>
      <c r="D118" s="220"/>
      <c r="E118" s="220"/>
      <c r="F118" s="220"/>
      <c r="G118" s="220"/>
      <c r="H118" s="220"/>
      <c r="I118" s="220"/>
      <c r="J118" s="221"/>
    </row>
    <row r="119" spans="1:10">
      <c r="A119" s="31" t="s">
        <v>3</v>
      </c>
      <c r="B119" s="174" t="s">
        <v>185</v>
      </c>
      <c r="C119" s="174"/>
      <c r="D119" s="174"/>
      <c r="E119" s="174"/>
      <c r="F119" s="174"/>
      <c r="G119" s="174"/>
      <c r="H119" s="174"/>
      <c r="I119" s="174"/>
      <c r="J119" s="174"/>
    </row>
    <row r="120" spans="1:10">
      <c r="A120" s="31" t="s">
        <v>63</v>
      </c>
      <c r="B120" s="176" t="s">
        <v>188</v>
      </c>
      <c r="C120" s="176"/>
      <c r="D120" s="176"/>
      <c r="E120" s="176"/>
      <c r="F120" s="176"/>
      <c r="G120" s="176"/>
      <c r="H120" s="176"/>
      <c r="I120" s="176"/>
      <c r="J120" s="176"/>
    </row>
    <row r="121" spans="1:10" ht="15.75">
      <c r="A121" s="92" t="s">
        <v>238</v>
      </c>
      <c r="B121" s="35"/>
      <c r="C121" s="35"/>
      <c r="D121" s="35"/>
      <c r="E121" s="35"/>
      <c r="F121" s="35"/>
      <c r="G121" s="35"/>
      <c r="H121" s="35"/>
      <c r="I121" s="35"/>
      <c r="J121" s="36"/>
    </row>
  </sheetData>
  <mergeCells count="29">
    <mergeCell ref="A87:J87"/>
    <mergeCell ref="B88:J88"/>
    <mergeCell ref="B89:J89"/>
    <mergeCell ref="N3:S3"/>
    <mergeCell ref="A1:B3"/>
    <mergeCell ref="C1:H3"/>
    <mergeCell ref="I1:J1"/>
    <mergeCell ref="I2:J2"/>
    <mergeCell ref="I3:J3"/>
    <mergeCell ref="B40:J40"/>
    <mergeCell ref="B41:J41"/>
    <mergeCell ref="A39:J39"/>
    <mergeCell ref="B25:J25"/>
    <mergeCell ref="B8:J8"/>
    <mergeCell ref="A23:J23"/>
    <mergeCell ref="B24:J24"/>
    <mergeCell ref="B72:J72"/>
    <mergeCell ref="B73:J73"/>
    <mergeCell ref="A71:J71"/>
    <mergeCell ref="A4:B5"/>
    <mergeCell ref="C4:J5"/>
    <mergeCell ref="A6:B6"/>
    <mergeCell ref="C6:J6"/>
    <mergeCell ref="B9:J9"/>
    <mergeCell ref="B103:J103"/>
    <mergeCell ref="B104:J104"/>
    <mergeCell ref="A118:J118"/>
    <mergeCell ref="B119:J119"/>
    <mergeCell ref="B120:J120"/>
  </mergeCells>
  <pageMargins left="0.7" right="0.7" top="0.75" bottom="0.75" header="0.3" footer="0.3"/>
  <pageSetup scale="34"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5"/>
  <sheetViews>
    <sheetView topLeftCell="A10" zoomScale="90" zoomScaleNormal="90" workbookViewId="0">
      <selection activeCell="D23" sqref="D23"/>
    </sheetView>
  </sheetViews>
  <sheetFormatPr baseColWidth="10" defaultRowHeight="15"/>
  <cols>
    <col min="1" max="1" width="12.28515625" customWidth="1"/>
    <col min="2" max="5" width="14.5703125" customWidth="1"/>
  </cols>
  <sheetData>
    <row r="1" spans="1:19">
      <c r="A1" s="178"/>
      <c r="B1" s="178"/>
      <c r="C1" s="142" t="s">
        <v>84</v>
      </c>
      <c r="D1" s="142"/>
      <c r="E1" s="142"/>
      <c r="F1" s="142"/>
      <c r="G1" s="142"/>
      <c r="H1" s="142"/>
      <c r="I1" s="179" t="s">
        <v>159</v>
      </c>
      <c r="J1" s="179"/>
    </row>
    <row r="2" spans="1:19">
      <c r="A2" s="178"/>
      <c r="B2" s="178"/>
      <c r="C2" s="142"/>
      <c r="D2" s="142"/>
      <c r="E2" s="142"/>
      <c r="F2" s="142"/>
      <c r="G2" s="142"/>
      <c r="H2" s="142"/>
      <c r="I2" s="179" t="s">
        <v>85</v>
      </c>
      <c r="J2" s="179"/>
      <c r="N2" s="30"/>
      <c r="O2" s="30"/>
      <c r="P2" s="30"/>
      <c r="Q2" s="30"/>
      <c r="R2" s="30"/>
      <c r="S2" s="30"/>
    </row>
    <row r="3" spans="1:19">
      <c r="A3" s="178"/>
      <c r="B3" s="178"/>
      <c r="C3" s="142"/>
      <c r="D3" s="142"/>
      <c r="E3" s="142"/>
      <c r="F3" s="142"/>
      <c r="G3" s="142"/>
      <c r="H3" s="142"/>
      <c r="I3" s="179" t="s">
        <v>122</v>
      </c>
      <c r="J3" s="179"/>
      <c r="N3" s="169"/>
      <c r="O3" s="169"/>
      <c r="P3" s="169"/>
      <c r="Q3" s="169"/>
      <c r="R3" s="169"/>
      <c r="S3" s="169"/>
    </row>
    <row r="4" spans="1:19" ht="15" customHeight="1">
      <c r="A4" s="201" t="s">
        <v>62</v>
      </c>
      <c r="B4" s="201"/>
      <c r="C4" s="225" t="s">
        <v>113</v>
      </c>
      <c r="D4" s="225"/>
      <c r="E4" s="225"/>
      <c r="F4" s="225"/>
      <c r="G4" s="225"/>
      <c r="H4" s="225"/>
      <c r="I4" s="225"/>
      <c r="J4" s="225"/>
      <c r="N4" s="30"/>
      <c r="O4" s="30"/>
      <c r="P4" s="30"/>
      <c r="Q4" s="30"/>
      <c r="R4" s="30"/>
      <c r="S4" s="30"/>
    </row>
    <row r="5" spans="1:19">
      <c r="A5" s="201"/>
      <c r="B5" s="201"/>
      <c r="C5" s="225"/>
      <c r="D5" s="225"/>
      <c r="E5" s="225"/>
      <c r="F5" s="225"/>
      <c r="G5" s="225"/>
      <c r="H5" s="225"/>
      <c r="I5" s="225"/>
      <c r="J5" s="225"/>
      <c r="N5" s="30"/>
      <c r="O5" s="30"/>
      <c r="P5" s="30"/>
      <c r="Q5" s="30"/>
      <c r="R5" s="30"/>
      <c r="S5" s="30"/>
    </row>
    <row r="6" spans="1:19" ht="43.5" customHeight="1">
      <c r="A6" s="201" t="s">
        <v>212</v>
      </c>
      <c r="B6" s="201"/>
      <c r="C6" s="225" t="s">
        <v>218</v>
      </c>
      <c r="D6" s="225"/>
      <c r="E6" s="225"/>
      <c r="F6" s="225"/>
      <c r="G6" s="225"/>
      <c r="H6" s="225"/>
      <c r="I6" s="225"/>
      <c r="J6" s="225"/>
      <c r="N6" s="30"/>
      <c r="O6" s="30"/>
      <c r="P6" s="30"/>
      <c r="Q6" s="30"/>
      <c r="R6" s="30"/>
      <c r="S6" s="30"/>
    </row>
    <row r="7" spans="1:19">
      <c r="A7" s="26"/>
      <c r="B7" s="27"/>
      <c r="C7" s="27"/>
      <c r="D7" s="27"/>
      <c r="E7" s="27"/>
      <c r="F7" s="27"/>
      <c r="G7" s="28"/>
      <c r="H7" s="28"/>
      <c r="I7" s="28"/>
      <c r="J7" s="28"/>
      <c r="N7" s="30"/>
      <c r="O7" s="30"/>
      <c r="P7" s="30"/>
      <c r="Q7" s="30"/>
      <c r="R7" s="30"/>
      <c r="S7" s="30"/>
    </row>
    <row r="8" spans="1:19" ht="15" customHeight="1">
      <c r="A8" s="31" t="s">
        <v>3</v>
      </c>
      <c r="B8" s="174" t="s">
        <v>13</v>
      </c>
      <c r="C8" s="174"/>
      <c r="D8" s="174"/>
      <c r="E8" s="174"/>
      <c r="F8" s="174"/>
      <c r="G8" s="174"/>
      <c r="H8" s="174"/>
      <c r="I8" s="174"/>
      <c r="J8" s="174"/>
    </row>
    <row r="9" spans="1:19">
      <c r="A9" s="31" t="s">
        <v>63</v>
      </c>
      <c r="B9" s="176" t="s">
        <v>114</v>
      </c>
      <c r="C9" s="176"/>
      <c r="D9" s="176"/>
      <c r="E9" s="176"/>
      <c r="F9" s="176"/>
      <c r="G9" s="176"/>
      <c r="H9" s="176"/>
      <c r="I9" s="176"/>
      <c r="J9" s="176"/>
    </row>
    <row r="10" spans="1:19" ht="58.5" customHeight="1">
      <c r="A10" s="2" t="s">
        <v>65</v>
      </c>
      <c r="B10" s="3" t="s">
        <v>115</v>
      </c>
      <c r="C10" s="3" t="s">
        <v>116</v>
      </c>
      <c r="D10" s="3" t="s">
        <v>64</v>
      </c>
      <c r="E10" s="30"/>
      <c r="F10" s="30"/>
      <c r="G10" s="30"/>
      <c r="H10" s="30"/>
      <c r="I10" s="30"/>
      <c r="J10" s="33"/>
    </row>
    <row r="11" spans="1:19">
      <c r="A11" s="24" t="s">
        <v>66</v>
      </c>
      <c r="B11" s="23">
        <v>1</v>
      </c>
      <c r="C11" s="23">
        <v>1</v>
      </c>
      <c r="D11" s="25">
        <f>B11/C11</f>
        <v>1</v>
      </c>
      <c r="E11" s="30"/>
      <c r="F11" s="30"/>
      <c r="G11" s="30"/>
      <c r="H11" s="30"/>
      <c r="I11" s="30"/>
      <c r="J11" s="33"/>
    </row>
    <row r="12" spans="1:19">
      <c r="A12" s="24" t="s">
        <v>67</v>
      </c>
      <c r="B12" s="23">
        <v>1</v>
      </c>
      <c r="C12" s="23">
        <v>2</v>
      </c>
      <c r="D12" s="25">
        <f t="shared" ref="D12:D22" si="0">B12/C12</f>
        <v>0.5</v>
      </c>
      <c r="E12" s="30"/>
      <c r="F12" s="30"/>
      <c r="G12" s="30"/>
      <c r="H12" s="30"/>
      <c r="I12" s="30"/>
      <c r="J12" s="33"/>
    </row>
    <row r="13" spans="1:19">
      <c r="A13" s="24" t="s">
        <v>68</v>
      </c>
      <c r="B13" s="23">
        <v>1</v>
      </c>
      <c r="C13" s="23">
        <v>1</v>
      </c>
      <c r="D13" s="25">
        <f t="shared" si="0"/>
        <v>1</v>
      </c>
      <c r="E13" s="30"/>
      <c r="F13" s="30"/>
      <c r="G13" s="30"/>
      <c r="H13" s="30"/>
      <c r="I13" s="30"/>
      <c r="J13" s="33"/>
    </row>
    <row r="14" spans="1:19">
      <c r="A14" s="24" t="s">
        <v>69</v>
      </c>
      <c r="B14" s="23">
        <v>1</v>
      </c>
      <c r="C14" s="23">
        <v>2</v>
      </c>
      <c r="D14" s="25">
        <f t="shared" si="0"/>
        <v>0.5</v>
      </c>
      <c r="E14" s="30"/>
      <c r="F14" s="30"/>
      <c r="G14" s="30"/>
      <c r="H14" s="30"/>
      <c r="I14" s="30"/>
      <c r="J14" s="33"/>
    </row>
    <row r="15" spans="1:19">
      <c r="A15" s="24" t="s">
        <v>70</v>
      </c>
      <c r="B15" s="23">
        <v>4</v>
      </c>
      <c r="C15" s="23">
        <v>5</v>
      </c>
      <c r="D15" s="25">
        <f t="shared" si="0"/>
        <v>0.8</v>
      </c>
      <c r="E15" s="30"/>
      <c r="F15" s="30"/>
      <c r="G15" s="30"/>
      <c r="H15" s="30"/>
      <c r="I15" s="30"/>
      <c r="J15" s="33"/>
    </row>
    <row r="16" spans="1:19">
      <c r="A16" s="24" t="s">
        <v>71</v>
      </c>
      <c r="B16" s="23">
        <v>2</v>
      </c>
      <c r="C16" s="23">
        <v>2</v>
      </c>
      <c r="D16" s="25">
        <f t="shared" si="0"/>
        <v>1</v>
      </c>
      <c r="E16" s="30"/>
      <c r="F16" s="30"/>
      <c r="G16" s="30"/>
      <c r="H16" s="30"/>
      <c r="I16" s="30"/>
      <c r="J16" s="33"/>
    </row>
    <row r="17" spans="1:10">
      <c r="A17" s="24" t="s">
        <v>72</v>
      </c>
      <c r="B17" s="23">
        <v>4</v>
      </c>
      <c r="C17" s="23">
        <v>4</v>
      </c>
      <c r="D17" s="25">
        <f t="shared" si="0"/>
        <v>1</v>
      </c>
      <c r="E17" s="30"/>
      <c r="F17" s="30"/>
      <c r="G17" s="30"/>
      <c r="H17" s="30"/>
      <c r="I17" s="30"/>
      <c r="J17" s="33"/>
    </row>
    <row r="18" spans="1:10">
      <c r="A18" s="24" t="s">
        <v>73</v>
      </c>
      <c r="B18" s="23">
        <v>4</v>
      </c>
      <c r="C18" s="23">
        <v>6</v>
      </c>
      <c r="D18" s="25">
        <f t="shared" si="0"/>
        <v>0.66666666666666663</v>
      </c>
      <c r="E18" s="30"/>
      <c r="F18" s="30"/>
      <c r="G18" s="30"/>
      <c r="H18" s="30"/>
      <c r="I18" s="30"/>
      <c r="J18" s="33"/>
    </row>
    <row r="19" spans="1:10">
      <c r="A19" s="24" t="s">
        <v>74</v>
      </c>
      <c r="B19" s="127">
        <v>10</v>
      </c>
      <c r="C19" s="127">
        <v>12</v>
      </c>
      <c r="D19" s="128">
        <f t="shared" si="0"/>
        <v>0.83333333333333337</v>
      </c>
      <c r="E19" s="30"/>
      <c r="F19" s="30"/>
      <c r="G19" s="30"/>
      <c r="H19" s="30"/>
      <c r="I19" s="30"/>
      <c r="J19" s="33"/>
    </row>
    <row r="20" spans="1:10">
      <c r="A20" s="24" t="s">
        <v>75</v>
      </c>
      <c r="B20" s="129">
        <v>0</v>
      </c>
      <c r="C20" s="129">
        <v>4</v>
      </c>
      <c r="D20" s="130">
        <f t="shared" si="0"/>
        <v>0</v>
      </c>
      <c r="E20" s="30"/>
      <c r="F20" s="30"/>
      <c r="G20" s="30"/>
      <c r="H20" s="30"/>
      <c r="I20" s="30"/>
      <c r="J20" s="33"/>
    </row>
    <row r="21" spans="1:10">
      <c r="A21" s="24" t="s">
        <v>76</v>
      </c>
      <c r="B21" s="129">
        <v>1</v>
      </c>
      <c r="C21" s="129">
        <v>4</v>
      </c>
      <c r="D21" s="130">
        <f t="shared" si="0"/>
        <v>0.25</v>
      </c>
      <c r="E21" s="30"/>
      <c r="F21" s="30"/>
      <c r="G21" s="30"/>
      <c r="H21" s="30"/>
      <c r="I21" s="30"/>
      <c r="J21" s="33"/>
    </row>
    <row r="22" spans="1:10">
      <c r="A22" s="24" t="s">
        <v>77</v>
      </c>
      <c r="B22" s="129">
        <v>7</v>
      </c>
      <c r="C22" s="129">
        <v>7</v>
      </c>
      <c r="D22" s="130">
        <f t="shared" si="0"/>
        <v>1</v>
      </c>
      <c r="E22" s="30"/>
      <c r="F22" s="30"/>
      <c r="G22" s="30"/>
      <c r="H22" s="30"/>
      <c r="I22" s="30"/>
      <c r="J22" s="33"/>
    </row>
    <row r="23" spans="1:10">
      <c r="A23" s="21"/>
      <c r="B23" s="131">
        <f>SUM(B11:B22)</f>
        <v>36</v>
      </c>
      <c r="C23" s="131">
        <f>SUM(C11:C22)</f>
        <v>50</v>
      </c>
      <c r="D23" s="132">
        <f>(B23/C23)*100%</f>
        <v>0.72</v>
      </c>
      <c r="E23" s="30"/>
      <c r="F23" s="30"/>
      <c r="G23" s="30"/>
      <c r="H23" s="30"/>
      <c r="I23" s="30"/>
      <c r="J23" s="33"/>
    </row>
    <row r="24" spans="1:10" ht="15.75">
      <c r="A24" s="34" t="s">
        <v>221</v>
      </c>
      <c r="B24" s="32"/>
      <c r="C24" s="30"/>
      <c r="D24" s="30"/>
      <c r="E24" s="30"/>
      <c r="F24" s="30"/>
      <c r="G24" s="30"/>
      <c r="H24" s="30"/>
      <c r="I24" s="30"/>
      <c r="J24" s="33"/>
    </row>
    <row r="25" spans="1:10">
      <c r="A25" s="22"/>
      <c r="B25" s="35"/>
      <c r="C25" s="35"/>
      <c r="D25" s="35"/>
      <c r="E25" s="35"/>
      <c r="F25" s="35"/>
      <c r="G25" s="35"/>
      <c r="H25" s="35"/>
      <c r="I25" s="35"/>
      <c r="J25" s="36"/>
    </row>
  </sheetData>
  <sheetProtection algorithmName="SHA-512" hashValue="ITZJHKhfiKfvfPAgKQM1WJgEJKDdBNDkZjI+hwPoL6sH7FZRyqUKu/5dZe8oqdzFQUdNEULN3/63ZEUkhT0Qwg==" saltValue="k+qpYjgbj8hJaVAwu/A3/Q==" spinCount="100000" sheet="1" objects="1" scenarios="1"/>
  <mergeCells count="12">
    <mergeCell ref="N3:S3"/>
    <mergeCell ref="B8:J8"/>
    <mergeCell ref="B9:J9"/>
    <mergeCell ref="A1:B3"/>
    <mergeCell ref="C1:H3"/>
    <mergeCell ref="I1:J1"/>
    <mergeCell ref="I2:J2"/>
    <mergeCell ref="I3:J3"/>
    <mergeCell ref="A4:B5"/>
    <mergeCell ref="C4:J5"/>
    <mergeCell ref="A6:B6"/>
    <mergeCell ref="C6:J6"/>
  </mergeCells>
  <pageMargins left="0.7" right="0.7" top="0.75" bottom="0.75" header="0.3" footer="0.3"/>
  <pageSetup scale="7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5"/>
  <sheetViews>
    <sheetView topLeftCell="A7" zoomScale="90" zoomScaleNormal="90" workbookViewId="0">
      <selection activeCell="G25" sqref="G25"/>
    </sheetView>
  </sheetViews>
  <sheetFormatPr baseColWidth="10" defaultRowHeight="15"/>
  <cols>
    <col min="1" max="1" width="12.28515625" customWidth="1"/>
    <col min="2" max="3" width="14.5703125" customWidth="1"/>
    <col min="4" max="4" width="14.5703125" style="41" customWidth="1"/>
    <col min="5" max="5" width="14.5703125" customWidth="1"/>
  </cols>
  <sheetData>
    <row r="1" spans="1:19">
      <c r="A1" s="178"/>
      <c r="B1" s="178"/>
      <c r="C1" s="142" t="s">
        <v>84</v>
      </c>
      <c r="D1" s="142"/>
      <c r="E1" s="142"/>
      <c r="F1" s="142"/>
      <c r="G1" s="142"/>
      <c r="H1" s="142"/>
      <c r="I1" s="179" t="s">
        <v>159</v>
      </c>
      <c r="J1" s="179"/>
    </row>
    <row r="2" spans="1:19">
      <c r="A2" s="178"/>
      <c r="B2" s="178"/>
      <c r="C2" s="142"/>
      <c r="D2" s="142"/>
      <c r="E2" s="142"/>
      <c r="F2" s="142"/>
      <c r="G2" s="142"/>
      <c r="H2" s="142"/>
      <c r="I2" s="179" t="s">
        <v>85</v>
      </c>
      <c r="J2" s="179"/>
      <c r="N2" s="30"/>
      <c r="O2" s="30"/>
      <c r="P2" s="30"/>
      <c r="Q2" s="30"/>
      <c r="R2" s="30"/>
      <c r="S2" s="30"/>
    </row>
    <row r="3" spans="1:19">
      <c r="A3" s="178"/>
      <c r="B3" s="178"/>
      <c r="C3" s="142"/>
      <c r="D3" s="142"/>
      <c r="E3" s="142"/>
      <c r="F3" s="142"/>
      <c r="G3" s="142"/>
      <c r="H3" s="142"/>
      <c r="I3" s="179" t="s">
        <v>121</v>
      </c>
      <c r="J3" s="179"/>
      <c r="N3" s="169"/>
      <c r="O3" s="169"/>
      <c r="P3" s="169"/>
      <c r="Q3" s="169"/>
      <c r="R3" s="169"/>
      <c r="S3" s="169"/>
    </row>
    <row r="4" spans="1:19" ht="15" customHeight="1">
      <c r="A4" s="201" t="s">
        <v>62</v>
      </c>
      <c r="B4" s="201"/>
      <c r="C4" s="225" t="s">
        <v>117</v>
      </c>
      <c r="D4" s="225"/>
      <c r="E4" s="225"/>
      <c r="F4" s="225"/>
      <c r="G4" s="225"/>
      <c r="H4" s="225"/>
      <c r="I4" s="225"/>
      <c r="J4" s="225"/>
      <c r="N4" s="30"/>
      <c r="O4" s="30"/>
      <c r="P4" s="30"/>
      <c r="Q4" s="30"/>
      <c r="R4" s="30"/>
      <c r="S4" s="30"/>
    </row>
    <row r="5" spans="1:19">
      <c r="A5" s="201"/>
      <c r="B5" s="201"/>
      <c r="C5" s="225"/>
      <c r="D5" s="225"/>
      <c r="E5" s="225"/>
      <c r="F5" s="225"/>
      <c r="G5" s="225"/>
      <c r="H5" s="225"/>
      <c r="I5" s="225"/>
      <c r="J5" s="225"/>
      <c r="N5" s="30"/>
      <c r="O5" s="30"/>
      <c r="P5" s="30"/>
      <c r="Q5" s="30"/>
      <c r="R5" s="30"/>
      <c r="S5" s="30"/>
    </row>
    <row r="6" spans="1:19" ht="31.5" customHeight="1">
      <c r="A6" s="201" t="s">
        <v>212</v>
      </c>
      <c r="B6" s="201"/>
      <c r="C6" s="187" t="s">
        <v>219</v>
      </c>
      <c r="D6" s="187"/>
      <c r="E6" s="187"/>
      <c r="F6" s="187"/>
      <c r="G6" s="187"/>
      <c r="H6" s="187"/>
      <c r="I6" s="187"/>
      <c r="J6" s="187"/>
      <c r="N6" s="30"/>
      <c r="O6" s="30"/>
      <c r="P6" s="30"/>
      <c r="Q6" s="30"/>
      <c r="R6" s="30"/>
      <c r="S6" s="30"/>
    </row>
    <row r="7" spans="1:19">
      <c r="A7" s="26"/>
      <c r="B7" s="27"/>
      <c r="C7" s="27"/>
      <c r="D7" s="37"/>
      <c r="E7" s="27"/>
      <c r="F7" s="27"/>
      <c r="G7" s="28"/>
      <c r="H7" s="28"/>
      <c r="I7" s="28"/>
      <c r="J7" s="28"/>
      <c r="N7" s="30"/>
      <c r="O7" s="30"/>
      <c r="P7" s="30"/>
      <c r="Q7" s="30"/>
      <c r="R7" s="30"/>
      <c r="S7" s="30"/>
    </row>
    <row r="8" spans="1:19" ht="15" customHeight="1">
      <c r="A8" s="31" t="s">
        <v>3</v>
      </c>
      <c r="B8" s="174" t="s">
        <v>55</v>
      </c>
      <c r="C8" s="174"/>
      <c r="D8" s="174"/>
      <c r="E8" s="174"/>
      <c r="F8" s="174"/>
      <c r="G8" s="174"/>
      <c r="H8" s="174"/>
      <c r="I8" s="174"/>
      <c r="J8" s="174"/>
    </row>
    <row r="9" spans="1:19">
      <c r="A9" s="31" t="s">
        <v>63</v>
      </c>
      <c r="B9" s="176" t="s">
        <v>52</v>
      </c>
      <c r="C9" s="176"/>
      <c r="D9" s="176"/>
      <c r="E9" s="176"/>
      <c r="F9" s="176"/>
      <c r="G9" s="176"/>
      <c r="H9" s="176"/>
      <c r="I9" s="176"/>
      <c r="J9" s="176"/>
    </row>
    <row r="10" spans="1:19" ht="58.5" customHeight="1">
      <c r="A10" s="2" t="s">
        <v>65</v>
      </c>
      <c r="B10" s="3" t="s">
        <v>86</v>
      </c>
      <c r="C10" s="3" t="s">
        <v>88</v>
      </c>
      <c r="D10" s="38" t="s">
        <v>118</v>
      </c>
      <c r="E10" s="30"/>
      <c r="F10" s="30"/>
      <c r="G10" s="30"/>
      <c r="H10" s="30"/>
      <c r="I10" s="30"/>
      <c r="J10" s="33"/>
    </row>
    <row r="11" spans="1:19">
      <c r="A11" s="24" t="s">
        <v>66</v>
      </c>
      <c r="B11" s="23">
        <v>1598</v>
      </c>
      <c r="C11" s="95">
        <v>16</v>
      </c>
      <c r="D11" s="78">
        <f>B11/C11</f>
        <v>99.875</v>
      </c>
      <c r="E11" s="30"/>
      <c r="F11" s="30"/>
      <c r="G11" s="30"/>
      <c r="H11" s="30"/>
      <c r="I11" s="30"/>
      <c r="J11" s="33"/>
    </row>
    <row r="12" spans="1:19">
      <c r="A12" s="24" t="s">
        <v>67</v>
      </c>
      <c r="B12" s="23">
        <v>1986</v>
      </c>
      <c r="C12" s="95">
        <v>20</v>
      </c>
      <c r="D12" s="78">
        <f t="shared" ref="D12:D22" si="0">B12/C12</f>
        <v>99.3</v>
      </c>
      <c r="E12" s="30"/>
      <c r="F12" s="30"/>
      <c r="G12" s="30"/>
      <c r="H12" s="30"/>
      <c r="I12" s="30"/>
      <c r="J12" s="33"/>
    </row>
    <row r="13" spans="1:19">
      <c r="A13" s="24" t="s">
        <v>68</v>
      </c>
      <c r="B13" s="23">
        <v>1757</v>
      </c>
      <c r="C13" s="96">
        <v>18</v>
      </c>
      <c r="D13" s="78">
        <f t="shared" si="0"/>
        <v>97.611111111111114</v>
      </c>
      <c r="E13" s="30"/>
      <c r="F13" s="30"/>
      <c r="G13" s="30"/>
      <c r="H13" s="30"/>
      <c r="I13" s="30"/>
      <c r="J13" s="33"/>
    </row>
    <row r="14" spans="1:19">
      <c r="A14" s="24" t="s">
        <v>69</v>
      </c>
      <c r="B14" s="23">
        <v>2053</v>
      </c>
      <c r="C14" s="97">
        <v>21</v>
      </c>
      <c r="D14" s="78">
        <f t="shared" si="0"/>
        <v>97.761904761904759</v>
      </c>
      <c r="E14" s="30"/>
      <c r="F14" s="30"/>
      <c r="G14" s="30"/>
      <c r="H14" s="30"/>
      <c r="I14" s="30"/>
      <c r="J14" s="33"/>
    </row>
    <row r="15" spans="1:19">
      <c r="A15" s="24" t="s">
        <v>70</v>
      </c>
      <c r="B15" s="23">
        <v>1668</v>
      </c>
      <c r="C15" s="100">
        <v>17</v>
      </c>
      <c r="D15" s="78">
        <f t="shared" si="0"/>
        <v>98.117647058823536</v>
      </c>
      <c r="E15" s="30"/>
      <c r="F15" s="30"/>
      <c r="G15" s="30"/>
      <c r="H15" s="30"/>
      <c r="I15" s="30"/>
      <c r="J15" s="33"/>
    </row>
    <row r="16" spans="1:19">
      <c r="A16" s="24" t="s">
        <v>71</v>
      </c>
      <c r="B16" s="23">
        <v>1944</v>
      </c>
      <c r="C16" s="100">
        <v>20</v>
      </c>
      <c r="D16" s="78">
        <f t="shared" si="0"/>
        <v>97.2</v>
      </c>
      <c r="E16" s="30"/>
      <c r="F16" s="30"/>
      <c r="G16" s="30"/>
      <c r="H16" s="30"/>
      <c r="I16" s="30"/>
      <c r="J16" s="33"/>
    </row>
    <row r="17" spans="1:10">
      <c r="A17" s="24" t="s">
        <v>72</v>
      </c>
      <c r="B17" s="23">
        <v>1913</v>
      </c>
      <c r="C17" s="122">
        <v>20</v>
      </c>
      <c r="D17" s="78">
        <f t="shared" si="0"/>
        <v>95.65</v>
      </c>
      <c r="E17" s="30"/>
      <c r="F17" s="30"/>
      <c r="G17" s="30"/>
      <c r="H17" s="30"/>
      <c r="I17" s="30"/>
      <c r="J17" s="33"/>
    </row>
    <row r="18" spans="1:10">
      <c r="A18" s="24" t="s">
        <v>73</v>
      </c>
      <c r="B18" s="23">
        <v>1705</v>
      </c>
      <c r="C18" s="122">
        <v>18</v>
      </c>
      <c r="D18" s="78">
        <f t="shared" si="0"/>
        <v>94.722222222222229</v>
      </c>
      <c r="E18" s="30"/>
      <c r="F18" s="30"/>
      <c r="G18" s="30"/>
      <c r="H18" s="30"/>
      <c r="I18" s="30"/>
      <c r="J18" s="33"/>
    </row>
    <row r="19" spans="1:10">
      <c r="A19" s="24" t="s">
        <v>74</v>
      </c>
      <c r="B19" s="23">
        <v>1802</v>
      </c>
      <c r="C19" s="122">
        <v>19</v>
      </c>
      <c r="D19" s="78">
        <f t="shared" si="0"/>
        <v>94.84210526315789</v>
      </c>
      <c r="E19" s="30"/>
      <c r="F19" s="30"/>
      <c r="G19" s="30"/>
      <c r="H19" s="30"/>
      <c r="I19" s="30"/>
      <c r="J19" s="33"/>
    </row>
    <row r="20" spans="1:10">
      <c r="A20" s="24" t="s">
        <v>75</v>
      </c>
      <c r="B20" s="23">
        <v>1736</v>
      </c>
      <c r="C20" s="122">
        <v>18</v>
      </c>
      <c r="D20" s="78">
        <f t="shared" si="0"/>
        <v>96.444444444444443</v>
      </c>
      <c r="E20" s="30"/>
      <c r="F20" s="30"/>
      <c r="G20" s="30"/>
      <c r="H20" s="30"/>
      <c r="I20" s="30"/>
      <c r="J20" s="33"/>
    </row>
    <row r="21" spans="1:10">
      <c r="A21" s="24" t="s">
        <v>76</v>
      </c>
      <c r="B21" s="23">
        <v>1830</v>
      </c>
      <c r="C21" s="122">
        <v>19</v>
      </c>
      <c r="D21" s="78">
        <f t="shared" si="0"/>
        <v>96.315789473684205</v>
      </c>
      <c r="E21" s="30"/>
      <c r="F21" s="30"/>
      <c r="G21" s="30"/>
      <c r="H21" s="30"/>
      <c r="I21" s="30"/>
      <c r="J21" s="33"/>
    </row>
    <row r="22" spans="1:10">
      <c r="A22" s="24" t="s">
        <v>77</v>
      </c>
      <c r="B22" s="23">
        <v>1929</v>
      </c>
      <c r="C22" s="122">
        <v>20</v>
      </c>
      <c r="D22" s="78">
        <f t="shared" si="0"/>
        <v>96.45</v>
      </c>
      <c r="E22" s="30"/>
      <c r="F22" s="30"/>
      <c r="G22" s="30"/>
      <c r="H22" s="30"/>
      <c r="I22" s="30"/>
      <c r="J22" s="33"/>
    </row>
    <row r="23" spans="1:10">
      <c r="A23" s="21"/>
      <c r="B23" s="30"/>
      <c r="C23" s="30"/>
      <c r="D23" s="39"/>
      <c r="E23" s="30"/>
      <c r="F23" s="30"/>
      <c r="G23" s="30"/>
      <c r="H23" s="30"/>
      <c r="I23" s="30"/>
      <c r="J23" s="33"/>
    </row>
    <row r="24" spans="1:10" ht="15.75">
      <c r="A24" s="34" t="s">
        <v>119</v>
      </c>
      <c r="B24" s="32" t="s">
        <v>197</v>
      </c>
      <c r="C24" s="30"/>
      <c r="D24" s="39"/>
      <c r="E24" s="30"/>
      <c r="F24" s="30"/>
      <c r="G24" s="30"/>
      <c r="H24" s="30"/>
      <c r="I24" s="30"/>
      <c r="J24" s="33"/>
    </row>
    <row r="25" spans="1:10">
      <c r="A25" s="22"/>
      <c r="B25" s="35"/>
      <c r="C25" s="35"/>
      <c r="D25" s="40"/>
      <c r="E25" s="35"/>
      <c r="F25" s="35"/>
      <c r="G25" s="35"/>
      <c r="H25" s="35"/>
      <c r="I25" s="35"/>
      <c r="J25" s="36"/>
    </row>
  </sheetData>
  <mergeCells count="12">
    <mergeCell ref="N3:S3"/>
    <mergeCell ref="B8:J8"/>
    <mergeCell ref="B9:J9"/>
    <mergeCell ref="A1:B3"/>
    <mergeCell ref="C1:H3"/>
    <mergeCell ref="I1:J1"/>
    <mergeCell ref="I2:J2"/>
    <mergeCell ref="I3:J3"/>
    <mergeCell ref="A4:B5"/>
    <mergeCell ref="C4:J5"/>
    <mergeCell ref="A6:B6"/>
    <mergeCell ref="C6:J6"/>
  </mergeCells>
  <pageMargins left="0.7" right="0.7" top="0.75" bottom="0.75" header="0.3" footer="0.3"/>
  <pageSetup scale="7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6"/>
  <sheetViews>
    <sheetView tabSelected="1" topLeftCell="A7" zoomScale="90" zoomScaleNormal="90" workbookViewId="0">
      <selection activeCell="E29" sqref="E29"/>
    </sheetView>
  </sheetViews>
  <sheetFormatPr baseColWidth="10" defaultRowHeight="15"/>
  <cols>
    <col min="1" max="1" width="12.28515625" customWidth="1"/>
    <col min="2" max="3" width="14.5703125" customWidth="1"/>
    <col min="4" max="4" width="14.5703125" style="41" customWidth="1"/>
    <col min="5" max="5" width="14.5703125" customWidth="1"/>
  </cols>
  <sheetData>
    <row r="1" spans="1:19">
      <c r="A1" s="178"/>
      <c r="B1" s="178"/>
      <c r="C1" s="142" t="s">
        <v>84</v>
      </c>
      <c r="D1" s="142"/>
      <c r="E1" s="142"/>
      <c r="F1" s="142"/>
      <c r="G1" s="142"/>
      <c r="H1" s="142"/>
      <c r="I1" s="179" t="s">
        <v>159</v>
      </c>
      <c r="J1" s="179"/>
    </row>
    <row r="2" spans="1:19">
      <c r="A2" s="178"/>
      <c r="B2" s="178"/>
      <c r="C2" s="142"/>
      <c r="D2" s="142"/>
      <c r="E2" s="142"/>
      <c r="F2" s="142"/>
      <c r="G2" s="142"/>
      <c r="H2" s="142"/>
      <c r="I2" s="179" t="s">
        <v>85</v>
      </c>
      <c r="J2" s="179"/>
      <c r="N2" s="30"/>
      <c r="O2" s="30"/>
      <c r="P2" s="30"/>
      <c r="Q2" s="30"/>
      <c r="R2" s="30"/>
      <c r="S2" s="30"/>
    </row>
    <row r="3" spans="1:19">
      <c r="A3" s="178"/>
      <c r="B3" s="178"/>
      <c r="C3" s="142"/>
      <c r="D3" s="142"/>
      <c r="E3" s="142"/>
      <c r="F3" s="142"/>
      <c r="G3" s="142"/>
      <c r="H3" s="142"/>
      <c r="I3" s="179" t="s">
        <v>120</v>
      </c>
      <c r="J3" s="179"/>
      <c r="N3" s="169"/>
      <c r="O3" s="169"/>
      <c r="P3" s="169"/>
      <c r="Q3" s="169"/>
      <c r="R3" s="169"/>
      <c r="S3" s="169"/>
    </row>
    <row r="4" spans="1:19" ht="15" customHeight="1">
      <c r="A4" s="201" t="s">
        <v>62</v>
      </c>
      <c r="B4" s="201"/>
      <c r="C4" s="226" t="s">
        <v>27</v>
      </c>
      <c r="D4" s="226"/>
      <c r="E4" s="226"/>
      <c r="F4" s="226"/>
      <c r="G4" s="226"/>
      <c r="H4" s="226"/>
      <c r="I4" s="226"/>
      <c r="J4" s="226"/>
      <c r="N4" s="30"/>
      <c r="O4" s="30"/>
      <c r="P4" s="30"/>
      <c r="Q4" s="30"/>
      <c r="R4" s="30"/>
      <c r="S4" s="30"/>
    </row>
    <row r="5" spans="1:19">
      <c r="A5" s="201"/>
      <c r="B5" s="201"/>
      <c r="C5" s="226"/>
      <c r="D5" s="226"/>
      <c r="E5" s="226"/>
      <c r="F5" s="226"/>
      <c r="G5" s="226"/>
      <c r="H5" s="226"/>
      <c r="I5" s="226"/>
      <c r="J5" s="226"/>
      <c r="N5" s="30"/>
      <c r="O5" s="30"/>
      <c r="P5" s="30"/>
      <c r="Q5" s="30"/>
      <c r="R5" s="30"/>
      <c r="S5" s="30"/>
    </row>
    <row r="6" spans="1:19" ht="33" customHeight="1">
      <c r="A6" s="201" t="s">
        <v>212</v>
      </c>
      <c r="B6" s="201"/>
      <c r="C6" s="225" t="s">
        <v>220</v>
      </c>
      <c r="D6" s="225"/>
      <c r="E6" s="225"/>
      <c r="F6" s="225"/>
      <c r="G6" s="225"/>
      <c r="H6" s="225"/>
      <c r="I6" s="225"/>
      <c r="J6" s="225"/>
      <c r="N6" s="30"/>
      <c r="O6" s="30"/>
      <c r="P6" s="30"/>
      <c r="Q6" s="30"/>
      <c r="R6" s="30"/>
      <c r="S6" s="30"/>
    </row>
    <row r="7" spans="1:19">
      <c r="A7" s="26"/>
      <c r="B7" s="27"/>
      <c r="C7" s="27"/>
      <c r="D7" s="37"/>
      <c r="E7" s="27"/>
      <c r="F7" s="27"/>
      <c r="G7" s="28"/>
      <c r="H7" s="28"/>
      <c r="I7" s="28"/>
      <c r="J7" s="28"/>
      <c r="N7" s="30"/>
      <c r="O7" s="30"/>
      <c r="P7" s="30"/>
      <c r="Q7" s="30"/>
      <c r="R7" s="30"/>
      <c r="S7" s="30"/>
    </row>
    <row r="8" spans="1:19" ht="15" customHeight="1">
      <c r="A8" s="31" t="s">
        <v>3</v>
      </c>
      <c r="B8" s="174" t="s">
        <v>56</v>
      </c>
      <c r="C8" s="174"/>
      <c r="D8" s="174"/>
      <c r="E8" s="174"/>
      <c r="F8" s="174"/>
      <c r="G8" s="174"/>
      <c r="H8" s="174"/>
      <c r="I8" s="174"/>
      <c r="J8" s="174"/>
    </row>
    <row r="9" spans="1:19">
      <c r="A9" s="31" t="s">
        <v>63</v>
      </c>
      <c r="B9" s="176" t="s">
        <v>52</v>
      </c>
      <c r="C9" s="176"/>
      <c r="D9" s="176"/>
      <c r="E9" s="176"/>
      <c r="F9" s="176"/>
      <c r="G9" s="176"/>
      <c r="H9" s="176"/>
      <c r="I9" s="176"/>
      <c r="J9" s="176"/>
    </row>
    <row r="10" spans="1:19" ht="58.5" customHeight="1">
      <c r="A10" s="2" t="s">
        <v>65</v>
      </c>
      <c r="B10" s="3" t="s">
        <v>86</v>
      </c>
      <c r="C10" s="3" t="s">
        <v>88</v>
      </c>
      <c r="D10" s="38" t="s">
        <v>163</v>
      </c>
      <c r="E10" s="30"/>
      <c r="F10" s="30"/>
      <c r="G10" s="30"/>
      <c r="H10" s="30"/>
      <c r="I10" s="30"/>
      <c r="J10" s="33"/>
    </row>
    <row r="11" spans="1:19">
      <c r="A11" s="203" t="s">
        <v>160</v>
      </c>
      <c r="B11" s="206">
        <v>23.2</v>
      </c>
      <c r="C11" s="206">
        <v>5</v>
      </c>
      <c r="D11" s="227">
        <f>B11/C11</f>
        <v>4.6399999999999997</v>
      </c>
      <c r="E11" s="30"/>
      <c r="F11" s="30"/>
      <c r="G11" s="30"/>
      <c r="H11" s="30"/>
      <c r="I11" s="30"/>
      <c r="J11" s="33"/>
    </row>
    <row r="12" spans="1:19">
      <c r="A12" s="204"/>
      <c r="B12" s="207"/>
      <c r="C12" s="207"/>
      <c r="D12" s="228"/>
      <c r="E12" s="30"/>
      <c r="F12" s="30"/>
      <c r="G12" s="30"/>
      <c r="H12" s="30"/>
      <c r="I12" s="30"/>
      <c r="J12" s="33"/>
    </row>
    <row r="13" spans="1:19">
      <c r="A13" s="204"/>
      <c r="B13" s="207"/>
      <c r="C13" s="207"/>
      <c r="D13" s="228"/>
      <c r="E13" s="30"/>
      <c r="F13" s="30"/>
      <c r="G13" s="30"/>
      <c r="H13" s="30"/>
      <c r="I13" s="30"/>
      <c r="J13" s="33"/>
    </row>
    <row r="14" spans="1:19">
      <c r="A14" s="204"/>
      <c r="B14" s="207"/>
      <c r="C14" s="207"/>
      <c r="D14" s="228"/>
      <c r="E14" s="30"/>
      <c r="F14" s="30"/>
      <c r="G14" s="30"/>
      <c r="H14" s="30"/>
      <c r="I14" s="30"/>
      <c r="J14" s="33"/>
    </row>
    <row r="15" spans="1:19">
      <c r="A15" s="204"/>
      <c r="B15" s="207"/>
      <c r="C15" s="207"/>
      <c r="D15" s="228"/>
      <c r="E15" s="30"/>
      <c r="F15" s="30"/>
      <c r="G15" s="30"/>
      <c r="H15" s="30"/>
      <c r="I15" s="30"/>
      <c r="J15" s="33"/>
    </row>
    <row r="16" spans="1:19">
      <c r="A16" s="205"/>
      <c r="B16" s="208"/>
      <c r="C16" s="208"/>
      <c r="D16" s="229"/>
      <c r="E16" s="30"/>
      <c r="F16" s="30"/>
      <c r="G16" s="30"/>
      <c r="H16" s="30"/>
      <c r="I16" s="30"/>
      <c r="J16" s="33"/>
    </row>
    <row r="17" spans="1:10">
      <c r="A17" s="203" t="s">
        <v>161</v>
      </c>
      <c r="B17" s="206">
        <v>25</v>
      </c>
      <c r="C17" s="206">
        <v>5</v>
      </c>
      <c r="D17" s="227">
        <f>B17/C17</f>
        <v>5</v>
      </c>
      <c r="E17" s="30"/>
      <c r="F17" s="30"/>
      <c r="G17" s="30"/>
      <c r="H17" s="30"/>
      <c r="I17" s="30"/>
      <c r="J17" s="33"/>
    </row>
    <row r="18" spans="1:10">
      <c r="A18" s="204"/>
      <c r="B18" s="207"/>
      <c r="C18" s="207"/>
      <c r="D18" s="228"/>
      <c r="E18" s="30"/>
      <c r="F18" s="30"/>
      <c r="G18" s="30"/>
      <c r="H18" s="30"/>
      <c r="I18" s="30"/>
      <c r="J18" s="33"/>
    </row>
    <row r="19" spans="1:10">
      <c r="A19" s="204"/>
      <c r="B19" s="207"/>
      <c r="C19" s="207"/>
      <c r="D19" s="228"/>
      <c r="E19" s="30"/>
      <c r="F19" s="30"/>
      <c r="G19" s="30"/>
      <c r="H19" s="30"/>
      <c r="I19" s="30"/>
      <c r="J19" s="33"/>
    </row>
    <row r="20" spans="1:10">
      <c r="A20" s="204"/>
      <c r="B20" s="207"/>
      <c r="C20" s="207"/>
      <c r="D20" s="228"/>
      <c r="E20" s="30"/>
      <c r="F20" s="30"/>
      <c r="G20" s="30"/>
      <c r="H20" s="30"/>
      <c r="I20" s="30"/>
      <c r="J20" s="33"/>
    </row>
    <row r="21" spans="1:10">
      <c r="A21" s="204"/>
      <c r="B21" s="207"/>
      <c r="C21" s="207"/>
      <c r="D21" s="228"/>
      <c r="E21" s="30"/>
      <c r="F21" s="30"/>
      <c r="G21" s="30"/>
      <c r="H21" s="30"/>
      <c r="I21" s="30"/>
      <c r="J21" s="33"/>
    </row>
    <row r="22" spans="1:10">
      <c r="A22" s="205"/>
      <c r="B22" s="208"/>
      <c r="C22" s="208"/>
      <c r="D22" s="229"/>
      <c r="E22" s="30"/>
      <c r="F22" s="30"/>
      <c r="G22" s="30"/>
      <c r="H22" s="30"/>
      <c r="I22" s="30"/>
      <c r="J22" s="33"/>
    </row>
    <row r="23" spans="1:10">
      <c r="A23" s="21"/>
      <c r="B23" s="30"/>
      <c r="C23" s="30"/>
      <c r="D23" s="39"/>
      <c r="E23" s="30"/>
      <c r="F23" s="30"/>
      <c r="G23" s="30"/>
      <c r="H23" s="30"/>
      <c r="I23" s="30"/>
      <c r="J23" s="33"/>
    </row>
    <row r="24" spans="1:10" ht="15.75">
      <c r="A24" s="34" t="s">
        <v>355</v>
      </c>
      <c r="B24" s="32"/>
      <c r="C24" s="30"/>
      <c r="D24" s="39"/>
      <c r="E24" s="30"/>
      <c r="F24" s="30"/>
      <c r="G24" s="30"/>
      <c r="H24" s="30"/>
      <c r="I24" s="30"/>
      <c r="J24" s="33"/>
    </row>
    <row r="25" spans="1:10">
      <c r="A25" s="22"/>
      <c r="B25" s="35"/>
      <c r="C25" s="35"/>
      <c r="D25" s="40"/>
      <c r="E25" s="35"/>
      <c r="F25" s="35"/>
      <c r="G25" s="35"/>
      <c r="H25" s="35"/>
      <c r="I25" s="35"/>
      <c r="J25" s="36"/>
    </row>
    <row r="36" spans="12:12">
      <c r="L36">
        <v>3</v>
      </c>
    </row>
  </sheetData>
  <mergeCells count="20">
    <mergeCell ref="A11:A16"/>
    <mergeCell ref="B11:B16"/>
    <mergeCell ref="C11:C16"/>
    <mergeCell ref="D11:D16"/>
    <mergeCell ref="D17:D22"/>
    <mergeCell ref="A17:A22"/>
    <mergeCell ref="B17:B22"/>
    <mergeCell ref="C17:C22"/>
    <mergeCell ref="N3:S3"/>
    <mergeCell ref="B8:J8"/>
    <mergeCell ref="B9:J9"/>
    <mergeCell ref="A1:B3"/>
    <mergeCell ref="C1:H3"/>
    <mergeCell ref="I1:J1"/>
    <mergeCell ref="I2:J2"/>
    <mergeCell ref="I3:J3"/>
    <mergeCell ref="A4:B5"/>
    <mergeCell ref="C4:J5"/>
    <mergeCell ref="C6:J6"/>
    <mergeCell ref="A6:B6"/>
  </mergeCells>
  <pageMargins left="0.7" right="0.7" top="0.75" bottom="0.75" header="0.3" footer="0.3"/>
  <pageSetup scale="7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9"/>
  <sheetViews>
    <sheetView topLeftCell="A19" zoomScale="69" zoomScaleNormal="69" workbookViewId="0">
      <selection activeCell="D16" sqref="D16"/>
    </sheetView>
  </sheetViews>
  <sheetFormatPr baseColWidth="10" defaultRowHeight="15"/>
  <cols>
    <col min="1" max="1" width="2.28515625" bestFit="1" customWidth="1"/>
    <col min="2" max="2" width="14.140625" bestFit="1" customWidth="1"/>
    <col min="3" max="3" width="41.28515625" bestFit="1" customWidth="1"/>
    <col min="4" max="4" width="32.28515625" customWidth="1"/>
    <col min="5" max="5" width="37.42578125" customWidth="1"/>
    <col min="6" max="6" width="31.7109375" customWidth="1"/>
    <col min="7" max="7" width="32.5703125" customWidth="1"/>
    <col min="8" max="8" width="30.140625" customWidth="1"/>
    <col min="9" max="10" width="29.5703125" customWidth="1"/>
    <col min="11" max="11" width="32.42578125" customWidth="1"/>
    <col min="12" max="12" width="30.140625" customWidth="1"/>
    <col min="13" max="13" width="29.140625" customWidth="1"/>
    <col min="14" max="14" width="32.140625" customWidth="1"/>
    <col min="15" max="15" width="31.7109375" customWidth="1"/>
  </cols>
  <sheetData>
    <row r="1" spans="1:16" ht="66" customHeight="1">
      <c r="A1" s="231" t="s">
        <v>224</v>
      </c>
      <c r="B1" s="232"/>
      <c r="C1" s="232"/>
      <c r="D1" s="232"/>
      <c r="E1" s="232"/>
      <c r="F1" s="232"/>
      <c r="G1" s="232"/>
      <c r="H1" s="232"/>
      <c r="I1" s="232"/>
      <c r="J1" s="232"/>
      <c r="K1" s="232"/>
      <c r="L1" s="232"/>
      <c r="M1" s="232"/>
      <c r="N1" s="232"/>
      <c r="O1" s="233"/>
    </row>
    <row r="2" spans="1:16" ht="38.25" customHeight="1">
      <c r="A2" s="207">
        <v>1</v>
      </c>
      <c r="B2" s="143" t="s">
        <v>29</v>
      </c>
      <c r="C2" s="118" t="s">
        <v>223</v>
      </c>
      <c r="D2" s="143" t="s">
        <v>167</v>
      </c>
      <c r="E2" s="143" t="s">
        <v>168</v>
      </c>
      <c r="F2" s="143" t="s">
        <v>169</v>
      </c>
      <c r="G2" s="143" t="s">
        <v>170</v>
      </c>
      <c r="H2" s="143" t="s">
        <v>171</v>
      </c>
      <c r="I2" s="143" t="s">
        <v>172</v>
      </c>
      <c r="J2" s="143" t="s">
        <v>173</v>
      </c>
      <c r="K2" s="143" t="s">
        <v>174</v>
      </c>
      <c r="L2" s="143" t="s">
        <v>175</v>
      </c>
      <c r="M2" s="143" t="s">
        <v>176</v>
      </c>
      <c r="N2" s="143" t="s">
        <v>177</v>
      </c>
      <c r="O2" s="143" t="s">
        <v>178</v>
      </c>
    </row>
    <row r="3" spans="1:16">
      <c r="A3" s="207"/>
      <c r="B3" s="143"/>
      <c r="C3" s="117" t="s">
        <v>3</v>
      </c>
      <c r="D3" s="143"/>
      <c r="E3" s="143"/>
      <c r="F3" s="143"/>
      <c r="G3" s="143"/>
      <c r="H3" s="143"/>
      <c r="I3" s="143"/>
      <c r="J3" s="143"/>
      <c r="K3" s="143"/>
      <c r="L3" s="143"/>
      <c r="M3" s="143"/>
      <c r="N3" s="143"/>
      <c r="O3" s="143"/>
    </row>
    <row r="4" spans="1:16" ht="64.5" customHeight="1">
      <c r="A4" s="207"/>
      <c r="B4" s="125" t="s">
        <v>225</v>
      </c>
      <c r="C4" s="126" t="s">
        <v>49</v>
      </c>
      <c r="D4" s="124" t="s">
        <v>251</v>
      </c>
      <c r="E4" s="124" t="s">
        <v>250</v>
      </c>
      <c r="F4" s="124" t="s">
        <v>252</v>
      </c>
      <c r="G4" s="124" t="s">
        <v>253</v>
      </c>
      <c r="H4" s="124" t="s">
        <v>254</v>
      </c>
      <c r="I4" s="124" t="s">
        <v>255</v>
      </c>
      <c r="J4" s="124" t="s">
        <v>256</v>
      </c>
      <c r="K4" s="124" t="s">
        <v>257</v>
      </c>
      <c r="L4" s="124" t="s">
        <v>258</v>
      </c>
      <c r="M4" s="124" t="s">
        <v>259</v>
      </c>
      <c r="N4" s="124" t="s">
        <v>260</v>
      </c>
      <c r="O4" s="124" t="s">
        <v>261</v>
      </c>
      <c r="P4" s="108"/>
    </row>
    <row r="5" spans="1:16" ht="59.25" customHeight="1">
      <c r="A5" s="208"/>
      <c r="B5" s="125" t="s">
        <v>225</v>
      </c>
      <c r="C5" s="106" t="s">
        <v>92</v>
      </c>
      <c r="D5" s="106"/>
      <c r="E5" s="106"/>
      <c r="F5" s="106"/>
      <c r="G5" s="106"/>
      <c r="H5" s="106"/>
      <c r="I5" s="106"/>
      <c r="J5" s="106"/>
      <c r="K5" s="106"/>
      <c r="L5" s="106"/>
      <c r="M5" s="106"/>
      <c r="N5" s="106"/>
      <c r="O5" s="106"/>
      <c r="P5" s="108"/>
    </row>
    <row r="6" spans="1:16" ht="105.75" customHeight="1">
      <c r="A6" s="230">
        <v>2</v>
      </c>
      <c r="B6" s="125" t="s">
        <v>226</v>
      </c>
      <c r="C6" s="106" t="s">
        <v>140</v>
      </c>
      <c r="D6" s="106" t="s">
        <v>289</v>
      </c>
      <c r="E6" s="106" t="s">
        <v>290</v>
      </c>
      <c r="F6" s="106" t="s">
        <v>291</v>
      </c>
      <c r="G6" s="106" t="s">
        <v>292</v>
      </c>
      <c r="H6" s="106" t="s">
        <v>293</v>
      </c>
      <c r="I6" s="106" t="s">
        <v>294</v>
      </c>
      <c r="J6" s="106" t="s">
        <v>295</v>
      </c>
      <c r="K6" s="106" t="s">
        <v>296</v>
      </c>
      <c r="L6" s="106" t="s">
        <v>297</v>
      </c>
      <c r="M6" s="106" t="s">
        <v>298</v>
      </c>
      <c r="N6" s="106" t="s">
        <v>299</v>
      </c>
      <c r="O6" s="106" t="s">
        <v>300</v>
      </c>
    </row>
    <row r="7" spans="1:16" ht="128.25" customHeight="1">
      <c r="A7" s="230"/>
      <c r="B7" s="125" t="s">
        <v>226</v>
      </c>
      <c r="C7" s="106" t="s">
        <v>200</v>
      </c>
      <c r="D7" s="107"/>
      <c r="E7" s="107"/>
      <c r="F7" s="106" t="s">
        <v>301</v>
      </c>
      <c r="G7" s="107"/>
      <c r="H7" s="107"/>
      <c r="I7" s="107"/>
      <c r="J7" s="107"/>
      <c r="K7" s="107"/>
      <c r="L7" s="107"/>
      <c r="M7" s="107"/>
      <c r="N7" s="107"/>
      <c r="O7" s="107"/>
    </row>
    <row r="8" spans="1:16" ht="75.75" customHeight="1">
      <c r="A8" s="230">
        <v>3</v>
      </c>
      <c r="B8" s="125" t="s">
        <v>225</v>
      </c>
      <c r="C8" s="106" t="s">
        <v>79</v>
      </c>
      <c r="D8" s="124" t="s">
        <v>262</v>
      </c>
      <c r="E8" s="124" t="s">
        <v>263</v>
      </c>
      <c r="F8" s="124" t="s">
        <v>264</v>
      </c>
      <c r="G8" s="124" t="s">
        <v>265</v>
      </c>
      <c r="H8" s="124" t="s">
        <v>266</v>
      </c>
      <c r="I8" s="124" t="s">
        <v>267</v>
      </c>
      <c r="J8" s="124" t="s">
        <v>268</v>
      </c>
      <c r="K8" s="124" t="s">
        <v>269</v>
      </c>
      <c r="L8" s="124" t="s">
        <v>270</v>
      </c>
      <c r="M8" s="124" t="s">
        <v>271</v>
      </c>
      <c r="N8" s="124" t="s">
        <v>272</v>
      </c>
      <c r="O8" s="124" t="s">
        <v>273</v>
      </c>
    </row>
    <row r="9" spans="1:16" ht="59.25" customHeight="1">
      <c r="A9" s="230"/>
      <c r="B9" s="125" t="s">
        <v>227</v>
      </c>
      <c r="C9" s="106" t="s">
        <v>193</v>
      </c>
      <c r="D9" s="107"/>
      <c r="E9" s="107"/>
      <c r="F9" s="107"/>
      <c r="G9" s="107"/>
      <c r="H9" s="107"/>
      <c r="I9" s="107"/>
      <c r="J9" s="107"/>
      <c r="K9" s="107"/>
      <c r="L9" s="107"/>
      <c r="M9" s="107"/>
      <c r="N9" s="107"/>
      <c r="O9" s="107"/>
    </row>
    <row r="10" spans="1:16" ht="59.25" customHeight="1">
      <c r="A10" s="109">
        <v>4</v>
      </c>
      <c r="B10" s="125" t="s">
        <v>228</v>
      </c>
      <c r="C10" s="106" t="s">
        <v>97</v>
      </c>
      <c r="D10" s="107"/>
      <c r="E10" s="107"/>
      <c r="F10" s="107"/>
      <c r="G10" s="107"/>
      <c r="H10" s="107"/>
      <c r="I10" s="107"/>
      <c r="J10" s="107"/>
      <c r="K10" s="107"/>
      <c r="L10" s="107"/>
      <c r="M10" s="107"/>
      <c r="N10" s="107"/>
      <c r="O10" s="107"/>
    </row>
    <row r="11" spans="1:16" ht="59.25" customHeight="1">
      <c r="A11" s="206">
        <v>5</v>
      </c>
      <c r="B11" s="125" t="s">
        <v>229</v>
      </c>
      <c r="C11" s="106" t="s">
        <v>108</v>
      </c>
      <c r="D11" s="124" t="s">
        <v>302</v>
      </c>
      <c r="E11" s="124" t="s">
        <v>303</v>
      </c>
      <c r="F11" s="124" t="s">
        <v>304</v>
      </c>
      <c r="G11" s="124" t="s">
        <v>305</v>
      </c>
      <c r="H11" s="124" t="s">
        <v>306</v>
      </c>
      <c r="I11" s="124" t="s">
        <v>307</v>
      </c>
      <c r="J11" s="124" t="s">
        <v>308</v>
      </c>
      <c r="K11" s="124" t="s">
        <v>309</v>
      </c>
      <c r="L11" s="124" t="s">
        <v>310</v>
      </c>
      <c r="M11" s="124" t="s">
        <v>311</v>
      </c>
      <c r="N11" s="124" t="s">
        <v>312</v>
      </c>
      <c r="O11" s="124" t="s">
        <v>313</v>
      </c>
    </row>
    <row r="12" spans="1:16" ht="64.5" customHeight="1">
      <c r="A12" s="207"/>
      <c r="B12" s="125" t="s">
        <v>229</v>
      </c>
      <c r="C12" s="106" t="s">
        <v>158</v>
      </c>
      <c r="D12" s="124" t="s">
        <v>274</v>
      </c>
      <c r="E12" s="124" t="s">
        <v>239</v>
      </c>
      <c r="F12" s="124" t="s">
        <v>240</v>
      </c>
      <c r="G12" s="124" t="s">
        <v>241</v>
      </c>
      <c r="H12" s="124" t="s">
        <v>242</v>
      </c>
      <c r="I12" s="124" t="s">
        <v>243</v>
      </c>
      <c r="J12" s="124" t="s">
        <v>244</v>
      </c>
      <c r="K12" s="124" t="s">
        <v>245</v>
      </c>
      <c r="L12" s="124" t="s">
        <v>246</v>
      </c>
      <c r="M12" s="124" t="s">
        <v>247</v>
      </c>
      <c r="N12" s="124" t="s">
        <v>248</v>
      </c>
      <c r="O12" s="124" t="s">
        <v>249</v>
      </c>
    </row>
    <row r="13" spans="1:16" ht="129" customHeight="1">
      <c r="A13" s="207"/>
      <c r="B13" s="125" t="s">
        <v>230</v>
      </c>
      <c r="C13" s="106" t="s">
        <v>138</v>
      </c>
      <c r="D13" s="124" t="s">
        <v>342</v>
      </c>
      <c r="E13" s="124" t="s">
        <v>341</v>
      </c>
      <c r="F13" s="124" t="s">
        <v>343</v>
      </c>
      <c r="G13" s="124" t="s">
        <v>344</v>
      </c>
      <c r="H13" s="124" t="s">
        <v>345</v>
      </c>
      <c r="I13" s="124" t="s">
        <v>346</v>
      </c>
      <c r="J13" s="124" t="s">
        <v>347</v>
      </c>
      <c r="K13" s="124" t="s">
        <v>348</v>
      </c>
      <c r="L13" s="124" t="s">
        <v>349</v>
      </c>
      <c r="M13" s="124" t="s">
        <v>350</v>
      </c>
      <c r="N13" s="124" t="s">
        <v>351</v>
      </c>
      <c r="O13" s="124" t="s">
        <v>352</v>
      </c>
    </row>
    <row r="14" spans="1:16" ht="68.25" customHeight="1">
      <c r="A14" s="207"/>
      <c r="B14" s="125" t="s">
        <v>230</v>
      </c>
      <c r="C14" s="106" t="s">
        <v>184</v>
      </c>
      <c r="D14" s="124" t="s">
        <v>329</v>
      </c>
      <c r="E14" s="124" t="s">
        <v>330</v>
      </c>
      <c r="F14" s="124" t="s">
        <v>331</v>
      </c>
      <c r="G14" s="124" t="s">
        <v>332</v>
      </c>
      <c r="H14" s="124" t="s">
        <v>333</v>
      </c>
      <c r="I14" s="124" t="s">
        <v>334</v>
      </c>
      <c r="J14" s="124" t="s">
        <v>335</v>
      </c>
      <c r="K14" s="124" t="s">
        <v>336</v>
      </c>
      <c r="L14" s="124" t="s">
        <v>337</v>
      </c>
      <c r="M14" s="124" t="s">
        <v>338</v>
      </c>
      <c r="N14" s="124" t="s">
        <v>339</v>
      </c>
      <c r="O14" s="124" t="s">
        <v>340</v>
      </c>
    </row>
    <row r="15" spans="1:16" ht="59.25" customHeight="1">
      <c r="A15" s="208"/>
      <c r="B15" s="125" t="s">
        <v>230</v>
      </c>
      <c r="C15" s="106" t="s">
        <v>185</v>
      </c>
      <c r="D15" s="124" t="s">
        <v>317</v>
      </c>
      <c r="E15" s="124" t="s">
        <v>318</v>
      </c>
      <c r="F15" s="124" t="s">
        <v>319</v>
      </c>
      <c r="G15" s="124" t="s">
        <v>320</v>
      </c>
      <c r="H15" s="124" t="s">
        <v>321</v>
      </c>
      <c r="I15" s="124" t="s">
        <v>322</v>
      </c>
      <c r="J15" s="124" t="s">
        <v>323</v>
      </c>
      <c r="K15" s="124" t="s">
        <v>324</v>
      </c>
      <c r="L15" s="124" t="s">
        <v>328</v>
      </c>
      <c r="M15" s="124" t="s">
        <v>325</v>
      </c>
      <c r="N15" s="124" t="s">
        <v>326</v>
      </c>
      <c r="O15" s="124" t="s">
        <v>327</v>
      </c>
    </row>
    <row r="16" spans="1:16" ht="105.75" customHeight="1">
      <c r="A16" s="109">
        <v>6</v>
      </c>
      <c r="B16" s="125" t="s">
        <v>231</v>
      </c>
      <c r="C16" s="106" t="s">
        <v>13</v>
      </c>
      <c r="D16" s="106" t="s">
        <v>288</v>
      </c>
      <c r="E16" s="106" t="s">
        <v>314</v>
      </c>
      <c r="F16" s="106" t="s">
        <v>315</v>
      </c>
      <c r="G16" s="106" t="s">
        <v>316</v>
      </c>
      <c r="H16" s="106"/>
      <c r="I16" s="106"/>
      <c r="J16" s="106"/>
      <c r="K16" s="106"/>
      <c r="L16" s="106"/>
      <c r="M16" s="106"/>
      <c r="N16" s="106"/>
      <c r="O16" s="106"/>
    </row>
    <row r="17" spans="1:15" ht="105" customHeight="1">
      <c r="A17" s="109">
        <v>7</v>
      </c>
      <c r="B17" s="125" t="s">
        <v>225</v>
      </c>
      <c r="C17" s="106" t="s">
        <v>232</v>
      </c>
      <c r="D17" s="106" t="s">
        <v>275</v>
      </c>
      <c r="E17" s="106" t="s">
        <v>286</v>
      </c>
      <c r="F17" s="106" t="s">
        <v>285</v>
      </c>
      <c r="G17" s="106" t="s">
        <v>276</v>
      </c>
      <c r="H17" s="106" t="s">
        <v>284</v>
      </c>
      <c r="I17" s="106" t="s">
        <v>283</v>
      </c>
      <c r="J17" s="106" t="s">
        <v>277</v>
      </c>
      <c r="K17" s="106" t="s">
        <v>282</v>
      </c>
      <c r="L17" s="106" t="s">
        <v>281</v>
      </c>
      <c r="M17" s="106" t="s">
        <v>280</v>
      </c>
      <c r="N17" s="106" t="s">
        <v>278</v>
      </c>
      <c r="O17" s="106" t="s">
        <v>279</v>
      </c>
    </row>
    <row r="18" spans="1:15" ht="59.25" customHeight="1">
      <c r="A18" s="109">
        <v>8</v>
      </c>
      <c r="B18" s="123" t="s">
        <v>226</v>
      </c>
      <c r="C18" s="106" t="s">
        <v>56</v>
      </c>
      <c r="D18" s="106"/>
      <c r="E18" s="106"/>
      <c r="F18" s="106"/>
      <c r="G18" s="106"/>
      <c r="H18" s="106"/>
      <c r="I18" s="106"/>
      <c r="J18" s="106"/>
      <c r="K18" s="106"/>
      <c r="L18" s="106"/>
      <c r="M18" s="106"/>
      <c r="N18" s="106"/>
      <c r="O18" s="106"/>
    </row>
    <row r="19" spans="1:15">
      <c r="B19" s="110"/>
    </row>
  </sheetData>
  <mergeCells count="18">
    <mergeCell ref="F2:F3"/>
    <mergeCell ref="A1:O1"/>
    <mergeCell ref="A11:A15"/>
    <mergeCell ref="A8:A9"/>
    <mergeCell ref="M2:M3"/>
    <mergeCell ref="N2:N3"/>
    <mergeCell ref="O2:O3"/>
    <mergeCell ref="A2:A5"/>
    <mergeCell ref="A6:A7"/>
    <mergeCell ref="B2:B3"/>
    <mergeCell ref="G2:G3"/>
    <mergeCell ref="H2:H3"/>
    <mergeCell ref="I2:I3"/>
    <mergeCell ref="J2:J3"/>
    <mergeCell ref="K2:K3"/>
    <mergeCell ref="L2:L3"/>
    <mergeCell ref="D2:D3"/>
    <mergeCell ref="E2:E3"/>
  </mergeCells>
  <pageMargins left="0" right="0" top="0.74803149606299213" bottom="0.74803149606299213" header="0.31496062992125984" footer="0.31496062992125984"/>
  <pageSetup scale="3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34F94DA-20D9-489A-8CCE-DE6B10D21516}"/>
</file>

<file path=customXml/itemProps2.xml><?xml version="1.0" encoding="utf-8"?>
<ds:datastoreItem xmlns:ds="http://schemas.openxmlformats.org/officeDocument/2006/customXml" ds:itemID="{546EC0E8-2073-4982-AE4E-C278B37CCE86}"/>
</file>

<file path=customXml/itemProps3.xml><?xml version="1.0" encoding="utf-8"?>
<ds:datastoreItem xmlns:ds="http://schemas.openxmlformats.org/officeDocument/2006/customXml" ds:itemID="{D81782B7-6C6A-44A9-9F2D-52FD5B15C35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MATRIZ</vt:lpstr>
      <vt:lpstr>1</vt:lpstr>
      <vt:lpstr>2</vt:lpstr>
      <vt:lpstr>3</vt:lpstr>
      <vt:lpstr>4</vt:lpstr>
      <vt:lpstr>5</vt:lpstr>
      <vt:lpstr>6</vt:lpstr>
      <vt:lpstr>7</vt:lpstr>
      <vt:lpstr>8</vt:lpstr>
      <vt:lpstr>ANALISIS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karina Rueda</dc:creator>
  <cp:lastModifiedBy>Usuario de red</cp:lastModifiedBy>
  <cp:lastPrinted>2018-06-23T21:25:25Z</cp:lastPrinted>
  <dcterms:created xsi:type="dcterms:W3CDTF">2015-06-02T22:21:33Z</dcterms:created>
  <dcterms:modified xsi:type="dcterms:W3CDTF">2019-07-16T16:44:15Z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59100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