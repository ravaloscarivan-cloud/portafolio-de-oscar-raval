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olors5.xml" ContentType="application/vnd.ms-office.chartcolorstyle+xml"/>
  <Override PartName="/xl/charts/style5.xml" ContentType="application/vnd.ms-office.chartstyle+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charts/chart30.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25.xml" ContentType="application/vnd.openxmlformats-officedocument.drawingml.chart+xml"/>
  <Override PartName="/xl/worksheets/sheet1.xml" ContentType="application/vnd.openxmlformats-officedocument.spreadsheetml.worksheet+xml"/>
  <Override PartName="/xl/charts/chart23.xml" ContentType="application/vnd.openxmlformats-officedocument.drawingml.chart+xml"/>
  <Override PartName="/xl/charts/chart22.xml" ContentType="application/vnd.openxmlformats-officedocument.drawingml.chart+xml"/>
  <Override PartName="/xl/charts/chart2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1.xml" ContentType="application/vnd.openxmlformats-officedocument.drawingml.chart+xml"/>
  <Override PartName="/xl/charts/chart24.xml" ContentType="application/vnd.openxmlformats-officedocument.drawingml.chart+xml"/>
  <Override PartName="/xl/charts/style3.xml" ContentType="application/vnd.ms-office.chartstyle+xml"/>
  <Override PartName="/xl/drawings/drawing2.xml" ContentType="application/vnd.openxmlformats-officedocument.drawing+xml"/>
  <Override PartName="/xl/charts/chart4.xml" ContentType="application/vnd.openxmlformats-officedocument.drawingml.chart+xml"/>
  <Override PartName="/xl/charts/chart3.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olors3.xml" ContentType="application/vnd.ms-office.chartcolorstyle+xml"/>
  <Override PartName="/xl/charts/chart2.xml" ContentType="application/vnd.openxmlformats-officedocument.drawingml.chart+xml"/>
  <Override PartName="/xl/charts/chart1.xml" ContentType="application/vnd.openxmlformats-officedocument.drawingml.char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harts/chart9.xml" ContentType="application/vnd.openxmlformats-officedocument.drawingml.chart+xml"/>
  <Override PartName="/xl/drawings/drawing3.xml" ContentType="application/vnd.openxmlformats-officedocument.drawing+xml"/>
  <Override PartName="/xl/charts/style2.xml" ContentType="application/vnd.ms-office.chartstyle+xml"/>
  <Override PartName="/xl/charts/style1.xml" ContentType="application/vnd.ms-office.chartstyle+xml"/>
  <Override PartName="/xl/charts/chart16.xml" ContentType="application/vnd.openxmlformats-officedocument.drawingml.chart+xml"/>
  <Override PartName="/xl/charts/chart15.xml" ContentType="application/vnd.openxmlformats-officedocument.drawingml.chart+xml"/>
  <Override PartName="/xl/charts/colors1.xml" ContentType="application/vnd.ms-office.chartcolorstyle+xml"/>
  <Override PartName="/xl/charts/chart14.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drawings/drawing4.xml" ContentType="application/vnd.openxmlformats-officedocument.drawing+xml"/>
  <Override PartName="/xl/charts/chart17.xml" ContentType="application/vnd.openxmlformats-officedocument.drawingml.chart+xml"/>
  <Override PartName="/xl/charts/chart20.xml" ContentType="application/vnd.openxmlformats-officedocument.drawingml.chart+xml"/>
  <Override PartName="/xl/charts/chart19.xml" ContentType="application/vnd.openxmlformats-officedocument.drawingml.chart+xml"/>
  <Override PartName="/xl/charts/colors2.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10.50.91\calidad biosteel\INFORMES MENSUALES\1. CALIDAD\2. INDICADORES(MATRICES)\"/>
    </mc:Choice>
  </mc:AlternateContent>
  <bookViews>
    <workbookView xWindow="0" yWindow="0" windowWidth="20490" windowHeight="7755" activeTab="8"/>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externalReferences>
    <externalReference r:id="rId11"/>
  </externalReferenc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23" i="9" l="1"/>
  <c r="D23" i="8"/>
  <c r="G58" i="6"/>
  <c r="F58" i="6"/>
  <c r="D23" i="5"/>
  <c r="L26" i="3"/>
  <c r="L23" i="3"/>
  <c r="K23" i="3"/>
  <c r="C23" i="3"/>
  <c r="D23" i="3"/>
  <c r="B23" i="3"/>
  <c r="L24" i="2"/>
  <c r="D40" i="2"/>
  <c r="D23" i="2"/>
  <c r="D22" i="6" l="1"/>
  <c r="D21" i="6"/>
  <c r="D20" i="6"/>
  <c r="D19" i="6"/>
  <c r="D18" i="6"/>
  <c r="D17" i="6"/>
  <c r="D16" i="6"/>
  <c r="D15" i="6"/>
  <c r="D14" i="6"/>
  <c r="D13" i="6"/>
  <c r="D12" i="6"/>
  <c r="D11" i="6"/>
  <c r="L17" i="6" l="1"/>
  <c r="F57" i="6"/>
  <c r="F48" i="6"/>
  <c r="F49" i="6"/>
  <c r="F50" i="6"/>
  <c r="F51" i="6"/>
  <c r="F52" i="6"/>
  <c r="F53" i="6"/>
  <c r="F54" i="6"/>
  <c r="F55" i="6"/>
  <c r="F56" i="6"/>
  <c r="F46" i="6"/>
  <c r="F47" i="6"/>
  <c r="D27" i="9" l="1"/>
  <c r="E27" i="9" s="1"/>
  <c r="D17" i="9"/>
  <c r="D11" i="9"/>
  <c r="D22" i="8"/>
  <c r="D21" i="8"/>
  <c r="D20" i="8"/>
  <c r="D19" i="8"/>
  <c r="D18" i="8"/>
  <c r="D17" i="8"/>
  <c r="D16" i="8"/>
  <c r="D15" i="8"/>
  <c r="D14" i="8"/>
  <c r="D13" i="8"/>
  <c r="D12" i="8"/>
  <c r="D11" i="8"/>
  <c r="C23" i="7"/>
  <c r="B23" i="7"/>
  <c r="D22" i="7"/>
  <c r="D21" i="7"/>
  <c r="D20" i="7"/>
  <c r="D19" i="7"/>
  <c r="D18" i="7"/>
  <c r="D17" i="7"/>
  <c r="D16" i="7"/>
  <c r="D15" i="7"/>
  <c r="D14" i="7"/>
  <c r="D13" i="7"/>
  <c r="D12" i="7"/>
  <c r="D11" i="7"/>
  <c r="D23" i="7" s="1"/>
  <c r="D121" i="6"/>
  <c r="D120" i="6"/>
  <c r="D119" i="6"/>
  <c r="D118" i="6"/>
  <c r="D117" i="6"/>
  <c r="D116" i="6"/>
  <c r="D115" i="6"/>
  <c r="D114" i="6"/>
  <c r="D113" i="6"/>
  <c r="D112" i="6"/>
  <c r="D111" i="6"/>
  <c r="D110" i="6"/>
  <c r="D106" i="6"/>
  <c r="D105" i="6"/>
  <c r="D104" i="6"/>
  <c r="D103" i="6"/>
  <c r="D102" i="6"/>
  <c r="D101" i="6"/>
  <c r="D100" i="6"/>
  <c r="D99" i="6"/>
  <c r="D98" i="6"/>
  <c r="D97" i="6"/>
  <c r="D96" i="6"/>
  <c r="D95" i="6"/>
  <c r="D90" i="6"/>
  <c r="D89" i="6"/>
  <c r="D88" i="6"/>
  <c r="D87" i="6"/>
  <c r="D86" i="6"/>
  <c r="D85" i="6"/>
  <c r="D84" i="6"/>
  <c r="D83" i="6"/>
  <c r="D82" i="6"/>
  <c r="D81" i="6"/>
  <c r="D80" i="6"/>
  <c r="D79" i="6"/>
  <c r="G57" i="6"/>
  <c r="G56" i="6"/>
  <c r="G55" i="6"/>
  <c r="G54" i="6"/>
  <c r="G53" i="6"/>
  <c r="G52" i="6"/>
  <c r="G51" i="6"/>
  <c r="G50" i="6"/>
  <c r="G49" i="6"/>
  <c r="G48" i="6"/>
  <c r="G47" i="6"/>
  <c r="G46" i="6"/>
  <c r="D40" i="6"/>
  <c r="C40" i="6"/>
  <c r="B40" i="6"/>
  <c r="F39" i="6"/>
  <c r="E39" i="6"/>
  <c r="E38" i="6"/>
  <c r="F38" i="6" s="1"/>
  <c r="F37" i="6"/>
  <c r="E37" i="6"/>
  <c r="F36" i="6"/>
  <c r="E36" i="6"/>
  <c r="F35" i="6"/>
  <c r="E35" i="6"/>
  <c r="E34" i="6"/>
  <c r="F34" i="6" s="1"/>
  <c r="F33" i="6"/>
  <c r="E33" i="6"/>
  <c r="F32" i="6"/>
  <c r="E32" i="6"/>
  <c r="F31" i="6"/>
  <c r="E31" i="6"/>
  <c r="E30" i="6"/>
  <c r="F30" i="6" s="1"/>
  <c r="F29" i="6"/>
  <c r="E29" i="6"/>
  <c r="F28" i="6"/>
  <c r="E28" i="6"/>
  <c r="E40" i="6" s="1"/>
  <c r="D23" i="6"/>
  <c r="D17" i="5"/>
  <c r="D14" i="5"/>
  <c r="D11" i="5"/>
  <c r="D22" i="4"/>
  <c r="D21" i="4"/>
  <c r="D20" i="4"/>
  <c r="D19" i="4"/>
  <c r="D18" i="4"/>
  <c r="D17" i="4"/>
  <c r="D16" i="4"/>
  <c r="D15" i="4"/>
  <c r="D14" i="4"/>
  <c r="D13" i="4"/>
  <c r="D12" i="4"/>
  <c r="D11" i="4"/>
  <c r="D38" i="3"/>
  <c r="D35" i="3"/>
  <c r="D32" i="3"/>
  <c r="D30" i="3"/>
  <c r="C40" i="2"/>
  <c r="B40" i="2"/>
  <c r="D39" i="2"/>
  <c r="D38" i="2"/>
  <c r="D37" i="2"/>
  <c r="D36" i="2"/>
  <c r="D35" i="2"/>
  <c r="D34" i="2"/>
  <c r="D22" i="2"/>
  <c r="D21" i="2"/>
  <c r="D20" i="2"/>
  <c r="D19" i="2"/>
  <c r="D18" i="2"/>
  <c r="D17" i="2"/>
  <c r="D16" i="2"/>
  <c r="D15" i="2"/>
  <c r="D14" i="2"/>
  <c r="D13" i="2"/>
  <c r="D12" i="2"/>
  <c r="D11" i="2"/>
  <c r="F40" i="6" l="1"/>
  <c r="F41" i="6" s="1"/>
  <c r="N24" i="1" l="1"/>
  <c r="X18" i="1" l="1"/>
  <c r="W18" i="1"/>
  <c r="V18" i="1"/>
  <c r="U18" i="1"/>
  <c r="T18" i="1"/>
  <c r="S18" i="1"/>
  <c r="R18" i="1"/>
  <c r="Q18" i="1"/>
  <c r="P18" i="1"/>
  <c r="O18" i="1"/>
  <c r="N18" i="1"/>
  <c r="X11" i="1" l="1"/>
  <c r="W11" i="1"/>
  <c r="V11" i="1"/>
  <c r="U11" i="1"/>
  <c r="T11" i="1"/>
  <c r="Y11" i="1" l="1"/>
  <c r="X22" i="1" l="1"/>
  <c r="W22" i="1"/>
  <c r="V22" i="1"/>
  <c r="U22" i="1"/>
  <c r="T22" i="1"/>
  <c r="S22" i="1"/>
  <c r="R22" i="1"/>
  <c r="Q22" i="1"/>
  <c r="P22" i="1"/>
  <c r="O22" i="1"/>
  <c r="N22" i="1"/>
  <c r="N21" i="1"/>
  <c r="O21" i="1"/>
  <c r="P21" i="1"/>
  <c r="Q21" i="1"/>
  <c r="R21" i="1"/>
  <c r="S21" i="1"/>
  <c r="T21" i="1"/>
  <c r="U21" i="1"/>
  <c r="V21" i="1"/>
  <c r="W21" i="1"/>
  <c r="X21" i="1"/>
  <c r="Y21" i="1" l="1"/>
  <c r="T13" i="1"/>
  <c r="S13" i="1"/>
  <c r="R13" i="1"/>
  <c r="R12" i="1"/>
  <c r="P12" i="1"/>
  <c r="U12" i="1" l="1"/>
  <c r="X12" i="1"/>
  <c r="Y12" i="1" l="1"/>
  <c r="S25" i="1"/>
  <c r="Y25" i="1" s="1"/>
  <c r="X24" i="1" l="1"/>
  <c r="W24" i="1"/>
  <c r="V24" i="1"/>
  <c r="U24" i="1"/>
  <c r="T24" i="1"/>
  <c r="S24" i="1"/>
  <c r="R24" i="1"/>
  <c r="Q24" i="1"/>
  <c r="P24" i="1"/>
  <c r="O24" i="1"/>
  <c r="V23" i="1"/>
  <c r="X23" i="1"/>
  <c r="W23" i="1"/>
  <c r="U23" i="1"/>
  <c r="T23" i="1"/>
  <c r="S23" i="1"/>
  <c r="R23" i="1"/>
  <c r="Q23" i="1"/>
  <c r="P23" i="1"/>
  <c r="O23" i="1"/>
  <c r="N23" i="1"/>
  <c r="X20" i="1"/>
  <c r="X19" i="1"/>
  <c r="W20" i="1"/>
  <c r="W19" i="1"/>
  <c r="V20" i="1"/>
  <c r="V19" i="1"/>
  <c r="U20" i="1"/>
  <c r="U19" i="1"/>
  <c r="T20" i="1"/>
  <c r="T19" i="1"/>
  <c r="S20" i="1"/>
  <c r="S19" i="1"/>
  <c r="R20" i="1"/>
  <c r="R19" i="1"/>
  <c r="Q20" i="1"/>
  <c r="Q19" i="1"/>
  <c r="P20" i="1"/>
  <c r="P19" i="1"/>
  <c r="O20" i="1"/>
  <c r="O19" i="1"/>
  <c r="N20" i="1"/>
  <c r="N19" i="1"/>
  <c r="X17" i="1"/>
  <c r="W17" i="1"/>
  <c r="V17" i="1"/>
  <c r="U17" i="1"/>
  <c r="T17" i="1"/>
  <c r="S17" i="1"/>
  <c r="R17" i="1"/>
  <c r="Q17" i="1"/>
  <c r="P17" i="1"/>
  <c r="O17" i="1"/>
  <c r="N17" i="1"/>
  <c r="V16" i="1"/>
  <c r="Y16" i="1" s="1"/>
  <c r="S16" i="1"/>
  <c r="X15" i="1"/>
  <c r="W15" i="1"/>
  <c r="V15" i="1"/>
  <c r="U15" i="1"/>
  <c r="T15" i="1"/>
  <c r="S15" i="1"/>
  <c r="R15" i="1"/>
  <c r="Q15" i="1"/>
  <c r="P15" i="1"/>
  <c r="O15" i="1"/>
  <c r="N15" i="1"/>
  <c r="X13" i="1"/>
  <c r="W13" i="1"/>
  <c r="V13" i="1"/>
  <c r="U13" i="1"/>
  <c r="X10" i="1"/>
  <c r="W10" i="1"/>
  <c r="V10" i="1"/>
  <c r="U10" i="1"/>
  <c r="T10" i="1"/>
  <c r="S10" i="1"/>
  <c r="R10" i="1"/>
  <c r="Q10" i="1"/>
  <c r="P10" i="1"/>
  <c r="O10" i="1"/>
  <c r="N10" i="1"/>
  <c r="Y15" i="1" l="1"/>
  <c r="Y24" i="1"/>
  <c r="Y10" i="1"/>
  <c r="Y23" i="1"/>
  <c r="Y18" i="1"/>
  <c r="Y17" i="1"/>
  <c r="Y19" i="1"/>
  <c r="Y20" i="1"/>
  <c r="N13" i="1"/>
  <c r="P13" i="1"/>
  <c r="Q13" i="1"/>
  <c r="O13" i="1"/>
  <c r="Y13" i="1" l="1"/>
</calcChain>
</file>

<file path=xl/sharedStrings.xml><?xml version="1.0" encoding="utf-8"?>
<sst xmlns="http://schemas.openxmlformats.org/spreadsheetml/2006/main" count="738" uniqueCount="362">
  <si>
    <t>POLITICA DE  CALIDAD</t>
  </si>
  <si>
    <t>PREMISAS</t>
  </si>
  <si>
    <t>OBJETIVOS</t>
  </si>
  <si>
    <t>INDICADOR</t>
  </si>
  <si>
    <t>FORMULACIÓN</t>
  </si>
  <si>
    <t>META</t>
  </si>
  <si>
    <t>FRECUENCIA</t>
  </si>
  <si>
    <t>FUENTE DE DATOS</t>
  </si>
  <si>
    <t>Mensual</t>
  </si>
  <si>
    <t>Evaluación de seguimiento de asesorías quirúrgicas</t>
  </si>
  <si>
    <t>&gt;70%</t>
  </si>
  <si>
    <t>Trimestral</t>
  </si>
  <si>
    <t>Consolidado de acciones correctivas, preventivas y de mejora.</t>
  </si>
  <si>
    <t>Ejecución del programa de capacitación</t>
  </si>
  <si>
    <t>(Capacitaciones ejecutadas / Capacitaciones planeadas)*100%</t>
  </si>
  <si>
    <t>Cronograma de capacitación</t>
  </si>
  <si>
    <t xml:space="preserve">satisfacer las necesidades y expectativas de especialistas, instituciones del área de la salud y usuarios </t>
  </si>
  <si>
    <t>garantizando el cumplimiento de los requisitos legales exigibles,</t>
  </si>
  <si>
    <t>Garantizar a los clientes confiabilidad con el cumpliento del manual de requisitos de  Capacidad de Almacenamiento y/o Acondicionamiento para dispositivos médicos.</t>
  </si>
  <si>
    <t>Crear estrategías de buen servicio que permitan optimizar el manejo de procesos y recursos con el fin de establecer mecanismos para garantizar la satisfacción del cliente.</t>
  </si>
  <si>
    <t>el mejoramiento continuo de nuestros procesos</t>
  </si>
  <si>
    <t xml:space="preserve">optimización de nuestros  recursos </t>
  </si>
  <si>
    <t xml:space="preserve"> el desarrollo integral de nuestros colaboradores,</t>
  </si>
  <si>
    <t>la consolidación de alianzas estratégicas solidas con nuestros proveedores</t>
  </si>
  <si>
    <t>el fortalecimiento de las relaciones comerciales con los clientes.</t>
  </si>
  <si>
    <t>Respaldar los procesos de importación, comercialización y distribuición a los clientes mediante la recepción, acondicionamento, almacenamiento, manejo y suministro de dispositivo médicos acorde a las normas vigentes de sanidad.</t>
  </si>
  <si>
    <t>Planificar, ejecutar, verificar y retroalimentar el sistema de gestión  de calidad, a través de identificaciones de acciones correctivas, preventivas y de mejora continúa.</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</si>
  <si>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</si>
  <si>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PROCESO</t>
  </si>
  <si>
    <t>RESPONSABLE</t>
  </si>
  <si>
    <t xml:space="preserve">Importación, comercialización y distribución </t>
  </si>
  <si>
    <t>Almacén Gerencia Administrativa</t>
  </si>
  <si>
    <t>Asistencia Técnica</t>
  </si>
  <si>
    <t>Gestión de Calidad</t>
  </si>
  <si>
    <t>Gestión Administrativa</t>
  </si>
  <si>
    <t>Asistencia Técnica, Almacén, Facturación</t>
  </si>
  <si>
    <t>Almacén, Gestión Administrativa</t>
  </si>
  <si>
    <t>Formato de Seguimiento a Proveedores</t>
  </si>
  <si>
    <t>% de Ordenes de Compra recibidas completas</t>
  </si>
  <si>
    <t>% de cumplimientos de especificaciones técnicas</t>
  </si>
  <si>
    <t>(No. De desviaciones encontradas/ No. De muestras verificadas) X 100</t>
  </si>
  <si>
    <t>Sumatoria del resultado de todas las evaluaciones/ El total de las evaluaciones.</t>
  </si>
  <si>
    <t>&gt;95</t>
  </si>
  <si>
    <t>Formato de Evaluación de Proveedores</t>
  </si>
  <si>
    <t>Evalución de Cumplimiento Proveedores</t>
  </si>
  <si>
    <t>Satisfacción del Cliente</t>
  </si>
  <si>
    <t>Formato de Satisfacción del Cliente</t>
  </si>
  <si>
    <t>Gasto real / Presupuesto</t>
  </si>
  <si>
    <t>% Cumplimiento de presupuesto</t>
  </si>
  <si>
    <t>Formato de Informe de Presupuestos</t>
  </si>
  <si>
    <t>Informes de cuentas por pagar y cuentas por cobrar</t>
  </si>
  <si>
    <t>OBJETIVO</t>
  </si>
  <si>
    <t>FORMULA</t>
  </si>
  <si>
    <t>% de Cumplimiento (&gt;70%)</t>
  </si>
  <si>
    <t>Meses</t>
  </si>
  <si>
    <t>Enero</t>
  </si>
  <si>
    <t>Febrero</t>
  </si>
  <si>
    <t>Marzo</t>
  </si>
  <si>
    <t>Abril</t>
  </si>
  <si>
    <t>Mayo</t>
  </si>
  <si>
    <t>Junio</t>
  </si>
  <si>
    <t>Julio</t>
  </si>
  <si>
    <t>Agosto</t>
  </si>
  <si>
    <t>Septiembre</t>
  </si>
  <si>
    <t>Octubre</t>
  </si>
  <si>
    <t>Noviembre</t>
  </si>
  <si>
    <t>Diciembre</t>
  </si>
  <si>
    <t>No. Ordenes de Compra recibidas Completas</t>
  </si>
  <si>
    <t xml:space="preserve"> % de cumplimientos de especificaciones técnicas</t>
  </si>
  <si>
    <t>(No. Ordenes de Compra recibidas completas/ No. Ordenes totales recibidas)</t>
  </si>
  <si>
    <t>No.  De muestras verificadas</t>
  </si>
  <si>
    <t>(No. Ordenes de Compra recibidas completas/ No. Ordenes recibidas) X 100</t>
  </si>
  <si>
    <t>No. De evaluaciones recibidas satisfactoriamente</t>
  </si>
  <si>
    <t>INDICADORES</t>
  </si>
  <si>
    <t>VERSION: 0</t>
  </si>
  <si>
    <t>Sumatoria del resultado de todas las evaluaciones</t>
  </si>
  <si>
    <t>Sumatoria del resultado de todas las evaluaciones/ El No. total de evaluaciones realizadas.</t>
  </si>
  <si>
    <t>No. total de evaluaciones realizadas.</t>
  </si>
  <si>
    <t xml:space="preserve"> % de incumplimiento de disponibilidad de dispositivos médicos</t>
  </si>
  <si>
    <t>Formato de Ostesintesis Programas</t>
  </si>
  <si>
    <t>Cierre de planes de acción</t>
  </si>
  <si>
    <t>No.  Total de planes de Accion</t>
  </si>
  <si>
    <t>Planes de acción cerrados / No. Total de planes  de acción</t>
  </si>
  <si>
    <t>Planes de acción cerrados</t>
  </si>
  <si>
    <t>Enero - Marzo</t>
  </si>
  <si>
    <t>Abril - Junio</t>
  </si>
  <si>
    <t>Julio - Septiembre</t>
  </si>
  <si>
    <t>Octubre - Dicembre</t>
  </si>
  <si>
    <t>Responsable: Coordinador De Calidad</t>
  </si>
  <si>
    <t>Responsable: Coordinador Asistencial</t>
  </si>
  <si>
    <t>Consolidar un adecuado manejo financiero a traves de la contabilización adecuada, con el fin de generar confiabilidad entre los stakeholders de la compañía.</t>
  </si>
  <si>
    <t>Cumplimiento de presupuesto</t>
  </si>
  <si>
    <t xml:space="preserve">Gasto real </t>
  </si>
  <si>
    <t>Gasto presupuestado</t>
  </si>
  <si>
    <t>% de Cumplimiento (&gt;90%)</t>
  </si>
  <si>
    <r>
      <rPr>
        <sz val="11"/>
        <color rgb="FFFF0000"/>
        <rFont val="Calibri"/>
        <family val="2"/>
        <scheme val="minor"/>
      </rPr>
      <t xml:space="preserve">     </t>
    </r>
    <r>
      <rPr>
        <sz val="11"/>
        <color theme="1"/>
        <rFont val="Calibri"/>
        <family val="2"/>
        <scheme val="minor"/>
      </rPr>
      <t>Establecer programas de formación permanentes, los cuales permitirán disponer de un personal con mayor nivel de cualificación para desempeñar las actividades comprendidas en el Sistema de gestión.</t>
    </r>
  </si>
  <si>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</si>
  <si>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</si>
  <si>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</si>
  <si>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</si>
  <si>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Expandir y consolidar la relacion con proveedores buscando nuevas opciones en el mercado, diseñando herramientas y concertando acuerdos para adquirir beneficio mutuo.</t>
  </si>
  <si>
    <t>Calificación (&gt;95)</t>
  </si>
  <si>
    <t>Responsable: Jefe De Almacén</t>
  </si>
  <si>
    <t>PAGINA: 8 DE 8</t>
  </si>
  <si>
    <t>PAGINA: 7 DE 8</t>
  </si>
  <si>
    <t>PAGINA: 6 DE 8</t>
  </si>
  <si>
    <t>PAGINA: 5 DE 8</t>
  </si>
  <si>
    <t>PAGINA: 4 DE 8</t>
  </si>
  <si>
    <t>PAGINA: 3 DE 8</t>
  </si>
  <si>
    <t>PAGINA: 2 DE 8</t>
  </si>
  <si>
    <t>PAGINA: 1 DE 8</t>
  </si>
  <si>
    <t>Total Ventas Mensual</t>
  </si>
  <si>
    <t>Total facturado mensual</t>
  </si>
  <si>
    <t>Total radicado</t>
  </si>
  <si>
    <t>% Cumplimiento Facturado</t>
  </si>
  <si>
    <t>% Cumplimiento Radicado</t>
  </si>
  <si>
    <t xml:space="preserve">Informes de Facturación </t>
  </si>
  <si>
    <t>Total ventas/ Total Facturado</t>
  </si>
  <si>
    <t>Total Facturado/ Total Radicado</t>
  </si>
  <si>
    <t>Contabilidad Facturación</t>
  </si>
  <si>
    <t xml:space="preserve">% Cumplimiento de Facturación y Radicado
</t>
  </si>
  <si>
    <t>Total ventas/ Total Facturado                                                        Total Facturado/ Total Radicado</t>
  </si>
  <si>
    <t>Evaluaciones de Seguimiento</t>
  </si>
  <si>
    <t>Semestral</t>
  </si>
  <si>
    <t>Almacén, Asistencia Técnica</t>
  </si>
  <si>
    <t>Reportes de Tecnivigilancia</t>
  </si>
  <si>
    <t>No. De Reportes presentados/ No. De Reportes Notificacos al INVIMA</t>
  </si>
  <si>
    <t>Formato de Eventos o Incidentes Adversos</t>
  </si>
  <si>
    <t>No. De Reportes presentados</t>
  </si>
  <si>
    <t>No. De Reportes Notificacos al INVIMA</t>
  </si>
  <si>
    <t>% de Cumplimiento (100%)</t>
  </si>
  <si>
    <t xml:space="preserve">Ventas - Cuentas por pagar - Gastos </t>
  </si>
  <si>
    <t>Ingresos</t>
  </si>
  <si>
    <t>Gastos</t>
  </si>
  <si>
    <t>Costo</t>
  </si>
  <si>
    <t>Utilidad (&gt;1,000,000,000)</t>
  </si>
  <si>
    <t>Utilidad Mensual</t>
  </si>
  <si>
    <t>CODIGO: FOR-GC-011</t>
  </si>
  <si>
    <t>Primer Semestre</t>
  </si>
  <si>
    <t>Segundo Semestre</t>
  </si>
  <si>
    <t>MATRIZ DE DESPLIEGUE DE POLÍTICA DE CALIDAD DE BIOSTEEL DE COLOMBIA</t>
  </si>
  <si>
    <t>Calificación (&gt;4.5)</t>
  </si>
  <si>
    <t>&gt;4.5</t>
  </si>
  <si>
    <t>N/A</t>
  </si>
  <si>
    <t xml:space="preserve">No. De Reportes Notificados al INVIMA / No. De Reportes Presentados * 100 </t>
  </si>
  <si>
    <t>ENERO</t>
  </si>
  <si>
    <t>FEBRERO</t>
  </si>
  <si>
    <t>MARZO</t>
  </si>
  <si>
    <t>ABRIL</t>
  </si>
  <si>
    <t>MAYO</t>
  </si>
  <si>
    <t>JUNIO</t>
  </si>
  <si>
    <t>JULIO</t>
  </si>
  <si>
    <t>AGOSTO</t>
  </si>
  <si>
    <t>SEPTIEMBRE</t>
  </si>
  <si>
    <t>OCTUBRE</t>
  </si>
  <si>
    <t>NOVIEMBRE</t>
  </si>
  <si>
    <t>DICIEMBRE</t>
  </si>
  <si>
    <t>Facturas Anuladas</t>
  </si>
  <si>
    <t>Facturas anuladas/ Facturas Generadas</t>
  </si>
  <si>
    <t>Cuadro de Control Facturas</t>
  </si>
  <si>
    <t>Facturas Glosadas por EPS/ Facturas Generadas a EPS</t>
  </si>
  <si>
    <t>&lt;5%</t>
  </si>
  <si>
    <t>% Facturas Anuladas</t>
  </si>
  <si>
    <t>% Facturas Glosadas por EPS</t>
  </si>
  <si>
    <t>Facturas Generadas</t>
  </si>
  <si>
    <t>% de Cumplimiento (&lt;5%)</t>
  </si>
  <si>
    <t>Facturas Glosadas/ Facturas Generadas a EPS</t>
  </si>
  <si>
    <t>Notificaciones de Glosas</t>
  </si>
  <si>
    <t>Facturas Glosadas</t>
  </si>
  <si>
    <t>% de Cumplimiento (&lt;30%)</t>
  </si>
  <si>
    <t>&lt;30%</t>
  </si>
  <si>
    <t>Reportes de Tecnovigilancia</t>
  </si>
  <si>
    <t>Responsable: Coordinador Logistico</t>
  </si>
  <si>
    <t>Responsable: Coordinador Logistico  y Coordinador Asistencial</t>
  </si>
  <si>
    <t>(No. De evaluaciones recibidas satisfactoriamente/ No. De muestras verificadas)</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</si>
  <si>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</si>
  <si>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Coordinador Logistico</t>
  </si>
  <si>
    <t>% de cumplimiento de radicado (&gt;95%)</t>
  </si>
  <si>
    <t>% de cumplimiento de facturación (&gt;90%)</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</si>
  <si>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</si>
  <si>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</si>
  <si>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</si>
  <si>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</si>
  <si>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</si>
  <si>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 xml:space="preserve">Atención a Quejas, Reclamos y/o Sugerencias  </t>
  </si>
  <si>
    <t>No. Quejas, reclamos o sugerencias recibidos = a No. De quejas y reclamos atendidos</t>
  </si>
  <si>
    <t>Formato de quejas, reclamos o sugerencias</t>
  </si>
  <si>
    <t xml:space="preserve"> </t>
  </si>
  <si>
    <t>OBJETIVO GENERAL</t>
  </si>
  <si>
    <t>OBJETIVO ESPECIFICO</t>
  </si>
  <si>
    <t>Evaluar el cumplimiento de entrega de las ordenes de compra de dispositivos medicos mediante el informe mensual de compra.</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</si>
  <si>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</si>
  <si>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</si>
  <si>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Verificar el cierre de los planes de Accion generados con el fin de comprobar la eficacia del sistema de Gestion de calidad.</t>
  </si>
  <si>
    <t xml:space="preserve">Verificar el cumplimiento del presupuesto,conocer la utilidad generada y comparar lo vendido con lo radicado con el fin de conocer el estado financiero de la Organización. </t>
  </si>
  <si>
    <t>Verificar el cumplimiento y eficacia  del plan de formacion por medio de la evaluacion de capacitacion, la cual nos permita disponer de un personal con mayor nivel de cualificacion para desempeñar las actividades comprometidas en el sistema de gestion.</t>
  </si>
  <si>
    <t>Analizar el cumpliento de nuestros proveedores a traves de un seguimiento mensual para determinar el desempeño con la empresa y consolidar la relacion con el proveedor, creando acuerdos para adquirir beneficios mutuos.</t>
  </si>
  <si>
    <t>Conocer el grado de aceptacion de nuestros clientes mediante la encuesta de satisfaccion con la finalidad de fortalecer las relaciones comerciales, brindandoles credibilidad en la comercializacion de nuestros productos y la prestacion de un buen servicio.</t>
  </si>
  <si>
    <t>Responsable:  Lider de Gestion Humana</t>
  </si>
  <si>
    <t xml:space="preserve">No. De ordenes de compra totales </t>
  </si>
  <si>
    <t>MESES</t>
  </si>
  <si>
    <t>ANALISIS DE INDICADORES</t>
  </si>
  <si>
    <t>Almacen
Coordinador Logistico</t>
  </si>
  <si>
    <t>Asistencia Tecnica
Coordinador Asistencial</t>
  </si>
  <si>
    <t>Tecnovigilancia
Coordinador Asistencial</t>
  </si>
  <si>
    <t>Sistema de Gestion de Calidad
Coordinador de Calidad</t>
  </si>
  <si>
    <t>Contabilidad
Lider de Contabilidad</t>
  </si>
  <si>
    <t>Facturación
Lider de Facturación</t>
  </si>
  <si>
    <t>Gestion Humana
Lider de Gestión Humana</t>
  </si>
  <si>
    <t>Evaluación de Cumplimiento Proveedores</t>
  </si>
  <si>
    <t>% Cotizaciones Aprobadas/facturadas</t>
  </si>
  <si>
    <t>Cotizaciones Generadas/ Cotizaciones Facturadas</t>
  </si>
  <si>
    <t xml:space="preserve">Cotizaciones Generadas </t>
  </si>
  <si>
    <t>Cotizaciones Facturadas</t>
  </si>
  <si>
    <t>Responsable: Líder de Contabilidad, Líder de Facturación y Coordinador Logistico</t>
  </si>
  <si>
    <t>En el mes de Enero del 2018 se cumplió el indicador de evaluación de cumplimiento de proveedores, debido a que  cumplieron con los parametros establecidos en la evaluación mensual,</t>
  </si>
  <si>
    <t>En el mes de Febrero del 2018 se cumplió el indicador de evaluación de cumplimiento de proveedores, debido a que  cumplieron con los parametros establecidos en la evaluación mensual,</t>
  </si>
  <si>
    <t>En el mes de Febrero de 2018 se cumplió con el indicador de compras debido a que los proveedores fueron oportunos en los tiempos de entrega.</t>
  </si>
  <si>
    <t>En el mes de Enero de 2018 se cumplió con el indicador de compras debido a que los proveedores fueron oportunos en los tiempos de entrega.</t>
  </si>
  <si>
    <t>En el mes de Enero de 2018 se cumplió con el indicador de cumplimiento de especificaciones tecnicas porque los dispositivos fueron recibidos en optimas condiciones.</t>
  </si>
  <si>
    <t>En el mes de Febrero de 2018 se cumplió con el indicador de cumplimiento de especificaciones tecnicas porque los dispositivos fueron recibidos en optimas condiciones.</t>
  </si>
  <si>
    <t>En el mes de enero no se genero, quejas, sugerencias o reclamos.</t>
  </si>
  <si>
    <t>En el mes de febrero no se ejecutaron, quejas, sugerencias o reclamos.</t>
  </si>
  <si>
    <t>En el mes de Enero del 2018 no se objetaron facturas por glosas.</t>
  </si>
  <si>
    <t>En el mes de Febrero del 2018 no se objetaron facturas por glosas.</t>
  </si>
  <si>
    <t>En el mes de Enero del 2018 se cumplio con el indicador de Anuladas ya que no hubo un alto nivel de error en las facturas Generadas</t>
  </si>
  <si>
    <t>En el mes de Febrero del 2018 se cumplio con el indicador de Anuladas ya que no hubo un alto nivel de error en las facturas Generadas</t>
  </si>
  <si>
    <t>En el mes de Enero del 2018 se cumplio con el indicador de lo facturado ya que lo vendido del mes en curso se facturo teniendo en cuenta los cortes de cierre. se cumplio el indicador de lo Radicado ya que quedaron tres relaciones radicadas con fecha del mes siguiente por parte de las Ips.</t>
  </si>
  <si>
    <t>En el mes de Febrero del 2018 se cumplio con el indicador de lo facturado ya que se facturo lo vendido del mes en curso y lo pendiente del mes anterior. se cumplio el indicador de lo Radicado ya que quedo una relacion radicada con fecha del mes siguiente por parte de las Ips.</t>
  </si>
  <si>
    <t>En el mes de Marzo del 2018 no se cumplio con el indicador de lo facturado ya que en el mes se  suspendieron labores 4 dias festivos religiosos. No se cumplio el indicador de lo Radicado ya que quedaron dos relaciones radicadas con fecha del mes siguiente por parte de las Ips.</t>
  </si>
  <si>
    <t>En el mes de Marzo del 2018 se cumplio con el indicador de Anuladas ya que no hubo un alto nivel de error en las facturas Generadas</t>
  </si>
  <si>
    <t>En el mes de marzo del 2018 no se objetaron facturas por glosas.</t>
  </si>
  <si>
    <t>En el mes de Enero de 2018 se cumplio el presupuesto porque  se recaudo lo esperado para este mes</t>
  </si>
  <si>
    <t>En el mes de Febrero de 2018 se cumplio el presupuesto porque  se recaudo lo esperado para este mes</t>
  </si>
  <si>
    <t>En el mes de Marzo de 2018 se cumplio el presupuesto porque  se recaudo lo esperado para este mes</t>
  </si>
  <si>
    <t>En el mes deEnero se cumplio con el indicador, ya que el servicio fue oportuno,, tanto por la asesoria quirurgica como por el material utilizado.</t>
  </si>
  <si>
    <t>En el mes de febrero  se alcanzaron los objetivos propuestos en nuestros indicadores , teniendo buen servicio, cumpliendo con buenas condiciones del material y prestando buenas asesorias quirurgicas.</t>
  </si>
  <si>
    <t>En el mes de marzo, se logro mantener el buen servicio, tannto en el material como en la prestacion de asesorias quirurgicas.</t>
  </si>
  <si>
    <t>En el mes de Marzo de 2018 se cumplió con el indicador de cumplimiento de especificaciones tecnicas porque los dispositivos fueron recibidos en optimas condiciones.</t>
  </si>
  <si>
    <t>En el mes de Marzo del 2018 se cumplió el indicador de evaluación de cumplimiento de proveedores, debido a que  cumplieron con los parametros establecidos en la evaluación mensual,</t>
  </si>
  <si>
    <t>En el mes de Abril del 2018 se cumplió el indicador de evaluación de cumplimiento de proveedores, debido a que  cumplieron con los parametros establecidos en la evaluación mensual,</t>
  </si>
  <si>
    <t>En el mes de Marzo de 2018 se cumplió con el indicador de compras debido a que los proveedores fueron oportunos en los tiempos de entrega.</t>
  </si>
  <si>
    <t>En el mes de Abril de 2018 se cumplió con el indicador de compras debido a que los proveedores fueron oportunos en los tiempos de entrega.</t>
  </si>
  <si>
    <t>En el mes de Abril del 2018 se cumplio con el indicador de lo facturado ya que se facturo lo vendido del mes en curso y lo pendiente del mes anterior. se cumplio el indicador de lo Radicado ya que quedaron dos relacion radicada con fecha del mes siguiente por parte de la Ips Baru.</t>
  </si>
  <si>
    <t>En el mes de Abril del 2018 se cumplio con el indicador de Anuladas ya que no hubo un alto nivel de error en las facturas Generadas</t>
  </si>
  <si>
    <t>En el mes de Abril del 2018 no se objetaron facturas por glosas.</t>
  </si>
  <si>
    <t>Habilidad Soporte Técnico (&gt;4.5)</t>
  </si>
  <si>
    <t>Condiciones del Material Utilizado (&gt;4.5)</t>
  </si>
  <si>
    <t>Cumplimiento del servicio (&gt;4.5)</t>
  </si>
  <si>
    <t>En el mes de Abril de 2018 se cumplió con el indicador de cumplimiento de especificaciones tecnicas porque los dispositivos fueron recibidos en optimas condiciones.</t>
  </si>
  <si>
    <t>En el mes de Abril se cumplio con el indicador, ya que el servicio fue oportuno,, tanto por la asesoria quirurgica como por el material utilizado.</t>
  </si>
  <si>
    <t>En el mes de mayo se cumplio con el indicador, ya que el servicio fue oportuno,, tanto por la asesoria quirurgica como por el material utilizado.</t>
  </si>
  <si>
    <t>En el mes de abril, no se recepciono quejas reclamos o sugerencias.</t>
  </si>
  <si>
    <t>En el mes de mayo,  se recepciono una quejas , la cual se le dio respuesta oportuna se le hizo el reporte al proveedor y  se tomaron acciones pertinentes.</t>
  </si>
  <si>
    <t>En el mes de Enero del 2018 se cumplio el indicador de utilidad porque las ventas superaron las expectativas.</t>
  </si>
  <si>
    <t>En el mes de Febrero del 2018 se cumplio el indicador de utilidad porque las ventas superaron las expectativas.</t>
  </si>
  <si>
    <t>En el mes de Marzo del 2018 se cumplio el indicador de utilidad porque las ventas superaron las expectativas.</t>
  </si>
  <si>
    <t>En el mes de Abril del 2018 se cumplio el indicador de utilidad porque las ventas superaron las expectativas.</t>
  </si>
  <si>
    <t>En el mes de Mayo del 2018 se cumplio el indicador de utilidad porque las ventas superaron las expectativas.</t>
  </si>
  <si>
    <t>En el mes de Abril de 2018 se cumplio el presupuesto porque  se recaudo lo esperado para este mes</t>
  </si>
  <si>
    <t>En el mes de Mayo de 2018 se cumplio el presupuesto porque  se recaudo lo esperado para este mes</t>
  </si>
  <si>
    <t>% de Cotizaciones facturadas (&gt;70%)</t>
  </si>
  <si>
    <t>En el mes de Mayo del 2018 se cumplio con el indicador de Anuladas ya que no hubo un alto nivel de error en las facturas Generadas</t>
  </si>
  <si>
    <t>En el mes de Mayo del 2018 no se objetaron facturas por glosas.</t>
  </si>
  <si>
    <t>En el mes de Mayo del 2018 se cumplio con el indicador de lo facturado ya que se facturo lo vendido del mes en curso y lo pendiente del mes anterior. se cumplio el indicador de lo Radicado ya que quedaron en Abril dos relaciones radicadas de Baru con fecha del mes de Mayo.</t>
  </si>
  <si>
    <t>En el mes de Junio del 2018 se cumplio con el indicador de lo facturado ya que se facturo lo vendido del mes en curso y lo pendiente del mes anterior. se cumplio el indicador de lo Radicado ya que quedo en Mayo una relacion radicada de Odontotrans con fecha del mes de Junio.</t>
  </si>
  <si>
    <t>En el mes de Julio del 2018 se cumplio con el indicador de lo facturado ya que se facturo lo vendido del mes en curso y lo pendiente del mes anterior. se cumplio el indicador de lo Radicado ya que quedo en Junio dos relaciones radicadas de Trauma Oriente con fecha del mes de Julio.</t>
  </si>
  <si>
    <t>En el mes de Junio del 2018 se cumplio con el indicador de Anuladas ya que no hubo un alto nivel de error en las facturas Generadas</t>
  </si>
  <si>
    <t>En el mes de Junio del 2018 no se objetaron facturas por glosas.</t>
  </si>
  <si>
    <t>En el mes de Julio del 2018 se cumplio con el indicador de Anuladas ya que no hubo un alto nivel de error en las facturas Generadas</t>
  </si>
  <si>
    <t>En el mes de Julio del 2018 no se objetaron facturas por glosas.</t>
  </si>
  <si>
    <t>En el mes de Septiembre de 2018 se cumplió con el indicador de compras debido a que los proveedores fueron oportunos en los tiempos de entrega.</t>
  </si>
  <si>
    <t>En el mes de Agosto de 2018 se cumplió con el indicador de compras debido a que los proveedores fueron oportunos en los tiempos de entrega.</t>
  </si>
  <si>
    <t>En el mes de Junio  de 2018 se cumplió con el indicador de compras debido a que los proveedores fueron oportunos en los tiempos de entrega.</t>
  </si>
  <si>
    <t>En el mes de Julio de 2018 se cumplió con el indicador de compras debido a que los proveedores fueron oportunos en los tiempos de entrega.</t>
  </si>
  <si>
    <t>En el mes de Mayo de 2018 se cumplió con el indicador de cumplimiento de especificaciones tecnicas porque los dispositivos fueron recibidos en optimas condiciones.</t>
  </si>
  <si>
    <t>En el mes de Junio de 2018 se cumplió con el indicador de cumplimiento de especificaciones tecnicas porque los dispositivos fueron recibidos en optimas condiciones.</t>
  </si>
  <si>
    <t>En el mes de Julio de 2018 se cumplió con el indicador de cumplimiento de especificaciones tecnicas porque los dispositivos fueron recibidos en optimas condiciones.</t>
  </si>
  <si>
    <t>En el mes de Agosto de 2018 se cumplió con el indicador de cumplimiento de especificaciones tecnicas porque los dispositivos fueron recibidos en optimas condiciones.</t>
  </si>
  <si>
    <t>En el mes de Septiembre de 2018 se cumplió con el indicador de cumplimiento de especificaciones tecnicas porque los dispositivos fueron recibidos en optimas condiciones.</t>
  </si>
  <si>
    <t>En el mes de Mayo del 2018 se cumplió el indicador de evaluación de cumplimiento de proveedores, debido a que  cumplieron con los parametros establecidos en la evaluación mensual,</t>
  </si>
  <si>
    <t>En el mes de Junio del 2018 se cumplió el indicador de evaluación de cumplimiento de proveedores, debido a que  cumplieron con los parametros establecidos en la evaluación mensual,</t>
  </si>
  <si>
    <t>En el mes de Julio del 2018 se cumplió el indicador de evaluación de cumplimiento de proveedores, debido a que  cumplieron con los parametros establecidos en la evaluación mensual,</t>
  </si>
  <si>
    <t>En el mes de Agosto del 2018 se cumplió el indicador de evaluación de cumplimiento de proveedores, debido a que  cumplieron con los parametros establecidos en la evaluación mensual,</t>
  </si>
  <si>
    <t>En el mes de Septiembre del 2018 se cumplió el indicador de evaluación de cumplimiento de proveedores, debido a que  cumplieron con los parametros establecidos en la evaluación mensual,</t>
  </si>
  <si>
    <t>En el mes de Agosto del 2018 se cumplio con el indicador de lo facturado ya que se facturo lo vendido del mes en curso y lo pendiente del mes anterior. No se cumplio el indicador de lo Radicado ya que quedaron nueve relaciones radicadas con fecha del mes siguiente por parte de las Ips.</t>
  </si>
  <si>
    <t>En el mes de Septiembre del 2018 se cumplio con el indicador de lo facturado ya que se facturo aproximadamente lo vendido del mes en curso. Se cumplio el indicador de lo Radicado ya que quedo en Agosto nueve relaciones radicada de cali con fecha del mes de Septiembre.</t>
  </si>
  <si>
    <t>En el mes de Septiembre del 2018 se cumplio con el indicador de Anuladas ya que no hubo un alto nivel de error en las facturas Generadas</t>
  </si>
  <si>
    <t>En el mes de Septiembre del 2018 no se objetaron facturas por glosas.</t>
  </si>
  <si>
    <t>En el mes de junio se cumplio el objetivo sin ningun tipo de inconvenientes</t>
  </si>
  <si>
    <t>En el mes deagosto  se alcanzaron los objetivos propuestos en nuestros indicadores , teniendo buen servicio, cumpliendo con buenas condiciones del material y prestando buenas asesorias quirurgicas.</t>
  </si>
  <si>
    <t>Indicador cumplido, cn un promedio de 4.7, manteniendo  un servicio optimo  y oportuno</t>
  </si>
  <si>
    <t>En el mes de juniol, no se recepciono quejas reclamos o sugerencias.</t>
  </si>
  <si>
    <t>En el mes de julio, no se recepciono quejas reclamos o sugerencias.</t>
  </si>
  <si>
    <t>En el mes de agosto se evidencio una queja por parte de un especialista(santa marta), a la que se le dio respuesta y accion correctiva a la falla presentada.</t>
  </si>
  <si>
    <t>En el mes de septiembre no se recepciono quejas reclamos o sugerencias.</t>
  </si>
  <si>
    <t>En el mes de octubre no se recepciono quejas reclamos o sugerencias.</t>
  </si>
  <si>
    <t>El indicador en el mes de septiembre fue alcanzado reiterando buen servicio con asesorias quirurgicas y  material en optimas condiciones</t>
  </si>
  <si>
    <t>En el mes de noviembre se cumplio el objetivo sin ningun tipo de inconvenientes</t>
  </si>
  <si>
    <t>En el mes de octubre se cumplio con el indicador, ya que el servicio fue oportuno,, tanto por la asesoria quirurgica como por el material utilizado.</t>
  </si>
  <si>
    <t>En el mes de noviembre se presento por parte de la ips de santa marta una sugerencia, la cual fue atendida oportunamente tomandola como referencia para mejorar nuestros procesos.</t>
  </si>
  <si>
    <t>En el mes de diciembre  se alcanzaron los objetivos propuestos en nuestros indicadores</t>
  </si>
  <si>
    <t>En el mes de diciembre no se recepciono quejas reclamos o sugerencias.</t>
  </si>
  <si>
    <t>En el mes de Octubre de 2018 se cumplió con el indicador de compras debido a que los proveedores fueron oportunos en los tiempos de entrega.</t>
  </si>
  <si>
    <t>En el mes de Noviembre de 2018 se cumplió con el indicador de compras debido a que los proveedores fueron oportunos en los tiempos de entrega.</t>
  </si>
  <si>
    <t>En el mes de Diciembre de 2018 se cumplió con el indicador de compras debido a que los proveedores fueron oportunos en los tiempos de entrega.</t>
  </si>
  <si>
    <t>En el mes de Octubre  de 2018 se cumplió con el indicador de cumplimiento de especificaciones tecnicas porque los dispositivos fueron recibidos en optimas condiciones.</t>
  </si>
  <si>
    <t>En el mes de Noviembre  de 2018 se cumplió con el indicador de cumplimiento de especificaciones tecnicas porque los dispositivos fueron recibidos en optimas condiciones.</t>
  </si>
  <si>
    <t>En el mes de Diciembre  de 2018 se cumplió con el indicador de cumplimiento de especificaciones tecnicas porque los dispositivos fueron recibidos en optimas condiciones.</t>
  </si>
  <si>
    <t>En el mes de Octubre del 2018 se cumplió el indicador de evaluación de cumplimiento de proveedores, debido a que  cumplieron con los parametros establecidos en la evaluación mensual,</t>
  </si>
  <si>
    <t>En el mes de Noviembre del 2018 se cumplió el indicador de evaluación de cumplimiento de proveedores, debido a que  cumplieron con los parametros establecidos en la evaluación mensual,</t>
  </si>
  <si>
    <t>En el mes de Diciembre del 2018 se cumplió el indicador de evaluación de cumplimiento de proveedores, debido a que  cumplieron con los parametros establecidos en la evaluación mensual,</t>
  </si>
  <si>
    <t>En el mes de Junio de 2018 se cumplio el presupuesto porque  se recaudo lo esperado para este mes</t>
  </si>
  <si>
    <t>En el mes de Junio del 2018 se cumplio el indicador de utilidad porque las ventas superaron las expectativas.</t>
  </si>
  <si>
    <t>En el mes de Julio de 2018 se cumplio el presupuesto porque  se recaudo lo esperado para este mes</t>
  </si>
  <si>
    <t>En el mes de Julio del 2018 se cumplio el indicador de utilidad porque las ventas superaron las expectativas.</t>
  </si>
  <si>
    <t>En el mes de Agosto de 2018 se cumplio el presupuesto porque  se recaudo lo esperado para este mes</t>
  </si>
  <si>
    <t>En el mes de Agostoo del 2018 se cumplio el indicador de utilidad porque las ventas superaron las expectativas.</t>
  </si>
  <si>
    <t>En el mes de Septiembre de 2018 se cumplio el presupuesto porque  se recaudo lo esperado para este mes</t>
  </si>
  <si>
    <t>En el mes de Septiembre del 2018 se cumplio el indicador de utilidad porque las ventas superaron las expectativas.</t>
  </si>
  <si>
    <t>En el mes de Octubre de 2018 se cumplio el presupuesto porque  se recaudo lo esperado para este mes</t>
  </si>
  <si>
    <t>En el mes de Octubre del 2018 se cumplio el indicador de utilidad porque las ventas superaron las expectativas.</t>
  </si>
  <si>
    <t>En el mes de Noviembre de 2018 se cumplio el presupuesto porque  se recaudo lo esperado para este mes</t>
  </si>
  <si>
    <t>En el mes de Noviembre del 2018 se cumplio el indicador de utilidad porque las ventas superaron las expectativas.</t>
  </si>
  <si>
    <t>En el mes de Diciembre de 2018 se cumplio el presupuesto porque  se recaudo lo esperado para este mes</t>
  </si>
  <si>
    <t>En el mes de Diciembre del 2018 se cumplio el indicador de utilidad porque las ventas superaron las expectativas.</t>
  </si>
  <si>
    <t xml:space="preserve"> % de incumplimiento de tiempos de entrega de dispositivos médicos</t>
  </si>
  <si>
    <t>Número de DM especiales solicitados/ cumplimiento de tiempos de entrega  de DM especiales</t>
  </si>
  <si>
    <t>Número de DME solicitados</t>
  </si>
  <si>
    <t>Cumplimiento de tiempos de entrega de DME</t>
  </si>
  <si>
    <t>En el mes de Mayo de 2018 se cumplió con el indicador de compras debido a que los proveedores fueron oportunos en los tiempos de entrega.</t>
  </si>
  <si>
    <t>En el mes de marzo recibimos dos queja y una sugerencia por parte de dos especialista, los cuales se hizo su respectiva accion correctiva para mantener el buen servicio que se ha presentado en meses anteriores.</t>
  </si>
  <si>
    <t>Responsable: Coordinador Asistencial - coordinador de Calidad</t>
  </si>
  <si>
    <t xml:space="preserve">% Incumplimiento de tiempos de entrega de dispositivos médicos especiales
</t>
  </si>
  <si>
    <t>% Incumplimiento de disponibilidad de DME
&gt;90%</t>
  </si>
  <si>
    <t>TOTAL</t>
  </si>
  <si>
    <t>%</t>
  </si>
  <si>
    <t>TOTALES</t>
  </si>
  <si>
    <t>En el primer trimestre que comprende 1 de enero a 30 de marzo de 2018 no  se presentaron incidentes o eventos adversos relacionados con los dispositivos medicos comercializados por BioSteel de Colombia S.A. debido a la adquisicion de dispositivos y equipos medicos de alta calidad</t>
  </si>
  <si>
    <t>En el segundo trimestre que comprende 1 de abril a 30 de junio de 2018 no  se presentaron incidentes o eventos adversos relacionados con los dispositivos medicos comercializados por BioSteel de Colombia S.A. debido a la adquisicion de dispositivos y equipos medicos de alta calidad</t>
  </si>
  <si>
    <t>En el tercer  trimestre que comprende 1 de  Julio  a 30 de Septiembre  de 2018 no  se presentaron incidentes o eventos adversos relacionados con los dispositivos medicos comercializados por BioSteel de Colombia S.A. debido a la adquisicion de dispositivos y equipos medicos de alta calidad</t>
  </si>
  <si>
    <t>En el cuarto trimestre que comprende 1 de  Octubre   a 31 de Diciembre  de 2018 no  se presentaron incidentes o eventos adversos relacionados con los dispositivos medicos comercializados por BioSteel de Colombia S.A. debido a la adquisicion de dispositivos y equipos medicos de alta calidad</t>
  </si>
  <si>
    <t>En este trimestre que comprende Enero- Marzo 2018, el indicador se cumplio ya que se cerraron los planes de accion abordados para corregir las no conformidades presentadas en auditorias internas, externas y comites de calidad</t>
  </si>
  <si>
    <t>En este trimestre que comprende abril- junio 2018, el indicador se cumplio ya que se cerraron los planes de accion abordados para corregir las no conformidades presentadas en auditorias internas, externas y comites de calidad</t>
  </si>
  <si>
    <t>En este trimestre que comprende julio - septiembre  2018, el indicador se cumplio ya que se cerraron los planes de accion abordados para corregir las no conformidades presentadas en auditorias internas, externas y comites de calidad</t>
  </si>
  <si>
    <t>En este trimestre que comprende octubre  - diciembre  2018,no se presetaron acciones correctivas, ni planes de accion ya que se estaba trabajando en  en el segumiento a los planes de accion de la auditoria de actualizacion y recertificacion.</t>
  </si>
  <si>
    <t>En este mes el indicador se cumplio debido las alianzas con nuestros proveedores para capacitar a nuestro personal tecnico con las nuevas tecnicas  en los nuevos materiales adicionados a nuestro portafolio de productos.</t>
  </si>
  <si>
    <t>En este mes el indicador de ejecucion de l programa de capacitacion se cumplio debido a  nuevos temas como lo fueron la facturacion electronica, reinduccion en el  proceso de calidad de la organización y las constantes capacitaciones con nuestros proveedores.</t>
  </si>
  <si>
    <t>El cumplimiento de este indicador en el mes de marzo se debio a  la negociacion con gente estrategica los cuales nos ayudaron a realizar una serie de capacitaciones de motivacion  y gerencia personal</t>
  </si>
  <si>
    <t>Este indicador alcanzo su meta  al mantenerse en 86 % , este logro se debio al enfoque al area de seguridad y salud en el trabajo, aprovechando los convenios que el grupo empresarial campbell tiene con entidades educativas como el sena , universidades y corporaciones tecnica/tecnologicas..</t>
  </si>
  <si>
    <t>Debido a la situación economica por la que viene atravesando al organización, en este mes solo se pudo planear y ejecutar una capacitación la cual fue proporcionada por la camara de comercio de barranquilla  a traves de los privilegios que tenemos como afiliados. el indicador se cumplió.</t>
  </si>
  <si>
    <t>En este mes el indicador se cumplio pese a el estado economico que estamos presentando, lo cumplimos por medio del apoyo de la camara de comercio de barranquilla.</t>
  </si>
  <si>
    <t>En este mes el indicador se cumplio pese a el estado economico que estamos presentando, lo cumplimos por medio del apoyo de nuestros aliados, los proveedores.</t>
  </si>
  <si>
    <t>En este mes el indicador se cumplio pese a el estado economico que estamos presentando, lo cumplimos por medio del apoyo de la camara de comercio de barranquilla y a los convenios de entidades educativas a traves de sus practicantes.</t>
  </si>
  <si>
    <t>100% /1.000.000.000</t>
  </si>
  <si>
    <t xml:space="preserve">En el mes de Julio de 2018 se cumplió con el indicador de incumplimiento de disponibilidad de Dispositivos Medicos debido a que se cumplio con las fechas y tiempos de entregas de lo solicitado. </t>
  </si>
  <si>
    <t xml:space="preserve">En el mes de Agsosto 2018 se cumplió con el indicador de incumplimiento de disponibilidad de Dispositivos Medicos debido a que se cumplio con las fechas y tiempos de entregas de lo solicitado. </t>
  </si>
  <si>
    <t xml:space="preserve">En el mes de Septiembre de 2018 se cumplió con el indicador de incumplimiento de disponibilidad de Dispositivos Medicos debido a que se cumplio con las fechas y tiempos de entregas de lo solicitado. </t>
  </si>
  <si>
    <t xml:space="preserve">En el mes de Octubre de 2018 se cumplió con el indicador de incumplimiento de disponibilidad de Dispositivos Medicos debido a que se cumplio con las fechas y tiempos de entregas de lo solicitado. </t>
  </si>
  <si>
    <t xml:space="preserve">En el mes de Noviembre de 2018 se cumplió con el indicador de incumplimiento de disponibilidad de Dispositivos Medicos debido a que se cumplio con las fechas y tiempos de entregas de lo solicitado. </t>
  </si>
  <si>
    <t xml:space="preserve">En el mes de Diciembre de 2018 se cumplió con el indicador de incumplimiento de disponibilidad de Dispositivos Medicos debido a que se cumplio con las fechas y tiempos de entregas de lo solicitado. </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</si>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</sst>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 #,##0_ ;_ * \-#,##0_ ;_ * &quot;-&quot;_ ;_ @_ "/>
    <numFmt numFmtId="165" formatCode="_ &quot;$&quot;\ * #,##0.00_ ;_ &quot;$&quot;\ * \-#,##0.00_ ;_ &quot;$&quot;\ * &quot;-&quot;??_ ;_ @_ "/>
    <numFmt numFmtId="166" formatCode="_ * #,##0.00_ ;_ * \-#,##0.00_ ;_ * &quot;-&quot;??_ ;_ @_ "/>
    <numFmt numFmtId="167" formatCode="0.0"/>
    <numFmt numFmtId="168" formatCode="_ * #,##0_ ;_ * \-#,##0_ ;_ * &quot;-&quot;??_ ;_ @_ "/>
    <numFmt numFmtId="169" formatCode="_-* #,##0.00\ _$_-;\-* #,##0.00\ _$_-;_-* &quot;-&quot;??\ _$_-;_-@_-"/>
  </numFmts>
  <fonts count="32">
    <font>
      <sz val="11"/>
      <color theme="1"/>
      <name val="Calibri"/>
      <family val="2"/>
      <scheme val="minor"/>
    </font>
    <font>
      <sz val="12"/>
      <color theme="1"/>
      <name val="Tahoma"/>
      <family val="2"/>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8"/>
      <color theme="1"/>
      <name val="Calibri"/>
      <family val="2"/>
      <scheme val="minor"/>
    </font>
    <font>
      <b/>
      <sz val="11"/>
      <color theme="1"/>
      <name val="Calibri"/>
      <family val="2"/>
      <scheme val="minor"/>
    </font>
    <font>
      <sz val="12"/>
      <color theme="1"/>
      <name val="Calibri"/>
      <family val="2"/>
      <scheme val="minor"/>
    </font>
    <font>
      <sz val="10"/>
      <name val="Calibri"/>
      <family val="2"/>
      <scheme val="minor"/>
    </font>
    <font>
      <b/>
      <sz val="18"/>
      <color theme="3"/>
      <name val="Cambria"/>
      <family val="2"/>
      <scheme val="major"/>
    </font>
    <font>
      <sz val="10"/>
      <name val="Verdana   "/>
    </font>
    <font>
      <sz val="10"/>
      <name val="Verdana"/>
      <family val="2"/>
    </font>
    <font>
      <sz val="10"/>
      <color indexed="8"/>
      <name val="MS Sans Serif"/>
      <family val="2"/>
    </font>
    <font>
      <sz val="11"/>
      <color theme="0"/>
      <name val="Calibri"/>
      <family val="2"/>
      <scheme val="minor"/>
    </font>
    <font>
      <sz val="11"/>
      <color rgb="FF006100"/>
      <name val="Calibri"/>
      <family val="2"/>
      <scheme val="minor"/>
    </font>
    <font>
      <b/>
      <sz val="11"/>
      <color rgb="FFFA7D0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0"/>
      <name val="Calibri"/>
      <family val="2"/>
      <scheme val="minor"/>
    </font>
    <font>
      <sz val="10"/>
      <color indexed="8"/>
      <name val="MS Sans Serif"/>
      <family val="2"/>
    </font>
    <font>
      <b/>
      <sz val="15.95"/>
      <color indexed="8"/>
      <name val="Times New Roman"/>
      <family val="1"/>
    </font>
    <font>
      <sz val="8"/>
      <name val="Calibri"/>
      <family val="2"/>
      <scheme val="minor"/>
    </font>
    <font>
      <sz val="8"/>
      <color theme="1"/>
      <name val="Calibri"/>
      <family val="2"/>
      <scheme val="minor"/>
    </font>
    <font>
      <b/>
      <sz val="48"/>
      <color theme="0"/>
      <name val="Calibri"/>
      <family val="2"/>
      <scheme val="minor"/>
    </font>
  </fonts>
  <fills count="37">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05">
    <xf numFmtId="0" fontId="0" fillId="0" borderId="0"/>
    <xf numFmtId="9"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0" fontId="10" fillId="0" borderId="0" applyNumberFormat="0" applyFill="0" applyBorder="0" applyAlignment="0" applyProtection="0"/>
    <xf numFmtId="0" fontId="1" fillId="0" borderId="0"/>
    <xf numFmtId="0" fontId="2" fillId="0" borderId="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13" fillId="0" borderId="0"/>
    <xf numFmtId="0" fontId="11" fillId="0" borderId="0"/>
    <xf numFmtId="0" fontId="11" fillId="0" borderId="0"/>
    <xf numFmtId="0" fontId="11" fillId="0" borderId="0"/>
    <xf numFmtId="0" fontId="13" fillId="0" borderId="0"/>
    <xf numFmtId="0" fontId="13" fillId="0" borderId="0"/>
    <xf numFmtId="0" fontId="11" fillId="0" borderId="0"/>
    <xf numFmtId="0" fontId="13" fillId="0" borderId="0"/>
    <xf numFmtId="0" fontId="13" fillId="0" borderId="0"/>
    <xf numFmtId="0" fontId="2" fillId="0" borderId="0"/>
    <xf numFmtId="0" fontId="11" fillId="0" borderId="0"/>
    <xf numFmtId="0" fontId="11" fillId="0" borderId="0"/>
    <xf numFmtId="0" fontId="11" fillId="0" borderId="0"/>
    <xf numFmtId="0" fontId="13" fillId="0" borderId="0"/>
    <xf numFmtId="0" fontId="12" fillId="0" borderId="0"/>
    <xf numFmtId="0" fontId="12" fillId="0" borderId="0"/>
    <xf numFmtId="0" fontId="13" fillId="0" borderId="0"/>
    <xf numFmtId="0" fontId="2" fillId="0" borderId="0"/>
    <xf numFmtId="0" fontId="2" fillId="0" borderId="0"/>
    <xf numFmtId="0" fontId="1" fillId="0" borderId="0"/>
    <xf numFmtId="0" fontId="13" fillId="0" borderId="0"/>
    <xf numFmtId="0" fontId="2" fillId="0" borderId="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27" fillId="0" borderId="0"/>
    <xf numFmtId="169" fontId="28" fillId="0" borderId="0" applyFont="0" applyFill="0" applyBorder="0" applyAlignment="0" applyProtection="0"/>
    <xf numFmtId="0" fontId="13" fillId="0" borderId="0"/>
  </cellStyleXfs>
  <cellXfs count="242">
    <xf numFmtId="0" fontId="0" fillId="0" borderId="0" xfId="0"/>
    <xf numFmtId="0" fontId="0" fillId="0" borderId="0" xfId="0" applyFont="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2" xfId="0" applyFont="1" applyFill="1" applyBorder="1" applyAlignment="1">
      <alignment horizontal="center" vertical="center"/>
    </xf>
    <xf numFmtId="9" fontId="0" fillId="0" borderId="0" xfId="1" applyFont="1"/>
    <xf numFmtId="0" fontId="3" fillId="2" borderId="10" xfId="0" applyFont="1" applyFill="1" applyBorder="1" applyAlignment="1">
      <alignment horizontal="center" vertical="center"/>
    </xf>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xf>
    <xf numFmtId="9" fontId="5" fillId="3" borderId="12" xfId="0" applyNumberFormat="1" applyFont="1" applyFill="1" applyBorder="1" applyAlignment="1">
      <alignment horizontal="center" vertical="center"/>
    </xf>
    <xf numFmtId="167" fontId="5" fillId="3" borderId="12" xfId="0" applyNumberFormat="1" applyFont="1" applyFill="1" applyBorder="1" applyAlignment="1">
      <alignment horizontal="center" vertical="center"/>
    </xf>
    <xf numFmtId="0" fontId="0" fillId="3" borderId="10" xfId="0" applyFont="1" applyFill="1" applyBorder="1" applyAlignment="1">
      <alignment horizontal="center" vertical="center" wrapText="1"/>
    </xf>
    <xf numFmtId="0" fontId="0" fillId="3" borderId="0" xfId="0" applyFont="1" applyFill="1" applyAlignment="1">
      <alignment horizontal="center" vertical="center" wrapText="1"/>
    </xf>
    <xf numFmtId="0" fontId="0" fillId="3" borderId="12" xfId="0" applyFont="1" applyFill="1" applyBorder="1" applyAlignment="1">
      <alignment horizontal="center" vertical="center" wrapText="1"/>
    </xf>
    <xf numFmtId="0" fontId="0" fillId="0" borderId="4" xfId="0" applyBorder="1"/>
    <xf numFmtId="0" fontId="0" fillId="0" borderId="6" xfId="0" applyBorder="1"/>
    <xf numFmtId="0" fontId="0" fillId="0" borderId="12" xfId="0" applyBorder="1"/>
    <xf numFmtId="0" fontId="0" fillId="4" borderId="12" xfId="0" applyFill="1" applyBorder="1"/>
    <xf numFmtId="9" fontId="0" fillId="0" borderId="12" xfId="1" applyFont="1" applyBorder="1"/>
    <xf numFmtId="0" fontId="0" fillId="2" borderId="0" xfId="0" applyFill="1" applyBorder="1" applyAlignment="1">
      <alignment vertical="center"/>
    </xf>
    <xf numFmtId="0" fontId="0" fillId="2" borderId="0" xfId="0" applyFill="1" applyBorder="1" applyAlignment="1">
      <alignment horizontal="left" wrapText="1"/>
    </xf>
    <xf numFmtId="0" fontId="0" fillId="2" borderId="0" xfId="0" applyFill="1"/>
    <xf numFmtId="0" fontId="0" fillId="4" borderId="13" xfId="0" applyFill="1" applyBorder="1"/>
    <xf numFmtId="0" fontId="0" fillId="0" borderId="0" xfId="0" applyBorder="1"/>
    <xf numFmtId="0" fontId="7" fillId="0" borderId="12" xfId="0" applyFont="1" applyBorder="1" applyAlignment="1">
      <alignment vertical="center"/>
    </xf>
    <xf numFmtId="0" fontId="8" fillId="0" borderId="0" xfId="0" applyFont="1" applyFill="1" applyBorder="1"/>
    <xf numFmtId="0" fontId="0" fillId="0" borderId="5" xfId="0" applyBorder="1"/>
    <xf numFmtId="0" fontId="8" fillId="0" borderId="4" xfId="0" applyFont="1" applyFill="1" applyBorder="1"/>
    <xf numFmtId="0" fontId="0" fillId="0" borderId="8" xfId="0" applyBorder="1"/>
    <xf numFmtId="0" fontId="0" fillId="0" borderId="7" xfId="0" applyBorder="1"/>
    <xf numFmtId="2" fontId="0" fillId="2" borderId="0" xfId="0" applyNumberFormat="1" applyFill="1" applyBorder="1" applyAlignment="1">
      <alignment horizontal="left" wrapText="1"/>
    </xf>
    <xf numFmtId="2" fontId="3" fillId="2" borderId="12" xfId="0" applyNumberFormat="1" applyFont="1" applyFill="1" applyBorder="1" applyAlignment="1">
      <alignment horizontal="center" vertical="center" wrapText="1"/>
    </xf>
    <xf numFmtId="2" fontId="0" fillId="0" borderId="0" xfId="0" applyNumberFormat="1" applyBorder="1"/>
    <xf numFmtId="2" fontId="0" fillId="0" borderId="8" xfId="0" applyNumberFormat="1" applyBorder="1"/>
    <xf numFmtId="2" fontId="0" fillId="0" borderId="0" xfId="0" applyNumberFormat="1"/>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9" fontId="0" fillId="0" borderId="12" xfId="1" applyFont="1" applyBorder="1" applyAlignment="1">
      <alignment horizontal="center"/>
    </xf>
    <xf numFmtId="9" fontId="0" fillId="0" borderId="0" xfId="1" applyFont="1" applyBorder="1" applyAlignment="1">
      <alignment horizontal="center"/>
    </xf>
    <xf numFmtId="0" fontId="0" fillId="0" borderId="4" xfId="0" applyFill="1" applyBorder="1"/>
    <xf numFmtId="165" fontId="0" fillId="0" borderId="0" xfId="2" applyFont="1" applyFill="1" applyBorder="1" applyAlignment="1">
      <alignment horizontal="right" vertical="center" wrapText="1"/>
    </xf>
    <xf numFmtId="9" fontId="7" fillId="0" borderId="0" xfId="1" applyFont="1" applyFill="1" applyBorder="1" applyAlignment="1">
      <alignment horizontal="center" vertical="center"/>
    </xf>
    <xf numFmtId="3" fontId="7" fillId="0" borderId="0" xfId="1" applyNumberFormat="1" applyFont="1" applyFill="1" applyBorder="1" applyAlignment="1">
      <alignment horizontal="center" vertical="center"/>
    </xf>
    <xf numFmtId="0" fontId="7" fillId="0" borderId="13" xfId="0" applyFont="1" applyBorder="1" applyAlignment="1">
      <alignment vertical="center"/>
    </xf>
    <xf numFmtId="164" fontId="0" fillId="0" borderId="12" xfId="2" applyNumberFormat="1" applyFont="1" applyFill="1" applyBorder="1" applyAlignment="1">
      <alignment horizontal="right" vertical="center" wrapText="1"/>
    </xf>
    <xf numFmtId="9" fontId="0" fillId="3" borderId="12" xfId="0" applyNumberFormat="1" applyFont="1" applyFill="1" applyBorder="1" applyAlignment="1">
      <alignment horizontal="center" vertical="center"/>
    </xf>
    <xf numFmtId="0" fontId="5" fillId="3" borderId="12" xfId="0" applyFont="1" applyFill="1" applyBorder="1" applyAlignment="1">
      <alignment horizontal="center" vertical="center" wrapText="1"/>
    </xf>
    <xf numFmtId="167" fontId="0" fillId="0" borderId="12" xfId="0" applyNumberFormat="1" applyBorder="1"/>
    <xf numFmtId="1" fontId="0" fillId="0" borderId="12" xfId="0" applyNumberFormat="1" applyBorder="1" applyAlignment="1">
      <alignment horizontal="center"/>
    </xf>
    <xf numFmtId="1" fontId="0" fillId="0" borderId="0" xfId="0" applyNumberFormat="1" applyBorder="1" applyAlignment="1">
      <alignment horizontal="center"/>
    </xf>
    <xf numFmtId="9" fontId="0" fillId="0" borderId="0" xfId="1" applyFont="1" applyBorder="1"/>
    <xf numFmtId="9" fontId="5" fillId="3" borderId="12" xfId="1" applyFont="1" applyFill="1" applyBorder="1" applyAlignment="1">
      <alignment horizontal="center" vertical="center"/>
    </xf>
    <xf numFmtId="0" fontId="0" fillId="3" borderId="12" xfId="0" applyFont="1" applyFill="1" applyBorder="1" applyAlignment="1">
      <alignment horizontal="center" vertical="center" wrapText="1"/>
    </xf>
    <xf numFmtId="168" fontId="0" fillId="0" borderId="12" xfId="3" applyNumberFormat="1" applyFont="1" applyBorder="1"/>
    <xf numFmtId="168" fontId="0" fillId="0" borderId="12" xfId="0" applyNumberFormat="1" applyBorder="1"/>
    <xf numFmtId="164" fontId="3" fillId="2" borderId="15" xfId="0" applyNumberFormat="1" applyFont="1" applyFill="1" applyBorder="1" applyAlignment="1">
      <alignment horizontal="center" vertical="center" wrapText="1"/>
    </xf>
    <xf numFmtId="0" fontId="5" fillId="3" borderId="0" xfId="0" applyFont="1" applyFill="1" applyAlignment="1">
      <alignment horizontal="center" vertical="center"/>
    </xf>
    <xf numFmtId="0" fontId="0" fillId="2" borderId="4" xfId="0" applyFill="1" applyBorder="1" applyAlignment="1">
      <alignment vertical="center"/>
    </xf>
    <xf numFmtId="0" fontId="0" fillId="2" borderId="0" xfId="0" applyFill="1" applyBorder="1"/>
    <xf numFmtId="0" fontId="0" fillId="2" borderId="5" xfId="0" applyFill="1" applyBorder="1"/>
    <xf numFmtId="165" fontId="0" fillId="0" borderId="0" xfId="0" applyNumberFormat="1"/>
    <xf numFmtId="164" fontId="0" fillId="0" borderId="0" xfId="0" applyNumberFormat="1" applyBorder="1" applyAlignment="1">
      <alignment horizontal="center" vertical="center" wrapText="1"/>
    </xf>
    <xf numFmtId="1" fontId="0" fillId="0" borderId="12" xfId="1" applyNumberFormat="1" applyFont="1" applyBorder="1" applyAlignment="1">
      <alignment horizontal="center"/>
    </xf>
    <xf numFmtId="0" fontId="3"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49" fontId="0" fillId="3" borderId="12" xfId="0" applyNumberFormat="1" applyFont="1" applyFill="1" applyBorder="1" applyAlignment="1">
      <alignment horizontal="center" vertical="center"/>
    </xf>
    <xf numFmtId="167" fontId="0" fillId="3" borderId="12" xfId="0" applyNumberFormat="1" applyFont="1" applyFill="1" applyBorder="1" applyAlignment="1">
      <alignment horizontal="center" vertical="center"/>
    </xf>
    <xf numFmtId="0" fontId="0" fillId="3" borderId="12" xfId="0" applyFill="1" applyBorder="1" applyAlignment="1">
      <alignment horizontal="center" vertical="center"/>
    </xf>
    <xf numFmtId="9" fontId="0" fillId="3" borderId="12" xfId="0" applyNumberFormat="1" applyFill="1" applyBorder="1" applyAlignment="1">
      <alignment horizontal="center" vertical="center"/>
    </xf>
    <xf numFmtId="1" fontId="0" fillId="3" borderId="12" xfId="0" applyNumberFormat="1" applyFont="1" applyFill="1" applyBorder="1" applyAlignment="1">
      <alignment horizontal="center" vertical="center"/>
    </xf>
    <xf numFmtId="167" fontId="0" fillId="3" borderId="12" xfId="2" applyNumberFormat="1" applyFont="1" applyFill="1" applyBorder="1" applyAlignment="1">
      <alignment horizontal="center" vertical="center"/>
    </xf>
    <xf numFmtId="0" fontId="8" fillId="0" borderId="6" xfId="0" applyFont="1" applyFill="1" applyBorder="1"/>
    <xf numFmtId="168" fontId="2" fillId="0" borderId="12" xfId="132" applyNumberFormat="1" applyFont="1" applyBorder="1" applyProtection="1">
      <protection locked="0"/>
    </xf>
    <xf numFmtId="168" fontId="26" fillId="0" borderId="12" xfId="132" applyNumberFormat="1" applyFont="1" applyBorder="1"/>
    <xf numFmtId="168" fontId="0" fillId="0" borderId="0" xfId="0" applyNumberFormat="1"/>
    <xf numFmtId="0" fontId="7" fillId="0" borderId="4" xfId="0" applyFont="1" applyBorder="1" applyAlignment="1">
      <alignment vertical="center"/>
    </xf>
    <xf numFmtId="0" fontId="7" fillId="0" borderId="0" xfId="0" applyFont="1" applyAlignment="1">
      <alignment vertical="center"/>
    </xf>
    <xf numFmtId="0" fontId="5" fillId="0" borderId="12" xfId="0" applyFont="1" applyFill="1" applyBorder="1" applyAlignment="1">
      <alignment vertical="center" wrapText="1"/>
    </xf>
    <xf numFmtId="0" fontId="29" fillId="0" borderId="12" xfId="0" applyFont="1" applyFill="1" applyBorder="1" applyAlignment="1">
      <alignment vertical="center" wrapText="1"/>
    </xf>
    <xf numFmtId="0" fontId="30" fillId="0" borderId="0" xfId="0" applyFont="1"/>
    <xf numFmtId="0" fontId="0" fillId="0" borderId="12" xfId="0" applyBorder="1" applyAlignment="1">
      <alignment horizontal="center" vertical="center"/>
    </xf>
    <xf numFmtId="0" fontId="0" fillId="0" borderId="0" xfId="0" applyAlignment="1">
      <alignment horizontal="center" vertical="center"/>
    </xf>
    <xf numFmtId="0" fontId="0" fillId="5" borderId="0" xfId="0" applyFill="1" applyBorder="1"/>
    <xf numFmtId="0" fontId="0" fillId="5" borderId="5" xfId="0" applyFill="1" applyBorder="1"/>
    <xf numFmtId="0" fontId="7" fillId="0" borderId="0" xfId="0" applyFont="1" applyBorder="1" applyAlignment="1">
      <alignment vertical="center"/>
    </xf>
    <xf numFmtId="0" fontId="7" fillId="0" borderId="1" xfId="0" applyFont="1" applyBorder="1" applyAlignment="1">
      <alignment vertical="center"/>
    </xf>
    <xf numFmtId="0" fontId="0" fillId="5" borderId="8" xfId="0" applyFill="1" applyBorder="1"/>
    <xf numFmtId="0" fontId="0" fillId="5" borderId="7" xfId="0" applyFill="1" applyBorder="1"/>
    <xf numFmtId="0" fontId="3" fillId="2" borderId="12" xfId="0" applyFont="1" applyFill="1" applyBorder="1" applyAlignment="1">
      <alignment vertical="center" wrapText="1"/>
    </xf>
    <xf numFmtId="0" fontId="3" fillId="2" borderId="12" xfId="0" applyFont="1" applyFill="1" applyBorder="1" applyAlignment="1">
      <alignment horizontal="center" vertical="center" textRotation="45" wrapText="1"/>
    </xf>
    <xf numFmtId="164" fontId="2" fillId="0" borderId="12" xfId="2" applyNumberFormat="1" applyFont="1" applyFill="1" applyBorder="1" applyAlignment="1">
      <alignment horizontal="center" vertical="center"/>
    </xf>
    <xf numFmtId="0" fontId="5" fillId="0" borderId="12" xfId="0" applyFont="1" applyFill="1" applyBorder="1" applyAlignment="1">
      <alignment horizontal="center" vertical="center" wrapText="1"/>
    </xf>
    <xf numFmtId="0" fontId="9" fillId="0" borderId="12" xfId="0" applyFont="1" applyFill="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168" fontId="26" fillId="0" borderId="12" xfId="132" applyNumberFormat="1" applyFont="1" applyFill="1" applyBorder="1"/>
    <xf numFmtId="0" fontId="0" fillId="0" borderId="12" xfId="0" applyFill="1" applyBorder="1"/>
    <xf numFmtId="0" fontId="9" fillId="0" borderId="12" xfId="0" applyFont="1" applyFill="1" applyBorder="1" applyAlignment="1">
      <alignment vertical="center" wrapText="1"/>
    </xf>
    <xf numFmtId="0" fontId="9" fillId="0" borderId="12" xfId="0" applyFont="1" applyFill="1" applyBorder="1" applyAlignment="1">
      <alignment vertical="center" wrapText="1"/>
    </xf>
    <xf numFmtId="0" fontId="0" fillId="0" borderId="12" xfId="0" applyFont="1" applyFill="1" applyBorder="1" applyAlignment="1">
      <alignment vertical="center" wrapText="1"/>
    </xf>
    <xf numFmtId="0" fontId="0" fillId="0" borderId="1" xfId="0" applyFont="1" applyFill="1" applyBorder="1" applyAlignment="1">
      <alignment horizontal="center" vertical="center" wrapText="1"/>
    </xf>
    <xf numFmtId="0" fontId="5" fillId="0" borderId="12" xfId="0" applyFont="1" applyFill="1" applyBorder="1" applyAlignment="1">
      <alignment vertical="center" wrapText="1"/>
    </xf>
    <xf numFmtId="0" fontId="9" fillId="0" borderId="12" xfId="0" applyFont="1" applyFill="1" applyBorder="1" applyAlignment="1">
      <alignment vertical="center" wrapText="1"/>
    </xf>
    <xf numFmtId="0" fontId="5" fillId="0" borderId="1" xfId="0" applyFont="1" applyFill="1" applyBorder="1" applyAlignment="1">
      <alignment horizontal="center" vertical="center" wrapText="1"/>
    </xf>
    <xf numFmtId="0" fontId="0" fillId="0" borderId="0" xfId="0" applyFill="1"/>
    <xf numFmtId="0" fontId="7" fillId="0" borderId="0" xfId="0" applyFont="1" applyFill="1"/>
    <xf numFmtId="167" fontId="0" fillId="0" borderId="0" xfId="0" applyNumberFormat="1"/>
    <xf numFmtId="0" fontId="3" fillId="2" borderId="15" xfId="0" applyFont="1" applyFill="1" applyBorder="1" applyAlignment="1">
      <alignment horizontal="center" vertical="center"/>
    </xf>
    <xf numFmtId="0" fontId="7" fillId="0" borderId="12" xfId="0" applyFont="1" applyBorder="1"/>
    <xf numFmtId="9" fontId="7" fillId="0" borderId="12" xfId="0" applyNumberFormat="1" applyFont="1" applyBorder="1"/>
    <xf numFmtId="168" fontId="0" fillId="0" borderId="0" xfId="0" applyNumberFormat="1" applyBorder="1"/>
    <xf numFmtId="168" fontId="14" fillId="0" borderId="0" xfId="3" applyNumberFormat="1" applyFont="1" applyBorder="1"/>
    <xf numFmtId="168" fontId="2" fillId="0" borderId="0" xfId="132" applyNumberFormat="1" applyFont="1" applyFill="1" applyBorder="1" applyProtection="1">
      <protection locked="0"/>
    </xf>
    <xf numFmtId="9" fontId="2" fillId="0" borderId="0" xfId="1" applyFont="1" applyFill="1" applyBorder="1" applyProtection="1">
      <protection locked="0"/>
    </xf>
    <xf numFmtId="9" fontId="0" fillId="3" borderId="12" xfId="1" applyFont="1" applyFill="1" applyBorder="1" applyAlignment="1">
      <alignment horizontal="center" vertical="center"/>
    </xf>
    <xf numFmtId="2" fontId="0" fillId="0" borderId="12" xfId="0" applyNumberFormat="1" applyBorder="1"/>
    <xf numFmtId="9" fontId="0" fillId="0" borderId="12" xfId="0" applyNumberFormat="1" applyBorder="1"/>
    <xf numFmtId="9" fontId="7" fillId="0" borderId="0" xfId="1" applyFont="1" applyBorder="1"/>
    <xf numFmtId="9" fontId="7" fillId="0" borderId="0" xfId="0" applyNumberFormat="1" applyFont="1" applyBorder="1"/>
    <xf numFmtId="1" fontId="0" fillId="3" borderId="12" xfId="0" applyNumberFormat="1" applyFill="1" applyBorder="1" applyAlignment="1">
      <alignment horizontal="center" vertical="center"/>
    </xf>
    <xf numFmtId="0" fontId="0" fillId="4" borderId="4" xfId="0" applyFill="1" applyBorder="1"/>
    <xf numFmtId="164" fontId="0" fillId="0" borderId="0" xfId="2" applyNumberFormat="1" applyFont="1" applyFill="1" applyBorder="1" applyAlignment="1">
      <alignment horizontal="right" vertical="center" wrapText="1"/>
    </xf>
    <xf numFmtId="164" fontId="0" fillId="0" borderId="0" xfId="2" applyNumberFormat="1" applyFont="1" applyFill="1" applyBorder="1" applyAlignment="1">
      <alignment horizontal="center" vertical="center" wrapText="1"/>
    </xf>
    <xf numFmtId="164" fontId="2" fillId="0" borderId="0" xfId="2" applyNumberFormat="1" applyFont="1" applyFill="1" applyBorder="1" applyAlignment="1">
      <alignment horizontal="center" vertical="center"/>
    </xf>
    <xf numFmtId="164" fontId="0" fillId="3" borderId="12" xfId="0" applyNumberFormat="1"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xf>
    <xf numFmtId="0" fontId="5" fillId="0" borderId="12" xfId="0" applyFont="1" applyFill="1" applyBorder="1" applyAlignment="1">
      <alignment horizontal="center" vertical="center" wrapText="1"/>
    </xf>
    <xf numFmtId="168" fontId="0" fillId="0" borderId="0" xfId="3" applyNumberFormat="1" applyFont="1"/>
    <xf numFmtId="0" fontId="0" fillId="4" borderId="14" xfId="0" applyFill="1" applyBorder="1"/>
    <xf numFmtId="0" fontId="0" fillId="0" borderId="14" xfId="0" applyBorder="1"/>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9" fillId="3" borderId="4" xfId="0" applyFont="1" applyFill="1" applyBorder="1" applyAlignment="1">
      <alignment horizontal="center" vertical="center" wrapText="1"/>
    </xf>
    <xf numFmtId="0" fontId="9" fillId="3" borderId="0"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11"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6" fillId="0" borderId="4" xfId="0" applyFont="1" applyBorder="1" applyAlignment="1">
      <alignment horizontal="center" vertical="center"/>
    </xf>
    <xf numFmtId="0" fontId="6" fillId="0" borderId="0" xfId="0" applyFont="1" applyBorder="1" applyAlignment="1">
      <alignment horizontal="center" vertical="center"/>
    </xf>
    <xf numFmtId="0" fontId="3" fillId="2" borderId="1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5" fillId="3"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xf>
    <xf numFmtId="0" fontId="6" fillId="0" borderId="12" xfId="0" applyFont="1" applyBorder="1" applyAlignment="1">
      <alignment horizontal="center" vertical="center"/>
    </xf>
    <xf numFmtId="0" fontId="0" fillId="0" borderId="12" xfId="0" applyBorder="1" applyAlignment="1">
      <alignment horizontal="left"/>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1" xfId="0" applyBorder="1" applyAlignment="1">
      <alignment horizontal="left" wrapText="1"/>
    </xf>
    <xf numFmtId="0" fontId="0" fillId="0" borderId="3" xfId="0" applyBorder="1" applyAlignment="1">
      <alignment horizontal="left" wrapText="1"/>
    </xf>
    <xf numFmtId="0" fontId="0" fillId="0" borderId="2"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0" fillId="0" borderId="7" xfId="0" applyBorder="1" applyAlignment="1">
      <alignment horizontal="left" wrapText="1"/>
    </xf>
    <xf numFmtId="0" fontId="5" fillId="0" borderId="1"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2" xfId="0" applyFont="1" applyFill="1" applyBorder="1" applyAlignment="1">
      <alignment horizontal="left" vertical="center" wrapText="1"/>
    </xf>
    <xf numFmtId="0" fontId="3" fillId="5" borderId="0"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0" fillId="2" borderId="14" xfId="0" applyFill="1" applyBorder="1" applyAlignment="1">
      <alignment horizontal="center"/>
    </xf>
    <xf numFmtId="0" fontId="5" fillId="0" borderId="12" xfId="0" applyFont="1" applyFill="1" applyBorder="1" applyAlignment="1">
      <alignment horizontal="center"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left" vertical="center" wrapText="1"/>
    </xf>
    <xf numFmtId="0" fontId="7" fillId="0" borderId="12" xfId="0" applyFont="1" applyBorder="1" applyAlignment="1">
      <alignment horizontal="center" vertical="center"/>
    </xf>
    <xf numFmtId="0" fontId="0" fillId="0" borderId="12" xfId="0" applyBorder="1" applyAlignment="1">
      <alignment horizontal="left" vertical="center" wrapText="1"/>
    </xf>
    <xf numFmtId="0" fontId="0" fillId="2" borderId="12" xfId="0" applyFill="1" applyBorder="1" applyAlignment="1">
      <alignment horizontal="center"/>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5"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7" fillId="0" borderId="3" xfId="0" applyFont="1" applyBorder="1" applyAlignment="1">
      <alignment horizontal="center" vertical="center"/>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9" fontId="0" fillId="0" borderId="13" xfId="1" applyFont="1" applyBorder="1" applyAlignment="1">
      <alignment horizontal="center" vertical="center"/>
    </xf>
    <xf numFmtId="9" fontId="0" fillId="0" borderId="15" xfId="1" applyFont="1" applyBorder="1" applyAlignment="1">
      <alignment horizontal="center" vertical="center"/>
    </xf>
    <xf numFmtId="9" fontId="0" fillId="0" borderId="14" xfId="1" applyFont="1" applyBorder="1" applyAlignment="1">
      <alignment horizontal="center" vertical="center"/>
    </xf>
    <xf numFmtId="164" fontId="0" fillId="0" borderId="12" xfId="2" applyNumberFormat="1" applyFont="1" applyFill="1" applyBorder="1" applyAlignment="1">
      <alignment horizontal="center" vertical="center" wrapText="1"/>
    </xf>
    <xf numFmtId="0" fontId="0" fillId="2" borderId="9"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5" fillId="0" borderId="9" xfId="0" applyFont="1" applyFill="1" applyBorder="1" applyAlignment="1">
      <alignment horizontal="center" vertical="top" wrapText="1"/>
    </xf>
    <xf numFmtId="0" fontId="5" fillId="0" borderId="11" xfId="0" applyFont="1" applyFill="1" applyBorder="1" applyAlignment="1">
      <alignment horizontal="center" vertical="top" wrapText="1"/>
    </xf>
    <xf numFmtId="0" fontId="5" fillId="0" borderId="10" xfId="0" applyFont="1" applyFill="1" applyBorder="1" applyAlignment="1">
      <alignment horizontal="center" vertical="top"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12" xfId="0" applyBorder="1" applyAlignment="1">
      <alignment horizontal="left" wrapText="1"/>
    </xf>
    <xf numFmtId="167" fontId="0" fillId="0" borderId="13" xfId="1" applyNumberFormat="1" applyFont="1" applyBorder="1" applyAlignment="1">
      <alignment horizontal="center" vertical="center"/>
    </xf>
    <xf numFmtId="167" fontId="0" fillId="0" borderId="15" xfId="1" applyNumberFormat="1" applyFont="1" applyBorder="1" applyAlignment="1">
      <alignment horizontal="center" vertical="center"/>
    </xf>
    <xf numFmtId="167" fontId="0" fillId="0" borderId="14" xfId="1" applyNumberFormat="1" applyFont="1" applyBorder="1" applyAlignment="1">
      <alignment horizontal="center" vertical="center"/>
    </xf>
    <xf numFmtId="0" fontId="0" fillId="0" borderId="12" xfId="0" applyBorder="1" applyAlignment="1">
      <alignment horizontal="center" wrapText="1"/>
    </xf>
    <xf numFmtId="0" fontId="0" fillId="0" borderId="12" xfId="0" applyBorder="1" applyAlignment="1">
      <alignment horizontal="center" vertical="center"/>
    </xf>
    <xf numFmtId="0" fontId="31" fillId="2" borderId="1" xfId="0" applyFont="1" applyFill="1" applyBorder="1" applyAlignment="1">
      <alignment horizontal="center" vertical="center" wrapText="1"/>
    </xf>
    <xf numFmtId="0" fontId="31" fillId="2" borderId="3" xfId="0" applyFont="1" applyFill="1" applyBorder="1" applyAlignment="1">
      <alignment horizontal="center" vertical="center" wrapText="1"/>
    </xf>
    <xf numFmtId="0" fontId="31" fillId="2" borderId="2" xfId="0" applyFont="1" applyFill="1" applyBorder="1" applyAlignment="1">
      <alignment horizontal="center" vertical="center" wrapText="1"/>
    </xf>
    <xf numFmtId="9" fontId="7" fillId="0" borderId="14" xfId="1" applyFont="1" applyBorder="1"/>
    <xf numFmtId="9" fontId="0" fillId="0" borderId="0" xfId="0" applyNumberFormat="1"/>
  </cellXfs>
  <cellStyles count="205">
    <cellStyle name="20% - Énfasis1 2" xfId="8"/>
    <cellStyle name="20% - Énfasis1 3" xfId="9"/>
    <cellStyle name="20% - Énfasis1 4" xfId="10"/>
    <cellStyle name="20% - Énfasis1 5" xfId="7"/>
    <cellStyle name="20% - Énfasis2 2" xfId="12"/>
    <cellStyle name="20% - Énfasis2 3" xfId="13"/>
    <cellStyle name="20% - Énfasis2 4" xfId="14"/>
    <cellStyle name="20% - Énfasis2 5" xfId="11"/>
    <cellStyle name="20% - Énfasis3 2" xfId="16"/>
    <cellStyle name="20% - Énfasis3 3" xfId="17"/>
    <cellStyle name="20% - Énfasis3 4" xfId="18"/>
    <cellStyle name="20% - Énfasis3 5" xfId="15"/>
    <cellStyle name="20% - Énfasis4 2" xfId="20"/>
    <cellStyle name="20% - Énfasis4 3" xfId="21"/>
    <cellStyle name="20% - Énfasis4 4" xfId="22"/>
    <cellStyle name="20% - Énfasis4 5" xfId="19"/>
    <cellStyle name="20% - Énfasis5 2" xfId="24"/>
    <cellStyle name="20% - Énfasis5 3" xfId="25"/>
    <cellStyle name="20% - Énfasis5 4" xfId="26"/>
    <cellStyle name="20% - Énfasis5 5" xfId="23"/>
    <cellStyle name="20% - Énfasis6 2" xfId="28"/>
    <cellStyle name="20% - Énfasis6 3" xfId="29"/>
    <cellStyle name="20% - Énfasis6 4" xfId="30"/>
    <cellStyle name="20% - Énfasis6 5" xfId="27"/>
    <cellStyle name="40% - Énfasis1 2" xfId="32"/>
    <cellStyle name="40% - Énfasis1 3" xfId="33"/>
    <cellStyle name="40% - Énfasis1 4" xfId="34"/>
    <cellStyle name="40% - Énfasis1 5" xfId="31"/>
    <cellStyle name="40% - Énfasis2 2" xfId="36"/>
    <cellStyle name="40% - Énfasis2 3" xfId="37"/>
    <cellStyle name="40% - Énfasis2 4" xfId="38"/>
    <cellStyle name="40% - Énfasis2 5" xfId="35"/>
    <cellStyle name="40% - Énfasis3 2" xfId="40"/>
    <cellStyle name="40% - Énfasis3 3" xfId="41"/>
    <cellStyle name="40% - Énfasis3 4" xfId="42"/>
    <cellStyle name="40% - Énfasis3 5" xfId="39"/>
    <cellStyle name="40% - Énfasis4 2" xfId="44"/>
    <cellStyle name="40% - Énfasis4 3" xfId="45"/>
    <cellStyle name="40% - Énfasis4 4" xfId="46"/>
    <cellStyle name="40% - Énfasis4 5" xfId="43"/>
    <cellStyle name="40% - Énfasis5 2" xfId="48"/>
    <cellStyle name="40% - Énfasis5 3" xfId="49"/>
    <cellStyle name="40% - Énfasis5 4" xfId="50"/>
    <cellStyle name="40% - Énfasis5 5" xfId="47"/>
    <cellStyle name="40% - Énfasis6 2" xfId="52"/>
    <cellStyle name="40% - Énfasis6 3" xfId="53"/>
    <cellStyle name="40% - Énfasis6 4" xfId="54"/>
    <cellStyle name="40% - Énfasis6 5" xfId="51"/>
    <cellStyle name="60% - Énfasis1 2" xfId="56"/>
    <cellStyle name="60% - Énfasis1 3" xfId="57"/>
    <cellStyle name="60% - Énfasis1 4" xfId="58"/>
    <cellStyle name="60% - Énfasis1 5" xfId="55"/>
    <cellStyle name="60% - Énfasis2 2" xfId="60"/>
    <cellStyle name="60% - Énfasis2 3" xfId="61"/>
    <cellStyle name="60% - Énfasis2 4" xfId="62"/>
    <cellStyle name="60% - Énfasis2 5" xfId="59"/>
    <cellStyle name="60% - Énfasis3 2" xfId="64"/>
    <cellStyle name="60% - Énfasis3 3" xfId="65"/>
    <cellStyle name="60% - Énfasis3 4" xfId="66"/>
    <cellStyle name="60% - Énfasis3 5" xfId="63"/>
    <cellStyle name="60% - Énfasis4 2" xfId="68"/>
    <cellStyle name="60% - Énfasis4 3" xfId="69"/>
    <cellStyle name="60% - Énfasis4 4" xfId="70"/>
    <cellStyle name="60% - Énfasis4 5" xfId="67"/>
    <cellStyle name="60% - Énfasis5 2" xfId="72"/>
    <cellStyle name="60% - Énfasis5 3" xfId="73"/>
    <cellStyle name="60% - Énfasis5 4" xfId="74"/>
    <cellStyle name="60% - Énfasis5 5" xfId="71"/>
    <cellStyle name="60% - Énfasis6 2" xfId="76"/>
    <cellStyle name="60% - Énfasis6 3" xfId="77"/>
    <cellStyle name="60% - Énfasis6 4" xfId="78"/>
    <cellStyle name="60% - Énfasis6 5" xfId="75"/>
    <cellStyle name="Buena 2" xfId="80"/>
    <cellStyle name="Buena 3" xfId="81"/>
    <cellStyle name="Buena 4" xfId="82"/>
    <cellStyle name="Buena 5" xfId="79"/>
    <cellStyle name="Cálculo 2" xfId="84"/>
    <cellStyle name="Cálculo 3" xfId="85"/>
    <cellStyle name="Cálculo 4" xfId="86"/>
    <cellStyle name="Cálculo 5" xfId="83"/>
    <cellStyle name="Celda de comprobación 2" xfId="88"/>
    <cellStyle name="Celda de comprobación 3" xfId="89"/>
    <cellStyle name="Celda de comprobación 4" xfId="90"/>
    <cellStyle name="Celda de comprobación 5" xfId="87"/>
    <cellStyle name="Celda vinculada 2" xfId="92"/>
    <cellStyle name="Celda vinculada 3" xfId="93"/>
    <cellStyle name="Celda vinculada 4" xfId="94"/>
    <cellStyle name="Celda vinculada 5" xfId="91"/>
    <cellStyle name="Encabezado 4 2" xfId="96"/>
    <cellStyle name="Encabezado 4 3" xfId="97"/>
    <cellStyle name="Encabezado 4 4" xfId="98"/>
    <cellStyle name="Encabezado 4 5" xfId="95"/>
    <cellStyle name="Énfasis1 2" xfId="100"/>
    <cellStyle name="Énfasis1 3" xfId="101"/>
    <cellStyle name="Énfasis1 4" xfId="102"/>
    <cellStyle name="Énfasis1 5" xfId="99"/>
    <cellStyle name="Énfasis2 2" xfId="104"/>
    <cellStyle name="Énfasis2 3" xfId="105"/>
    <cellStyle name="Énfasis2 4" xfId="106"/>
    <cellStyle name="Énfasis2 5" xfId="103"/>
    <cellStyle name="Énfasis3 2" xfId="108"/>
    <cellStyle name="Énfasis3 3" xfId="109"/>
    <cellStyle name="Énfasis3 4" xfId="110"/>
    <cellStyle name="Énfasis3 5" xfId="107"/>
    <cellStyle name="Énfasis4 2" xfId="112"/>
    <cellStyle name="Énfasis4 3" xfId="113"/>
    <cellStyle name="Énfasis4 4" xfId="114"/>
    <cellStyle name="Énfasis4 5" xfId="111"/>
    <cellStyle name="Énfasis5 2" xfId="116"/>
    <cellStyle name="Énfasis5 3" xfId="117"/>
    <cellStyle name="Énfasis5 4" xfId="118"/>
    <cellStyle name="Énfasis5 5" xfId="115"/>
    <cellStyle name="Énfasis6 2" xfId="120"/>
    <cellStyle name="Énfasis6 3" xfId="121"/>
    <cellStyle name="Énfasis6 4" xfId="122"/>
    <cellStyle name="Énfasis6 5" xfId="119"/>
    <cellStyle name="Entrada 2" xfId="124"/>
    <cellStyle name="Entrada 3" xfId="125"/>
    <cellStyle name="Entrada 4" xfId="126"/>
    <cellStyle name="Entrada 5" xfId="123"/>
    <cellStyle name="Incorrecto 2" xfId="128"/>
    <cellStyle name="Incorrecto 3" xfId="129"/>
    <cellStyle name="Incorrecto 4" xfId="130"/>
    <cellStyle name="Incorrecto 5" xfId="127"/>
    <cellStyle name="Millares" xfId="3" builtinId="3"/>
    <cellStyle name="Millares 2" xfId="132"/>
    <cellStyle name="Millares 3" xfId="133"/>
    <cellStyle name="Millares 4" xfId="134"/>
    <cellStyle name="Millares 5" xfId="135"/>
    <cellStyle name="Millares 6" xfId="131"/>
    <cellStyle name="Millares 6 2" xfId="203"/>
    <cellStyle name="Moneda" xfId="2" builtinId="4"/>
    <cellStyle name="Moneda 2" xfId="137"/>
    <cellStyle name="Moneda 3" xfId="138"/>
    <cellStyle name="Moneda 4" xfId="139"/>
    <cellStyle name="Moneda 5" xfId="136"/>
    <cellStyle name="Neutral 2" xfId="141"/>
    <cellStyle name="Neutral 3" xfId="142"/>
    <cellStyle name="Neutral 4" xfId="143"/>
    <cellStyle name="Neutral 5" xfId="140"/>
    <cellStyle name="Normal" xfId="0" builtinId="0"/>
    <cellStyle name="Normal 10" xfId="144"/>
    <cellStyle name="Normal 10 2" xfId="202"/>
    <cellStyle name="Normal 10 2 2" xfId="204"/>
    <cellStyle name="Normal 11" xfId="6"/>
    <cellStyle name="Normal 12" xfId="5"/>
    <cellStyle name="Normal 2" xfId="145"/>
    <cellStyle name="Normal 2 2" xfId="146"/>
    <cellStyle name="Normal 2 2 2" xfId="147"/>
    <cellStyle name="Normal 2 2 3" xfId="148"/>
    <cellStyle name="Normal 2 3" xfId="149"/>
    <cellStyle name="Normal 2 4" xfId="150"/>
    <cellStyle name="Normal 2 5" xfId="151"/>
    <cellStyle name="Normal 2 5 2" xfId="152"/>
    <cellStyle name="Normal 2 6" xfId="153"/>
    <cellStyle name="Normal 2 7" xfId="154"/>
    <cellStyle name="Normal 3" xfId="155"/>
    <cellStyle name="Normal 3 2" xfId="156"/>
    <cellStyle name="Normal 3 3" xfId="157"/>
    <cellStyle name="Normal 4" xfId="158"/>
    <cellStyle name="Normal 5" xfId="159"/>
    <cellStyle name="Normal 6" xfId="160"/>
    <cellStyle name="Normal 6 2" xfId="161"/>
    <cellStyle name="Normal 7" xfId="162"/>
    <cellStyle name="Normal 8" xfId="163"/>
    <cellStyle name="Normal 8 2" xfId="164"/>
    <cellStyle name="Normal 9" xfId="165"/>
    <cellStyle name="Notas 2" xfId="167"/>
    <cellStyle name="Notas 3" xfId="168"/>
    <cellStyle name="Notas 4" xfId="169"/>
    <cellStyle name="Notas 5" xfId="166"/>
    <cellStyle name="Porcentaje" xfId="1" builtinId="5"/>
    <cellStyle name="Porcentaje 2" xfId="171"/>
    <cellStyle name="Porcentaje 3" xfId="172"/>
    <cellStyle name="Porcentaje 4" xfId="173"/>
    <cellStyle name="Porcentaje 5" xfId="170"/>
    <cellStyle name="Salida 2" xfId="175"/>
    <cellStyle name="Salida 3" xfId="176"/>
    <cellStyle name="Salida 4" xfId="177"/>
    <cellStyle name="Salida 5" xfId="174"/>
    <cellStyle name="Texto de advertencia 2" xfId="179"/>
    <cellStyle name="Texto de advertencia 3" xfId="180"/>
    <cellStyle name="Texto de advertencia 4" xfId="181"/>
    <cellStyle name="Texto de advertencia 5" xfId="178"/>
    <cellStyle name="Texto explicativo 2" xfId="183"/>
    <cellStyle name="Texto explicativo 3" xfId="184"/>
    <cellStyle name="Texto explicativo 4" xfId="185"/>
    <cellStyle name="Texto explicativo 5" xfId="182"/>
    <cellStyle name="Título" xfId="4" builtinId="15" customBuiltin="1"/>
    <cellStyle name="Título 1 2" xfId="187"/>
    <cellStyle name="Título 1 3" xfId="188"/>
    <cellStyle name="Título 1 4" xfId="189"/>
    <cellStyle name="Título 1 5" xfId="186"/>
    <cellStyle name="Título 2 2" xfId="191"/>
    <cellStyle name="Título 2 3" xfId="192"/>
    <cellStyle name="Título 2 4" xfId="193"/>
    <cellStyle name="Título 2 5" xfId="190"/>
    <cellStyle name="Título 3 2" xfId="195"/>
    <cellStyle name="Título 3 3" xfId="196"/>
    <cellStyle name="Título 3 4" xfId="197"/>
    <cellStyle name="Título 3 5" xfId="194"/>
    <cellStyle name="Total 2" xfId="199"/>
    <cellStyle name="Total 3" xfId="200"/>
    <cellStyle name="Total 4" xfId="201"/>
    <cellStyle name="Total 5" xfId="198"/>
  </cellStyles>
  <dxfs count="0"/>
  <tableStyles count="0" defaultTableStyle="TableStyleMedium2" defaultPivotStyle="PivotStyleLight16"/>
  <colors>
    <mruColors>
      <color rgb="FF00297A"/>
      <color rgb="FF002776"/>
      <color rgb="FF0013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Ordenes de Compra Recibidas Completas</a:t>
            </a:r>
          </a:p>
        </c:rich>
      </c:tx>
      <c:layout/>
      <c:overlay val="0"/>
      <c:spPr>
        <a:noFill/>
        <a:ln>
          <a:noFill/>
        </a:ln>
        <a:effectLst/>
      </c:spPr>
    </c:title>
    <c:autoTitleDeleted val="0"/>
    <c:plotArea>
      <c:layout/>
      <c:lineChart>
        <c:grouping val="standard"/>
        <c:varyColors val="0"/>
        <c:ser>
          <c:idx val="0"/>
          <c:order val="0"/>
          <c:tx>
            <c:strRef>
              <c:f>'1'!$D$10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0.95593869731800762</c:v>
                </c:pt>
                <c:pt idx="1">
                  <c:v>0.98396793587174347</c:v>
                </c:pt>
                <c:pt idx="2">
                  <c:v>0.98529411764705888</c:v>
                </c:pt>
                <c:pt idx="3">
                  <c:v>0.9671848013816926</c:v>
                </c:pt>
                <c:pt idx="4">
                  <c:v>0.92130518234165071</c:v>
                </c:pt>
                <c:pt idx="5">
                  <c:v>0.94849023090586149</c:v>
                </c:pt>
                <c:pt idx="6">
                  <c:v>0.89102564102564108</c:v>
                </c:pt>
                <c:pt idx="7">
                  <c:v>0.93306288032454365</c:v>
                </c:pt>
                <c:pt idx="8">
                  <c:v>0.89911504424778765</c:v>
                </c:pt>
                <c:pt idx="9">
                  <c:v>0.92500000000000004</c:v>
                </c:pt>
                <c:pt idx="10">
                  <c:v>0.96496815286624205</c:v>
                </c:pt>
                <c:pt idx="11">
                  <c:v>0.93710691823899372</c:v>
                </c:pt>
              </c:numCache>
            </c:numRef>
          </c:val>
          <c:smooth val="0"/>
          <c:extLst xmlns:c16r2="http://schemas.microsoft.com/office/drawing/2015/06/chart">
            <c:ext xmlns:c16="http://schemas.microsoft.com/office/drawing/2014/chart" uri="{C3380CC4-5D6E-409C-BE32-E72D297353CC}">
              <c16:uniqueId val="{00000000-6F15-47AD-AC23-EC5F2E8AC9B0}"/>
            </c:ext>
          </c:extLst>
        </c:ser>
        <c:dLbls>
          <c:showLegendKey val="0"/>
          <c:showVal val="0"/>
          <c:showCatName val="0"/>
          <c:showSerName val="0"/>
          <c:showPercent val="0"/>
          <c:showBubbleSize val="0"/>
        </c:dLbls>
        <c:smooth val="0"/>
        <c:axId val="131492048"/>
        <c:axId val="131492440"/>
      </c:lineChart>
      <c:catAx>
        <c:axId val="1314920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31492440"/>
        <c:crosses val="autoZero"/>
        <c:auto val="1"/>
        <c:lblAlgn val="ctr"/>
        <c:lblOffset val="100"/>
        <c:noMultiLvlLbl val="0"/>
      </c:catAx>
      <c:valAx>
        <c:axId val="13149244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3149204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Incumplimiento de tiempos</a:t>
            </a:r>
            <a:r>
              <a:rPr lang="en-US" baseline="0"/>
              <a:t> de entrega</a:t>
            </a:r>
            <a:r>
              <a:rPr lang="en-US"/>
              <a:t> de dispositivos médicos especiales</a:t>
            </a:r>
          </a:p>
        </c:rich>
      </c:tx>
      <c:layout/>
      <c:overlay val="0"/>
      <c:spPr>
        <a:noFill/>
        <a:ln>
          <a:noFill/>
        </a:ln>
        <a:effectLst/>
      </c:spPr>
    </c:title>
    <c:autoTitleDeleted val="0"/>
    <c:plotArea>
      <c:layout/>
      <c:lineChart>
        <c:grouping val="standard"/>
        <c:varyColors val="0"/>
        <c:ser>
          <c:idx val="0"/>
          <c:order val="0"/>
          <c:tx>
            <c:strRef>
              <c:f>'1'!$D$28</c:f>
              <c:strCache>
                <c:ptCount val="1"/>
                <c:pt idx="0">
                  <c:v>N/A</c:v>
                </c:pt>
              </c:strCache>
            </c:strRef>
          </c:tx>
          <c:spPr>
            <a:effectLst>
              <a:outerShdw blurRad="40000" dist="23000" dir="5400000" rotWithShape="0">
                <a:srgbClr val="000000">
                  <a:alpha val="35000"/>
                </a:srgbClr>
              </a:outerShdw>
            </a:effectLst>
          </c:spPr>
          <c:marker>
            <c:symbol val="none"/>
          </c:marker>
          <c:cat>
            <c:strRef>
              <c:f>'1'!$A$29:$A$40</c:f>
              <c:strCache>
                <c:ptCount val="11"/>
                <c:pt idx="0">
                  <c:v>Febrero</c:v>
                </c:pt>
                <c:pt idx="1">
                  <c:v>Marzo</c:v>
                </c:pt>
                <c:pt idx="2">
                  <c:v>Abril</c:v>
                </c:pt>
                <c:pt idx="3">
                  <c:v>Mayo</c:v>
                </c:pt>
                <c:pt idx="4">
                  <c:v>Junio</c:v>
                </c:pt>
                <c:pt idx="5">
                  <c:v>Julio</c:v>
                </c:pt>
                <c:pt idx="6">
                  <c:v>Agosto</c:v>
                </c:pt>
                <c:pt idx="7">
                  <c:v>Septiembre</c:v>
                </c:pt>
                <c:pt idx="8">
                  <c:v>Octubre</c:v>
                </c:pt>
                <c:pt idx="9">
                  <c:v>Noviembre</c:v>
                </c:pt>
                <c:pt idx="10">
                  <c:v>Diciembre</c:v>
                </c:pt>
              </c:strCache>
            </c:strRef>
          </c:cat>
          <c:val>
            <c:numRef>
              <c:f>'1'!$D$29:$D$40</c:f>
              <c:numCache>
                <c:formatCode>General</c:formatCode>
                <c:ptCount val="12"/>
                <c:pt idx="0">
                  <c:v>0</c:v>
                </c:pt>
                <c:pt idx="1">
                  <c:v>0</c:v>
                </c:pt>
                <c:pt idx="2">
                  <c:v>0</c:v>
                </c:pt>
                <c:pt idx="3">
                  <c:v>0</c:v>
                </c:pt>
                <c:pt idx="4">
                  <c:v>0</c:v>
                </c:pt>
                <c:pt idx="5" formatCode="0%">
                  <c:v>0.93333333333333335</c:v>
                </c:pt>
                <c:pt idx="6" formatCode="0%">
                  <c:v>1</c:v>
                </c:pt>
                <c:pt idx="7" formatCode="0%">
                  <c:v>1</c:v>
                </c:pt>
                <c:pt idx="8" formatCode="0%">
                  <c:v>1</c:v>
                </c:pt>
                <c:pt idx="9" formatCode="0%">
                  <c:v>1</c:v>
                </c:pt>
                <c:pt idx="10" formatCode="0%">
                  <c:v>0.95348837209302328</c:v>
                </c:pt>
                <c:pt idx="11" formatCode="0%">
                  <c:v>0.98113695090439279</c:v>
                </c:pt>
              </c:numCache>
            </c:numRef>
          </c:val>
          <c:smooth val="0"/>
          <c:extLst xmlns:c16r2="http://schemas.microsoft.com/office/drawing/2015/06/chart">
            <c:ext xmlns:c16="http://schemas.microsoft.com/office/drawing/2014/chart" uri="{C3380CC4-5D6E-409C-BE32-E72D297353CC}">
              <c16:uniqueId val="{00000000-82A7-4728-AD2A-2A71D93CA65B}"/>
            </c:ext>
          </c:extLst>
        </c:ser>
        <c:dLbls>
          <c:showLegendKey val="0"/>
          <c:showVal val="0"/>
          <c:showCatName val="0"/>
          <c:showSerName val="0"/>
          <c:showPercent val="0"/>
          <c:showBubbleSize val="0"/>
        </c:dLbls>
        <c:smooth val="0"/>
        <c:axId val="131493224"/>
        <c:axId val="131486560"/>
      </c:lineChart>
      <c:catAx>
        <c:axId val="13149322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31486560"/>
        <c:crosses val="autoZero"/>
        <c:auto val="1"/>
        <c:lblAlgn val="ctr"/>
        <c:lblOffset val="100"/>
        <c:noMultiLvlLbl val="0"/>
      </c:catAx>
      <c:valAx>
        <c:axId val="1314865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3149322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Ordenes de Compra Recibidas Completas</a:t>
            </a:r>
          </a:p>
        </c:rich>
      </c:tx>
      <c:layout/>
      <c:overlay val="0"/>
      <c:spPr>
        <a:noFill/>
        <a:ln>
          <a:noFill/>
        </a:ln>
        <a:effectLst/>
      </c:spPr>
    </c:title>
    <c:autoTitleDeleted val="0"/>
    <c:plotArea>
      <c:layout/>
      <c:lineChart>
        <c:grouping val="standard"/>
        <c:varyColors val="0"/>
        <c:ser>
          <c:idx val="0"/>
          <c:order val="0"/>
          <c:tx>
            <c:strRef>
              <c:f>'[1]1'!$D$10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'[1]1'!$A$11:$A$22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'[1]1'!$D$11:$D$22</c:f>
              <c:numCache>
                <c:formatCode>General</c:formatCode>
                <c:ptCount val="12"/>
                <c:pt idx="0">
                  <c:v>0.95593869731800762</c:v>
                </c:pt>
                <c:pt idx="1">
                  <c:v>0.98396793587174347</c:v>
                </c:pt>
                <c:pt idx="2">
                  <c:v>0.98529411764705888</c:v>
                </c:pt>
                <c:pt idx="3">
                  <c:v>0.9671848013816926</c:v>
                </c:pt>
                <c:pt idx="4">
                  <c:v>0.92130518234165071</c:v>
                </c:pt>
                <c:pt idx="5">
                  <c:v>0.94849023090586149</c:v>
                </c:pt>
                <c:pt idx="6">
                  <c:v>0.89102564102564108</c:v>
                </c:pt>
                <c:pt idx="7">
                  <c:v>0.93306288032454365</c:v>
                </c:pt>
                <c:pt idx="8">
                  <c:v>0.89911504424778765</c:v>
                </c:pt>
                <c:pt idx="9">
                  <c:v>0.92500000000000004</c:v>
                </c:pt>
                <c:pt idx="10">
                  <c:v>0.96496815286624205</c:v>
                </c:pt>
                <c:pt idx="11">
                  <c:v>0.93710691823899372</c:v>
                </c:pt>
              </c:numCache>
            </c:numRef>
          </c:val>
          <c:smooth val="0"/>
          <c:extLst xmlns:c16r2="http://schemas.microsoft.com/office/drawing/2015/06/chart">
            <c:ext xmlns:c16="http://schemas.microsoft.com/office/drawing/2014/chart" uri="{C3380CC4-5D6E-409C-BE32-E72D297353CC}">
              <c16:uniqueId val="{00000000-6F15-47AD-AC23-EC5F2E8AC9B0}"/>
            </c:ext>
          </c:extLst>
        </c:ser>
        <c:dLbls>
          <c:showLegendKey val="0"/>
          <c:showVal val="0"/>
          <c:showCatName val="0"/>
          <c:showSerName val="0"/>
          <c:showPercent val="0"/>
          <c:showBubbleSize val="0"/>
        </c:dLbls>
        <c:smooth val="0"/>
        <c:axId val="236683568"/>
        <c:axId val="236682784"/>
      </c:lineChart>
      <c:catAx>
        <c:axId val="23668356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2784"/>
        <c:crosses val="autoZero"/>
        <c:auto val="1"/>
        <c:lblAlgn val="ctr"/>
        <c:lblOffset val="100"/>
        <c:noMultiLvlLbl val="0"/>
      </c:catAx>
      <c:valAx>
        <c:axId val="2366827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356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Incumplimiento de tiempos</a:t>
            </a:r>
            <a:r>
              <a:rPr lang="en-US" baseline="0"/>
              <a:t> de entrega</a:t>
            </a:r>
            <a:r>
              <a:rPr lang="en-US"/>
              <a:t> de dispositivos médicos especiales</a:t>
            </a:r>
          </a:p>
        </c:rich>
      </c:tx>
      <c:layout/>
      <c:overlay val="0"/>
      <c:spPr>
        <a:noFill/>
        <a:ln>
          <a:noFill/>
        </a:ln>
        <a:effectLst/>
      </c:spPr>
    </c:title>
    <c:autoTitleDeleted val="0"/>
    <c:plotArea>
      <c:layout/>
      <c:lineChart>
        <c:grouping val="standard"/>
        <c:varyColors val="0"/>
        <c:ser>
          <c:idx val="0"/>
          <c:order val="0"/>
          <c:tx>
            <c:strRef>
              <c:f>'[1]1'!$D$26</c:f>
              <c:strCache>
                <c:ptCount val="1"/>
                <c:pt idx="0">
                  <c:v>% Incumplimiento de disponibilidad de DME
&gt;90%</c:v>
                </c:pt>
              </c:strCache>
            </c:strRef>
          </c:tx>
          <c:spPr>
            <a:effectLst>
              <a:outerShdw blurRad="40000" dist="23000" dir="5400000" rotWithShape="0">
                <a:srgbClr val="000000">
                  <a:alpha val="35000"/>
                </a:srgbClr>
              </a:outerShdw>
            </a:effectLst>
          </c:spPr>
          <c:marker>
            <c:symbol val="none"/>
          </c:marker>
          <c:cat>
            <c:strRef>
              <c:f>'[1]1'!$A$27:$A$38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'[1]1'!$D$27:$D$38</c:f>
              <c:numCache>
                <c:formatCode>General</c:formatCode>
                <c:ptCount val="12"/>
                <c:pt idx="0">
                  <c:v>0</c:v>
                </c:pt>
                <c:pt idx="1">
                  <c:v>0</c:v>
                </c:pt>
                <c:pt idx="2">
                  <c:v>0</c:v>
                </c:pt>
                <c:pt idx="3">
                  <c:v>0</c:v>
                </c:pt>
                <c:pt idx="4">
                  <c:v>0</c:v>
                </c:pt>
                <c:pt idx="5">
                  <c:v>0</c:v>
                </c:pt>
                <c:pt idx="6">
                  <c:v>0.93333333333333335</c:v>
                </c:pt>
                <c:pt idx="7">
                  <c:v>1</c:v>
                </c:pt>
                <c:pt idx="8">
                  <c:v>1</c:v>
                </c:pt>
                <c:pt idx="9">
                  <c:v>1</c:v>
                </c:pt>
                <c:pt idx="10">
                  <c:v>1</c:v>
                </c:pt>
                <c:pt idx="11">
                  <c:v>0.95348837209302328</c:v>
                </c:pt>
              </c:numCache>
            </c:numRef>
          </c:val>
          <c:smooth val="0"/>
          <c:extLst xmlns:c16r2="http://schemas.microsoft.com/office/drawing/2015/06/chart">
            <c:ext xmlns:c16="http://schemas.microsoft.com/office/drawing/2014/chart" uri="{C3380CC4-5D6E-409C-BE32-E72D297353CC}">
              <c16:uniqueId val="{00000000-82A7-4728-AD2A-2A71D93CA65B}"/>
            </c:ext>
          </c:extLst>
        </c:ser>
        <c:dLbls>
          <c:showLegendKey val="0"/>
          <c:showVal val="0"/>
          <c:showCatName val="0"/>
          <c:showSerName val="0"/>
          <c:showPercent val="0"/>
          <c:showBubbleSize val="0"/>
        </c:dLbls>
        <c:smooth val="0"/>
        <c:axId val="236688272"/>
        <c:axId val="236682392"/>
      </c:lineChart>
      <c:catAx>
        <c:axId val="23668827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2392"/>
        <c:crosses val="autoZero"/>
        <c:auto val="1"/>
        <c:lblAlgn val="ctr"/>
        <c:lblOffset val="100"/>
        <c:noMultiLvlLbl val="0"/>
      </c:catAx>
      <c:valAx>
        <c:axId val="2366823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827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Evaluaciones de Seguimiento</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215026701466294E-2"/>
          <c:y val="0.15890384239638294"/>
          <c:w val="0.8929207177767996"/>
          <c:h val="0.3886707973757933"/>
        </c:manualLayout>
      </c:layout>
      <c:bar3DChart>
        <c:barDir val="col"/>
        <c:grouping val="clustered"/>
        <c:varyColors val="0"/>
        <c:ser>
          <c:idx val="0"/>
          <c:order val="0"/>
          <c:tx>
            <c:strRef>
              <c:f>'2'!$B$10</c:f>
              <c:strCache>
                <c:ptCount val="1"/>
                <c:pt idx="0">
                  <c:v>Cumplimiento del servicio (&gt;4.5)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pt idx="0">
                  <c:v>4.9000000000000004</c:v>
                </c:pt>
                <c:pt idx="1">
                  <c:v>4.8</c:v>
                </c:pt>
                <c:pt idx="2">
                  <c:v>4.8</c:v>
                </c:pt>
                <c:pt idx="3">
                  <c:v>4.7</c:v>
                </c:pt>
                <c:pt idx="4">
                  <c:v>4.8</c:v>
                </c:pt>
                <c:pt idx="5">
                  <c:v>4.8</c:v>
                </c:pt>
                <c:pt idx="6">
                  <c:v>4.7</c:v>
                </c:pt>
                <c:pt idx="7">
                  <c:v>4.8</c:v>
                </c:pt>
                <c:pt idx="8">
                  <c:v>4.7</c:v>
                </c:pt>
                <c:pt idx="9">
                  <c:v>4.7</c:v>
                </c:pt>
                <c:pt idx="10">
                  <c:v>4.5</c:v>
                </c:pt>
                <c:pt idx="11">
                  <c:v>4.5599999999999996</c:v>
                </c:pt>
              </c:numCache>
            </c:numRef>
          </c:val>
          <c:extLst xmlns:c16r2="http://schemas.microsoft.com/office/drawing/2015/06/chart">
            <c:ext xmlns:c16="http://schemas.microsoft.com/office/drawing/2014/chart" uri="{C3380CC4-5D6E-409C-BE32-E72D297353CC}">
              <c16:uniqueId val="{00000000-0B7B-4C2E-AF05-10603F7AAE64}"/>
            </c:ext>
          </c:extLst>
        </c:ser>
        <c:ser>
          <c:idx val="1"/>
          <c:order val="1"/>
          <c:tx>
            <c:strRef>
              <c:f>'2'!$C$10</c:f>
              <c:strCache>
                <c:ptCount val="1"/>
                <c:pt idx="0">
                  <c:v>Condiciones del Material Utilizado (&gt;4.5)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pt idx="0">
                  <c:v>4.5</c:v>
                </c:pt>
                <c:pt idx="1">
                  <c:v>4.7</c:v>
                </c:pt>
                <c:pt idx="2">
                  <c:v>4.4000000000000004</c:v>
                </c:pt>
                <c:pt idx="3">
                  <c:v>4.5999999999999996</c:v>
                </c:pt>
                <c:pt idx="4">
                  <c:v>4.7</c:v>
                </c:pt>
                <c:pt idx="5">
                  <c:v>4.4000000000000004</c:v>
                </c:pt>
                <c:pt idx="6">
                  <c:v>4.5999999999999996</c:v>
                </c:pt>
                <c:pt idx="7">
                  <c:v>4.8</c:v>
                </c:pt>
                <c:pt idx="8">
                  <c:v>4.5999999999999996</c:v>
                </c:pt>
                <c:pt idx="9">
                  <c:v>4.5999999999999996</c:v>
                </c:pt>
                <c:pt idx="10">
                  <c:v>4.5</c:v>
                </c:pt>
                <c:pt idx="11">
                  <c:v>4.6399999999999997</c:v>
                </c:pt>
              </c:numCache>
            </c:numRef>
          </c:val>
          <c:extLst xmlns:c16r2="http://schemas.microsoft.com/office/drawing/2015/06/chart">
            <c:ext xmlns:c16="http://schemas.microsoft.com/office/drawing/2014/chart" uri="{C3380CC4-5D6E-409C-BE32-E72D297353CC}">
              <c16:uniqueId val="{00000001-0B7B-4C2E-AF05-10603F7AAE64}"/>
            </c:ext>
          </c:extLst>
        </c:ser>
        <c:ser>
          <c:idx val="2"/>
          <c:order val="2"/>
          <c:tx>
            <c:strRef>
              <c:f>'2'!$D$10</c:f>
              <c:strCache>
                <c:ptCount val="1"/>
                <c:pt idx="0">
                  <c:v>Habilidad Soporte Técnico (&gt;4.5)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pt idx="0">
                  <c:v>4.8</c:v>
                </c:pt>
                <c:pt idx="1">
                  <c:v>4.9000000000000004</c:v>
                </c:pt>
                <c:pt idx="2">
                  <c:v>4.9000000000000004</c:v>
                </c:pt>
                <c:pt idx="3">
                  <c:v>4.5999999999999996</c:v>
                </c:pt>
                <c:pt idx="4">
                  <c:v>4.9000000000000004</c:v>
                </c:pt>
                <c:pt idx="5">
                  <c:v>4.7</c:v>
                </c:pt>
                <c:pt idx="6">
                  <c:v>4.8</c:v>
                </c:pt>
                <c:pt idx="7">
                  <c:v>4.8</c:v>
                </c:pt>
                <c:pt idx="8">
                  <c:v>4.7</c:v>
                </c:pt>
                <c:pt idx="9">
                  <c:v>4.7</c:v>
                </c:pt>
                <c:pt idx="10">
                  <c:v>4.5</c:v>
                </c:pt>
                <c:pt idx="11">
                  <c:v>4.74</c:v>
                </c:pt>
              </c:numCache>
            </c:numRef>
          </c:val>
          <c:extLst xmlns:c16r2="http://schemas.microsoft.com/office/drawing/2015/06/chart">
            <c:ext xmlns:c16="http://schemas.microsoft.com/office/drawing/2014/chart" uri="{C3380CC4-5D6E-409C-BE32-E72D297353CC}">
              <c16:uniqueId val="{00000002-0B7B-4C2E-AF05-10603F7AAE64}"/>
            </c:ext>
          </c:extLst>
        </c:ser>
        <c:dLbls>
          <c:showLegendKey val="0"/>
          <c:showVal val="0"/>
          <c:showCatName val="0"/>
          <c:showSerName val="0"/>
          <c:showPercent val="0"/>
          <c:showBubbleSize val="0"/>
        </c:dLbls>
        <c:gapWidth val="150"/>
        <c:shape val="box"/>
        <c:axId val="236685136"/>
        <c:axId val="236685528"/>
        <c:axId val="0"/>
      </c:bar3DChart>
      <c:catAx>
        <c:axId val="23668513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5528"/>
        <c:crosses val="autoZero"/>
        <c:auto val="1"/>
        <c:lblAlgn val="ctr"/>
        <c:lblOffset val="100"/>
        <c:noMultiLvlLbl val="0"/>
      </c:catAx>
      <c:valAx>
        <c:axId val="236685528"/>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51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Atención de Quejas,</a:t>
            </a:r>
            <a:r>
              <a:rPr lang="en-US" baseline="0"/>
              <a:t> </a:t>
            </a:r>
            <a:r>
              <a:rPr lang="en-US"/>
              <a:t>Reclamos y/o Sugerencias</a:t>
            </a:r>
          </a:p>
        </c:rich>
      </c:tx>
      <c:layout/>
      <c:overlay val="0"/>
      <c:spPr>
        <a:noFill/>
        <a:ln>
          <a:noFill/>
        </a:ln>
        <a:effectLst/>
      </c:spPr>
    </c:title>
    <c:autoTitleDeleted val="0"/>
    <c:plotArea>
      <c:layout/>
      <c:lineChart>
        <c:grouping val="standard"/>
        <c:varyColors val="0"/>
        <c:ser>
          <c:idx val="0"/>
          <c:order val="0"/>
          <c:tx>
            <c:strRef>
              <c:f>'2'!$D$28</c:f>
              <c:strCache>
                <c:ptCount val="1"/>
                <c:pt idx="0">
                  <c:v>N/A</c:v>
                </c:pt>
              </c:strCache>
            </c:strRef>
          </c:tx>
          <c:spPr>
            <a:effectLst>
              <a:outerShdw blurRad="40000" dist="23000" dir="5400000" rotWithShape="0">
                <a:srgbClr val="000000">
                  <a:alpha val="35000"/>
                </a:srgbClr>
              </a:outerShdw>
            </a:effectLst>
          </c:spPr>
          <c:marker>
            <c:symbol val="none"/>
          </c:marker>
          <c:cat>
            <c:strRef>
              <c:f>'2'!$A$29:$A$40</c:f>
              <c:strCache>
                <c:ptCount val="11"/>
                <c:pt idx="0">
                  <c:v>Febrero</c:v>
                </c:pt>
                <c:pt idx="1">
                  <c:v>Marzo</c:v>
                </c:pt>
                <c:pt idx="2">
                  <c:v>Abril</c:v>
                </c:pt>
                <c:pt idx="3">
                  <c:v>Mayo</c:v>
                </c:pt>
                <c:pt idx="4">
                  <c:v>Junio</c:v>
                </c:pt>
                <c:pt idx="5">
                  <c:v>Julio</c:v>
                </c:pt>
                <c:pt idx="6">
                  <c:v>Agosto</c:v>
                </c:pt>
                <c:pt idx="7">
                  <c:v>Septiembre</c:v>
                </c:pt>
                <c:pt idx="8">
                  <c:v>Octubre</c:v>
                </c:pt>
                <c:pt idx="9">
                  <c:v>Noviembre</c:v>
                </c:pt>
                <c:pt idx="10">
                  <c:v>Diciembre</c:v>
                </c:pt>
              </c:strCache>
            </c:strRef>
          </c:cat>
          <c:val>
            <c:numRef>
              <c:f>'2'!$D$29:$D$40</c:f>
              <c:numCache>
                <c:formatCode>0%</c:formatCode>
                <c:ptCount val="12"/>
                <c:pt idx="0">
                  <c:v>0</c:v>
                </c:pt>
                <c:pt idx="1">
                  <c:v>1</c:v>
                </c:pt>
                <c:pt idx="2">
                  <c:v>0</c:v>
                </c:pt>
                <c:pt idx="3">
                  <c:v>1</c:v>
                </c:pt>
                <c:pt idx="4">
                  <c:v>0</c:v>
                </c:pt>
                <c:pt idx="5">
                  <c:v>0</c:v>
                </c:pt>
                <c:pt idx="6">
                  <c:v>1</c:v>
                </c:pt>
                <c:pt idx="7">
                  <c:v>0</c:v>
                </c:pt>
                <c:pt idx="8">
                  <c:v>0</c:v>
                </c:pt>
                <c:pt idx="9">
                  <c:v>1</c:v>
                </c:pt>
                <c:pt idx="10">
                  <c:v>0</c:v>
                </c:pt>
              </c:numCache>
            </c:numRef>
          </c:val>
          <c:smooth val="0"/>
          <c:extLst xmlns:c16r2="http://schemas.microsoft.com/office/drawing/2015/06/chart">
            <c:ext xmlns:c16="http://schemas.microsoft.com/office/drawing/2014/chart" uri="{C3380CC4-5D6E-409C-BE32-E72D297353CC}">
              <c16:uniqueId val="{00000000-A414-4539-9759-88A4264CAF88}"/>
            </c:ext>
          </c:extLst>
        </c:ser>
        <c:dLbls>
          <c:showLegendKey val="0"/>
          <c:showVal val="0"/>
          <c:showCatName val="0"/>
          <c:showSerName val="0"/>
          <c:showPercent val="0"/>
          <c:showBubbleSize val="0"/>
        </c:dLbls>
        <c:smooth val="0"/>
        <c:axId val="236684352"/>
        <c:axId val="236684744"/>
      </c:lineChart>
      <c:catAx>
        <c:axId val="2366843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4744"/>
        <c:crosses val="autoZero"/>
        <c:auto val="1"/>
        <c:lblAlgn val="ctr"/>
        <c:lblOffset val="100"/>
        <c:noMultiLvlLbl val="0"/>
      </c:catAx>
      <c:valAx>
        <c:axId val="23668474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435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Evaluaciones de Seguimiento</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215026701466294E-2"/>
          <c:y val="0.15890384239638294"/>
          <c:w val="0.8929207177767996"/>
          <c:h val="0.3886707973757933"/>
        </c:manualLayout>
      </c:layout>
      <c:bar3DChart>
        <c:barDir val="col"/>
        <c:grouping val="clustered"/>
        <c:varyColors val="0"/>
        <c:ser>
          <c:idx val="0"/>
          <c:order val="0"/>
          <c:tx>
            <c:strRef>
              <c:f>'[1]2'!$B$10</c:f>
              <c:strCache>
                <c:ptCount val="1"/>
                <c:pt idx="0">
                  <c:v>Cumplimiento del servicio (&gt;4.5)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'[1]2'!$B$11:$B$22</c:f>
              <c:numCache>
                <c:formatCode>General</c:formatCode>
                <c:ptCount val="12"/>
                <c:pt idx="0">
                  <c:v>4.9000000000000004</c:v>
                </c:pt>
                <c:pt idx="1">
                  <c:v>4.8</c:v>
                </c:pt>
                <c:pt idx="2">
                  <c:v>4.8</c:v>
                </c:pt>
                <c:pt idx="3">
                  <c:v>4.7</c:v>
                </c:pt>
                <c:pt idx="4">
                  <c:v>4.8</c:v>
                </c:pt>
                <c:pt idx="5">
                  <c:v>4.8</c:v>
                </c:pt>
                <c:pt idx="6">
                  <c:v>4.7</c:v>
                </c:pt>
                <c:pt idx="7">
                  <c:v>4.8</c:v>
                </c:pt>
                <c:pt idx="8">
                  <c:v>4.7</c:v>
                </c:pt>
                <c:pt idx="9">
                  <c:v>4.7</c:v>
                </c:pt>
                <c:pt idx="10">
                  <c:v>4.5</c:v>
                </c:pt>
                <c:pt idx="11">
                  <c:v>4.5599999999999996</c:v>
                </c:pt>
              </c:numCache>
            </c:numRef>
          </c:val>
          <c:extLst xmlns:c16r2="http://schemas.microsoft.com/office/drawing/2015/06/chart">
            <c:ext xmlns:c16="http://schemas.microsoft.com/office/drawing/2014/chart" uri="{C3380CC4-5D6E-409C-BE32-E72D297353CC}">
              <c16:uniqueId val="{00000000-0B7B-4C2E-AF05-10603F7AAE64}"/>
            </c:ext>
          </c:extLst>
        </c:ser>
        <c:ser>
          <c:idx val="1"/>
          <c:order val="1"/>
          <c:tx>
            <c:strRef>
              <c:f>'[1]2'!$C$10</c:f>
              <c:strCache>
                <c:ptCount val="1"/>
                <c:pt idx="0">
                  <c:v>Condiciones del Material Utilizado (&gt;4.5)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'[1]2'!$C$11:$C$22</c:f>
              <c:numCache>
                <c:formatCode>General</c:formatCode>
                <c:ptCount val="12"/>
                <c:pt idx="0">
                  <c:v>4.5</c:v>
                </c:pt>
                <c:pt idx="1">
                  <c:v>4.7</c:v>
                </c:pt>
                <c:pt idx="2">
                  <c:v>4.4000000000000004</c:v>
                </c:pt>
                <c:pt idx="3">
                  <c:v>4.5999999999999996</c:v>
                </c:pt>
                <c:pt idx="4">
                  <c:v>4.7</c:v>
                </c:pt>
                <c:pt idx="5">
                  <c:v>4.4000000000000004</c:v>
                </c:pt>
                <c:pt idx="6">
                  <c:v>4.5999999999999996</c:v>
                </c:pt>
                <c:pt idx="7">
                  <c:v>4.8</c:v>
                </c:pt>
                <c:pt idx="8">
                  <c:v>4.5999999999999996</c:v>
                </c:pt>
                <c:pt idx="9">
                  <c:v>4.5999999999999996</c:v>
                </c:pt>
                <c:pt idx="10">
                  <c:v>4.5</c:v>
                </c:pt>
                <c:pt idx="11">
                  <c:v>4.6399999999999997</c:v>
                </c:pt>
              </c:numCache>
            </c:numRef>
          </c:val>
          <c:extLst xmlns:c16r2="http://schemas.microsoft.com/office/drawing/2015/06/chart">
            <c:ext xmlns:c16="http://schemas.microsoft.com/office/drawing/2014/chart" uri="{C3380CC4-5D6E-409C-BE32-E72D297353CC}">
              <c16:uniqueId val="{00000001-0B7B-4C2E-AF05-10603F7AAE64}"/>
            </c:ext>
          </c:extLst>
        </c:ser>
        <c:ser>
          <c:idx val="2"/>
          <c:order val="2"/>
          <c:tx>
            <c:strRef>
              <c:f>'[1]2'!$D$10</c:f>
              <c:strCache>
                <c:ptCount val="1"/>
                <c:pt idx="0">
                  <c:v>Habilidad Soporte Técnico (&gt;4.5)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'[1]2'!$D$11:$D$22</c:f>
              <c:numCache>
                <c:formatCode>General</c:formatCode>
                <c:ptCount val="12"/>
                <c:pt idx="0">
                  <c:v>4.8</c:v>
                </c:pt>
                <c:pt idx="1">
                  <c:v>4.9000000000000004</c:v>
                </c:pt>
                <c:pt idx="2">
                  <c:v>4.9000000000000004</c:v>
                </c:pt>
                <c:pt idx="3">
                  <c:v>4.5999999999999996</c:v>
                </c:pt>
                <c:pt idx="4">
                  <c:v>4.9000000000000004</c:v>
                </c:pt>
                <c:pt idx="5">
                  <c:v>4.7</c:v>
                </c:pt>
                <c:pt idx="6">
                  <c:v>4.8</c:v>
                </c:pt>
                <c:pt idx="7">
                  <c:v>4.8</c:v>
                </c:pt>
                <c:pt idx="8">
                  <c:v>4.7</c:v>
                </c:pt>
                <c:pt idx="9">
                  <c:v>4.7</c:v>
                </c:pt>
                <c:pt idx="10">
                  <c:v>4.5</c:v>
                </c:pt>
                <c:pt idx="11">
                  <c:v>4.74</c:v>
                </c:pt>
              </c:numCache>
            </c:numRef>
          </c:val>
          <c:extLst xmlns:c16r2="http://schemas.microsoft.com/office/drawing/2015/06/chart">
            <c:ext xmlns:c16="http://schemas.microsoft.com/office/drawing/2014/chart" uri="{C3380CC4-5D6E-409C-BE32-E72D297353CC}">
              <c16:uniqueId val="{00000002-0B7B-4C2E-AF05-10603F7AAE64}"/>
            </c:ext>
          </c:extLst>
        </c:ser>
        <c:dLbls>
          <c:showLegendKey val="0"/>
          <c:showVal val="0"/>
          <c:showCatName val="0"/>
          <c:showSerName val="0"/>
          <c:showPercent val="0"/>
          <c:showBubbleSize val="0"/>
        </c:dLbls>
        <c:gapWidth val="150"/>
        <c:shape val="box"/>
        <c:axId val="236685920"/>
        <c:axId val="236686704"/>
        <c:axId val="0"/>
      </c:bar3DChart>
      <c:catAx>
        <c:axId val="23668592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6704"/>
        <c:crosses val="autoZero"/>
        <c:auto val="1"/>
        <c:lblAlgn val="ctr"/>
        <c:lblOffset val="100"/>
        <c:noMultiLvlLbl val="0"/>
      </c:catAx>
      <c:valAx>
        <c:axId val="2366867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59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Atención de Quejas,</a:t>
            </a:r>
            <a:r>
              <a:rPr lang="en-US" baseline="0"/>
              <a:t> </a:t>
            </a:r>
            <a:r>
              <a:rPr lang="en-US"/>
              <a:t>Reclamos y/o Sugerencias</a:t>
            </a:r>
          </a:p>
        </c:rich>
      </c:tx>
      <c:layout/>
      <c:overlay val="0"/>
      <c:spPr>
        <a:noFill/>
        <a:ln>
          <a:noFill/>
        </a:ln>
        <a:effectLst/>
      </c:spPr>
    </c:title>
    <c:autoTitleDeleted val="0"/>
    <c:plotArea>
      <c:layout/>
      <c:lineChart>
        <c:grouping val="standard"/>
        <c:varyColors val="0"/>
        <c:ser>
          <c:idx val="0"/>
          <c:order val="0"/>
          <c:tx>
            <c:strRef>
              <c:f>'[1]2'!$D$26</c:f>
              <c:strCache>
                <c:ptCount val="1"/>
                <c:pt idx="0">
                  <c:v>Porcentaje de atención de Quejas, Reclamos o sugerencias</c:v>
                </c:pt>
              </c:strCache>
            </c:strRef>
          </c:tx>
          <c:spPr>
            <a:effectLst>
              <a:outerShdw blurRad="40000" dist="23000" dir="5400000" rotWithShape="0">
                <a:srgbClr val="000000">
                  <a:alpha val="35000"/>
                </a:srgbClr>
              </a:outerShdw>
            </a:effectLst>
          </c:spPr>
          <c:marker>
            <c:symbol val="none"/>
          </c:marker>
          <c:cat>
            <c:strRef>
              <c:f>'[1]2'!$A$27:$A$38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'[1]2'!$D$27:$D$38</c:f>
              <c:numCache>
                <c:formatCode>General</c:formatCode>
                <c:ptCount val="12"/>
                <c:pt idx="0">
                  <c:v>0</c:v>
                </c:pt>
                <c:pt idx="1">
                  <c:v>0</c:v>
                </c:pt>
                <c:pt idx="2">
                  <c:v>1</c:v>
                </c:pt>
                <c:pt idx="3">
                  <c:v>0</c:v>
                </c:pt>
                <c:pt idx="4">
                  <c:v>1</c:v>
                </c:pt>
                <c:pt idx="5">
                  <c:v>0</c:v>
                </c:pt>
                <c:pt idx="6">
                  <c:v>0</c:v>
                </c:pt>
                <c:pt idx="7">
                  <c:v>1</c:v>
                </c:pt>
                <c:pt idx="8">
                  <c:v>0</c:v>
                </c:pt>
                <c:pt idx="9">
                  <c:v>0</c:v>
                </c:pt>
                <c:pt idx="10">
                  <c:v>1</c:v>
                </c:pt>
                <c:pt idx="11">
                  <c:v>0</c:v>
                </c:pt>
              </c:numCache>
            </c:numRef>
          </c:val>
          <c:smooth val="0"/>
          <c:extLst xmlns:c16r2="http://schemas.microsoft.com/office/drawing/2015/06/chart">
            <c:ext xmlns:c16="http://schemas.microsoft.com/office/drawing/2014/chart" uri="{C3380CC4-5D6E-409C-BE32-E72D297353CC}">
              <c16:uniqueId val="{00000000-A414-4539-9759-88A4264CAF88}"/>
            </c:ext>
          </c:extLst>
        </c:ser>
        <c:dLbls>
          <c:showLegendKey val="0"/>
          <c:showVal val="0"/>
          <c:showCatName val="0"/>
          <c:showSerName val="0"/>
          <c:showPercent val="0"/>
          <c:showBubbleSize val="0"/>
        </c:dLbls>
        <c:smooth val="0"/>
        <c:axId val="236687096"/>
        <c:axId val="236687488"/>
      </c:lineChart>
      <c:catAx>
        <c:axId val="2366870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7488"/>
        <c:crosses val="autoZero"/>
        <c:auto val="1"/>
        <c:lblAlgn val="ctr"/>
        <c:lblOffset val="100"/>
        <c:noMultiLvlLbl val="0"/>
      </c:catAx>
      <c:valAx>
        <c:axId val="236687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709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Cumplimiento de Especificaciones Técnicas </a:t>
            </a:r>
          </a:p>
        </c:rich>
      </c:tx>
      <c:layout>
        <c:manualLayout>
          <c:xMode val="edge"/>
          <c:yMode val="edge"/>
          <c:x val="0.15446361595208721"/>
          <c:y val="3.8668111900035322E-2"/>
        </c:manualLayout>
      </c:layout>
      <c:overlay val="0"/>
      <c:spPr>
        <a:noFill/>
        <a:ln>
          <a:noFill/>
        </a:ln>
        <a:effectLst/>
      </c:spPr>
    </c:title>
    <c:autoTitleDeleted val="0"/>
    <c:plotArea>
      <c:layout/>
      <c:lineChart>
        <c:grouping val="standard"/>
        <c:varyColors val="0"/>
        <c:ser>
          <c:idx val="0"/>
          <c:order val="0"/>
          <c:tx>
            <c:strRef>
              <c:f>'3'!$D$10</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xmlns:c16r2="http://schemas.microsoft.com/office/drawing/2015/06/chart">
            <c:ext xmlns:c16="http://schemas.microsoft.com/office/drawing/2014/chart" uri="{C3380CC4-5D6E-409C-BE32-E72D297353CC}">
              <c16:uniqueId val="{00000000-0E20-4D6B-B263-DE8D26369583}"/>
            </c:ext>
          </c:extLst>
        </c:ser>
        <c:dLbls>
          <c:showLegendKey val="0"/>
          <c:showVal val="0"/>
          <c:showCatName val="0"/>
          <c:showSerName val="0"/>
          <c:showPercent val="0"/>
          <c:showBubbleSize val="0"/>
        </c:dLbls>
        <c:smooth val="0"/>
        <c:axId val="236689056"/>
        <c:axId val="236682000"/>
      </c:lineChart>
      <c:catAx>
        <c:axId val="23668905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2000"/>
        <c:crosses val="autoZero"/>
        <c:auto val="1"/>
        <c:lblAlgn val="ctr"/>
        <c:lblOffset val="100"/>
        <c:noMultiLvlLbl val="0"/>
      </c:catAx>
      <c:valAx>
        <c:axId val="23668200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68905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Reportes de Tecnovigilancia</a:t>
            </a:r>
          </a:p>
        </c:rich>
      </c:tx>
      <c:layout/>
      <c:overlay val="0"/>
      <c:spPr>
        <a:noFill/>
        <a:ln>
          <a:noFill/>
        </a:ln>
        <a:effectLst/>
      </c:spPr>
    </c:title>
    <c:autoTitleDeleted val="0"/>
    <c:plotArea>
      <c:layout/>
      <c:lineChart>
        <c:grouping val="standard"/>
        <c:varyColors val="0"/>
        <c:ser>
          <c:idx val="0"/>
          <c:order val="0"/>
          <c:tx>
            <c:strRef>
              <c:f>'3'!$D$27</c:f>
              <c:strCache>
                <c:ptCount val="1"/>
                <c:pt idx="0">
                  <c:v>100%</c:v>
                </c:pt>
              </c:strCache>
            </c:strRef>
          </c:tx>
          <c:spPr>
            <a:effectLst>
              <a:outerShdw blurRad="40000" dist="23000" dir="5400000" rotWithShape="0">
                <a:srgbClr val="000000">
                  <a:alpha val="35000"/>
                </a:srgbClr>
              </a:outerShdw>
            </a:effectLst>
          </c:spPr>
          <c:marker>
            <c:symbol val="none"/>
          </c:marker>
          <c:cat>
            <c:strRef>
              <c:f>'3'!$A$28:$A$39</c:f>
              <c:strCache>
                <c:ptCount val="9"/>
                <c:pt idx="2">
                  <c:v>Abril - Junio</c:v>
                </c:pt>
                <c:pt idx="5">
                  <c:v>Julio - Septiembre</c:v>
                </c:pt>
                <c:pt idx="8">
                  <c:v>Octubre - Dicembre</c:v>
                </c:pt>
              </c:strCache>
            </c:strRef>
          </c:cat>
          <c:val>
            <c:numRef>
              <c:f>'3'!$D$28:$D$39</c:f>
              <c:numCache>
                <c:formatCode>0%</c:formatCode>
                <c:ptCount val="12"/>
                <c:pt idx="2">
                  <c:v>1</c:v>
                </c:pt>
                <c:pt idx="5">
                  <c:v>1</c:v>
                </c:pt>
                <c:pt idx="8">
                  <c:v>1</c:v>
                </c:pt>
              </c:numCache>
            </c:numRef>
          </c:val>
          <c:smooth val="0"/>
          <c:extLst xmlns:c16r2="http://schemas.microsoft.com/office/drawing/2015/06/chart">
            <c:ext xmlns:c16="http://schemas.microsoft.com/office/drawing/2014/chart" uri="{C3380CC4-5D6E-409C-BE32-E72D297353CC}">
              <c16:uniqueId val="{00000000-6F84-4BC4-AA89-7A9F18E32039}"/>
            </c:ext>
          </c:extLst>
        </c:ser>
        <c:dLbls>
          <c:showLegendKey val="0"/>
          <c:showVal val="0"/>
          <c:showCatName val="0"/>
          <c:showSerName val="0"/>
          <c:showPercent val="0"/>
          <c:showBubbleSize val="0"/>
        </c:dLbls>
        <c:smooth val="0"/>
        <c:axId val="236456264"/>
        <c:axId val="236458224"/>
      </c:lineChart>
      <c:catAx>
        <c:axId val="23645626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8224"/>
        <c:crosses val="autoZero"/>
        <c:auto val="1"/>
        <c:lblAlgn val="ctr"/>
        <c:lblOffset val="100"/>
        <c:noMultiLvlLbl val="0"/>
      </c:catAx>
      <c:valAx>
        <c:axId val="2364582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626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Cumplimiento de Especificaciones Técnicas </a:t>
            </a:r>
          </a:p>
        </c:rich>
      </c:tx>
      <c:layout>
        <c:manualLayout>
          <c:xMode val="edge"/>
          <c:yMode val="edge"/>
          <c:x val="0.15446361595208721"/>
          <c:y val="3.8668111900035322E-2"/>
        </c:manualLayout>
      </c:layout>
      <c:overlay val="0"/>
      <c:spPr>
        <a:noFill/>
        <a:ln>
          <a:noFill/>
        </a:ln>
        <a:effectLst/>
      </c:spPr>
    </c:title>
    <c:autoTitleDeleted val="0"/>
    <c:plotArea>
      <c:layout/>
      <c:lineChart>
        <c:grouping val="standard"/>
        <c:varyColors val="0"/>
        <c:ser>
          <c:idx val="0"/>
          <c:order val="0"/>
          <c:tx>
            <c:strRef>
              <c:f>'[1]3'!$D$10</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'[1]3'!$A$11:$A$22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'[1]3'!$D$11:$D$22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xmlns:c16r2="http://schemas.microsoft.com/office/drawing/2015/06/chart">
            <c:ext xmlns:c16="http://schemas.microsoft.com/office/drawing/2014/chart" uri="{C3380CC4-5D6E-409C-BE32-E72D297353CC}">
              <c16:uniqueId val="{00000000-0E20-4D6B-B263-DE8D26369583}"/>
            </c:ext>
          </c:extLst>
        </c:ser>
        <c:dLbls>
          <c:showLegendKey val="0"/>
          <c:showVal val="0"/>
          <c:showCatName val="0"/>
          <c:showSerName val="0"/>
          <c:showPercent val="0"/>
          <c:showBubbleSize val="0"/>
        </c:dLbls>
        <c:smooth val="0"/>
        <c:axId val="236453520"/>
        <c:axId val="236459008"/>
      </c:lineChart>
      <c:catAx>
        <c:axId val="23645352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9008"/>
        <c:crosses val="autoZero"/>
        <c:auto val="1"/>
        <c:lblAlgn val="ctr"/>
        <c:lblOffset val="100"/>
        <c:noMultiLvlLbl val="0"/>
      </c:catAx>
      <c:valAx>
        <c:axId val="2364590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352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Reportes de Tecnovigilancia</a:t>
            </a:r>
          </a:p>
        </c:rich>
      </c:tx>
      <c:layout/>
      <c:overlay val="0"/>
      <c:spPr>
        <a:noFill/>
        <a:ln>
          <a:noFill/>
        </a:ln>
        <a:effectLst/>
      </c:spPr>
    </c:title>
    <c:autoTitleDeleted val="0"/>
    <c:plotArea>
      <c:layout/>
      <c:lineChart>
        <c:grouping val="standard"/>
        <c:varyColors val="0"/>
        <c:ser>
          <c:idx val="0"/>
          <c:order val="0"/>
          <c:tx>
            <c:strRef>
              <c:f>'[1]3'!$D$26</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'[1]3'!$A$27:$A$38</c:f>
              <c:strCache>
                <c:ptCount val="12"/>
                <c:pt idx="0">
                  <c:v>Enero - Marzo</c:v>
                </c:pt>
                <c:pt idx="3">
                  <c:v>Abril - Junio</c:v>
                </c:pt>
                <c:pt idx="6">
                  <c:v>Julio - Septiembre</c:v>
                </c:pt>
                <c:pt idx="9">
                  <c:v>Octubre - Dicembre</c:v>
                </c:pt>
              </c:strCache>
            </c:strRef>
          </c:cat>
          <c:val>
            <c:numRef>
              <c:f>'[1]3'!$D$27:$D$38</c:f>
              <c:numCache>
                <c:formatCode>General</c:formatCode>
                <c:ptCount val="12"/>
                <c:pt idx="0">
                  <c:v>1</c:v>
                </c:pt>
                <c:pt idx="3">
                  <c:v>1</c:v>
                </c:pt>
                <c:pt idx="6">
                  <c:v>1</c:v>
                </c:pt>
                <c:pt idx="9">
                  <c:v>1</c:v>
                </c:pt>
              </c:numCache>
            </c:numRef>
          </c:val>
          <c:smooth val="0"/>
          <c:extLst xmlns:c16r2="http://schemas.microsoft.com/office/drawing/2015/06/chart">
            <c:ext xmlns:c16="http://schemas.microsoft.com/office/drawing/2014/chart" uri="{C3380CC4-5D6E-409C-BE32-E72D297353CC}">
              <c16:uniqueId val="{00000000-6F84-4BC4-AA89-7A9F18E32039}"/>
            </c:ext>
          </c:extLst>
        </c:ser>
        <c:dLbls>
          <c:showLegendKey val="0"/>
          <c:showVal val="0"/>
          <c:showCatName val="0"/>
          <c:showSerName val="0"/>
          <c:showPercent val="0"/>
          <c:showBubbleSize val="0"/>
        </c:dLbls>
        <c:smooth val="0"/>
        <c:axId val="236453912"/>
        <c:axId val="236453128"/>
      </c:lineChart>
      <c:catAx>
        <c:axId val="23645391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3128"/>
        <c:crosses val="autoZero"/>
        <c:auto val="1"/>
        <c:lblAlgn val="ctr"/>
        <c:lblOffset val="100"/>
        <c:noMultiLvlLbl val="0"/>
      </c:catAx>
      <c:valAx>
        <c:axId val="2364531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391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DE CUMPLIMIENTO PLANES DE ACCION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'4'!$D$10</c:f>
              <c:strCache>
                <c:ptCount val="1"/>
                <c:pt idx="0">
                  <c:v>% de Cumplimiento (100%)</c:v>
                </c:pt>
              </c:strCache>
            </c:strRef>
          </c:tx>
          <c:spPr>
            <a:solidFill>
              <a:schemeClr val="accent1"/>
            </a:solidFill>
            <a:ln>
              <a:noFill/>
            </a:ln>
            <a:effectLst/>
          </c:spPr>
          <c:invertIfNegative val="0"/>
          <c:cat>
            <c:strRef>
              <c:f>'4'!$A$11:$A$22</c:f>
              <c:strCache>
                <c:ptCount val="10"/>
                <c:pt idx="0">
                  <c:v>Enero - Marzo</c:v>
                </c:pt>
                <c:pt idx="3">
                  <c:v>Abril - Junio</c:v>
                </c:pt>
                <c:pt idx="6">
                  <c:v>Julio - Septiembre</c:v>
                </c:pt>
                <c:pt idx="9">
                  <c:v>Octubre - Dicembre</c:v>
                </c:pt>
              </c:strCache>
            </c:strRef>
          </c:cat>
          <c:val>
            <c:numRef>
              <c:f>'4'!$D$11:$D$22</c:f>
              <c:numCache>
                <c:formatCode>0%</c:formatCode>
                <c:ptCount val="12"/>
                <c:pt idx="0">
                  <c:v>1</c:v>
                </c:pt>
                <c:pt idx="3">
                  <c:v>1</c:v>
                </c:pt>
                <c:pt idx="6">
                  <c:v>1</c:v>
                </c:pt>
                <c:pt idx="9">
                  <c:v>0</c:v>
                </c:pt>
              </c:numCache>
            </c:numRef>
          </c:val>
        </c:ser>
        <c:dLbls>
          <c:showLegendKey val="0"/>
          <c:showVal val="0"/>
          <c:showCatName val="0"/>
          <c:showSerName val="0"/>
          <c:showPercent val="0"/>
          <c:showBubbleSize val="0"/>
        </c:dLbls>
        <c:gapWidth val="219"/>
        <c:overlap val="-27"/>
        <c:axId val="236458616"/>
        <c:axId val="236451560"/>
      </c:barChart>
      <c:catAx>
        <c:axId val="236458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6451560"/>
        <c:crosses val="autoZero"/>
        <c:auto val="1"/>
        <c:lblAlgn val="ctr"/>
        <c:lblOffset val="100"/>
        <c:noMultiLvlLbl val="0"/>
      </c:catAx>
      <c:valAx>
        <c:axId val="236451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6458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DE CUMPLIMIENTO PLANES DE ACCION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'[1]4'!$D$10</c:f>
              <c:strCache>
                <c:ptCount val="1"/>
                <c:pt idx="0">
                  <c:v>% de Cumplimiento (100%)</c:v>
                </c:pt>
              </c:strCache>
            </c:strRef>
          </c:tx>
          <c:spPr>
            <a:solidFill>
              <a:schemeClr val="accent1"/>
            </a:solidFill>
            <a:ln>
              <a:noFill/>
            </a:ln>
            <a:effectLst/>
          </c:spPr>
          <c:invertIfNegative val="0"/>
          <c:cat>
            <c:strRef>
              <c:f>'[1]4'!$A$11:$A$22</c:f>
              <c:strCache>
                <c:ptCount val="12"/>
                <c:pt idx="0">
                  <c:v>Enero - Marzo</c:v>
                </c:pt>
                <c:pt idx="3">
                  <c:v>Abril - Junio</c:v>
                </c:pt>
                <c:pt idx="6">
                  <c:v>Julio - Septiembre</c:v>
                </c:pt>
                <c:pt idx="9">
                  <c:v>Octubre - Dicembre</c:v>
                </c:pt>
              </c:strCache>
            </c:strRef>
          </c:cat>
          <c:val>
            <c:numRef>
              <c:f>'[1]4'!$D$11:$D$22</c:f>
              <c:numCache>
                <c:formatCode>General</c:formatCode>
                <c:ptCount val="12"/>
                <c:pt idx="0">
                  <c:v>1</c:v>
                </c:pt>
                <c:pt idx="3">
                  <c:v>1</c:v>
                </c:pt>
                <c:pt idx="6">
                  <c:v>1</c:v>
                </c:pt>
                <c:pt idx="9">
                  <c:v>0</c:v>
                </c:pt>
              </c:numCache>
            </c:numRef>
          </c:val>
        </c:ser>
        <c:dLbls>
          <c:showLegendKey val="0"/>
          <c:showVal val="0"/>
          <c:showCatName val="0"/>
          <c:showSerName val="0"/>
          <c:showPercent val="0"/>
          <c:showBubbleSize val="0"/>
        </c:dLbls>
        <c:gapWidth val="219"/>
        <c:overlap val="-27"/>
        <c:axId val="236457440"/>
        <c:axId val="236455480"/>
      </c:barChart>
      <c:catAx>
        <c:axId val="23645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6455480"/>
        <c:crosses val="autoZero"/>
        <c:auto val="1"/>
        <c:lblAlgn val="ctr"/>
        <c:lblOffset val="100"/>
        <c:noMultiLvlLbl val="0"/>
      </c:catAx>
      <c:valAx>
        <c:axId val="236455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6457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Presupuesto</a:t>
            </a:r>
          </a:p>
        </c:rich>
      </c:tx>
      <c:layout/>
      <c:overlay val="0"/>
      <c:spPr>
        <a:noFill/>
        <a:ln>
          <a:noFill/>
        </a:ln>
        <a:effectLst/>
      </c:spPr>
    </c:title>
    <c:autoTitleDeleted val="0"/>
    <c:plotArea>
      <c:layout/>
      <c:lineChart>
        <c:grouping val="standard"/>
        <c:varyColors val="0"/>
        <c:ser>
          <c:idx val="0"/>
          <c:order val="0"/>
          <c:tx>
            <c:strRef>
              <c:f>'5'!$D$10</c:f>
              <c:strCache>
                <c:ptCount val="1"/>
                <c:pt idx="0">
                  <c:v>% de Cumplimiento (&gt;90%)</c:v>
                </c:pt>
              </c:strCache>
            </c:strRef>
          </c:tx>
          <c:spPr>
            <a:effectLst>
              <a:outerShdw blurRad="40000" dist="23000" dir="5400000" rotWithShape="0">
                <a:srgbClr val="000000">
                  <a:alpha val="35000"/>
                </a:srgbClr>
              </a:outerShdw>
            </a:effectLst>
          </c:spPr>
          <c:marker>
            <c:symbol val="none"/>
          </c:marker>
          <c:cat>
            <c:strRef>
              <c:f>'5'!$A$11:$A$22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'5'!$D$11:$D$22</c:f>
              <c:numCache>
                <c:formatCode>0%</c:formatCode>
                <c:ptCount val="12"/>
                <c:pt idx="0">
                  <c:v>1.8489524800906934</c:v>
                </c:pt>
                <c:pt idx="1">
                  <c:v>1.5118150066458176</c:v>
                </c:pt>
                <c:pt idx="2">
                  <c:v>1.3305287939673585</c:v>
                </c:pt>
                <c:pt idx="3">
                  <c:v>1.0975338014380327</c:v>
                </c:pt>
                <c:pt idx="4">
                  <c:v>1.4060509129338514</c:v>
                </c:pt>
                <c:pt idx="5">
                  <c:v>1.1068359604582081</c:v>
                </c:pt>
                <c:pt idx="6">
                  <c:v>1.2981259903940061</c:v>
                </c:pt>
                <c:pt idx="7">
                  <c:v>1.2202304821786834</c:v>
                </c:pt>
                <c:pt idx="8">
                  <c:v>1.3101973921535364</c:v>
                </c:pt>
                <c:pt idx="9">
                  <c:v>1.1520153759035319</c:v>
                </c:pt>
                <c:pt idx="10">
                  <c:v>1.1191177226645892</c:v>
                </c:pt>
                <c:pt idx="11">
                  <c:v>0.80112960929669352</c:v>
                </c:pt>
              </c:numCache>
            </c:numRef>
          </c:val>
          <c:smooth val="0"/>
          <c:extLst xmlns:c16r2="http://schemas.microsoft.com/office/drawing/2015/06/chart">
            <c:ext xmlns:c16="http://schemas.microsoft.com/office/drawing/2014/chart" uri="{C3380CC4-5D6E-409C-BE32-E72D297353CC}">
              <c16:uniqueId val="{00000000-91E0-4DA0-8191-4C9F933E2F44}"/>
            </c:ext>
          </c:extLst>
        </c:ser>
        <c:dLbls>
          <c:showLegendKey val="0"/>
          <c:showVal val="0"/>
          <c:showCatName val="0"/>
          <c:showSerName val="0"/>
          <c:showPercent val="0"/>
          <c:showBubbleSize val="0"/>
        </c:dLbls>
        <c:smooth val="0"/>
        <c:axId val="236454304"/>
        <c:axId val="236452736"/>
      </c:lineChart>
      <c:catAx>
        <c:axId val="23645430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2736"/>
        <c:crosses val="autoZero"/>
        <c:auto val="1"/>
        <c:lblAlgn val="ctr"/>
        <c:lblOffset val="100"/>
        <c:noMultiLvlLbl val="0"/>
      </c:catAx>
      <c:valAx>
        <c:axId val="23645273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430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Cumplimiento de Facturación y Radicado</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'5'!$F$45</c:f>
              <c:strCache>
                <c:ptCount val="1"/>
                <c:pt idx="0">
                  <c:v>% de cumplimiento de facturación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'5'!$A$46:$A$57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'5'!$F$46:$F$57</c:f>
              <c:numCache>
                <c:formatCode>0%</c:formatCode>
                <c:ptCount val="12"/>
                <c:pt idx="0">
                  <c:v>1.0052020957515162</c:v>
                </c:pt>
                <c:pt idx="1">
                  <c:v>0.94493150269525306</c:v>
                </c:pt>
                <c:pt idx="2">
                  <c:v>1.3071061438763854</c:v>
                </c:pt>
                <c:pt idx="3">
                  <c:v>0.83199528844178117</c:v>
                </c:pt>
                <c:pt idx="4">
                  <c:v>0.99659984699542792</c:v>
                </c:pt>
                <c:pt idx="5">
                  <c:v>1.0376518515574604</c:v>
                </c:pt>
                <c:pt idx="6">
                  <c:v>0.93921546120517996</c:v>
                </c:pt>
                <c:pt idx="7">
                  <c:v>0.96539840520466191</c:v>
                </c:pt>
                <c:pt idx="8">
                  <c:v>1.0401505243860183</c:v>
                </c:pt>
                <c:pt idx="9">
                  <c:v>0.98306778075117351</c:v>
                </c:pt>
                <c:pt idx="10">
                  <c:v>0.979313028940481</c:v>
                </c:pt>
                <c:pt idx="11">
                  <c:v>1.0235049604260935</c:v>
                </c:pt>
              </c:numCache>
            </c:numRef>
          </c:val>
          <c:extLst xmlns:c16r2="http://schemas.microsoft.com/office/drawing/2015/06/chart">
            <c:ext xmlns:c16="http://schemas.microsoft.com/office/drawing/2014/chart" uri="{C3380CC4-5D6E-409C-BE32-E72D297353CC}">
              <c16:uniqueId val="{00000000-622A-4CAD-ADAF-1C31F48234DC}"/>
            </c:ext>
          </c:extLst>
        </c:ser>
        <c:ser>
          <c:idx val="1"/>
          <c:order val="1"/>
          <c:tx>
            <c:strRef>
              <c:f>'5'!$G$45</c:f>
              <c:strCache>
                <c:ptCount val="1"/>
                <c:pt idx="0">
                  <c:v>% de cumplimiento de radicado (&gt;95%)</c:v>
                </c:pt>
              </c:strCache>
            </c:strRef>
          </c:tx>
          <c:spPr>
            <a:solidFill>
              <a:schemeClr val="tx2">
                <a:lumMod val="75000"/>
              </a:schemeClr>
            </a:solidFill>
            <a:ln>
              <a:noFill/>
            </a:ln>
            <a:effectLst>
              <a:outerShdw blurRad="40000" dist="23000" dir="5400000" rotWithShape="0">
                <a:srgbClr val="000000">
                  <a:alpha val="35000"/>
                </a:srgbClr>
              </a:outerShdw>
            </a:effectLst>
            <a:sp3d/>
          </c:spPr>
          <c:invertIfNegative val="0"/>
          <c:cat>
            <c:strRef>
              <c:f>'5'!$A$46:$A$57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'5'!$G$46:$G$57</c:f>
              <c:numCache>
                <c:formatCode>0%</c:formatCode>
                <c:ptCount val="12"/>
                <c:pt idx="0">
                  <c:v>1.0568157580464883</c:v>
                </c:pt>
                <c:pt idx="1">
                  <c:v>0.98748076989160416</c:v>
                </c:pt>
                <c:pt idx="2">
                  <c:v>0.95391619249622583</c:v>
                </c:pt>
                <c:pt idx="3">
                  <c:v>1.0018322887396613</c:v>
                </c:pt>
                <c:pt idx="4">
                  <c:v>1.0499855491938941</c:v>
                </c:pt>
                <c:pt idx="5">
                  <c:v>0.99857940189011518</c:v>
                </c:pt>
                <c:pt idx="6">
                  <c:v>0.99136227556496181</c:v>
                </c:pt>
                <c:pt idx="7">
                  <c:v>0.83762435978255334</c:v>
                </c:pt>
                <c:pt idx="8">
                  <c:v>1.1834115553582252</c:v>
                </c:pt>
                <c:pt idx="9">
                  <c:v>0.99461449829216031</c:v>
                </c:pt>
                <c:pt idx="10">
                  <c:v>1.0048763583340654</c:v>
                </c:pt>
                <c:pt idx="11">
                  <c:v>0.93598675475324633</c:v>
                </c:pt>
              </c:numCache>
            </c:numRef>
          </c:val>
          <c:extLst xmlns:c16r2="http://schemas.microsoft.com/office/drawing/2015/06/chart">
            <c:ext xmlns:c16="http://schemas.microsoft.com/office/drawing/2014/chart" uri="{C3380CC4-5D6E-409C-BE32-E72D297353CC}">
              <c16:uniqueId val="{00000001-622A-4CAD-ADAF-1C31F48234DC}"/>
            </c:ext>
          </c:extLst>
        </c:ser>
        <c:dLbls>
          <c:showLegendKey val="0"/>
          <c:showVal val="0"/>
          <c:showCatName val="0"/>
          <c:showSerName val="0"/>
          <c:showPercent val="0"/>
          <c:showBubbleSize val="0"/>
        </c:dLbls>
        <c:gapWidth val="150"/>
        <c:shape val="box"/>
        <c:axId val="236455088"/>
        <c:axId val="238200960"/>
        <c:axId val="0"/>
      </c:bar3DChart>
      <c:catAx>
        <c:axId val="23645508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0960"/>
        <c:crosses val="autoZero"/>
        <c:auto val="1"/>
        <c:lblAlgn val="ctr"/>
        <c:lblOffset val="100"/>
        <c:noMultiLvlLbl val="0"/>
      </c:catAx>
      <c:valAx>
        <c:axId val="23820096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64550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a:t>
            </a:r>
            <a:r>
              <a:rPr lang="en-US"/>
              <a:t>Facturas Anuladas</a:t>
            </a:r>
          </a:p>
        </c:rich>
      </c:tx>
      <c:layout/>
      <c:overlay val="0"/>
      <c:spPr>
        <a:noFill/>
        <a:ln>
          <a:noFill/>
        </a:ln>
        <a:effectLst/>
      </c:spPr>
    </c:title>
    <c:autoTitleDeleted val="0"/>
    <c:plotArea>
      <c:layout/>
      <c:lineChart>
        <c:grouping val="standard"/>
        <c:varyColors val="0"/>
        <c:ser>
          <c:idx val="0"/>
          <c:order val="0"/>
          <c:tx>
            <c:strRef>
              <c:f>'5'!$D$78</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'5'!$A$79:$A$90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'5'!$D$79:$D$90</c:f>
              <c:numCache>
                <c:formatCode>0%</c:formatCode>
                <c:ptCount val="12"/>
                <c:pt idx="0">
                  <c:v>9.0157776108189328E-3</c:v>
                </c:pt>
                <c:pt idx="1">
                  <c:v>2.0895522388059702E-2</c:v>
                </c:pt>
                <c:pt idx="2">
                  <c:v>1.1054421768707483E-2</c:v>
                </c:pt>
                <c:pt idx="3">
                  <c:v>2.068519715578539E-2</c:v>
                </c:pt>
                <c:pt idx="4">
                  <c:v>1.4437689969604863E-2</c:v>
                </c:pt>
                <c:pt idx="5">
                  <c:v>1.0744435917114352E-2</c:v>
                </c:pt>
                <c:pt idx="6">
                  <c:v>1.3408609738884969E-2</c:v>
                </c:pt>
                <c:pt idx="7">
                  <c:v>8.7778528021607016E-3</c:v>
                </c:pt>
                <c:pt idx="8">
                  <c:v>3.927729772191673E-3</c:v>
                </c:pt>
                <c:pt idx="9">
                  <c:v>5.1357300073367569E-3</c:v>
                </c:pt>
                <c:pt idx="10">
                  <c:v>6.3875088715400997E-3</c:v>
                </c:pt>
                <c:pt idx="11">
                  <c:v>5.0071530758226037E-3</c:v>
                </c:pt>
              </c:numCache>
            </c:numRef>
          </c:val>
          <c:smooth val="0"/>
          <c:extLst xmlns:c16r2="http://schemas.microsoft.com/office/drawing/2015/06/char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238205272"/>
        <c:axId val="238201352"/>
      </c:lineChart>
      <c:catAx>
        <c:axId val="23820527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1352"/>
        <c:crosses val="autoZero"/>
        <c:auto val="1"/>
        <c:lblAlgn val="ctr"/>
        <c:lblOffset val="100"/>
        <c:noMultiLvlLbl val="0"/>
      </c:catAx>
      <c:valAx>
        <c:axId val="23820135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527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Facturas Glosadas</a:t>
            </a:r>
            <a:r>
              <a:rPr lang="en-US" baseline="0"/>
              <a:t> por EPS</a:t>
            </a:r>
            <a:endParaRPr lang="en-US"/>
          </a:p>
        </c:rich>
      </c:tx>
      <c:layout/>
      <c:overlay val="0"/>
      <c:spPr>
        <a:noFill/>
        <a:ln>
          <a:noFill/>
        </a:ln>
        <a:effectLst/>
      </c:spPr>
    </c:title>
    <c:autoTitleDeleted val="0"/>
    <c:plotArea>
      <c:layout/>
      <c:lineChart>
        <c:grouping val="standard"/>
        <c:varyColors val="0"/>
        <c:ser>
          <c:idx val="0"/>
          <c:order val="0"/>
          <c:tx>
            <c:strRef>
              <c:f>'5'!$D$94</c:f>
              <c:strCache>
                <c:ptCount val="1"/>
                <c:pt idx="0">
                  <c:v>% de Cumplimiento (&lt;30%)</c:v>
                </c:pt>
              </c:strCache>
            </c:strRef>
          </c:tx>
          <c:spPr>
            <a:effectLst>
              <a:outerShdw blurRad="40000" dist="23000" dir="5400000" rotWithShape="0">
                <a:srgbClr val="000000">
                  <a:alpha val="35000"/>
                </a:srgbClr>
              </a:outerShdw>
            </a:effectLst>
          </c:spPr>
          <c:marker>
            <c:symbol val="none"/>
          </c:marker>
          <c:cat>
            <c:strRef>
              <c:f>'5'!$A$95:$A$106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'5'!$D$95:$D$106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38BC-4E6D-ACB4-09A7F509E40F}"/>
            </c:ext>
          </c:extLst>
        </c:ser>
        <c:dLbls>
          <c:showLegendKey val="0"/>
          <c:showVal val="0"/>
          <c:showCatName val="0"/>
          <c:showSerName val="0"/>
          <c:showPercent val="0"/>
          <c:showBubbleSize val="0"/>
        </c:dLbls>
        <c:smooth val="0"/>
        <c:axId val="238206448"/>
        <c:axId val="238206056"/>
      </c:lineChart>
      <c:catAx>
        <c:axId val="2382064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6056"/>
        <c:crosses val="autoZero"/>
        <c:auto val="1"/>
        <c:lblAlgn val="ctr"/>
        <c:lblOffset val="100"/>
        <c:noMultiLvlLbl val="0"/>
      </c:catAx>
      <c:valAx>
        <c:axId val="23820605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644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Cotizaciones facturadas </a:t>
            </a:r>
            <a:endParaRPr lang="en-US"/>
          </a:p>
        </c:rich>
      </c:tx>
      <c:overlay val="0"/>
      <c:spPr>
        <a:noFill/>
        <a:ln>
          <a:noFill/>
        </a:ln>
        <a:effectLst/>
      </c:spPr>
    </c:title>
    <c:autoTitleDeleted val="0"/>
    <c:plotArea>
      <c:layout/>
      <c:lineChart>
        <c:grouping val="standard"/>
        <c:varyColors val="0"/>
        <c:ser>
          <c:idx val="0"/>
          <c:order val="0"/>
          <c:tx>
            <c:strRef>
              <c:f>'5'!$D$78</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'5'!$A$79:$A$90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'5'!$D$79:$D$90</c:f>
              <c:numCache>
                <c:formatCode>0%</c:formatCode>
                <c:ptCount val="12"/>
                <c:pt idx="0">
                  <c:v>9.0157776108189328E-3</c:v>
                </c:pt>
                <c:pt idx="1">
                  <c:v>2.0895522388059702E-2</c:v>
                </c:pt>
                <c:pt idx="2">
                  <c:v>1.1054421768707483E-2</c:v>
                </c:pt>
                <c:pt idx="3">
                  <c:v>2.068519715578539E-2</c:v>
                </c:pt>
                <c:pt idx="4">
                  <c:v>1.4437689969604863E-2</c:v>
                </c:pt>
                <c:pt idx="5">
                  <c:v>1.0744435917114352E-2</c:v>
                </c:pt>
                <c:pt idx="6">
                  <c:v>1.3408609738884969E-2</c:v>
                </c:pt>
                <c:pt idx="7">
                  <c:v>8.7778528021607016E-3</c:v>
                </c:pt>
                <c:pt idx="8">
                  <c:v>3.927729772191673E-3</c:v>
                </c:pt>
                <c:pt idx="9">
                  <c:v>5.1357300073367569E-3</c:v>
                </c:pt>
                <c:pt idx="10">
                  <c:v>6.3875088715400997E-3</c:v>
                </c:pt>
                <c:pt idx="11">
                  <c:v>5.0071530758226037E-3</c:v>
                </c:pt>
              </c:numCache>
            </c:numRef>
          </c:val>
          <c:smooth val="0"/>
          <c:extLst xmlns:c16r2="http://schemas.microsoft.com/office/drawing/2015/06/char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238199000"/>
        <c:axId val="238204096"/>
      </c:lineChart>
      <c:catAx>
        <c:axId val="23819900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4096"/>
        <c:crosses val="autoZero"/>
        <c:auto val="1"/>
        <c:lblAlgn val="ctr"/>
        <c:lblOffset val="100"/>
        <c:noMultiLvlLbl val="0"/>
      </c:catAx>
      <c:valAx>
        <c:axId val="23820409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19900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2000" b="1"/>
              <a:t>% de Utilidad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none"/>
          </c:marker>
          <c:cat>
            <c:strRef>
              <c:f>'5'!$A$28:$A$39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'5'!$F$28:$F$39</c:f>
              <c:numCache>
                <c:formatCode>0%</c:formatCode>
                <c:ptCount val="12"/>
                <c:pt idx="0">
                  <c:v>1.36232627948</c:v>
                </c:pt>
                <c:pt idx="1">
                  <c:v>1.6299052330699999</c:v>
                </c:pt>
                <c:pt idx="2">
                  <c:v>1.2958467618199998</c:v>
                </c:pt>
                <c:pt idx="3">
                  <c:v>1.985899877</c:v>
                </c:pt>
                <c:pt idx="4">
                  <c:v>1.60033633</c:v>
                </c:pt>
                <c:pt idx="5">
                  <c:v>1.481741821</c:v>
                </c:pt>
                <c:pt idx="6">
                  <c:v>1.6924407450000001</c:v>
                </c:pt>
                <c:pt idx="7">
                  <c:v>1.912227025</c:v>
                </c:pt>
                <c:pt idx="8">
                  <c:v>1.394061132</c:v>
                </c:pt>
                <c:pt idx="9">
                  <c:v>1.372460083</c:v>
                </c:pt>
                <c:pt idx="10">
                  <c:v>1.3655381040000001</c:v>
                </c:pt>
                <c:pt idx="11">
                  <c:v>1.1961620909999999</c:v>
                </c:pt>
              </c:numCache>
            </c:numRef>
          </c:val>
          <c:smooth val="0"/>
        </c:ser>
        <c:dLbls>
          <c:showLegendKey val="0"/>
          <c:showVal val="0"/>
          <c:showCatName val="0"/>
          <c:showSerName val="0"/>
          <c:showPercent val="0"/>
          <c:showBubbleSize val="0"/>
        </c:dLbls>
        <c:smooth val="0"/>
        <c:axId val="238199392"/>
        <c:axId val="238200176"/>
      </c:lineChart>
      <c:catAx>
        <c:axId val="2381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8200176"/>
        <c:crosses val="autoZero"/>
        <c:auto val="1"/>
        <c:lblAlgn val="ctr"/>
        <c:lblOffset val="100"/>
        <c:noMultiLvlLbl val="0"/>
      </c:catAx>
      <c:valAx>
        <c:axId val="238200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8199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Presupuesto</a:t>
            </a:r>
          </a:p>
        </c:rich>
      </c:tx>
      <c:layout/>
      <c:overlay val="0"/>
      <c:spPr>
        <a:noFill/>
        <a:ln>
          <a:noFill/>
        </a:ln>
        <a:effectLst/>
      </c:spPr>
    </c:title>
    <c:autoTitleDeleted val="0"/>
    <c:plotArea>
      <c:layout/>
      <c:lineChart>
        <c:grouping val="standard"/>
        <c:varyColors val="0"/>
        <c:ser>
          <c:idx val="0"/>
          <c:order val="0"/>
          <c:tx>
            <c:strRef>
              <c:f>'[1]5'!$D$10</c:f>
              <c:strCache>
                <c:ptCount val="1"/>
                <c:pt idx="0">
                  <c:v>% de Cumplimiento (&gt;90%)</c:v>
                </c:pt>
              </c:strCache>
            </c:strRef>
          </c:tx>
          <c:spPr>
            <a:effectLst>
              <a:outerShdw blurRad="40000" dist="23000" dir="5400000" rotWithShape="0">
                <a:srgbClr val="000000">
                  <a:alpha val="35000"/>
                </a:srgbClr>
              </a:outerShdw>
            </a:effectLst>
          </c:spPr>
          <c:marker>
            <c:symbol val="none"/>
          </c:marker>
          <c:cat>
            <c:strRef>
              <c:f>'[1]5'!$A$11:$A$22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'[1]5'!$D$11:$D$22</c:f>
              <c:numCache>
                <c:formatCode>General</c:formatCode>
                <c:ptCount val="12"/>
                <c:pt idx="0">
                  <c:v>1.8489524800906934</c:v>
                </c:pt>
                <c:pt idx="1">
                  <c:v>1.5118150066458176</c:v>
                </c:pt>
                <c:pt idx="2">
                  <c:v>1.3305287939673585</c:v>
                </c:pt>
                <c:pt idx="3">
                  <c:v>1.0975338014380327</c:v>
                </c:pt>
                <c:pt idx="4">
                  <c:v>1.4060509129338514</c:v>
                </c:pt>
                <c:pt idx="5">
                  <c:v>1.1068359604582081</c:v>
                </c:pt>
                <c:pt idx="6">
                  <c:v>1.2981259903940061</c:v>
                </c:pt>
                <c:pt idx="7">
                  <c:v>1.2202304821786834</c:v>
                </c:pt>
                <c:pt idx="8">
                  <c:v>1</c:v>
                </c:pt>
                <c:pt idx="9">
                  <c:v>1</c:v>
                </c:pt>
                <c:pt idx="10">
                  <c:v>1</c:v>
                </c:pt>
                <c:pt idx="11">
                  <c:v>1</c:v>
                </c:pt>
              </c:numCache>
            </c:numRef>
          </c:val>
          <c:smooth val="0"/>
          <c:extLst xmlns:c16r2="http://schemas.microsoft.com/office/drawing/2015/06/chart">
            <c:ext xmlns:c16="http://schemas.microsoft.com/office/drawing/2014/chart" uri="{C3380CC4-5D6E-409C-BE32-E72D297353CC}">
              <c16:uniqueId val="{00000000-91E0-4DA0-8191-4C9F933E2F44}"/>
            </c:ext>
          </c:extLst>
        </c:ser>
        <c:dLbls>
          <c:showLegendKey val="0"/>
          <c:showVal val="0"/>
          <c:showCatName val="0"/>
          <c:showSerName val="0"/>
          <c:showPercent val="0"/>
          <c:showBubbleSize val="0"/>
        </c:dLbls>
        <c:smooth val="0"/>
        <c:axId val="238200568"/>
        <c:axId val="238202920"/>
      </c:lineChart>
      <c:catAx>
        <c:axId val="23820056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2920"/>
        <c:crosses val="autoZero"/>
        <c:auto val="1"/>
        <c:lblAlgn val="ctr"/>
        <c:lblOffset val="100"/>
        <c:noMultiLvlLbl val="0"/>
      </c:catAx>
      <c:valAx>
        <c:axId val="2382029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056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Cumplimiento de Facturación y Radicado</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'[1]5'!$F$45</c:f>
              <c:strCache>
                <c:ptCount val="1"/>
                <c:pt idx="0">
                  <c:v>% de cumplimiento de facturación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'[1]5'!$A$46:$A$57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'[1]5'!$F$46:$F$57</c:f>
              <c:numCache>
                <c:formatCode>General</c:formatCode>
                <c:ptCount val="12"/>
                <c:pt idx="0">
                  <c:v>0.994824825999167</c:v>
                </c:pt>
                <c:pt idx="1">
                  <c:v>1.0582777663223986</c:v>
                </c:pt>
                <c:pt idx="2">
                  <c:v>0.76504881006402137</c:v>
                </c:pt>
                <c:pt idx="3">
                  <c:v>1.2019298833685341</c:v>
                </c:pt>
                <c:pt idx="4">
                  <c:v>1.0034117534884468</c:v>
                </c:pt>
                <c:pt idx="5">
                  <c:v>0.96371436961159285</c:v>
                </c:pt>
                <c:pt idx="6">
                  <c:v>1.0647184179834759</c:v>
                </c:pt>
                <c:pt idx="7">
                  <c:v>1.0358417774556015</c:v>
                </c:pt>
                <c:pt idx="8">
                  <c:v>0.96139931342175855</c:v>
                </c:pt>
                <c:pt idx="9">
                  <c:v>1.0172238573782657</c:v>
                </c:pt>
                <c:pt idx="10">
                  <c:v>1.0211239618469083</c:v>
                </c:pt>
                <c:pt idx="11">
                  <c:v>0.97703483487143228</c:v>
                </c:pt>
              </c:numCache>
            </c:numRef>
          </c:val>
          <c:extLst xmlns:c16r2="http://schemas.microsoft.com/office/drawing/2015/06/chart">
            <c:ext xmlns:c16="http://schemas.microsoft.com/office/drawing/2014/chart" uri="{C3380CC4-5D6E-409C-BE32-E72D297353CC}">
              <c16:uniqueId val="{00000000-622A-4CAD-ADAF-1C31F48234DC}"/>
            </c:ext>
          </c:extLst>
        </c:ser>
        <c:ser>
          <c:idx val="1"/>
          <c:order val="1"/>
          <c:tx>
            <c:strRef>
              <c:f>'[1]5'!$G$45</c:f>
              <c:strCache>
                <c:ptCount val="1"/>
                <c:pt idx="0">
                  <c:v>% de cumplimiento de radicado (&gt;95%)</c:v>
                </c:pt>
              </c:strCache>
            </c:strRef>
          </c:tx>
          <c:spPr>
            <a:solidFill>
              <a:schemeClr val="tx2">
                <a:lumMod val="75000"/>
              </a:schemeClr>
            </a:solidFill>
            <a:ln>
              <a:noFill/>
            </a:ln>
            <a:effectLst>
              <a:outerShdw blurRad="40000" dist="23000" dir="5400000" rotWithShape="0">
                <a:srgbClr val="000000">
                  <a:alpha val="35000"/>
                </a:srgbClr>
              </a:outerShdw>
            </a:effectLst>
            <a:sp3d/>
          </c:spPr>
          <c:invertIfNegative val="0"/>
          <c:cat>
            <c:strRef>
              <c:f>'[1]5'!$A$46:$A$57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'[1]5'!$G$46:$G$57</c:f>
              <c:numCache>
                <c:formatCode>General</c:formatCode>
                <c:ptCount val="12"/>
                <c:pt idx="0">
                  <c:v>1.0568157580464883</c:v>
                </c:pt>
                <c:pt idx="1">
                  <c:v>0.98748076989160416</c:v>
                </c:pt>
                <c:pt idx="2">
                  <c:v>0.95391619249622583</c:v>
                </c:pt>
                <c:pt idx="3">
                  <c:v>1.0018322887396613</c:v>
                </c:pt>
                <c:pt idx="4">
                  <c:v>1.0499855491938941</c:v>
                </c:pt>
                <c:pt idx="5">
                  <c:v>0.99857940189011518</c:v>
                </c:pt>
                <c:pt idx="6">
                  <c:v>0.99136227556496181</c:v>
                </c:pt>
                <c:pt idx="7">
                  <c:v>0.83762435978255334</c:v>
                </c:pt>
                <c:pt idx="8">
                  <c:v>1.1834115553582252</c:v>
                </c:pt>
                <c:pt idx="9">
                  <c:v>0.99461449829216031</c:v>
                </c:pt>
                <c:pt idx="10">
                  <c:v>1.0048763583340654</c:v>
                </c:pt>
                <c:pt idx="11">
                  <c:v>0.93598675475324633</c:v>
                </c:pt>
              </c:numCache>
            </c:numRef>
          </c:val>
          <c:extLst xmlns:c16r2="http://schemas.microsoft.com/office/drawing/2015/06/chart">
            <c:ext xmlns:c16="http://schemas.microsoft.com/office/drawing/2014/chart" uri="{C3380CC4-5D6E-409C-BE32-E72D297353CC}">
              <c16:uniqueId val="{00000001-622A-4CAD-ADAF-1C31F48234DC}"/>
            </c:ext>
          </c:extLst>
        </c:ser>
        <c:dLbls>
          <c:showLegendKey val="0"/>
          <c:showVal val="0"/>
          <c:showCatName val="0"/>
          <c:showSerName val="0"/>
          <c:showPercent val="0"/>
          <c:showBubbleSize val="0"/>
        </c:dLbls>
        <c:gapWidth val="150"/>
        <c:shape val="box"/>
        <c:axId val="238202528"/>
        <c:axId val="238203312"/>
        <c:axId val="0"/>
      </c:bar3DChart>
      <c:catAx>
        <c:axId val="23820252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3312"/>
        <c:crosses val="autoZero"/>
        <c:auto val="1"/>
        <c:lblAlgn val="ctr"/>
        <c:lblOffset val="100"/>
        <c:noMultiLvlLbl val="0"/>
      </c:catAx>
      <c:valAx>
        <c:axId val="2382033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2025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a:t>
            </a:r>
            <a:r>
              <a:rPr lang="en-US"/>
              <a:t>Facturas Anuladas</a:t>
            </a:r>
          </a:p>
        </c:rich>
      </c:tx>
      <c:layout/>
      <c:overlay val="0"/>
      <c:spPr>
        <a:noFill/>
        <a:ln>
          <a:noFill/>
        </a:ln>
        <a:effectLst/>
      </c:spPr>
    </c:title>
    <c:autoTitleDeleted val="0"/>
    <c:plotArea>
      <c:layout/>
      <c:lineChart>
        <c:grouping val="standard"/>
        <c:varyColors val="0"/>
        <c:ser>
          <c:idx val="0"/>
          <c:order val="0"/>
          <c:tx>
            <c:strRef>
              <c:f>'[1]5'!$D$78</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'[1]5'!$A$79:$A$90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'[1]5'!$D$79:$D$90</c:f>
              <c:numCache>
                <c:formatCode>General</c:formatCode>
                <c:ptCount val="12"/>
                <c:pt idx="0">
                  <c:v>9.0157776108189328E-3</c:v>
                </c:pt>
                <c:pt idx="1">
                  <c:v>2.0895522388059702E-2</c:v>
                </c:pt>
                <c:pt idx="2">
                  <c:v>1.1054421768707483E-2</c:v>
                </c:pt>
                <c:pt idx="3">
                  <c:v>2.068519715578539E-2</c:v>
                </c:pt>
                <c:pt idx="4">
                  <c:v>1.4437689969604863E-2</c:v>
                </c:pt>
                <c:pt idx="5">
                  <c:v>1.0744435917114352E-2</c:v>
                </c:pt>
                <c:pt idx="6">
                  <c:v>1.3408609738884969E-2</c:v>
                </c:pt>
                <c:pt idx="7">
                  <c:v>8.7778528021607016E-3</c:v>
                </c:pt>
                <c:pt idx="8">
                  <c:v>3.927729772191673E-3</c:v>
                </c:pt>
                <c:pt idx="9">
                  <c:v>5.1357300073367569E-3</c:v>
                </c:pt>
                <c:pt idx="10">
                  <c:v>6.3875088715400997E-3</c:v>
                </c:pt>
                <c:pt idx="11">
                  <c:v>5.0071530758226037E-3</c:v>
                </c:pt>
              </c:numCache>
            </c:numRef>
          </c:val>
          <c:smooth val="0"/>
          <c:extLst xmlns:c16r2="http://schemas.microsoft.com/office/drawing/2015/06/char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237656352"/>
        <c:axId val="237661448"/>
      </c:lineChart>
      <c:catAx>
        <c:axId val="23765635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61448"/>
        <c:crosses val="autoZero"/>
        <c:auto val="1"/>
        <c:lblAlgn val="ctr"/>
        <c:lblOffset val="100"/>
        <c:noMultiLvlLbl val="0"/>
      </c:catAx>
      <c:valAx>
        <c:axId val="237661448"/>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635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Facturas Glosadas</a:t>
            </a:r>
            <a:r>
              <a:rPr lang="en-US" baseline="0"/>
              <a:t> por EPS</a:t>
            </a:r>
            <a:endParaRPr lang="en-US"/>
          </a:p>
        </c:rich>
      </c:tx>
      <c:layout/>
      <c:overlay val="0"/>
      <c:spPr>
        <a:noFill/>
        <a:ln>
          <a:noFill/>
        </a:ln>
        <a:effectLst/>
      </c:spPr>
    </c:title>
    <c:autoTitleDeleted val="0"/>
    <c:plotArea>
      <c:layout/>
      <c:lineChart>
        <c:grouping val="standard"/>
        <c:varyColors val="0"/>
        <c:ser>
          <c:idx val="0"/>
          <c:order val="0"/>
          <c:tx>
            <c:strRef>
              <c:f>'[1]5'!$D$94</c:f>
              <c:strCache>
                <c:ptCount val="1"/>
                <c:pt idx="0">
                  <c:v>% de Cumplimiento (&lt;30%)</c:v>
                </c:pt>
              </c:strCache>
            </c:strRef>
          </c:tx>
          <c:spPr>
            <a:effectLst>
              <a:outerShdw blurRad="40000" dist="23000" dir="5400000" rotWithShape="0">
                <a:srgbClr val="000000">
                  <a:alpha val="35000"/>
                </a:srgbClr>
              </a:outerShdw>
            </a:effectLst>
          </c:spPr>
          <c:marker>
            <c:symbol val="none"/>
          </c:marker>
          <c:cat>
            <c:strRef>
              <c:f>'[1]5'!$A$95:$A$106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'[1]5'!$D$95:$D$106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38BC-4E6D-ACB4-09A7F509E40F}"/>
            </c:ext>
          </c:extLst>
        </c:ser>
        <c:dLbls>
          <c:showLegendKey val="0"/>
          <c:showVal val="0"/>
          <c:showCatName val="0"/>
          <c:showSerName val="0"/>
          <c:showPercent val="0"/>
          <c:showBubbleSize val="0"/>
        </c:dLbls>
        <c:smooth val="0"/>
        <c:axId val="237659488"/>
        <c:axId val="237659880"/>
      </c:lineChart>
      <c:catAx>
        <c:axId val="23765948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9880"/>
        <c:crosses val="autoZero"/>
        <c:auto val="1"/>
        <c:lblAlgn val="ctr"/>
        <c:lblOffset val="100"/>
        <c:noMultiLvlLbl val="0"/>
      </c:catAx>
      <c:valAx>
        <c:axId val="23765988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948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Cotizaciones facturadas </a:t>
            </a:r>
            <a:endParaRPr lang="en-US"/>
          </a:p>
        </c:rich>
      </c:tx>
      <c:overlay val="0"/>
      <c:spPr>
        <a:noFill/>
        <a:ln>
          <a:noFill/>
        </a:ln>
        <a:effectLst/>
      </c:spPr>
    </c:title>
    <c:autoTitleDeleted val="0"/>
    <c:plotArea>
      <c:layout/>
      <c:lineChart>
        <c:grouping val="standard"/>
        <c:varyColors val="0"/>
        <c:ser>
          <c:idx val="0"/>
          <c:order val="0"/>
          <c:tx>
            <c:strRef>
              <c:f>'[1]5'!$D$78</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'[1]5'!$A$79:$A$90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'[1]5'!$D$79:$D$90</c:f>
              <c:numCache>
                <c:formatCode>General</c:formatCode>
                <c:ptCount val="12"/>
                <c:pt idx="0">
                  <c:v>9.0157776108189328E-3</c:v>
                </c:pt>
                <c:pt idx="1">
                  <c:v>2.0895522388059702E-2</c:v>
                </c:pt>
                <c:pt idx="2">
                  <c:v>1.1054421768707483E-2</c:v>
                </c:pt>
                <c:pt idx="3">
                  <c:v>2.068519715578539E-2</c:v>
                </c:pt>
                <c:pt idx="4">
                  <c:v>1.4437689969604863E-2</c:v>
                </c:pt>
                <c:pt idx="5">
                  <c:v>1.0744435917114352E-2</c:v>
                </c:pt>
                <c:pt idx="6">
                  <c:v>1.3408609738884969E-2</c:v>
                </c:pt>
                <c:pt idx="7">
                  <c:v>8.7778528021607016E-3</c:v>
                </c:pt>
                <c:pt idx="8">
                  <c:v>3.927729772191673E-3</c:v>
                </c:pt>
                <c:pt idx="9">
                  <c:v>5.1357300073367569E-3</c:v>
                </c:pt>
                <c:pt idx="10">
                  <c:v>6.3875088715400997E-3</c:v>
                </c:pt>
                <c:pt idx="11">
                  <c:v>5.0071530758226037E-3</c:v>
                </c:pt>
              </c:numCache>
            </c:numRef>
          </c:val>
          <c:smooth val="0"/>
          <c:extLst xmlns:c16r2="http://schemas.microsoft.com/office/drawing/2015/06/char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237660272"/>
        <c:axId val="237655176"/>
      </c:lineChart>
      <c:catAx>
        <c:axId val="23766027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5176"/>
        <c:crosses val="autoZero"/>
        <c:auto val="1"/>
        <c:lblAlgn val="ctr"/>
        <c:lblOffset val="100"/>
        <c:noMultiLvlLbl val="0"/>
      </c:catAx>
      <c:valAx>
        <c:axId val="23765517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6027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2000" b="1"/>
              <a:t>% de Utilidad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none"/>
          </c:marker>
          <c:cat>
            <c:strRef>
              <c:f>'[1]5'!$A$28:$A$39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'[1]5'!$F$28:$F$39</c:f>
              <c:numCache>
                <c:formatCode>General</c:formatCode>
                <c:ptCount val="12"/>
                <c:pt idx="0">
                  <c:v>1.36232627948</c:v>
                </c:pt>
                <c:pt idx="1">
                  <c:v>1.6299052330699999</c:v>
                </c:pt>
                <c:pt idx="2">
                  <c:v>1.2958467618199998</c:v>
                </c:pt>
                <c:pt idx="3">
                  <c:v>1.985899877</c:v>
                </c:pt>
                <c:pt idx="4">
                  <c:v>1.60033633</c:v>
                </c:pt>
                <c:pt idx="5">
                  <c:v>1.481741821</c:v>
                </c:pt>
                <c:pt idx="6">
                  <c:v>1.6924407450000001</c:v>
                </c:pt>
                <c:pt idx="7">
                  <c:v>1.912227025</c:v>
                </c:pt>
                <c:pt idx="8">
                  <c:v>1.394061132</c:v>
                </c:pt>
                <c:pt idx="9">
                  <c:v>1.372460083</c:v>
                </c:pt>
                <c:pt idx="10">
                  <c:v>1.3655381040000001</c:v>
                </c:pt>
                <c:pt idx="11">
                  <c:v>1.1961620909999999</c:v>
                </c:pt>
              </c:numCache>
            </c:numRef>
          </c:val>
          <c:smooth val="0"/>
        </c:ser>
        <c:dLbls>
          <c:showLegendKey val="0"/>
          <c:showVal val="0"/>
          <c:showCatName val="0"/>
          <c:showSerName val="0"/>
          <c:showPercent val="0"/>
          <c:showBubbleSize val="0"/>
        </c:dLbls>
        <c:smooth val="0"/>
        <c:axId val="237658312"/>
        <c:axId val="237660664"/>
      </c:lineChart>
      <c:catAx>
        <c:axId val="237658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7660664"/>
        <c:crosses val="autoZero"/>
        <c:auto val="1"/>
        <c:lblAlgn val="ctr"/>
        <c:lblOffset val="100"/>
        <c:noMultiLvlLbl val="0"/>
      </c:catAx>
      <c:valAx>
        <c:axId val="237660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37658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Ejecución del Programa de Capacitación</a:t>
            </a:r>
          </a:p>
        </c:rich>
      </c:tx>
      <c:layout/>
      <c:overlay val="0"/>
      <c:spPr>
        <a:noFill/>
        <a:ln>
          <a:noFill/>
        </a:ln>
        <a:effectLst/>
      </c:spPr>
    </c:title>
    <c:autoTitleDeleted val="0"/>
    <c:plotArea>
      <c:layout/>
      <c:lineChart>
        <c:grouping val="standard"/>
        <c:varyColors val="0"/>
        <c:ser>
          <c:idx val="0"/>
          <c:order val="0"/>
          <c:tx>
            <c:strRef>
              <c:f>'6'!$D$10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1</c:v>
                </c:pt>
                <c:pt idx="1">
                  <c:v>0.8571428571428571</c:v>
                </c:pt>
                <c:pt idx="2">
                  <c:v>0.8571428571428571</c:v>
                </c:pt>
                <c:pt idx="3">
                  <c:v>0.8571428571428571</c:v>
                </c:pt>
                <c:pt idx="4">
                  <c:v>1</c:v>
                </c:pt>
                <c:pt idx="5">
                  <c:v>0.8</c:v>
                </c:pt>
                <c:pt idx="6">
                  <c:v>1</c:v>
                </c:pt>
                <c:pt idx="7">
                  <c:v>1</c:v>
                </c:pt>
                <c:pt idx="8">
                  <c:v>1</c:v>
                </c:pt>
                <c:pt idx="9">
                  <c:v>1</c:v>
                </c:pt>
                <c:pt idx="10">
                  <c:v>1</c:v>
                </c:pt>
                <c:pt idx="11">
                  <c:v>1</c:v>
                </c:pt>
              </c:numCache>
            </c:numRef>
          </c:val>
          <c:smooth val="0"/>
          <c:extLst xmlns:c16r2="http://schemas.microsoft.com/office/drawing/2015/06/chart">
            <c:ext xmlns:c16="http://schemas.microsoft.com/office/drawing/2014/chart" uri="{C3380CC4-5D6E-409C-BE32-E72D297353CC}">
              <c16:uniqueId val="{00000000-0ED1-4D89-A03A-20BD07AF26DF}"/>
            </c:ext>
          </c:extLst>
        </c:ser>
        <c:dLbls>
          <c:showLegendKey val="0"/>
          <c:showVal val="0"/>
          <c:showCatName val="0"/>
          <c:showSerName val="0"/>
          <c:showPercent val="0"/>
          <c:showBubbleSize val="0"/>
        </c:dLbls>
        <c:smooth val="0"/>
        <c:axId val="237655960"/>
        <c:axId val="237657528"/>
      </c:lineChart>
      <c:catAx>
        <c:axId val="23765596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7528"/>
        <c:crosses val="autoZero"/>
        <c:auto val="1"/>
        <c:lblAlgn val="ctr"/>
        <c:lblOffset val="100"/>
        <c:noMultiLvlLbl val="0"/>
      </c:catAx>
      <c:valAx>
        <c:axId val="23765752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596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Ejecución del Programa de Capacitación</a:t>
            </a:r>
          </a:p>
        </c:rich>
      </c:tx>
      <c:layout/>
      <c:overlay val="0"/>
      <c:spPr>
        <a:noFill/>
        <a:ln>
          <a:noFill/>
        </a:ln>
        <a:effectLst/>
      </c:spPr>
    </c:title>
    <c:autoTitleDeleted val="0"/>
    <c:plotArea>
      <c:layout/>
      <c:lineChart>
        <c:grouping val="standard"/>
        <c:varyColors val="0"/>
        <c:ser>
          <c:idx val="0"/>
          <c:order val="0"/>
          <c:tx>
            <c:strRef>
              <c:f>'[1]6'!$D$10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'[1]6'!$A$11:$A$22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'[1]6'!$D$11:$D$22</c:f>
              <c:numCache>
                <c:formatCode>General</c:formatCode>
                <c:ptCount val="12"/>
                <c:pt idx="0">
                  <c:v>1</c:v>
                </c:pt>
                <c:pt idx="1">
                  <c:v>0.8571428571428571</c:v>
                </c:pt>
                <c:pt idx="2">
                  <c:v>0.8571428571428571</c:v>
                </c:pt>
                <c:pt idx="3">
                  <c:v>0.8571428571428571</c:v>
                </c:pt>
                <c:pt idx="4">
                  <c:v>1</c:v>
                </c:pt>
                <c:pt idx="5">
                  <c:v>0.8</c:v>
                </c:pt>
                <c:pt idx="6">
                  <c:v>1</c:v>
                </c:pt>
                <c:pt idx="7">
                  <c:v>1</c:v>
                </c:pt>
                <c:pt idx="8">
                  <c:v>1</c:v>
                </c:pt>
                <c:pt idx="9">
                  <c:v>1</c:v>
                </c:pt>
                <c:pt idx="10">
                  <c:v>1</c:v>
                </c:pt>
                <c:pt idx="11">
                  <c:v>1</c:v>
                </c:pt>
              </c:numCache>
            </c:numRef>
          </c:val>
          <c:smooth val="0"/>
          <c:extLst xmlns:c16r2="http://schemas.microsoft.com/office/drawing/2015/06/chart">
            <c:ext xmlns:c16="http://schemas.microsoft.com/office/drawing/2014/chart" uri="{C3380CC4-5D6E-409C-BE32-E72D297353CC}">
              <c16:uniqueId val="{00000000-0ED1-4D89-A03A-20BD07AF26DF}"/>
            </c:ext>
          </c:extLst>
        </c:ser>
        <c:dLbls>
          <c:showLegendKey val="0"/>
          <c:showVal val="0"/>
          <c:showCatName val="0"/>
          <c:showSerName val="0"/>
          <c:showPercent val="0"/>
          <c:showBubbleSize val="0"/>
        </c:dLbls>
        <c:smooth val="0"/>
        <c:axId val="237658704"/>
        <c:axId val="237659096"/>
      </c:lineChart>
      <c:catAx>
        <c:axId val="23765870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9096"/>
        <c:crosses val="autoZero"/>
        <c:auto val="1"/>
        <c:lblAlgn val="ctr"/>
        <c:lblOffset val="100"/>
        <c:noMultiLvlLbl val="0"/>
      </c:catAx>
      <c:valAx>
        <c:axId val="2376590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870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Proveedores</a:t>
            </a:r>
          </a:p>
        </c:rich>
      </c:tx>
      <c:layout/>
      <c:overlay val="0"/>
      <c:spPr>
        <a:noFill/>
        <a:ln>
          <a:noFill/>
        </a:ln>
        <a:effectLst/>
      </c:spPr>
    </c:title>
    <c:autoTitleDeleted val="0"/>
    <c:plotArea>
      <c:layout/>
      <c:lineChart>
        <c:grouping val="standard"/>
        <c:varyColors val="0"/>
        <c:ser>
          <c:idx val="2"/>
          <c:order val="0"/>
          <c:tx>
            <c:strRef>
              <c:f>'7'!$D$10</c:f>
              <c:strCache>
                <c:ptCount val="1"/>
                <c:pt idx="0">
                  <c:v>Calificación (&gt;95)</c:v>
                </c:pt>
              </c:strCache>
            </c:strRef>
          </c:tx>
          <c:spPr>
            <a:effectLst>
              <a:outerShdw blurRad="40000" dist="23000" dir="5400000" rotWithShape="0">
                <a:srgbClr val="000000">
                  <a:alpha val="35000"/>
                </a:srgbClr>
              </a:outerShdw>
            </a:effectLst>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99.875</c:v>
                </c:pt>
                <c:pt idx="1">
                  <c:v>97.277777777777771</c:v>
                </c:pt>
                <c:pt idx="2">
                  <c:v>97.35</c:v>
                </c:pt>
                <c:pt idx="3">
                  <c:v>97.45</c:v>
                </c:pt>
                <c:pt idx="4">
                  <c:v>97.9</c:v>
                </c:pt>
                <c:pt idx="5">
                  <c:v>97.055555555555557</c:v>
                </c:pt>
                <c:pt idx="6">
                  <c:v>95.8</c:v>
                </c:pt>
                <c:pt idx="7">
                  <c:v>96.368421052631575</c:v>
                </c:pt>
                <c:pt idx="8">
                  <c:v>97</c:v>
                </c:pt>
                <c:pt idx="9">
                  <c:v>97.235294117647058</c:v>
                </c:pt>
                <c:pt idx="10">
                  <c:v>97.45</c:v>
                </c:pt>
                <c:pt idx="11">
                  <c:v>98.05263157894737</c:v>
                </c:pt>
              </c:numCache>
            </c:numRef>
          </c:val>
          <c:smooth val="0"/>
          <c:extLst xmlns:c16r2="http://schemas.microsoft.com/office/drawing/2015/06/chart">
            <c:ext xmlns:c16="http://schemas.microsoft.com/office/drawing/2014/chart" uri="{C3380CC4-5D6E-409C-BE32-E72D297353CC}">
              <c16:uniqueId val="{00000000-CB57-47AB-B38C-70315533733B}"/>
            </c:ext>
          </c:extLst>
        </c:ser>
        <c:dLbls>
          <c:showLegendKey val="0"/>
          <c:showVal val="0"/>
          <c:showCatName val="0"/>
          <c:showSerName val="0"/>
          <c:showPercent val="0"/>
          <c:showBubbleSize val="0"/>
        </c:dLbls>
        <c:smooth val="0"/>
        <c:axId val="237654000"/>
        <c:axId val="237654784"/>
      </c:lineChart>
      <c:catAx>
        <c:axId val="23765400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4784"/>
        <c:crosses val="autoZero"/>
        <c:auto val="1"/>
        <c:lblAlgn val="ctr"/>
        <c:lblOffset val="100"/>
        <c:noMultiLvlLbl val="0"/>
      </c:catAx>
      <c:valAx>
        <c:axId val="23765478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65400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Proveedores</a:t>
            </a:r>
          </a:p>
        </c:rich>
      </c:tx>
      <c:layout/>
      <c:overlay val="0"/>
      <c:spPr>
        <a:noFill/>
        <a:ln>
          <a:noFill/>
        </a:ln>
        <a:effectLst/>
      </c:spPr>
    </c:title>
    <c:autoTitleDeleted val="0"/>
    <c:plotArea>
      <c:layout/>
      <c:lineChart>
        <c:grouping val="standard"/>
        <c:varyColors val="0"/>
        <c:ser>
          <c:idx val="2"/>
          <c:order val="0"/>
          <c:tx>
            <c:strRef>
              <c:f>'[1]7'!$D$10</c:f>
              <c:strCache>
                <c:ptCount val="1"/>
                <c:pt idx="0">
                  <c:v>Calificación (&gt;95)</c:v>
                </c:pt>
              </c:strCache>
            </c:strRef>
          </c:tx>
          <c:spPr>
            <a:effectLst>
              <a:outerShdw blurRad="40000" dist="23000" dir="5400000" rotWithShape="0">
                <a:srgbClr val="000000">
                  <a:alpha val="35000"/>
                </a:srgbClr>
              </a:outerShdw>
            </a:effectLst>
          </c:spPr>
          <c:marker>
            <c:symbol val="none"/>
          </c:marker>
          <c:cat>
            <c:strRef>
              <c:f>'[1]7'!$A$11:$A$22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'[1]7'!$D$11:$D$22</c:f>
              <c:numCache>
                <c:formatCode>General</c:formatCode>
                <c:ptCount val="12"/>
                <c:pt idx="0">
                  <c:v>99.875</c:v>
                </c:pt>
                <c:pt idx="1">
                  <c:v>97.277777777777771</c:v>
                </c:pt>
                <c:pt idx="2">
                  <c:v>97.35</c:v>
                </c:pt>
                <c:pt idx="3">
                  <c:v>97.45</c:v>
                </c:pt>
                <c:pt idx="4">
                  <c:v>97.9</c:v>
                </c:pt>
                <c:pt idx="5">
                  <c:v>97.055555555555557</c:v>
                </c:pt>
                <c:pt idx="6">
                  <c:v>95.8</c:v>
                </c:pt>
                <c:pt idx="7">
                  <c:v>96.368421052631575</c:v>
                </c:pt>
                <c:pt idx="8">
                  <c:v>97</c:v>
                </c:pt>
                <c:pt idx="9">
                  <c:v>97.235294117647058</c:v>
                </c:pt>
                <c:pt idx="10">
                  <c:v>97.45</c:v>
                </c:pt>
                <c:pt idx="11">
                  <c:v>98.05263157894737</c:v>
                </c:pt>
              </c:numCache>
            </c:numRef>
          </c:val>
          <c:smooth val="0"/>
          <c:extLst xmlns:c16r2="http://schemas.microsoft.com/office/drawing/2015/06/chart">
            <c:ext xmlns:c16="http://schemas.microsoft.com/office/drawing/2014/chart" uri="{C3380CC4-5D6E-409C-BE32-E72D297353CC}">
              <c16:uniqueId val="{00000000-CB57-47AB-B38C-70315533733B}"/>
            </c:ext>
          </c:extLst>
        </c:ser>
        <c:dLbls>
          <c:showLegendKey val="0"/>
          <c:showVal val="0"/>
          <c:showCatName val="0"/>
          <c:showSerName val="0"/>
          <c:showPercent val="0"/>
          <c:showBubbleSize val="0"/>
        </c:dLbls>
        <c:smooth val="0"/>
        <c:axId val="238756680"/>
        <c:axId val="238759424"/>
      </c:lineChart>
      <c:catAx>
        <c:axId val="23875668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759424"/>
        <c:crosses val="autoZero"/>
        <c:auto val="1"/>
        <c:lblAlgn val="ctr"/>
        <c:lblOffset val="100"/>
        <c:noMultiLvlLbl val="0"/>
      </c:catAx>
      <c:valAx>
        <c:axId val="2387594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875668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s-CO"/>
              <a:t>Satisfacción del cliente</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s-CO"/>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'8'!$A$11:$A$22</c:f>
              <c:strCache>
                <c:ptCount val="7"/>
                <c:pt idx="0">
                  <c:v>Primer Semestre</c:v>
                </c:pt>
                <c:pt idx="6">
                  <c:v>Segundo Semestre</c:v>
                </c:pt>
              </c:strCache>
            </c:strRef>
          </c:cat>
          <c:val>
            <c:numRef>
              <c:f>'8'!$D$11:$D$22</c:f>
              <c:numCache>
                <c:formatCode>0.0</c:formatCode>
                <c:ptCount val="12"/>
                <c:pt idx="0">
                  <c:v>4.7</c:v>
                </c:pt>
                <c:pt idx="6">
                  <c:v>4.5640000000000001</c:v>
                </c:pt>
              </c:numCache>
            </c:numRef>
          </c:val>
        </c:ser>
        <c:dLbls>
          <c:dLblPos val="inEnd"/>
          <c:showLegendKey val="0"/>
          <c:showVal val="1"/>
          <c:showCatName val="0"/>
          <c:showSerName val="0"/>
          <c:showPercent val="0"/>
          <c:showBubbleSize val="0"/>
        </c:dLbls>
        <c:gapWidth val="41"/>
        <c:axId val="238757072"/>
        <c:axId val="238755112"/>
      </c:barChart>
      <c:catAx>
        <c:axId val="238757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s-CO"/>
          </a:p>
        </c:txPr>
        <c:crossAx val="238755112"/>
        <c:crosses val="autoZero"/>
        <c:auto val="1"/>
        <c:lblAlgn val="ctr"/>
        <c:lblOffset val="100"/>
        <c:noMultiLvlLbl val="0"/>
      </c:catAx>
      <c:valAx>
        <c:axId val="238755112"/>
        <c:scaling>
          <c:orientation val="minMax"/>
        </c:scaling>
        <c:delete val="1"/>
        <c:axPos val="l"/>
        <c:numFmt formatCode="0.0" sourceLinked="1"/>
        <c:majorTickMark val="none"/>
        <c:minorTickMark val="none"/>
        <c:tickLblPos val="nextTo"/>
        <c:crossAx val="23875707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s-CO"/>
              <a:t>Satisfacción del cliente</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s-CO"/>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'[1]8'!$A$11:$A$22</c:f>
              <c:strCache>
                <c:ptCount val="12"/>
                <c:pt idx="0">
                  <c:v>Primer Semestre</c:v>
                </c:pt>
                <c:pt idx="6">
                  <c:v>Segundo Semestre</c:v>
                </c:pt>
              </c:strCache>
            </c:strRef>
          </c:cat>
          <c:val>
            <c:numRef>
              <c:f>'[1]8'!$D$11:$D$22</c:f>
              <c:numCache>
                <c:formatCode>General</c:formatCode>
                <c:ptCount val="12"/>
                <c:pt idx="0">
                  <c:v>4.7</c:v>
                </c:pt>
                <c:pt idx="6">
                  <c:v>4.5640000000000001</c:v>
                </c:pt>
              </c:numCache>
            </c:numRef>
          </c:val>
        </c:ser>
        <c:dLbls>
          <c:dLblPos val="inEnd"/>
          <c:showLegendKey val="0"/>
          <c:showVal val="1"/>
          <c:showCatName val="0"/>
          <c:showSerName val="0"/>
          <c:showPercent val="0"/>
          <c:showBubbleSize val="0"/>
        </c:dLbls>
        <c:gapWidth val="41"/>
        <c:axId val="238762560"/>
        <c:axId val="238755504"/>
      </c:barChart>
      <c:catAx>
        <c:axId val="23876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s-CO"/>
          </a:p>
        </c:txPr>
        <c:crossAx val="238755504"/>
        <c:crosses val="autoZero"/>
        <c:auto val="1"/>
        <c:lblAlgn val="ctr"/>
        <c:lblOffset val="100"/>
        <c:noMultiLvlLbl val="0"/>
      </c:catAx>
      <c:valAx>
        <c:axId val="238755504"/>
        <c:scaling>
          <c:orientation val="minMax"/>
        </c:scaling>
        <c:delete val="1"/>
        <c:axPos val="l"/>
        <c:numFmt formatCode="General" sourceLinked="1"/>
        <c:majorTickMark val="none"/>
        <c:minorTickMark val="none"/>
        <c:tickLblPos val="nextTo"/>
        <c:crossAx val="23876256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3" Type="http://schemas.openxmlformats.org/officeDocument/2006/relationships/chart" Target="../charts/chart17.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image" Target="../media/image2.jpeg"/><Relationship Id="rId10" Type="http://schemas.openxmlformats.org/officeDocument/2006/relationships/chart" Target="../charts/chart23.xml"/><Relationship Id="rId4" Type="http://schemas.openxmlformats.org/officeDocument/2006/relationships/chart" Target="../charts/chart18.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image" Target="../media/image2.jpeg"/><Relationship Id="rId1"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image" Target="../media/image2.jpeg"/><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42335</xdr:colOff>
      <xdr:row>9</xdr:row>
      <xdr:rowOff>15850</xdr:rowOff>
    </xdr:from>
    <xdr:to>
      <xdr:col>9</xdr:col>
      <xdr:colOff>703613</xdr:colOff>
      <xdr:row>21</xdr:row>
      <xdr:rowOff>142850</xdr:rowOff>
    </xdr:to>
    <xdr:graphicFrame macro="">
      <xdr:nvGraphicFramePr>
        <xdr:cNvPr id="3" name="2 Gráfico">
          <a:extLst>
            <a:ext uri="{FF2B5EF4-FFF2-40B4-BE49-F238E27FC236}">
              <a16:creationId xmlns=""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27</xdr:row>
      <xdr:rowOff>42334</xdr:rowOff>
    </xdr:from>
    <xdr:to>
      <xdr:col>9</xdr:col>
      <xdr:colOff>687917</xdr:colOff>
      <xdr:row>40</xdr:row>
      <xdr:rowOff>10584</xdr:rowOff>
    </xdr:to>
    <xdr:graphicFrame macro="">
      <xdr:nvGraphicFramePr>
        <xdr:cNvPr id="5" name="4 Gráfico">
          <a:extLst>
            <a:ext uri="{FF2B5EF4-FFF2-40B4-BE49-F238E27FC236}">
              <a16:creationId xmlns=""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179916</xdr:colOff>
      <xdr:row>0</xdr:row>
      <xdr:rowOff>42335</xdr:rowOff>
    </xdr:from>
    <xdr:to>
      <xdr:col>1</xdr:col>
      <xdr:colOff>350539</xdr:colOff>
      <xdr:row>2</xdr:row>
      <xdr:rowOff>169335</xdr:rowOff>
    </xdr:to>
    <xdr:pic>
      <xdr:nvPicPr>
        <xdr:cNvPr id="6" name="Imagen 5" descr="D:\Desktop\ARCHIVOS\Logo_Biosteel-001.jpg">
          <a:extLst>
            <a:ext uri="{FF2B5EF4-FFF2-40B4-BE49-F238E27FC236}">
              <a16:creationId xmlns="" xmlns:a16="http://schemas.microsoft.com/office/drawing/2014/main" id="{00000000-0008-0000-01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9916" y="42335"/>
          <a:ext cx="994833" cy="508000"/>
        </a:xfrm>
        <a:prstGeom prst="rect">
          <a:avLst/>
        </a:prstGeom>
        <a:noFill/>
        <a:ln>
          <a:noFill/>
        </a:ln>
      </xdr:spPr>
    </xdr:pic>
    <xdr:clientData/>
  </xdr:twoCellAnchor>
  <xdr:twoCellAnchor>
    <xdr:from>
      <xdr:col>4</xdr:col>
      <xdr:colOff>42335</xdr:colOff>
      <xdr:row>9</xdr:row>
      <xdr:rowOff>15850</xdr:rowOff>
    </xdr:from>
    <xdr:to>
      <xdr:col>9</xdr:col>
      <xdr:colOff>703613</xdr:colOff>
      <xdr:row>21</xdr:row>
      <xdr:rowOff>142850</xdr:rowOff>
    </xdr:to>
    <xdr:graphicFrame macro="">
      <xdr:nvGraphicFramePr>
        <xdr:cNvPr id="7" name="2 Gráfico">
          <a:extLst>
            <a:ext uri="{FF2B5EF4-FFF2-40B4-BE49-F238E27FC236}">
              <a16:creationId xmlns=""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xdr:colOff>
      <xdr:row>26</xdr:row>
      <xdr:rowOff>42334</xdr:rowOff>
    </xdr:from>
    <xdr:to>
      <xdr:col>9</xdr:col>
      <xdr:colOff>687917</xdr:colOff>
      <xdr:row>39</xdr:row>
      <xdr:rowOff>10584</xdr:rowOff>
    </xdr:to>
    <xdr:graphicFrame macro="">
      <xdr:nvGraphicFramePr>
        <xdr:cNvPr id="8" name="4 Gráfico">
          <a:extLst>
            <a:ext uri="{FF2B5EF4-FFF2-40B4-BE49-F238E27FC236}">
              <a16:creationId xmlns=""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179916</xdr:colOff>
      <xdr:row>0</xdr:row>
      <xdr:rowOff>42335</xdr:rowOff>
    </xdr:from>
    <xdr:to>
      <xdr:col>1</xdr:col>
      <xdr:colOff>350539</xdr:colOff>
      <xdr:row>2</xdr:row>
      <xdr:rowOff>169335</xdr:rowOff>
    </xdr:to>
    <xdr:pic>
      <xdr:nvPicPr>
        <xdr:cNvPr id="9" name="Imagen 8" descr="D:\Desktop\ARCHIVOS\Logo_Biosteel-001.jpg">
          <a:extLst>
            <a:ext uri="{FF2B5EF4-FFF2-40B4-BE49-F238E27FC236}">
              <a16:creationId xmlns="" xmlns:a16="http://schemas.microsoft.com/office/drawing/2014/main" id="{00000000-0008-0000-01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9916" y="42335"/>
          <a:ext cx="999298" cy="508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952501</xdr:colOff>
      <xdr:row>9</xdr:row>
      <xdr:rowOff>52917</xdr:rowOff>
    </xdr:from>
    <xdr:to>
      <xdr:col>9</xdr:col>
      <xdr:colOff>635001</xdr:colOff>
      <xdr:row>21</xdr:row>
      <xdr:rowOff>179917</xdr:rowOff>
    </xdr:to>
    <xdr:graphicFrame macro="">
      <xdr:nvGraphicFramePr>
        <xdr:cNvPr id="2" name="1 Gráfico">
          <a:extLst>
            <a:ext uri="{FF2B5EF4-FFF2-40B4-BE49-F238E27FC236}">
              <a16:creationId xmlns=""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63499</xdr:colOff>
      <xdr:row>27</xdr:row>
      <xdr:rowOff>63500</xdr:rowOff>
    </xdr:from>
    <xdr:to>
      <xdr:col>9</xdr:col>
      <xdr:colOff>719666</xdr:colOff>
      <xdr:row>40</xdr:row>
      <xdr:rowOff>0</xdr:rowOff>
    </xdr:to>
    <xdr:graphicFrame macro="">
      <xdr:nvGraphicFramePr>
        <xdr:cNvPr id="6" name="5 Gráfico">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349250</xdr:colOff>
      <xdr:row>0</xdr:row>
      <xdr:rowOff>0</xdr:rowOff>
    </xdr:from>
    <xdr:to>
      <xdr:col>1</xdr:col>
      <xdr:colOff>476250</xdr:colOff>
      <xdr:row>2</xdr:row>
      <xdr:rowOff>105833</xdr:rowOff>
    </xdr:to>
    <xdr:pic>
      <xdr:nvPicPr>
        <xdr:cNvPr id="5" name="Imagen 4" descr="D:\Desktop\ARCHIVOS\Logo_Biosteel-001.jpg">
          <a:extLst>
            <a:ext uri="{FF2B5EF4-FFF2-40B4-BE49-F238E27FC236}">
              <a16:creationId xmlns="" xmlns:a16="http://schemas.microsoft.com/office/drawing/2014/main" id="{00000000-0008-0000-0200-000005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9250" y="0"/>
          <a:ext cx="941917" cy="486833"/>
        </a:xfrm>
        <a:prstGeom prst="rect">
          <a:avLst/>
        </a:prstGeom>
        <a:noFill/>
        <a:ln>
          <a:noFill/>
        </a:ln>
      </xdr:spPr>
    </xdr:pic>
    <xdr:clientData/>
  </xdr:twoCellAnchor>
  <xdr:twoCellAnchor>
    <xdr:from>
      <xdr:col>3</xdr:col>
      <xdr:colOff>952501</xdr:colOff>
      <xdr:row>9</xdr:row>
      <xdr:rowOff>52917</xdr:rowOff>
    </xdr:from>
    <xdr:to>
      <xdr:col>9</xdr:col>
      <xdr:colOff>635001</xdr:colOff>
      <xdr:row>21</xdr:row>
      <xdr:rowOff>179917</xdr:rowOff>
    </xdr:to>
    <xdr:graphicFrame macro="">
      <xdr:nvGraphicFramePr>
        <xdr:cNvPr id="7" name="1 Gráfico">
          <a:extLst>
            <a:ext uri="{FF2B5EF4-FFF2-40B4-BE49-F238E27FC236}">
              <a16:creationId xmlns=""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63499</xdr:colOff>
      <xdr:row>26</xdr:row>
      <xdr:rowOff>63500</xdr:rowOff>
    </xdr:from>
    <xdr:to>
      <xdr:col>9</xdr:col>
      <xdr:colOff>719666</xdr:colOff>
      <xdr:row>39</xdr:row>
      <xdr:rowOff>0</xdr:rowOff>
    </xdr:to>
    <xdr:graphicFrame macro="">
      <xdr:nvGraphicFramePr>
        <xdr:cNvPr id="8" name="5 Gráfico">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349250</xdr:colOff>
      <xdr:row>0</xdr:row>
      <xdr:rowOff>0</xdr:rowOff>
    </xdr:from>
    <xdr:to>
      <xdr:col>1</xdr:col>
      <xdr:colOff>476250</xdr:colOff>
      <xdr:row>2</xdr:row>
      <xdr:rowOff>105833</xdr:rowOff>
    </xdr:to>
    <xdr:pic>
      <xdr:nvPicPr>
        <xdr:cNvPr id="9" name="Imagen 8" descr="D:\Desktop\ARCHIVOS\Logo_Biosteel-001.jpg">
          <a:extLst>
            <a:ext uri="{FF2B5EF4-FFF2-40B4-BE49-F238E27FC236}">
              <a16:creationId xmlns="" xmlns:a16="http://schemas.microsoft.com/office/drawing/2014/main" id="{00000000-0008-0000-0200-000005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9250" y="0"/>
          <a:ext cx="946150" cy="48683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84667</xdr:colOff>
      <xdr:row>9</xdr:row>
      <xdr:rowOff>43391</xdr:rowOff>
    </xdr:from>
    <xdr:to>
      <xdr:col>9</xdr:col>
      <xdr:colOff>740834</xdr:colOff>
      <xdr:row>21</xdr:row>
      <xdr:rowOff>162982</xdr:rowOff>
    </xdr:to>
    <xdr:graphicFrame macro="">
      <xdr:nvGraphicFramePr>
        <xdr:cNvPr id="3" name="2 Gráfico">
          <a:extLst>
            <a:ext uri="{FF2B5EF4-FFF2-40B4-BE49-F238E27FC236}">
              <a16:creationId xmlns=""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26</xdr:row>
      <xdr:rowOff>32808</xdr:rowOff>
    </xdr:from>
    <xdr:to>
      <xdr:col>9</xdr:col>
      <xdr:colOff>687917</xdr:colOff>
      <xdr:row>38</xdr:row>
      <xdr:rowOff>152399</xdr:rowOff>
    </xdr:to>
    <xdr:graphicFrame macro="">
      <xdr:nvGraphicFramePr>
        <xdr:cNvPr id="5" name="4 Gráfico">
          <a:extLst>
            <a:ext uri="{FF2B5EF4-FFF2-40B4-BE49-F238E27FC236}">
              <a16:creationId xmlns=""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444500</xdr:colOff>
      <xdr:row>0</xdr:row>
      <xdr:rowOff>21167</xdr:rowOff>
    </xdr:from>
    <xdr:to>
      <xdr:col>1</xdr:col>
      <xdr:colOff>571500</xdr:colOff>
      <xdr:row>2</xdr:row>
      <xdr:rowOff>127000</xdr:rowOff>
    </xdr:to>
    <xdr:pic>
      <xdr:nvPicPr>
        <xdr:cNvPr id="6" name="Imagen 5" descr="D:\Desktop\ARCHIVOS\Logo_Biosteel-001.jpg">
          <a:extLst>
            <a:ext uri="{FF2B5EF4-FFF2-40B4-BE49-F238E27FC236}">
              <a16:creationId xmlns="" xmlns:a16="http://schemas.microsoft.com/office/drawing/2014/main" id="{00000000-0008-0000-03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4500" y="21167"/>
          <a:ext cx="941917" cy="486833"/>
        </a:xfrm>
        <a:prstGeom prst="rect">
          <a:avLst/>
        </a:prstGeom>
        <a:noFill/>
        <a:ln>
          <a:noFill/>
        </a:ln>
      </xdr:spPr>
    </xdr:pic>
    <xdr:clientData/>
  </xdr:twoCellAnchor>
  <xdr:twoCellAnchor>
    <xdr:from>
      <xdr:col>4</xdr:col>
      <xdr:colOff>84667</xdr:colOff>
      <xdr:row>9</xdr:row>
      <xdr:rowOff>43391</xdr:rowOff>
    </xdr:from>
    <xdr:to>
      <xdr:col>9</xdr:col>
      <xdr:colOff>740834</xdr:colOff>
      <xdr:row>21</xdr:row>
      <xdr:rowOff>162982</xdr:rowOff>
    </xdr:to>
    <xdr:graphicFrame macro="">
      <xdr:nvGraphicFramePr>
        <xdr:cNvPr id="10" name="2 Gráfico">
          <a:extLst>
            <a:ext uri="{FF2B5EF4-FFF2-40B4-BE49-F238E27FC236}">
              <a16:creationId xmlns=""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xdr:colOff>
      <xdr:row>25</xdr:row>
      <xdr:rowOff>32808</xdr:rowOff>
    </xdr:from>
    <xdr:to>
      <xdr:col>9</xdr:col>
      <xdr:colOff>687917</xdr:colOff>
      <xdr:row>37</xdr:row>
      <xdr:rowOff>152399</xdr:rowOff>
    </xdr:to>
    <xdr:graphicFrame macro="">
      <xdr:nvGraphicFramePr>
        <xdr:cNvPr id="11" name="4 Gráfico">
          <a:extLst>
            <a:ext uri="{FF2B5EF4-FFF2-40B4-BE49-F238E27FC236}">
              <a16:creationId xmlns=""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444500</xdr:colOff>
      <xdr:row>0</xdr:row>
      <xdr:rowOff>21167</xdr:rowOff>
    </xdr:from>
    <xdr:to>
      <xdr:col>1</xdr:col>
      <xdr:colOff>571500</xdr:colOff>
      <xdr:row>2</xdr:row>
      <xdr:rowOff>127000</xdr:rowOff>
    </xdr:to>
    <xdr:pic>
      <xdr:nvPicPr>
        <xdr:cNvPr id="12" name="Imagen 11" descr="D:\Desktop\ARCHIVOS\Logo_Biosteel-001.jpg">
          <a:extLst>
            <a:ext uri="{FF2B5EF4-FFF2-40B4-BE49-F238E27FC236}">
              <a16:creationId xmlns="" xmlns:a16="http://schemas.microsoft.com/office/drawing/2014/main" id="{00000000-0008-0000-03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4500" y="21167"/>
          <a:ext cx="946150" cy="486833"/>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317500</xdr:colOff>
      <xdr:row>0</xdr:row>
      <xdr:rowOff>10583</xdr:rowOff>
    </xdr:from>
    <xdr:to>
      <xdr:col>1</xdr:col>
      <xdr:colOff>444500</xdr:colOff>
      <xdr:row>2</xdr:row>
      <xdr:rowOff>116416</xdr:rowOff>
    </xdr:to>
    <xdr:pic>
      <xdr:nvPicPr>
        <xdr:cNvPr id="4" name="Imagen 3" descr="D:\Desktop\ARCHIVOS\Logo_Biosteel-001.jpg">
          <a:extLst>
            <a:ext uri="{FF2B5EF4-FFF2-40B4-BE49-F238E27FC236}">
              <a16:creationId xmlns="" xmlns:a16="http://schemas.microsoft.com/office/drawing/2014/main"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0" y="10583"/>
          <a:ext cx="941917" cy="486833"/>
        </a:xfrm>
        <a:prstGeom prst="rect">
          <a:avLst/>
        </a:prstGeom>
        <a:noFill/>
        <a:ln>
          <a:noFill/>
        </a:ln>
      </xdr:spPr>
    </xdr:pic>
    <xdr:clientData/>
  </xdr:twoCellAnchor>
  <xdr:twoCellAnchor>
    <xdr:from>
      <xdr:col>4</xdr:col>
      <xdr:colOff>84665</xdr:colOff>
      <xdr:row>9</xdr:row>
      <xdr:rowOff>20107</xdr:rowOff>
    </xdr:from>
    <xdr:to>
      <xdr:col>9</xdr:col>
      <xdr:colOff>719666</xdr:colOff>
      <xdr:row>21</xdr:row>
      <xdr:rowOff>169332</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317500</xdr:colOff>
      <xdr:row>0</xdr:row>
      <xdr:rowOff>10583</xdr:rowOff>
    </xdr:from>
    <xdr:to>
      <xdr:col>1</xdr:col>
      <xdr:colOff>444500</xdr:colOff>
      <xdr:row>2</xdr:row>
      <xdr:rowOff>116416</xdr:rowOff>
    </xdr:to>
    <xdr:pic>
      <xdr:nvPicPr>
        <xdr:cNvPr id="5" name="Imagen 4" descr="D:\Desktop\ARCHIVOS\Logo_Biosteel-001.jpg">
          <a:extLst>
            <a:ext uri="{FF2B5EF4-FFF2-40B4-BE49-F238E27FC236}">
              <a16:creationId xmlns="" xmlns:a16="http://schemas.microsoft.com/office/drawing/2014/main"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0" y="10583"/>
          <a:ext cx="946150" cy="486833"/>
        </a:xfrm>
        <a:prstGeom prst="rect">
          <a:avLst/>
        </a:prstGeom>
        <a:noFill/>
        <a:ln>
          <a:noFill/>
        </a:ln>
      </xdr:spPr>
    </xdr:pic>
    <xdr:clientData/>
  </xdr:twoCellAnchor>
  <xdr:twoCellAnchor>
    <xdr:from>
      <xdr:col>4</xdr:col>
      <xdr:colOff>84665</xdr:colOff>
      <xdr:row>9</xdr:row>
      <xdr:rowOff>20107</xdr:rowOff>
    </xdr:from>
    <xdr:to>
      <xdr:col>9</xdr:col>
      <xdr:colOff>719666</xdr:colOff>
      <xdr:row>21</xdr:row>
      <xdr:rowOff>169332</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730250</xdr:colOff>
      <xdr:row>21</xdr:row>
      <xdr:rowOff>169334</xdr:rowOff>
    </xdr:to>
    <xdr:graphicFrame macro="">
      <xdr:nvGraphicFramePr>
        <xdr:cNvPr id="2" name="1 Gráfico">
          <a:extLst>
            <a:ext uri="{FF2B5EF4-FFF2-40B4-BE49-F238E27FC236}">
              <a16:creationId xmlns=""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52916</xdr:colOff>
      <xdr:row>58</xdr:row>
      <xdr:rowOff>42334</xdr:rowOff>
    </xdr:from>
    <xdr:to>
      <xdr:col>9</xdr:col>
      <xdr:colOff>719667</xdr:colOff>
      <xdr:row>73</xdr:row>
      <xdr:rowOff>84668</xdr:rowOff>
    </xdr:to>
    <xdr:graphicFrame macro="">
      <xdr:nvGraphicFramePr>
        <xdr:cNvPr id="7" name="6 Gráfico">
          <a:extLst>
            <a:ext uri="{FF2B5EF4-FFF2-40B4-BE49-F238E27FC236}">
              <a16:creationId xmlns=""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42333</xdr:colOff>
      <xdr:row>77</xdr:row>
      <xdr:rowOff>63500</xdr:rowOff>
    </xdr:from>
    <xdr:to>
      <xdr:col>9</xdr:col>
      <xdr:colOff>730249</xdr:colOff>
      <xdr:row>90</xdr:row>
      <xdr:rowOff>0</xdr:rowOff>
    </xdr:to>
    <xdr:graphicFrame macro="">
      <xdr:nvGraphicFramePr>
        <xdr:cNvPr id="14" name="5 Gráfico">
          <a:extLst>
            <a:ext uri="{FF2B5EF4-FFF2-40B4-BE49-F238E27FC236}">
              <a16:creationId xmlns=""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42333</xdr:colOff>
      <xdr:row>93</xdr:row>
      <xdr:rowOff>63500</xdr:rowOff>
    </xdr:from>
    <xdr:to>
      <xdr:col>9</xdr:col>
      <xdr:colOff>730249</xdr:colOff>
      <xdr:row>106</xdr:row>
      <xdr:rowOff>0</xdr:rowOff>
    </xdr:to>
    <xdr:graphicFrame macro="">
      <xdr:nvGraphicFramePr>
        <xdr:cNvPr id="15" name="5 Gráfico">
          <a:extLst>
            <a:ext uri="{FF2B5EF4-FFF2-40B4-BE49-F238E27FC236}">
              <a16:creationId xmlns=""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412749</xdr:colOff>
      <xdr:row>0</xdr:row>
      <xdr:rowOff>42334</xdr:rowOff>
    </xdr:from>
    <xdr:to>
      <xdr:col>1</xdr:col>
      <xdr:colOff>677332</xdr:colOff>
      <xdr:row>2</xdr:row>
      <xdr:rowOff>127001</xdr:rowOff>
    </xdr:to>
    <xdr:pic>
      <xdr:nvPicPr>
        <xdr:cNvPr id="8" name="Imagen 7" descr="D:\Desktop\ARCHIVOS\Logo_Biosteel-001.jpg">
          <a:extLst>
            <a:ext uri="{FF2B5EF4-FFF2-40B4-BE49-F238E27FC236}">
              <a16:creationId xmlns="" xmlns:a16="http://schemas.microsoft.com/office/drawing/2014/main" id="{00000000-0008-0000-0500-000008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12749" y="42334"/>
          <a:ext cx="1079500" cy="465667"/>
        </a:xfrm>
        <a:prstGeom prst="rect">
          <a:avLst/>
        </a:prstGeom>
        <a:noFill/>
        <a:ln>
          <a:noFill/>
        </a:ln>
      </xdr:spPr>
    </xdr:pic>
    <xdr:clientData/>
  </xdr:twoCellAnchor>
  <xdr:twoCellAnchor>
    <xdr:from>
      <xdr:col>4</xdr:col>
      <xdr:colOff>42333</xdr:colOff>
      <xdr:row>108</xdr:row>
      <xdr:rowOff>63500</xdr:rowOff>
    </xdr:from>
    <xdr:to>
      <xdr:col>9</xdr:col>
      <xdr:colOff>730249</xdr:colOff>
      <xdr:row>121</xdr:row>
      <xdr:rowOff>0</xdr:rowOff>
    </xdr:to>
    <xdr:graphicFrame macro="">
      <xdr:nvGraphicFramePr>
        <xdr:cNvPr id="9" name="5 Gráfico">
          <a:extLst>
            <a:ext uri="{FF2B5EF4-FFF2-40B4-BE49-F238E27FC236}">
              <a16:creationId xmlns=""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58208</xdr:colOff>
      <xdr:row>26</xdr:row>
      <xdr:rowOff>51858</xdr:rowOff>
    </xdr:from>
    <xdr:to>
      <xdr:col>9</xdr:col>
      <xdr:colOff>783167</xdr:colOff>
      <xdr:row>38</xdr:row>
      <xdr:rowOff>128058</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42334</xdr:colOff>
      <xdr:row>9</xdr:row>
      <xdr:rowOff>42334</xdr:rowOff>
    </xdr:from>
    <xdr:to>
      <xdr:col>9</xdr:col>
      <xdr:colOff>730250</xdr:colOff>
      <xdr:row>21</xdr:row>
      <xdr:rowOff>169334</xdr:rowOff>
    </xdr:to>
    <xdr:graphicFrame macro="">
      <xdr:nvGraphicFramePr>
        <xdr:cNvPr id="10" name="1 Gráfico">
          <a:extLst>
            <a:ext uri="{FF2B5EF4-FFF2-40B4-BE49-F238E27FC236}">
              <a16:creationId xmlns=""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52916</xdr:colOff>
      <xdr:row>58</xdr:row>
      <xdr:rowOff>42334</xdr:rowOff>
    </xdr:from>
    <xdr:to>
      <xdr:col>9</xdr:col>
      <xdr:colOff>719667</xdr:colOff>
      <xdr:row>73</xdr:row>
      <xdr:rowOff>84668</xdr:rowOff>
    </xdr:to>
    <xdr:graphicFrame macro="">
      <xdr:nvGraphicFramePr>
        <xdr:cNvPr id="11" name="6 Gráfico">
          <a:extLst>
            <a:ext uri="{FF2B5EF4-FFF2-40B4-BE49-F238E27FC236}">
              <a16:creationId xmlns=""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42333</xdr:colOff>
      <xdr:row>77</xdr:row>
      <xdr:rowOff>63500</xdr:rowOff>
    </xdr:from>
    <xdr:to>
      <xdr:col>9</xdr:col>
      <xdr:colOff>730249</xdr:colOff>
      <xdr:row>90</xdr:row>
      <xdr:rowOff>0</xdr:rowOff>
    </xdr:to>
    <xdr:graphicFrame macro="">
      <xdr:nvGraphicFramePr>
        <xdr:cNvPr id="12" name="5 Gráfico">
          <a:extLst>
            <a:ext uri="{FF2B5EF4-FFF2-40B4-BE49-F238E27FC236}">
              <a16:creationId xmlns=""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42333</xdr:colOff>
      <xdr:row>93</xdr:row>
      <xdr:rowOff>63500</xdr:rowOff>
    </xdr:from>
    <xdr:to>
      <xdr:col>9</xdr:col>
      <xdr:colOff>730249</xdr:colOff>
      <xdr:row>106</xdr:row>
      <xdr:rowOff>0</xdr:rowOff>
    </xdr:to>
    <xdr:graphicFrame macro="">
      <xdr:nvGraphicFramePr>
        <xdr:cNvPr id="13" name="5 Gráfico">
          <a:extLst>
            <a:ext uri="{FF2B5EF4-FFF2-40B4-BE49-F238E27FC236}">
              <a16:creationId xmlns=""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412749</xdr:colOff>
      <xdr:row>0</xdr:row>
      <xdr:rowOff>42334</xdr:rowOff>
    </xdr:from>
    <xdr:to>
      <xdr:col>1</xdr:col>
      <xdr:colOff>677332</xdr:colOff>
      <xdr:row>2</xdr:row>
      <xdr:rowOff>127001</xdr:rowOff>
    </xdr:to>
    <xdr:pic>
      <xdr:nvPicPr>
        <xdr:cNvPr id="16" name="Imagen 15" descr="D:\Desktop\ARCHIVOS\Logo_Biosteel-001.jpg">
          <a:extLst>
            <a:ext uri="{FF2B5EF4-FFF2-40B4-BE49-F238E27FC236}">
              <a16:creationId xmlns="" xmlns:a16="http://schemas.microsoft.com/office/drawing/2014/main" id="{00000000-0008-0000-0500-000008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12749" y="42334"/>
          <a:ext cx="1083733" cy="465667"/>
        </a:xfrm>
        <a:prstGeom prst="rect">
          <a:avLst/>
        </a:prstGeom>
        <a:noFill/>
        <a:ln>
          <a:noFill/>
        </a:ln>
      </xdr:spPr>
    </xdr:pic>
    <xdr:clientData/>
  </xdr:twoCellAnchor>
  <xdr:twoCellAnchor>
    <xdr:from>
      <xdr:col>4</xdr:col>
      <xdr:colOff>42333</xdr:colOff>
      <xdr:row>108</xdr:row>
      <xdr:rowOff>63500</xdr:rowOff>
    </xdr:from>
    <xdr:to>
      <xdr:col>9</xdr:col>
      <xdr:colOff>730249</xdr:colOff>
      <xdr:row>121</xdr:row>
      <xdr:rowOff>0</xdr:rowOff>
    </xdr:to>
    <xdr:graphicFrame macro="">
      <xdr:nvGraphicFramePr>
        <xdr:cNvPr id="17" name="5 Gráfico">
          <a:extLst>
            <a:ext uri="{FF2B5EF4-FFF2-40B4-BE49-F238E27FC236}">
              <a16:creationId xmlns=""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58208</xdr:colOff>
      <xdr:row>26</xdr:row>
      <xdr:rowOff>51858</xdr:rowOff>
    </xdr:from>
    <xdr:to>
      <xdr:col>9</xdr:col>
      <xdr:colOff>783167</xdr:colOff>
      <xdr:row>38</xdr:row>
      <xdr:rowOff>128058</xdr:rowOff>
    </xdr:to>
    <xdr:graphicFrame macro="">
      <xdr:nvGraphicFramePr>
        <xdr:cNvPr id="18" name="Gráfico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698501</xdr:colOff>
      <xdr:row>21</xdr:row>
      <xdr:rowOff>169334</xdr:rowOff>
    </xdr:to>
    <xdr:graphicFrame macro="">
      <xdr:nvGraphicFramePr>
        <xdr:cNvPr id="2" name="1 Gráfico">
          <a:extLst>
            <a:ext uri="{FF2B5EF4-FFF2-40B4-BE49-F238E27FC236}">
              <a16:creationId xmlns=""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370417</xdr:colOff>
      <xdr:row>0</xdr:row>
      <xdr:rowOff>0</xdr:rowOff>
    </xdr:from>
    <xdr:to>
      <xdr:col>1</xdr:col>
      <xdr:colOff>497417</xdr:colOff>
      <xdr:row>2</xdr:row>
      <xdr:rowOff>105833</xdr:rowOff>
    </xdr:to>
    <xdr:pic>
      <xdr:nvPicPr>
        <xdr:cNvPr id="5" name="Imagen 4" descr="D:\Desktop\ARCHIVOS\Logo_Biosteel-001.jpg">
          <a:extLst>
            <a:ext uri="{FF2B5EF4-FFF2-40B4-BE49-F238E27FC236}">
              <a16:creationId xmlns="" xmlns:a16="http://schemas.microsoft.com/office/drawing/2014/main" id="{00000000-0008-0000-06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417" y="0"/>
          <a:ext cx="941917" cy="486833"/>
        </a:xfrm>
        <a:prstGeom prst="rect">
          <a:avLst/>
        </a:prstGeom>
        <a:noFill/>
        <a:ln>
          <a:noFill/>
        </a:ln>
      </xdr:spPr>
    </xdr:pic>
    <xdr:clientData/>
  </xdr:twoCellAnchor>
  <xdr:twoCellAnchor>
    <xdr:from>
      <xdr:col>4</xdr:col>
      <xdr:colOff>42334</xdr:colOff>
      <xdr:row>9</xdr:row>
      <xdr:rowOff>42334</xdr:rowOff>
    </xdr:from>
    <xdr:to>
      <xdr:col>9</xdr:col>
      <xdr:colOff>698501</xdr:colOff>
      <xdr:row>21</xdr:row>
      <xdr:rowOff>169334</xdr:rowOff>
    </xdr:to>
    <xdr:graphicFrame macro="">
      <xdr:nvGraphicFramePr>
        <xdr:cNvPr id="7" name="1 Gráfico">
          <a:extLst>
            <a:ext uri="{FF2B5EF4-FFF2-40B4-BE49-F238E27FC236}">
              <a16:creationId xmlns=""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370417</xdr:colOff>
      <xdr:row>0</xdr:row>
      <xdr:rowOff>0</xdr:rowOff>
    </xdr:from>
    <xdr:to>
      <xdr:col>1</xdr:col>
      <xdr:colOff>497417</xdr:colOff>
      <xdr:row>2</xdr:row>
      <xdr:rowOff>105833</xdr:rowOff>
    </xdr:to>
    <xdr:pic>
      <xdr:nvPicPr>
        <xdr:cNvPr id="8" name="Imagen 7" descr="D:\Desktop\ARCHIVOS\Logo_Biosteel-001.jpg">
          <a:extLst>
            <a:ext uri="{FF2B5EF4-FFF2-40B4-BE49-F238E27FC236}">
              <a16:creationId xmlns="" xmlns:a16="http://schemas.microsoft.com/office/drawing/2014/main" id="{00000000-0008-0000-06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417" y="0"/>
          <a:ext cx="946150" cy="486833"/>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63500</xdr:colOff>
      <xdr:row>9</xdr:row>
      <xdr:rowOff>52917</xdr:rowOff>
    </xdr:from>
    <xdr:to>
      <xdr:col>9</xdr:col>
      <xdr:colOff>698500</xdr:colOff>
      <xdr:row>22</xdr:row>
      <xdr:rowOff>10584</xdr:rowOff>
    </xdr:to>
    <xdr:graphicFrame macro="">
      <xdr:nvGraphicFramePr>
        <xdr:cNvPr id="6" name="5 Gráfico">
          <a:extLst>
            <a:ext uri="{FF2B5EF4-FFF2-40B4-BE49-F238E27FC236}">
              <a16:creationId xmlns=""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0</xdr:row>
      <xdr:rowOff>42333</xdr:rowOff>
    </xdr:from>
    <xdr:to>
      <xdr:col>1</xdr:col>
      <xdr:colOff>508000</xdr:colOff>
      <xdr:row>2</xdr:row>
      <xdr:rowOff>148166</xdr:rowOff>
    </xdr:to>
    <xdr:pic>
      <xdr:nvPicPr>
        <xdr:cNvPr id="4" name="Imagen 3" descr="D:\Desktop\ARCHIVOS\Logo_Biosteel-001.jpg">
          <a:extLst>
            <a:ext uri="{FF2B5EF4-FFF2-40B4-BE49-F238E27FC236}">
              <a16:creationId xmlns="" xmlns:a16="http://schemas.microsoft.com/office/drawing/2014/main" id="{00000000-0008-0000-07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42333"/>
          <a:ext cx="941917" cy="486833"/>
        </a:xfrm>
        <a:prstGeom prst="rect">
          <a:avLst/>
        </a:prstGeom>
        <a:noFill/>
        <a:ln>
          <a:noFill/>
        </a:ln>
      </xdr:spPr>
    </xdr:pic>
    <xdr:clientData/>
  </xdr:twoCellAnchor>
  <xdr:twoCellAnchor>
    <xdr:from>
      <xdr:col>4</xdr:col>
      <xdr:colOff>63500</xdr:colOff>
      <xdr:row>9</xdr:row>
      <xdr:rowOff>52917</xdr:rowOff>
    </xdr:from>
    <xdr:to>
      <xdr:col>9</xdr:col>
      <xdr:colOff>698500</xdr:colOff>
      <xdr:row>22</xdr:row>
      <xdr:rowOff>10584</xdr:rowOff>
    </xdr:to>
    <xdr:graphicFrame macro="">
      <xdr:nvGraphicFramePr>
        <xdr:cNvPr id="8" name="5 Gráfico">
          <a:extLst>
            <a:ext uri="{FF2B5EF4-FFF2-40B4-BE49-F238E27FC236}">
              <a16:creationId xmlns=""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381000</xdr:colOff>
      <xdr:row>0</xdr:row>
      <xdr:rowOff>42333</xdr:rowOff>
    </xdr:from>
    <xdr:to>
      <xdr:col>1</xdr:col>
      <xdr:colOff>508000</xdr:colOff>
      <xdr:row>2</xdr:row>
      <xdr:rowOff>148166</xdr:rowOff>
    </xdr:to>
    <xdr:pic>
      <xdr:nvPicPr>
        <xdr:cNvPr id="9" name="Imagen 8" descr="D:\Desktop\ARCHIVOS\Logo_Biosteel-001.jpg">
          <a:extLst>
            <a:ext uri="{FF2B5EF4-FFF2-40B4-BE49-F238E27FC236}">
              <a16:creationId xmlns="" xmlns:a16="http://schemas.microsoft.com/office/drawing/2014/main" id="{00000000-0008-0000-07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42333"/>
          <a:ext cx="946150" cy="486833"/>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254000</xdr:colOff>
      <xdr:row>0</xdr:row>
      <xdr:rowOff>21167</xdr:rowOff>
    </xdr:from>
    <xdr:to>
      <xdr:col>1</xdr:col>
      <xdr:colOff>412750</xdr:colOff>
      <xdr:row>2</xdr:row>
      <xdr:rowOff>137583</xdr:rowOff>
    </xdr:to>
    <xdr:pic>
      <xdr:nvPicPr>
        <xdr:cNvPr id="4" name="Imagen 3" descr="D:\Desktop\ARCHIVOS\Logo_Biosteel-001.jpg">
          <a:extLst>
            <a:ext uri="{FF2B5EF4-FFF2-40B4-BE49-F238E27FC236}">
              <a16:creationId xmlns="" xmlns:a16="http://schemas.microsoft.com/office/drawing/2014/main" id="{00000000-0008-0000-08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21167"/>
          <a:ext cx="973667" cy="497416"/>
        </a:xfrm>
        <a:prstGeom prst="rect">
          <a:avLst/>
        </a:prstGeom>
        <a:noFill/>
        <a:ln>
          <a:noFill/>
        </a:ln>
      </xdr:spPr>
    </xdr:pic>
    <xdr:clientData/>
  </xdr:twoCellAnchor>
  <xdr:twoCellAnchor>
    <xdr:from>
      <xdr:col>4</xdr:col>
      <xdr:colOff>111122</xdr:colOff>
      <xdr:row>9</xdr:row>
      <xdr:rowOff>84668</xdr:rowOff>
    </xdr:from>
    <xdr:to>
      <xdr:col>9</xdr:col>
      <xdr:colOff>476249</xdr:colOff>
      <xdr:row>22</xdr:row>
      <xdr:rowOff>11642</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254000</xdr:colOff>
      <xdr:row>0</xdr:row>
      <xdr:rowOff>21167</xdr:rowOff>
    </xdr:from>
    <xdr:to>
      <xdr:col>1</xdr:col>
      <xdr:colOff>412750</xdr:colOff>
      <xdr:row>2</xdr:row>
      <xdr:rowOff>137583</xdr:rowOff>
    </xdr:to>
    <xdr:pic>
      <xdr:nvPicPr>
        <xdr:cNvPr id="8" name="Imagen 7" descr="D:\Desktop\ARCHIVOS\Logo_Biosteel-001.jpg">
          <a:extLst>
            <a:ext uri="{FF2B5EF4-FFF2-40B4-BE49-F238E27FC236}">
              <a16:creationId xmlns="" xmlns:a16="http://schemas.microsoft.com/office/drawing/2014/main" id="{00000000-0008-0000-08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21167"/>
          <a:ext cx="977900" cy="497416"/>
        </a:xfrm>
        <a:prstGeom prst="rect">
          <a:avLst/>
        </a:prstGeom>
        <a:noFill/>
        <a:ln>
          <a:noFill/>
        </a:ln>
      </xdr:spPr>
    </xdr:pic>
    <xdr:clientData/>
  </xdr:twoCellAnchor>
  <xdr:twoCellAnchor>
    <xdr:from>
      <xdr:col>4</xdr:col>
      <xdr:colOff>111122</xdr:colOff>
      <xdr:row>9</xdr:row>
      <xdr:rowOff>84668</xdr:rowOff>
    </xdr:from>
    <xdr:to>
      <xdr:col>9</xdr:col>
      <xdr:colOff>476249</xdr:colOff>
      <xdr:row>22</xdr:row>
      <xdr:rowOff>11642</xdr:rowOff>
    </xdr:to>
    <xdr:graphicFrame macro="">
      <xdr:nvGraphicFramePr>
        <xdr:cNvPr id="9" name="Gráfico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189983</xdr:colOff>
      <xdr:row>0</xdr:row>
      <xdr:rowOff>91453</xdr:rowOff>
    </xdr:from>
    <xdr:to>
      <xdr:col>2</xdr:col>
      <xdr:colOff>440014</xdr:colOff>
      <xdr:row>0</xdr:row>
      <xdr:rowOff>651047</xdr:rowOff>
    </xdr:to>
    <xdr:pic>
      <xdr:nvPicPr>
        <xdr:cNvPr id="2" name="Imagen 1" descr="D:\Desktop\ARCHIVOS\Logo_Biosteel-001.jpg">
          <a:extLst>
            <a:ext uri="{FF2B5EF4-FFF2-40B4-BE49-F238E27FC236}">
              <a16:creationId xmlns=""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831" y="91453"/>
          <a:ext cx="1188726" cy="55959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esktop\indicado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Z"/>
      <sheetName val="Hoja1"/>
      <sheetName val="Hoja2"/>
      <sheetName val="1"/>
      <sheetName val="2"/>
      <sheetName val="3"/>
      <sheetName val="4"/>
      <sheetName val="5"/>
      <sheetName val="6"/>
      <sheetName val="7"/>
      <sheetName val="8"/>
      <sheetName val="ANALISIS"/>
    </sheetNames>
    <sheetDataSet>
      <sheetData sheetId="0"/>
      <sheetData sheetId="1"/>
      <sheetData sheetId="2"/>
      <sheetData sheetId="3">
        <row r="10">
          <cell r="D10" t="str">
            <v>% de Cumplimiento (&gt;70%)</v>
          </cell>
        </row>
        <row r="11">
          <cell r="A11" t="str">
            <v>Enero</v>
          </cell>
          <cell r="D11">
            <v>0.95593869731800762</v>
          </cell>
        </row>
        <row r="12">
          <cell r="A12" t="str">
            <v>Febrero</v>
          </cell>
          <cell r="D12">
            <v>0.98396793587174347</v>
          </cell>
        </row>
        <row r="13">
          <cell r="A13" t="str">
            <v>Marzo</v>
          </cell>
          <cell r="D13">
            <v>0.98529411764705888</v>
          </cell>
        </row>
        <row r="14">
          <cell r="A14" t="str">
            <v>Abril</v>
          </cell>
          <cell r="D14">
            <v>0.9671848013816926</v>
          </cell>
        </row>
        <row r="15">
          <cell r="A15" t="str">
            <v>Mayo</v>
          </cell>
          <cell r="D15">
            <v>0.92130518234165071</v>
          </cell>
        </row>
        <row r="16">
          <cell r="A16" t="str">
            <v>Junio</v>
          </cell>
          <cell r="D16">
            <v>0.94849023090586149</v>
          </cell>
        </row>
        <row r="17">
          <cell r="A17" t="str">
            <v>Julio</v>
          </cell>
          <cell r="D17">
            <v>0.89102564102564108</v>
          </cell>
        </row>
        <row r="18">
          <cell r="A18" t="str">
            <v>Agosto</v>
          </cell>
          <cell r="D18">
            <v>0.93306288032454365</v>
          </cell>
        </row>
        <row r="19">
          <cell r="A19" t="str">
            <v>Septiembre</v>
          </cell>
          <cell r="D19">
            <v>0.89911504424778765</v>
          </cell>
        </row>
        <row r="20">
          <cell r="A20" t="str">
            <v>Octubre</v>
          </cell>
          <cell r="D20">
            <v>0.92500000000000004</v>
          </cell>
        </row>
        <row r="21">
          <cell r="A21" t="str">
            <v>Noviembre</v>
          </cell>
          <cell r="D21">
            <v>0.96496815286624205</v>
          </cell>
        </row>
        <row r="22">
          <cell r="A22" t="str">
            <v>Diciembre</v>
          </cell>
          <cell r="D22">
            <v>0.93710691823899372</v>
          </cell>
        </row>
        <row r="26">
          <cell r="D26" t="str">
            <v>% Incumplimiento de disponibilidad de DME
&gt;90%</v>
          </cell>
        </row>
        <row r="27">
          <cell r="A27" t="str">
            <v>Enero</v>
          </cell>
          <cell r="D27" t="str">
            <v>N/A</v>
          </cell>
        </row>
        <row r="28">
          <cell r="A28" t="str">
            <v>Febrero</v>
          </cell>
          <cell r="D28" t="str">
            <v>N/A</v>
          </cell>
        </row>
        <row r="29">
          <cell r="A29" t="str">
            <v>Marzo</v>
          </cell>
          <cell r="D29" t="str">
            <v>N/A</v>
          </cell>
        </row>
        <row r="30">
          <cell r="A30" t="str">
            <v>Abril</v>
          </cell>
          <cell r="D30" t="str">
            <v>N/A</v>
          </cell>
        </row>
        <row r="31">
          <cell r="A31" t="str">
            <v>Mayo</v>
          </cell>
          <cell r="D31" t="str">
            <v>N/A</v>
          </cell>
        </row>
        <row r="32">
          <cell r="A32" t="str">
            <v>Junio</v>
          </cell>
          <cell r="D32" t="str">
            <v>N/A</v>
          </cell>
        </row>
        <row r="33">
          <cell r="A33" t="str">
            <v>Julio</v>
          </cell>
          <cell r="D33">
            <v>0.93333333333333335</v>
          </cell>
        </row>
        <row r="34">
          <cell r="A34" t="str">
            <v>Agosto</v>
          </cell>
          <cell r="D34">
            <v>1</v>
          </cell>
        </row>
        <row r="35">
          <cell r="A35" t="str">
            <v>Septiembre</v>
          </cell>
          <cell r="D35">
            <v>1</v>
          </cell>
        </row>
        <row r="36">
          <cell r="A36" t="str">
            <v>Octubre</v>
          </cell>
          <cell r="D36">
            <v>1</v>
          </cell>
        </row>
        <row r="37">
          <cell r="A37" t="str">
            <v>Noviembre</v>
          </cell>
          <cell r="D37">
            <v>1</v>
          </cell>
        </row>
        <row r="38">
          <cell r="A38" t="str">
            <v>Diciembre</v>
          </cell>
          <cell r="D38">
            <v>0.95348837209302328</v>
          </cell>
        </row>
      </sheetData>
      <sheetData sheetId="4">
        <row r="10">
          <cell r="B10" t="str">
            <v>Cumplimiento del servicio (&gt;4.5)</v>
          </cell>
          <cell r="C10" t="str">
            <v>Condiciones del Material Utilizado (&gt;4.5)</v>
          </cell>
          <cell r="D10" t="str">
            <v>Habilidad Soporte Técnico (&gt;4.5)</v>
          </cell>
        </row>
        <row r="11">
          <cell r="A11" t="str">
            <v>Enero</v>
          </cell>
          <cell r="B11">
            <v>4.9000000000000004</v>
          </cell>
          <cell r="C11">
            <v>4.5</v>
          </cell>
          <cell r="D11">
            <v>4.8</v>
          </cell>
        </row>
        <row r="12">
          <cell r="A12" t="str">
            <v>Febrero</v>
          </cell>
          <cell r="B12">
            <v>4.8</v>
          </cell>
          <cell r="C12">
            <v>4.7</v>
          </cell>
          <cell r="D12">
            <v>4.9000000000000004</v>
          </cell>
        </row>
        <row r="13">
          <cell r="A13" t="str">
            <v>Marzo</v>
          </cell>
          <cell r="B13">
            <v>4.8</v>
          </cell>
          <cell r="C13">
            <v>4.4000000000000004</v>
          </cell>
          <cell r="D13">
            <v>4.9000000000000004</v>
          </cell>
        </row>
        <row r="14">
          <cell r="A14" t="str">
            <v>Abril</v>
          </cell>
          <cell r="B14">
            <v>4.7</v>
          </cell>
          <cell r="C14">
            <v>4.5999999999999996</v>
          </cell>
          <cell r="D14">
            <v>4.5999999999999996</v>
          </cell>
        </row>
        <row r="15">
          <cell r="A15" t="str">
            <v>Mayo</v>
          </cell>
          <cell r="B15">
            <v>4.8</v>
          </cell>
          <cell r="C15">
            <v>4.7</v>
          </cell>
          <cell r="D15">
            <v>4.9000000000000004</v>
          </cell>
        </row>
        <row r="16">
          <cell r="A16" t="str">
            <v>Junio</v>
          </cell>
          <cell r="B16">
            <v>4.8</v>
          </cell>
          <cell r="C16">
            <v>4.4000000000000004</v>
          </cell>
          <cell r="D16">
            <v>4.7</v>
          </cell>
        </row>
        <row r="17">
          <cell r="A17" t="str">
            <v>Julio</v>
          </cell>
          <cell r="B17">
            <v>4.7</v>
          </cell>
          <cell r="C17">
            <v>4.5999999999999996</v>
          </cell>
          <cell r="D17">
            <v>4.8</v>
          </cell>
        </row>
        <row r="18">
          <cell r="A18" t="str">
            <v>Agosto</v>
          </cell>
          <cell r="B18">
            <v>4.8</v>
          </cell>
          <cell r="C18">
            <v>4.8</v>
          </cell>
          <cell r="D18">
            <v>4.8</v>
          </cell>
        </row>
        <row r="19">
          <cell r="A19" t="str">
            <v>Septiembre</v>
          </cell>
          <cell r="B19">
            <v>4.7</v>
          </cell>
          <cell r="C19">
            <v>4.5999999999999996</v>
          </cell>
          <cell r="D19">
            <v>4.7</v>
          </cell>
        </row>
        <row r="20">
          <cell r="A20" t="str">
            <v>Octubre</v>
          </cell>
          <cell r="B20">
            <v>4.7</v>
          </cell>
          <cell r="C20">
            <v>4.5999999999999996</v>
          </cell>
          <cell r="D20">
            <v>4.7</v>
          </cell>
        </row>
        <row r="21">
          <cell r="A21" t="str">
            <v>Noviembre</v>
          </cell>
          <cell r="B21">
            <v>4.5</v>
          </cell>
          <cell r="C21">
            <v>4.5</v>
          </cell>
          <cell r="D21">
            <v>4.5</v>
          </cell>
        </row>
        <row r="22">
          <cell r="A22" t="str">
            <v>Diciembre</v>
          </cell>
          <cell r="B22">
            <v>4.5599999999999996</v>
          </cell>
          <cell r="C22">
            <v>4.6399999999999997</v>
          </cell>
          <cell r="D22">
            <v>4.74</v>
          </cell>
        </row>
        <row r="26">
          <cell r="D26" t="str">
            <v>Porcentaje de atención de Quejas, Reclamos o sugerencias</v>
          </cell>
        </row>
        <row r="27">
          <cell r="A27" t="str">
            <v>Enero</v>
          </cell>
          <cell r="D27" t="str">
            <v>N/A</v>
          </cell>
        </row>
        <row r="28">
          <cell r="A28" t="str">
            <v>Febrero</v>
          </cell>
          <cell r="D28" t="str">
            <v>N/A</v>
          </cell>
        </row>
        <row r="29">
          <cell r="A29" t="str">
            <v>Marzo</v>
          </cell>
          <cell r="D29">
            <v>1</v>
          </cell>
        </row>
        <row r="30">
          <cell r="A30" t="str">
            <v>Abril</v>
          </cell>
          <cell r="D30" t="str">
            <v>N/A</v>
          </cell>
        </row>
        <row r="31">
          <cell r="A31" t="str">
            <v>Mayo</v>
          </cell>
          <cell r="D31">
            <v>1</v>
          </cell>
        </row>
        <row r="32">
          <cell r="A32" t="str">
            <v>Junio</v>
          </cell>
          <cell r="D32" t="str">
            <v>N/A</v>
          </cell>
        </row>
        <row r="33">
          <cell r="A33" t="str">
            <v>Julio</v>
          </cell>
          <cell r="D33" t="str">
            <v>N/A</v>
          </cell>
        </row>
        <row r="34">
          <cell r="A34" t="str">
            <v>Agosto</v>
          </cell>
          <cell r="D34">
            <v>1</v>
          </cell>
        </row>
        <row r="35">
          <cell r="A35" t="str">
            <v>Septiembre</v>
          </cell>
          <cell r="D35" t="str">
            <v>N/A</v>
          </cell>
        </row>
        <row r="36">
          <cell r="A36" t="str">
            <v>Octubre</v>
          </cell>
          <cell r="D36" t="str">
            <v>N/A</v>
          </cell>
        </row>
        <row r="37">
          <cell r="A37" t="str">
            <v>Noviembre</v>
          </cell>
          <cell r="D37">
            <v>1</v>
          </cell>
        </row>
        <row r="38">
          <cell r="A38" t="str">
            <v>Diciembre</v>
          </cell>
          <cell r="D38" t="str">
            <v>N/A</v>
          </cell>
        </row>
      </sheetData>
      <sheetData sheetId="5">
        <row r="10">
          <cell r="D10" t="str">
            <v>% de Cumplimiento (100%)</v>
          </cell>
        </row>
        <row r="11">
          <cell r="A11" t="str">
            <v>Enero</v>
          </cell>
          <cell r="D11">
            <v>1</v>
          </cell>
        </row>
        <row r="12">
          <cell r="A12" t="str">
            <v>Febrero</v>
          </cell>
          <cell r="D12">
            <v>1</v>
          </cell>
        </row>
        <row r="13">
          <cell r="A13" t="str">
            <v>Marzo</v>
          </cell>
          <cell r="D13">
            <v>1</v>
          </cell>
        </row>
        <row r="14">
          <cell r="A14" t="str">
            <v>Abril</v>
          </cell>
          <cell r="D14">
            <v>1</v>
          </cell>
        </row>
        <row r="15">
          <cell r="A15" t="str">
            <v>Mayo</v>
          </cell>
          <cell r="D15">
            <v>1</v>
          </cell>
        </row>
        <row r="16">
          <cell r="A16" t="str">
            <v>Junio</v>
          </cell>
          <cell r="D16">
            <v>1</v>
          </cell>
        </row>
        <row r="17">
          <cell r="A17" t="str">
            <v>Julio</v>
          </cell>
          <cell r="D17">
            <v>1</v>
          </cell>
        </row>
        <row r="18">
          <cell r="A18" t="str">
            <v>Agosto</v>
          </cell>
          <cell r="D18">
            <v>1</v>
          </cell>
        </row>
        <row r="19">
          <cell r="A19" t="str">
            <v>Septiembre</v>
          </cell>
          <cell r="D19">
            <v>1</v>
          </cell>
        </row>
        <row r="20">
          <cell r="A20" t="str">
            <v>Octubre</v>
          </cell>
          <cell r="D20">
            <v>1</v>
          </cell>
        </row>
        <row r="21">
          <cell r="A21" t="str">
            <v>Noviembre</v>
          </cell>
          <cell r="D21">
            <v>1</v>
          </cell>
        </row>
        <row r="22">
          <cell r="A22" t="str">
            <v>Diciembre</v>
          </cell>
          <cell r="D22">
            <v>1</v>
          </cell>
        </row>
        <row r="26">
          <cell r="D26" t="str">
            <v>% de Cumplimiento (100%)</v>
          </cell>
        </row>
        <row r="27">
          <cell r="A27" t="str">
            <v>Enero - Marzo</v>
          </cell>
          <cell r="D27">
            <v>1</v>
          </cell>
        </row>
        <row r="28">
          <cell r="A28"/>
          <cell r="D28"/>
        </row>
        <row r="29">
          <cell r="A29"/>
          <cell r="D29"/>
        </row>
        <row r="30">
          <cell r="A30" t="str">
            <v>Abril - Junio</v>
          </cell>
          <cell r="D30">
            <v>1</v>
          </cell>
        </row>
        <row r="31">
          <cell r="A31"/>
          <cell r="D31"/>
        </row>
        <row r="32">
          <cell r="A32"/>
          <cell r="D32"/>
        </row>
        <row r="33">
          <cell r="A33" t="str">
            <v>Julio - Septiembre</v>
          </cell>
          <cell r="D33">
            <v>1</v>
          </cell>
        </row>
        <row r="34">
          <cell r="A34"/>
          <cell r="D34"/>
        </row>
        <row r="35">
          <cell r="A35"/>
          <cell r="D35"/>
        </row>
        <row r="36">
          <cell r="A36" t="str">
            <v>Octubre - Dicembre</v>
          </cell>
          <cell r="D36">
            <v>1</v>
          </cell>
        </row>
        <row r="37">
          <cell r="A37"/>
          <cell r="D37"/>
        </row>
        <row r="38">
          <cell r="A38"/>
          <cell r="D38"/>
        </row>
      </sheetData>
      <sheetData sheetId="6">
        <row r="10">
          <cell r="D10" t="str">
            <v>% de Cumplimiento (100%)</v>
          </cell>
        </row>
        <row r="11">
          <cell r="A11" t="str">
            <v>Enero - Marzo</v>
          </cell>
          <cell r="D11">
            <v>1</v>
          </cell>
        </row>
        <row r="12">
          <cell r="A12"/>
          <cell r="D12"/>
        </row>
        <row r="13">
          <cell r="A13"/>
          <cell r="D13"/>
        </row>
        <row r="14">
          <cell r="A14" t="str">
            <v>Abril - Junio</v>
          </cell>
          <cell r="D14">
            <v>1</v>
          </cell>
        </row>
        <row r="15">
          <cell r="A15"/>
          <cell r="D15"/>
        </row>
        <row r="16">
          <cell r="A16"/>
          <cell r="D16"/>
        </row>
        <row r="17">
          <cell r="A17" t="str">
            <v>Julio - Septiembre</v>
          </cell>
          <cell r="D17">
            <v>1</v>
          </cell>
        </row>
        <row r="18">
          <cell r="A18"/>
          <cell r="D18"/>
        </row>
        <row r="19">
          <cell r="A19"/>
          <cell r="D19"/>
        </row>
        <row r="20">
          <cell r="A20" t="str">
            <v>Octubre - Dicembre</v>
          </cell>
          <cell r="D20" t="e">
            <v>#DIV/0!</v>
          </cell>
        </row>
        <row r="21">
          <cell r="A21"/>
          <cell r="D21"/>
        </row>
        <row r="22">
          <cell r="A22"/>
          <cell r="D22"/>
        </row>
      </sheetData>
      <sheetData sheetId="7">
        <row r="10">
          <cell r="D10" t="str">
            <v>% de Cumplimiento (&gt;90%)</v>
          </cell>
        </row>
        <row r="11">
          <cell r="A11" t="str">
            <v>Enero</v>
          </cell>
          <cell r="D11">
            <v>1.8489524800906934</v>
          </cell>
        </row>
        <row r="12">
          <cell r="A12" t="str">
            <v>Febrero</v>
          </cell>
          <cell r="D12">
            <v>1.5118150066458176</v>
          </cell>
        </row>
        <row r="13">
          <cell r="A13" t="str">
            <v>Marzo</v>
          </cell>
          <cell r="D13">
            <v>1.3305287939673585</v>
          </cell>
        </row>
        <row r="14">
          <cell r="A14" t="str">
            <v>Abril</v>
          </cell>
          <cell r="D14">
            <v>1.0975338014380327</v>
          </cell>
        </row>
        <row r="15">
          <cell r="A15" t="str">
            <v>Mayo</v>
          </cell>
          <cell r="D15">
            <v>1.4060509129338514</v>
          </cell>
        </row>
        <row r="16">
          <cell r="A16" t="str">
            <v>Junio</v>
          </cell>
          <cell r="D16">
            <v>1.1068359604582081</v>
          </cell>
        </row>
        <row r="17">
          <cell r="A17" t="str">
            <v>Julio</v>
          </cell>
          <cell r="D17">
            <v>1.2981259903940061</v>
          </cell>
        </row>
        <row r="18">
          <cell r="A18" t="str">
            <v>Agosto</v>
          </cell>
          <cell r="D18">
            <v>1.2202304821786834</v>
          </cell>
        </row>
        <row r="19">
          <cell r="A19" t="str">
            <v>Septiembre</v>
          </cell>
          <cell r="D19">
            <v>1</v>
          </cell>
        </row>
        <row r="20">
          <cell r="A20" t="str">
            <v>Octubre</v>
          </cell>
          <cell r="D20">
            <v>1</v>
          </cell>
        </row>
        <row r="21">
          <cell r="A21" t="str">
            <v>Noviembre</v>
          </cell>
          <cell r="D21">
            <v>1</v>
          </cell>
        </row>
        <row r="22">
          <cell r="A22" t="str">
            <v>Diciembre</v>
          </cell>
          <cell r="D22">
            <v>1</v>
          </cell>
        </row>
        <row r="28">
          <cell r="A28" t="str">
            <v>Enero</v>
          </cell>
          <cell r="F28">
            <v>1.36232627948</v>
          </cell>
        </row>
        <row r="29">
          <cell r="A29" t="str">
            <v>Febrero</v>
          </cell>
          <cell r="F29">
            <v>1.6299052330699999</v>
          </cell>
        </row>
        <row r="30">
          <cell r="A30" t="str">
            <v>Marzo</v>
          </cell>
          <cell r="F30">
            <v>1.2958467618199998</v>
          </cell>
        </row>
        <row r="31">
          <cell r="A31" t="str">
            <v>Abril</v>
          </cell>
          <cell r="F31">
            <v>1.985899877</v>
          </cell>
        </row>
        <row r="32">
          <cell r="A32" t="str">
            <v>Mayo</v>
          </cell>
          <cell r="F32">
            <v>1.60033633</v>
          </cell>
        </row>
        <row r="33">
          <cell r="A33" t="str">
            <v>Junio</v>
          </cell>
          <cell r="F33">
            <v>1.481741821</v>
          </cell>
        </row>
        <row r="34">
          <cell r="A34" t="str">
            <v>Julio</v>
          </cell>
          <cell r="F34">
            <v>1.6924407450000001</v>
          </cell>
        </row>
        <row r="35">
          <cell r="A35" t="str">
            <v>Agosto</v>
          </cell>
          <cell r="F35">
            <v>1.912227025</v>
          </cell>
        </row>
        <row r="36">
          <cell r="A36" t="str">
            <v>Septiembre</v>
          </cell>
          <cell r="F36">
            <v>1.394061132</v>
          </cell>
        </row>
        <row r="37">
          <cell r="A37" t="str">
            <v>Octubre</v>
          </cell>
          <cell r="F37">
            <v>1.372460083</v>
          </cell>
        </row>
        <row r="38">
          <cell r="A38" t="str">
            <v>Noviembre</v>
          </cell>
          <cell r="F38">
            <v>1.3655381040000001</v>
          </cell>
        </row>
        <row r="39">
          <cell r="A39" t="str">
            <v>Diciembre</v>
          </cell>
          <cell r="F39">
            <v>1.1961620909999999</v>
          </cell>
        </row>
        <row r="45">
          <cell r="F45" t="str">
            <v>% de cumplimiento de facturación (&gt;90%)</v>
          </cell>
          <cell r="G45" t="str">
            <v>% de cumplimiento de radicado (&gt;95%)</v>
          </cell>
        </row>
        <row r="46">
          <cell r="A46" t="str">
            <v>Enero</v>
          </cell>
          <cell r="F46">
            <v>0.994824825999167</v>
          </cell>
          <cell r="G46">
            <v>1.0568157580464883</v>
          </cell>
        </row>
        <row r="47">
          <cell r="A47" t="str">
            <v>Febrero</v>
          </cell>
          <cell r="F47">
            <v>1.0582777663223986</v>
          </cell>
          <cell r="G47">
            <v>0.98748076989160416</v>
          </cell>
        </row>
        <row r="48">
          <cell r="A48" t="str">
            <v>Marzo</v>
          </cell>
          <cell r="F48">
            <v>0.76504881006402137</v>
          </cell>
          <cell r="G48">
            <v>0.95391619249622583</v>
          </cell>
        </row>
        <row r="49">
          <cell r="A49" t="str">
            <v>Abril</v>
          </cell>
          <cell r="F49">
            <v>1.2019298833685341</v>
          </cell>
          <cell r="G49">
            <v>1.0018322887396613</v>
          </cell>
        </row>
        <row r="50">
          <cell r="A50" t="str">
            <v>Mayo</v>
          </cell>
          <cell r="F50">
            <v>1.0034117534884468</v>
          </cell>
          <cell r="G50">
            <v>1.0499855491938941</v>
          </cell>
        </row>
        <row r="51">
          <cell r="A51" t="str">
            <v>Junio</v>
          </cell>
          <cell r="F51">
            <v>0.96371436961159285</v>
          </cell>
          <cell r="G51">
            <v>0.99857940189011518</v>
          </cell>
        </row>
        <row r="52">
          <cell r="A52" t="str">
            <v>Julio</v>
          </cell>
          <cell r="F52">
            <v>1.0647184179834759</v>
          </cell>
          <cell r="G52">
            <v>0.99136227556496181</v>
          </cell>
        </row>
        <row r="53">
          <cell r="A53" t="str">
            <v>Agosto</v>
          </cell>
          <cell r="F53">
            <v>1.0358417774556015</v>
          </cell>
          <cell r="G53">
            <v>0.83762435978255334</v>
          </cell>
        </row>
        <row r="54">
          <cell r="A54" t="str">
            <v>Septiembre</v>
          </cell>
          <cell r="F54">
            <v>0.96139931342175855</v>
          </cell>
          <cell r="G54">
            <v>1.1834115553582252</v>
          </cell>
        </row>
        <row r="55">
          <cell r="A55" t="str">
            <v>Octubre</v>
          </cell>
          <cell r="F55">
            <v>1.0172238573782657</v>
          </cell>
          <cell r="G55">
            <v>0.99461449829216031</v>
          </cell>
        </row>
        <row r="56">
          <cell r="A56" t="str">
            <v>Noviembre</v>
          </cell>
          <cell r="F56">
            <v>1.0211239618469083</v>
          </cell>
          <cell r="G56">
            <v>1.0048763583340654</v>
          </cell>
        </row>
        <row r="57">
          <cell r="A57" t="str">
            <v>Diciembre</v>
          </cell>
          <cell r="F57">
            <v>0.97703483487143228</v>
          </cell>
          <cell r="G57">
            <v>0.93598675475324633</v>
          </cell>
        </row>
        <row r="78">
          <cell r="D78" t="str">
            <v>% de Cumplimiento (&lt;5%)</v>
          </cell>
        </row>
        <row r="79">
          <cell r="A79" t="str">
            <v>Enero</v>
          </cell>
          <cell r="D79">
            <v>9.0157776108189328E-3</v>
          </cell>
        </row>
        <row r="80">
          <cell r="A80" t="str">
            <v>Febrero</v>
          </cell>
          <cell r="D80">
            <v>2.0895522388059702E-2</v>
          </cell>
        </row>
        <row r="81">
          <cell r="A81" t="str">
            <v>Marzo</v>
          </cell>
          <cell r="D81">
            <v>1.1054421768707483E-2</v>
          </cell>
        </row>
        <row r="82">
          <cell r="A82" t="str">
            <v>Abril</v>
          </cell>
          <cell r="D82">
            <v>2.068519715578539E-2</v>
          </cell>
        </row>
        <row r="83">
          <cell r="A83" t="str">
            <v>Mayo</v>
          </cell>
          <cell r="D83">
            <v>1.4437689969604863E-2</v>
          </cell>
        </row>
        <row r="84">
          <cell r="A84" t="str">
            <v>Junio</v>
          </cell>
          <cell r="D84">
            <v>1.0744435917114352E-2</v>
          </cell>
        </row>
        <row r="85">
          <cell r="A85" t="str">
            <v>Julio</v>
          </cell>
          <cell r="D85">
            <v>1.3408609738884969E-2</v>
          </cell>
        </row>
        <row r="86">
          <cell r="A86" t="str">
            <v>Agosto</v>
          </cell>
          <cell r="D86">
            <v>8.7778528021607016E-3</v>
          </cell>
        </row>
        <row r="87">
          <cell r="A87" t="str">
            <v>Septiembre</v>
          </cell>
          <cell r="D87">
            <v>3.927729772191673E-3</v>
          </cell>
        </row>
        <row r="88">
          <cell r="A88" t="str">
            <v>Octubre</v>
          </cell>
          <cell r="D88">
            <v>5.1357300073367569E-3</v>
          </cell>
        </row>
        <row r="89">
          <cell r="A89" t="str">
            <v>Noviembre</v>
          </cell>
          <cell r="D89">
            <v>6.3875088715400997E-3</v>
          </cell>
        </row>
        <row r="90">
          <cell r="A90" t="str">
            <v>Diciembre</v>
          </cell>
          <cell r="D90">
            <v>5.0071530758226037E-3</v>
          </cell>
        </row>
        <row r="94">
          <cell r="D94" t="str">
            <v>% de Cumplimiento (&lt;30%)</v>
          </cell>
        </row>
        <row r="95">
          <cell r="A95" t="str">
            <v>Enero</v>
          </cell>
          <cell r="D95">
            <v>0</v>
          </cell>
        </row>
        <row r="96">
          <cell r="A96" t="str">
            <v>Febrero</v>
          </cell>
          <cell r="D96">
            <v>0</v>
          </cell>
        </row>
        <row r="97">
          <cell r="A97" t="str">
            <v>Marzo</v>
          </cell>
          <cell r="D97">
            <v>0</v>
          </cell>
        </row>
        <row r="98">
          <cell r="A98" t="str">
            <v>Abril</v>
          </cell>
          <cell r="D98">
            <v>0</v>
          </cell>
        </row>
        <row r="99">
          <cell r="A99" t="str">
            <v>Mayo</v>
          </cell>
          <cell r="D99">
            <v>0</v>
          </cell>
        </row>
        <row r="100">
          <cell r="A100" t="str">
            <v>Junio</v>
          </cell>
          <cell r="D100">
            <v>0</v>
          </cell>
        </row>
        <row r="101">
          <cell r="A101" t="str">
            <v>Julio</v>
          </cell>
          <cell r="D101">
            <v>0</v>
          </cell>
        </row>
        <row r="102">
          <cell r="A102" t="str">
            <v>Agosto</v>
          </cell>
          <cell r="D102">
            <v>0</v>
          </cell>
        </row>
        <row r="103">
          <cell r="A103" t="str">
            <v>Septiembre</v>
          </cell>
          <cell r="D103">
            <v>0</v>
          </cell>
        </row>
        <row r="104">
          <cell r="A104" t="str">
            <v>Octubre</v>
          </cell>
          <cell r="D104">
            <v>0</v>
          </cell>
        </row>
        <row r="105">
          <cell r="A105" t="str">
            <v>Noviembre</v>
          </cell>
          <cell r="D105">
            <v>0</v>
          </cell>
        </row>
        <row r="106">
          <cell r="A106" t="str">
            <v>Diciembre</v>
          </cell>
          <cell r="D106" t="e">
            <v>#DIV/0!</v>
          </cell>
        </row>
      </sheetData>
      <sheetData sheetId="8">
        <row r="10">
          <cell r="D10" t="str">
            <v>% de Cumplimiento (&gt;70%)</v>
          </cell>
        </row>
        <row r="11">
          <cell r="A11" t="str">
            <v>Enero</v>
          </cell>
          <cell r="D11">
            <v>1</v>
          </cell>
        </row>
        <row r="12">
          <cell r="A12" t="str">
            <v>Febrero</v>
          </cell>
          <cell r="D12">
            <v>0.8571428571428571</v>
          </cell>
        </row>
        <row r="13">
          <cell r="A13" t="str">
            <v>Marzo</v>
          </cell>
          <cell r="D13">
            <v>0.8571428571428571</v>
          </cell>
        </row>
        <row r="14">
          <cell r="A14" t="str">
            <v>Abril</v>
          </cell>
          <cell r="D14">
            <v>0.8571428571428571</v>
          </cell>
        </row>
        <row r="15">
          <cell r="A15" t="str">
            <v>Mayo</v>
          </cell>
          <cell r="D15">
            <v>1</v>
          </cell>
        </row>
        <row r="16">
          <cell r="A16" t="str">
            <v>Junio</v>
          </cell>
          <cell r="D16">
            <v>0.8</v>
          </cell>
        </row>
        <row r="17">
          <cell r="A17" t="str">
            <v>Julio</v>
          </cell>
          <cell r="D17">
            <v>1</v>
          </cell>
        </row>
        <row r="18">
          <cell r="A18" t="str">
            <v>Agosto</v>
          </cell>
          <cell r="D18">
            <v>1</v>
          </cell>
        </row>
        <row r="19">
          <cell r="A19" t="str">
            <v>Septiembre</v>
          </cell>
          <cell r="D19">
            <v>1</v>
          </cell>
        </row>
        <row r="20">
          <cell r="A20" t="str">
            <v>Octubre</v>
          </cell>
          <cell r="D20">
            <v>1</v>
          </cell>
        </row>
        <row r="21">
          <cell r="A21" t="str">
            <v>Noviembre</v>
          </cell>
          <cell r="D21">
            <v>1</v>
          </cell>
        </row>
        <row r="22">
          <cell r="A22" t="str">
            <v>Diciembre</v>
          </cell>
          <cell r="D22">
            <v>1</v>
          </cell>
        </row>
      </sheetData>
      <sheetData sheetId="9">
        <row r="10">
          <cell r="D10" t="str">
            <v>Calificación (&gt;95)</v>
          </cell>
        </row>
        <row r="11">
          <cell r="A11" t="str">
            <v>Enero</v>
          </cell>
          <cell r="D11">
            <v>99.875</v>
          </cell>
        </row>
        <row r="12">
          <cell r="A12" t="str">
            <v>Febrero</v>
          </cell>
          <cell r="D12">
            <v>97.277777777777771</v>
          </cell>
        </row>
        <row r="13">
          <cell r="A13" t="str">
            <v>Marzo</v>
          </cell>
          <cell r="D13">
            <v>97.35</v>
          </cell>
        </row>
        <row r="14">
          <cell r="A14" t="str">
            <v>Abril</v>
          </cell>
          <cell r="D14">
            <v>97.45</v>
          </cell>
        </row>
        <row r="15">
          <cell r="A15" t="str">
            <v>Mayo</v>
          </cell>
          <cell r="D15">
            <v>97.9</v>
          </cell>
        </row>
        <row r="16">
          <cell r="A16" t="str">
            <v>Junio</v>
          </cell>
          <cell r="D16">
            <v>97.055555555555557</v>
          </cell>
        </row>
        <row r="17">
          <cell r="A17" t="str">
            <v>Julio</v>
          </cell>
          <cell r="D17">
            <v>95.8</v>
          </cell>
        </row>
        <row r="18">
          <cell r="A18" t="str">
            <v>Agosto</v>
          </cell>
          <cell r="D18">
            <v>96.368421052631575</v>
          </cell>
        </row>
        <row r="19">
          <cell r="A19" t="str">
            <v>Septiembre</v>
          </cell>
          <cell r="D19">
            <v>97</v>
          </cell>
        </row>
        <row r="20">
          <cell r="A20" t="str">
            <v>Octubre</v>
          </cell>
          <cell r="D20">
            <v>97.235294117647058</v>
          </cell>
        </row>
        <row r="21">
          <cell r="A21" t="str">
            <v>Noviembre</v>
          </cell>
          <cell r="D21">
            <v>97.45</v>
          </cell>
        </row>
        <row r="22">
          <cell r="A22" t="str">
            <v>Diciembre</v>
          </cell>
          <cell r="D22">
            <v>98.05263157894737</v>
          </cell>
        </row>
      </sheetData>
      <sheetData sheetId="10">
        <row r="11">
          <cell r="A11" t="str">
            <v>Primer Semestre</v>
          </cell>
          <cell r="D11">
            <v>4.7</v>
          </cell>
        </row>
        <row r="12">
          <cell r="A12"/>
          <cell r="D12"/>
        </row>
        <row r="13">
          <cell r="A13"/>
          <cell r="D13"/>
        </row>
        <row r="14">
          <cell r="A14"/>
          <cell r="D14"/>
        </row>
        <row r="15">
          <cell r="A15"/>
          <cell r="D15"/>
        </row>
        <row r="16">
          <cell r="A16"/>
          <cell r="D16"/>
        </row>
        <row r="17">
          <cell r="A17" t="str">
            <v>Segundo Semestre</v>
          </cell>
          <cell r="D17">
            <v>4.5640000000000001</v>
          </cell>
        </row>
        <row r="18">
          <cell r="A18"/>
          <cell r="D18"/>
        </row>
        <row r="19">
          <cell r="A19"/>
          <cell r="D19"/>
        </row>
        <row r="20">
          <cell r="A20"/>
          <cell r="D20"/>
        </row>
        <row r="21">
          <cell r="A21"/>
          <cell r="D21"/>
        </row>
        <row r="22">
          <cell r="A22"/>
          <cell r="D22"/>
        </row>
      </sheetData>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
  <sheetViews>
    <sheetView zoomScaleNormal="100" workbookViewId="0">
      <selection activeCell="P49" sqref="P49"/>
    </sheetView>
  </sheetViews>
  <sheetFormatPr baseColWidth="10" defaultRowHeight="15"/>
  <cols>
    <col min="1" max="1" width="2.28515625" style="1" bestFit="1" customWidth="1"/>
    <col min="2" max="2" width="24.28515625" style="1" customWidth="1"/>
    <col min="3" max="3" width="15.140625" style="1" customWidth="1"/>
    <col min="4" max="6" width="11.42578125" style="1"/>
    <col min="7" max="7" width="2.42578125" style="1" customWidth="1"/>
    <col min="8" max="8" width="13.85546875" style="1" customWidth="1"/>
    <col min="9" max="9" width="30.7109375" style="1" customWidth="1"/>
    <col min="10" max="10" width="51" style="1" bestFit="1" customWidth="1"/>
    <col min="11" max="11" width="14.5703125" style="1" bestFit="1" customWidth="1"/>
    <col min="12" max="12" width="12.42578125" style="1" customWidth="1"/>
    <col min="13" max="13" width="27.7109375" style="1" bestFit="1" customWidth="1"/>
    <col min="14" max="14" width="7.42578125" style="1" bestFit="1" customWidth="1"/>
    <col min="15" max="15" width="9.5703125" style="1" bestFit="1" customWidth="1"/>
    <col min="16" max="16" width="8" bestFit="1" customWidth="1"/>
    <col min="17" max="17" width="6.42578125" bestFit="1" customWidth="1"/>
    <col min="18" max="19" width="6.7109375" bestFit="1" customWidth="1"/>
    <col min="20" max="20" width="6.28515625" bestFit="1" customWidth="1"/>
    <col min="21" max="21" width="8.85546875" bestFit="1" customWidth="1"/>
    <col min="22" max="22" width="12.42578125" bestFit="1" customWidth="1"/>
    <col min="23" max="23" width="9.85546875" bestFit="1" customWidth="1"/>
    <col min="24" max="24" width="12.28515625" bestFit="1" customWidth="1"/>
    <col min="25" max="25" width="7" bestFit="1" customWidth="1"/>
  </cols>
  <sheetData>
    <row r="1" spans="1:25" ht="15" customHeight="1">
      <c r="A1" s="155" t="s">
        <v>140</v>
      </c>
      <c r="B1" s="156"/>
      <c r="C1" s="156"/>
      <c r="D1" s="156"/>
      <c r="E1" s="156"/>
      <c r="F1" s="156"/>
      <c r="G1" s="156"/>
      <c r="H1" s="156"/>
      <c r="I1" s="156"/>
      <c r="J1" s="156"/>
      <c r="K1" s="156"/>
      <c r="L1" s="156"/>
      <c r="M1" s="156"/>
      <c r="N1" s="156"/>
      <c r="O1" s="156"/>
      <c r="P1" s="156"/>
      <c r="Q1" s="156"/>
      <c r="R1" s="156"/>
      <c r="S1" s="156"/>
      <c r="T1" s="156"/>
      <c r="U1" s="156"/>
      <c r="V1" s="156"/>
      <c r="W1" s="156"/>
      <c r="X1" s="156"/>
      <c r="Y1" s="156"/>
    </row>
    <row r="2" spans="1:25" ht="15" customHeight="1">
      <c r="A2" s="155"/>
      <c r="B2" s="156"/>
      <c r="C2" s="156"/>
      <c r="D2" s="156"/>
      <c r="E2" s="156"/>
      <c r="F2" s="156"/>
      <c r="G2" s="156"/>
      <c r="H2" s="156"/>
      <c r="I2" s="156"/>
      <c r="J2" s="156"/>
      <c r="K2" s="156"/>
      <c r="L2" s="156"/>
      <c r="M2" s="156"/>
      <c r="N2" s="156"/>
      <c r="O2" s="156"/>
      <c r="P2" s="156"/>
      <c r="Q2" s="156"/>
      <c r="R2" s="156"/>
      <c r="S2" s="156"/>
      <c r="T2" s="156"/>
      <c r="U2" s="156"/>
      <c r="V2" s="156"/>
      <c r="W2" s="156"/>
      <c r="X2" s="156"/>
      <c r="Y2" s="156"/>
    </row>
    <row r="3" spans="1:25" ht="15" customHeight="1">
      <c r="A3" s="155"/>
      <c r="B3" s="156"/>
      <c r="C3" s="156"/>
      <c r="D3" s="156"/>
      <c r="E3" s="156"/>
      <c r="F3" s="156"/>
      <c r="G3" s="156"/>
      <c r="H3" s="156"/>
      <c r="I3" s="156"/>
      <c r="J3" s="156"/>
      <c r="K3" s="156"/>
      <c r="L3" s="156"/>
      <c r="M3" s="156"/>
      <c r="N3" s="156"/>
      <c r="O3" s="156"/>
      <c r="P3" s="156"/>
      <c r="Q3" s="156"/>
      <c r="R3" s="156"/>
      <c r="S3" s="156"/>
      <c r="T3" s="156"/>
      <c r="U3" s="156"/>
      <c r="V3" s="156"/>
      <c r="W3" s="156"/>
      <c r="X3" s="156"/>
      <c r="Y3" s="156"/>
    </row>
    <row r="4" spans="1:25" ht="15" customHeight="1">
      <c r="A4" s="166" t="s">
        <v>0</v>
      </c>
      <c r="B4" s="166"/>
      <c r="C4" s="142" t="s">
        <v>175</v>
      </c>
      <c r="D4" s="143"/>
      <c r="E4" s="143"/>
      <c r="F4" s="143"/>
      <c r="G4" s="143"/>
      <c r="H4" s="143"/>
      <c r="I4" s="143"/>
      <c r="J4" s="143"/>
      <c r="K4" s="143"/>
      <c r="L4" s="143"/>
      <c r="M4" s="143"/>
      <c r="N4" s="143"/>
      <c r="O4" s="143"/>
      <c r="P4" s="143"/>
      <c r="Q4" s="143"/>
      <c r="R4" s="143"/>
      <c r="S4" s="143"/>
      <c r="T4" s="143"/>
      <c r="U4" s="143"/>
      <c r="V4" s="143"/>
      <c r="W4" s="143"/>
      <c r="X4" s="143"/>
      <c r="Y4" s="143"/>
    </row>
    <row r="5" spans="1:25">
      <c r="A5" s="166"/>
      <c r="B5" s="166"/>
      <c r="C5" s="142"/>
      <c r="D5" s="143"/>
      <c r="E5" s="143"/>
      <c r="F5" s="143"/>
      <c r="G5" s="143"/>
      <c r="H5" s="143"/>
      <c r="I5" s="143"/>
      <c r="J5" s="143"/>
      <c r="K5" s="143"/>
      <c r="L5" s="143"/>
      <c r="M5" s="143"/>
      <c r="N5" s="143"/>
      <c r="O5" s="143"/>
      <c r="P5" s="143"/>
      <c r="Q5" s="143"/>
      <c r="R5" s="143"/>
      <c r="S5" s="143"/>
      <c r="T5" s="143"/>
      <c r="U5" s="143"/>
      <c r="V5" s="143"/>
      <c r="W5" s="143"/>
      <c r="X5" s="143"/>
      <c r="Y5" s="143"/>
    </row>
    <row r="6" spans="1:25">
      <c r="A6" s="166"/>
      <c r="B6" s="166"/>
      <c r="C6" s="142"/>
      <c r="D6" s="143"/>
      <c r="E6" s="143"/>
      <c r="F6" s="143"/>
      <c r="G6" s="143"/>
      <c r="H6" s="143"/>
      <c r="I6" s="143"/>
      <c r="J6" s="143"/>
      <c r="K6" s="143"/>
      <c r="L6" s="143"/>
      <c r="M6" s="143"/>
      <c r="N6" s="143"/>
      <c r="O6" s="143"/>
      <c r="P6" s="143"/>
      <c r="Q6" s="143"/>
      <c r="R6" s="143"/>
      <c r="S6" s="143"/>
      <c r="T6" s="143"/>
      <c r="U6" s="143"/>
      <c r="V6" s="143"/>
      <c r="W6" s="143"/>
      <c r="X6" s="143"/>
      <c r="Y6" s="143"/>
    </row>
    <row r="7" spans="1:25">
      <c r="A7" s="166"/>
      <c r="B7" s="166"/>
      <c r="C7" s="142"/>
      <c r="D7" s="143"/>
      <c r="E7" s="143"/>
      <c r="F7" s="143"/>
      <c r="G7" s="143"/>
      <c r="H7" s="143"/>
      <c r="I7" s="143"/>
      <c r="J7" s="143"/>
      <c r="K7" s="143"/>
      <c r="L7" s="143"/>
      <c r="M7" s="143"/>
      <c r="N7" s="143"/>
      <c r="O7" s="143"/>
      <c r="P7" s="143"/>
      <c r="Q7" s="143"/>
      <c r="R7" s="143"/>
      <c r="S7" s="143"/>
      <c r="T7" s="143"/>
      <c r="U7" s="143"/>
      <c r="V7" s="143"/>
      <c r="W7" s="143"/>
      <c r="X7" s="143"/>
      <c r="Y7" s="143"/>
    </row>
    <row r="8" spans="1:25">
      <c r="A8" s="166"/>
      <c r="B8" s="166"/>
      <c r="C8" s="142"/>
      <c r="D8" s="143"/>
      <c r="E8" s="143"/>
      <c r="F8" s="143"/>
      <c r="G8" s="143"/>
      <c r="H8" s="143"/>
      <c r="I8" s="143"/>
      <c r="J8" s="143"/>
      <c r="K8" s="143"/>
      <c r="L8" s="143"/>
      <c r="M8" s="143"/>
      <c r="N8" s="143"/>
      <c r="O8" s="143"/>
      <c r="P8" s="143"/>
      <c r="Q8" s="143"/>
      <c r="R8" s="143"/>
      <c r="S8" s="143"/>
      <c r="T8" s="143"/>
      <c r="U8" s="143"/>
      <c r="V8" s="143"/>
      <c r="W8" s="143"/>
      <c r="X8" s="143"/>
      <c r="Y8" s="143"/>
    </row>
    <row r="9" spans="1:25">
      <c r="A9" s="139" t="s">
        <v>1</v>
      </c>
      <c r="B9" s="140"/>
      <c r="C9" s="139" t="s">
        <v>2</v>
      </c>
      <c r="D9" s="141"/>
      <c r="E9" s="141"/>
      <c r="F9" s="141"/>
      <c r="G9" s="140"/>
      <c r="H9" s="7" t="s">
        <v>28</v>
      </c>
      <c r="I9" s="2" t="s">
        <v>3</v>
      </c>
      <c r="J9" s="2" t="s">
        <v>4</v>
      </c>
      <c r="K9" s="2" t="s">
        <v>5</v>
      </c>
      <c r="L9" s="2" t="s">
        <v>6</v>
      </c>
      <c r="M9" s="3" t="s">
        <v>7</v>
      </c>
      <c r="N9" s="67" t="s">
        <v>145</v>
      </c>
      <c r="O9" s="67" t="s">
        <v>146</v>
      </c>
      <c r="P9" s="67" t="s">
        <v>147</v>
      </c>
      <c r="Q9" s="67" t="s">
        <v>148</v>
      </c>
      <c r="R9" s="67" t="s">
        <v>149</v>
      </c>
      <c r="S9" s="67" t="s">
        <v>150</v>
      </c>
      <c r="T9" s="67" t="s">
        <v>151</v>
      </c>
      <c r="U9" s="67" t="s">
        <v>152</v>
      </c>
      <c r="V9" s="67" t="s">
        <v>153</v>
      </c>
      <c r="W9" s="67" t="s">
        <v>154</v>
      </c>
      <c r="X9" s="67" t="s">
        <v>155</v>
      </c>
      <c r="Y9" s="111" t="s">
        <v>335</v>
      </c>
    </row>
    <row r="10" spans="1:25" ht="30" customHeight="1">
      <c r="A10" s="163">
        <v>1</v>
      </c>
      <c r="B10" s="157" t="s">
        <v>30</v>
      </c>
      <c r="C10" s="148" t="s">
        <v>25</v>
      </c>
      <c r="D10" s="149"/>
      <c r="E10" s="149"/>
      <c r="F10" s="149"/>
      <c r="G10" s="150"/>
      <c r="H10" s="168" t="s">
        <v>31</v>
      </c>
      <c r="I10" s="10" t="s">
        <v>38</v>
      </c>
      <c r="J10" s="9" t="s">
        <v>71</v>
      </c>
      <c r="K10" s="11" t="s">
        <v>10</v>
      </c>
      <c r="L10" s="11" t="s">
        <v>8</v>
      </c>
      <c r="M10" s="9" t="s">
        <v>37</v>
      </c>
      <c r="N10" s="49">
        <f>'1'!D11</f>
        <v>0.95593869731800762</v>
      </c>
      <c r="O10" s="49">
        <f>'1'!D12</f>
        <v>0.98396793587174347</v>
      </c>
      <c r="P10" s="49">
        <f>'1'!D13</f>
        <v>0.98529411764705888</v>
      </c>
      <c r="Q10" s="49">
        <f>'1'!D14</f>
        <v>0.9671848013816926</v>
      </c>
      <c r="R10" s="49">
        <f>'1'!D15</f>
        <v>0.92130518234165071</v>
      </c>
      <c r="S10" s="49">
        <f>'1'!D16</f>
        <v>0.94849023090586149</v>
      </c>
      <c r="T10" s="49">
        <f>'1'!D17</f>
        <v>0.89102564102564108</v>
      </c>
      <c r="U10" s="49">
        <f>'1'!D18</f>
        <v>0.93306288032454365</v>
      </c>
      <c r="V10" s="49">
        <f>'1'!D19</f>
        <v>0.89911504424778765</v>
      </c>
      <c r="W10" s="49">
        <f>'1'!D20</f>
        <v>0.92500000000000004</v>
      </c>
      <c r="X10" s="49">
        <f>'1'!D21</f>
        <v>0.96496815286624205</v>
      </c>
      <c r="Y10" s="118">
        <f>AVERAGE(N10:X10)</f>
        <v>0.94321388035729359</v>
      </c>
    </row>
    <row r="11" spans="1:25" ht="60">
      <c r="A11" s="164"/>
      <c r="B11" s="158"/>
      <c r="C11" s="151"/>
      <c r="D11" s="152"/>
      <c r="E11" s="152"/>
      <c r="F11" s="152"/>
      <c r="G11" s="153"/>
      <c r="H11" s="169"/>
      <c r="I11" s="10" t="s">
        <v>333</v>
      </c>
      <c r="J11" s="9" t="s">
        <v>327</v>
      </c>
      <c r="K11" s="12">
        <v>0.9</v>
      </c>
      <c r="L11" s="11" t="s">
        <v>8</v>
      </c>
      <c r="M11" s="9" t="s">
        <v>79</v>
      </c>
      <c r="N11" s="49" t="s">
        <v>143</v>
      </c>
      <c r="O11" s="49" t="s">
        <v>143</v>
      </c>
      <c r="P11" s="49" t="s">
        <v>143</v>
      </c>
      <c r="Q11" s="49" t="s">
        <v>143</v>
      </c>
      <c r="R11" s="49" t="s">
        <v>143</v>
      </c>
      <c r="S11" s="49" t="s">
        <v>143</v>
      </c>
      <c r="T11" s="49">
        <f>'1'!D35</f>
        <v>1</v>
      </c>
      <c r="U11" s="49">
        <f>'1'!D36</f>
        <v>1</v>
      </c>
      <c r="V11" s="49">
        <f>'1'!D37</f>
        <v>1</v>
      </c>
      <c r="W11" s="49">
        <f>'1'!D38</f>
        <v>1</v>
      </c>
      <c r="X11" s="49">
        <f>'1'!D39</f>
        <v>0.95348837209302328</v>
      </c>
      <c r="Y11" s="72">
        <f>AVERAGE(N11:X11)</f>
        <v>0.99069767441860468</v>
      </c>
    </row>
    <row r="12" spans="1:25" ht="30" customHeight="1">
      <c r="A12" s="167">
        <v>2</v>
      </c>
      <c r="B12" s="166" t="s">
        <v>16</v>
      </c>
      <c r="C12" s="154" t="s">
        <v>19</v>
      </c>
      <c r="D12" s="154"/>
      <c r="E12" s="154"/>
      <c r="F12" s="154"/>
      <c r="G12" s="154"/>
      <c r="H12" s="154" t="s">
        <v>32</v>
      </c>
      <c r="I12" s="10" t="s">
        <v>184</v>
      </c>
      <c r="J12" s="40" t="s">
        <v>185</v>
      </c>
      <c r="K12" s="12">
        <v>1</v>
      </c>
      <c r="L12" s="11" t="s">
        <v>8</v>
      </c>
      <c r="M12" s="40" t="s">
        <v>186</v>
      </c>
      <c r="N12" s="49">
        <v>1</v>
      </c>
      <c r="O12" s="49">
        <v>1</v>
      </c>
      <c r="P12" s="49" t="str">
        <f>'2'!D31</f>
        <v>N/A</v>
      </c>
      <c r="Q12" s="49">
        <v>1</v>
      </c>
      <c r="R12" s="49" t="str">
        <f>'2'!D33</f>
        <v>N/A</v>
      </c>
      <c r="S12" s="49">
        <v>1</v>
      </c>
      <c r="T12" s="49">
        <v>1</v>
      </c>
      <c r="U12" s="49" t="str">
        <f>'2'!D36</f>
        <v>N/A</v>
      </c>
      <c r="V12" s="49">
        <v>1</v>
      </c>
      <c r="W12" s="49">
        <v>1</v>
      </c>
      <c r="X12" s="49" t="str">
        <f>'2'!D39</f>
        <v>N/A</v>
      </c>
      <c r="Y12" s="49">
        <f>AVERAGE(N12:X12)</f>
        <v>1</v>
      </c>
    </row>
    <row r="13" spans="1:25" ht="127.5" customHeight="1">
      <c r="A13" s="167"/>
      <c r="B13" s="166"/>
      <c r="C13" s="154"/>
      <c r="D13" s="154"/>
      <c r="E13" s="154"/>
      <c r="F13" s="154"/>
      <c r="G13" s="154"/>
      <c r="H13" s="154"/>
      <c r="I13" s="10" t="s">
        <v>122</v>
      </c>
      <c r="J13" s="9" t="s">
        <v>41</v>
      </c>
      <c r="K13" s="13">
        <v>4.5</v>
      </c>
      <c r="L13" s="11" t="s">
        <v>8</v>
      </c>
      <c r="M13" s="9" t="s">
        <v>9</v>
      </c>
      <c r="N13" s="70">
        <f>('2'!B11+'2'!C11+'2'!D11)/3</f>
        <v>4.7333333333333334</v>
      </c>
      <c r="O13" s="70">
        <f>('2'!B12+'2'!C12+'2'!D12)/3</f>
        <v>4.8</v>
      </c>
      <c r="P13" s="70">
        <f>('2'!B13+'2'!C13+'2'!D13)/3</f>
        <v>4.7</v>
      </c>
      <c r="Q13" s="70">
        <f>('2'!B14+'2'!C14+'2'!D14)/3</f>
        <v>4.6333333333333337</v>
      </c>
      <c r="R13" s="70">
        <f>('2'!B15+'2'!C15+'2'!D15)/3</f>
        <v>4.8</v>
      </c>
      <c r="S13" s="70">
        <f>('2'!B16+'2'!C16+'2'!D16)/3</f>
        <v>4.6333333333333329</v>
      </c>
      <c r="T13" s="70">
        <f>('2'!B17+'2'!C17+'2'!D17)/3</f>
        <v>4.7</v>
      </c>
      <c r="U13" s="70">
        <f>('2'!B18+'2'!C18+'2'!D18)/3</f>
        <v>4.8</v>
      </c>
      <c r="V13" s="70">
        <f>('2'!B19+'2'!C19+'2'!D19)/3</f>
        <v>4.666666666666667</v>
      </c>
      <c r="W13" s="70">
        <f>('2'!B20+'2'!C20+'2'!D20)/3</f>
        <v>4.666666666666667</v>
      </c>
      <c r="X13" s="70">
        <f>('2'!B21+'2'!C21+'2'!D21)/3</f>
        <v>4.5</v>
      </c>
      <c r="Y13" s="70">
        <f>AVERAGE(N13:X13)</f>
        <v>4.6939393939393934</v>
      </c>
    </row>
    <row r="14" spans="1:25" ht="30" customHeight="1">
      <c r="A14" s="163">
        <v>3</v>
      </c>
      <c r="B14" s="157" t="s">
        <v>17</v>
      </c>
      <c r="C14" s="148" t="s">
        <v>18</v>
      </c>
      <c r="D14" s="149"/>
      <c r="E14" s="149"/>
      <c r="F14" s="149"/>
      <c r="G14" s="150"/>
      <c r="H14" s="168" t="s">
        <v>124</v>
      </c>
      <c r="I14" s="10" t="s">
        <v>125</v>
      </c>
      <c r="J14" s="50" t="s">
        <v>126</v>
      </c>
      <c r="K14" s="55">
        <v>1</v>
      </c>
      <c r="L14" s="11" t="s">
        <v>11</v>
      </c>
      <c r="M14" s="50" t="s">
        <v>127</v>
      </c>
      <c r="N14" s="49">
        <v>1</v>
      </c>
      <c r="O14" s="49">
        <v>1</v>
      </c>
      <c r="P14" s="49">
        <v>1</v>
      </c>
      <c r="Q14" s="49">
        <v>1</v>
      </c>
      <c r="R14" s="49">
        <v>1</v>
      </c>
      <c r="S14" s="49">
        <v>1</v>
      </c>
      <c r="T14" s="49">
        <v>1</v>
      </c>
      <c r="U14" s="49">
        <v>1</v>
      </c>
      <c r="V14" s="49">
        <v>1</v>
      </c>
      <c r="W14" s="49">
        <v>1</v>
      </c>
      <c r="X14" s="49">
        <v>1</v>
      </c>
      <c r="Y14" s="49">
        <v>1</v>
      </c>
    </row>
    <row r="15" spans="1:25" ht="162" customHeight="1">
      <c r="A15" s="165"/>
      <c r="B15" s="159"/>
      <c r="C15" s="160"/>
      <c r="D15" s="161"/>
      <c r="E15" s="161"/>
      <c r="F15" s="161"/>
      <c r="G15" s="162"/>
      <c r="H15" s="169"/>
      <c r="I15" s="10" t="s">
        <v>39</v>
      </c>
      <c r="J15" s="9" t="s">
        <v>40</v>
      </c>
      <c r="K15" s="12">
        <v>1</v>
      </c>
      <c r="L15" s="11" t="s">
        <v>8</v>
      </c>
      <c r="M15" s="9" t="s">
        <v>37</v>
      </c>
      <c r="N15" s="49">
        <f>'3'!D11</f>
        <v>1</v>
      </c>
      <c r="O15" s="49">
        <f>'3'!D12</f>
        <v>1</v>
      </c>
      <c r="P15" s="49">
        <f>'3'!D13</f>
        <v>1</v>
      </c>
      <c r="Q15" s="49">
        <f>'3'!D14</f>
        <v>1</v>
      </c>
      <c r="R15" s="49">
        <f>'3'!D15</f>
        <v>1</v>
      </c>
      <c r="S15" s="49">
        <f>'3'!D16</f>
        <v>1</v>
      </c>
      <c r="T15" s="49">
        <f>'3'!D17</f>
        <v>1</v>
      </c>
      <c r="U15" s="49">
        <f>'3'!D18</f>
        <v>1</v>
      </c>
      <c r="V15" s="49">
        <f>'3'!D19</f>
        <v>1</v>
      </c>
      <c r="W15" s="49">
        <f>'3'!D20</f>
        <v>1</v>
      </c>
      <c r="X15" s="49">
        <f>'3'!D21</f>
        <v>1</v>
      </c>
      <c r="Y15" s="118">
        <f>AVERAGE(N15:X15)</f>
        <v>1</v>
      </c>
    </row>
    <row r="16" spans="1:25" ht="45">
      <c r="A16" s="2">
        <v>4</v>
      </c>
      <c r="B16" s="3" t="s">
        <v>20</v>
      </c>
      <c r="C16" s="145" t="s">
        <v>26</v>
      </c>
      <c r="D16" s="146"/>
      <c r="E16" s="146"/>
      <c r="F16" s="146"/>
      <c r="G16" s="147"/>
      <c r="H16" s="4" t="s">
        <v>33</v>
      </c>
      <c r="I16" s="15" t="s">
        <v>80</v>
      </c>
      <c r="J16" s="8" t="s">
        <v>82</v>
      </c>
      <c r="K16" s="5" t="s">
        <v>10</v>
      </c>
      <c r="L16" s="5" t="s">
        <v>11</v>
      </c>
      <c r="M16" s="4" t="s">
        <v>12</v>
      </c>
      <c r="N16" s="5" t="s">
        <v>143</v>
      </c>
      <c r="O16" s="5" t="s">
        <v>143</v>
      </c>
      <c r="P16" s="49">
        <v>1</v>
      </c>
      <c r="Q16" s="71" t="s">
        <v>143</v>
      </c>
      <c r="R16" s="71" t="s">
        <v>143</v>
      </c>
      <c r="S16" s="72">
        <f>'4'!D14</f>
        <v>1</v>
      </c>
      <c r="T16" s="71" t="s">
        <v>143</v>
      </c>
      <c r="U16" s="71" t="s">
        <v>143</v>
      </c>
      <c r="V16" s="72">
        <f>'4'!D17</f>
        <v>1</v>
      </c>
      <c r="W16" s="71" t="s">
        <v>143</v>
      </c>
      <c r="X16" s="71" t="s">
        <v>143</v>
      </c>
      <c r="Y16" s="49">
        <f>AVERAGE(P16,V16)</f>
        <v>1</v>
      </c>
    </row>
    <row r="17" spans="1:25" ht="30" customHeight="1">
      <c r="A17" s="163">
        <v>5</v>
      </c>
      <c r="B17" s="157" t="s">
        <v>21</v>
      </c>
      <c r="C17" s="148" t="s">
        <v>90</v>
      </c>
      <c r="D17" s="149"/>
      <c r="E17" s="149"/>
      <c r="F17" s="149"/>
      <c r="G17" s="150"/>
      <c r="H17" s="168" t="s">
        <v>119</v>
      </c>
      <c r="I17" s="14" t="s">
        <v>48</v>
      </c>
      <c r="J17" s="4" t="s">
        <v>47</v>
      </c>
      <c r="K17" s="69" t="s">
        <v>10</v>
      </c>
      <c r="L17" s="5" t="s">
        <v>8</v>
      </c>
      <c r="M17" s="4" t="s">
        <v>49</v>
      </c>
      <c r="N17" s="49">
        <f>'5'!D11</f>
        <v>1.8489524800906934</v>
      </c>
      <c r="O17" s="49">
        <f>'5'!D12</f>
        <v>1.5118150066458176</v>
      </c>
      <c r="P17" s="49">
        <f>'5'!D13</f>
        <v>1.3305287939673585</v>
      </c>
      <c r="Q17" s="49">
        <f>'5'!D14</f>
        <v>1.0975338014380327</v>
      </c>
      <c r="R17" s="49">
        <f>'5'!D15</f>
        <v>1.4060509129338514</v>
      </c>
      <c r="S17" s="49">
        <f>'5'!D16</f>
        <v>1.1068359604582081</v>
      </c>
      <c r="T17" s="49">
        <f>'5'!D17</f>
        <v>1.2981259903940061</v>
      </c>
      <c r="U17" s="49">
        <f>'5'!D18</f>
        <v>1.2202304821786834</v>
      </c>
      <c r="V17" s="49">
        <f>'5'!D19</f>
        <v>1.3101973921535364</v>
      </c>
      <c r="W17" s="49">
        <f>'5'!D20</f>
        <v>1.1520153759035319</v>
      </c>
      <c r="X17" s="49">
        <f>'5'!D21</f>
        <v>1.1191177226645892</v>
      </c>
      <c r="Y17" s="49">
        <f>AVERAGE(N17:X17)</f>
        <v>1.309218538075301</v>
      </c>
    </row>
    <row r="18" spans="1:25" ht="30">
      <c r="A18" s="164"/>
      <c r="B18" s="158"/>
      <c r="C18" s="151"/>
      <c r="D18" s="152"/>
      <c r="E18" s="152"/>
      <c r="F18" s="152"/>
      <c r="G18" s="153"/>
      <c r="H18" s="170"/>
      <c r="I18" s="60" t="s">
        <v>136</v>
      </c>
      <c r="J18" s="56" t="s">
        <v>131</v>
      </c>
      <c r="K18" s="128" t="s">
        <v>354</v>
      </c>
      <c r="L18" s="5" t="s">
        <v>8</v>
      </c>
      <c r="M18" s="16" t="s">
        <v>50</v>
      </c>
      <c r="N18" s="118">
        <f>'5'!F28</f>
        <v>1.36232627948</v>
      </c>
      <c r="O18" s="118">
        <f>'5'!F29</f>
        <v>1.6299052330699999</v>
      </c>
      <c r="P18" s="118">
        <f>'5'!F30</f>
        <v>1.2958467618199998</v>
      </c>
      <c r="Q18" s="118">
        <f>'5'!F31</f>
        <v>1.985899877</v>
      </c>
      <c r="R18" s="118">
        <f>'5'!F32</f>
        <v>1.60033633</v>
      </c>
      <c r="S18" s="118">
        <f>'5'!F33</f>
        <v>1.481741821</v>
      </c>
      <c r="T18" s="118">
        <f>'5'!F34</f>
        <v>1.6924407450000001</v>
      </c>
      <c r="U18" s="118">
        <f>'5'!F35</f>
        <v>1.912227025</v>
      </c>
      <c r="V18" s="118">
        <f>'5'!F36</f>
        <v>1.394061132</v>
      </c>
      <c r="W18" s="118">
        <f>'5'!F37</f>
        <v>1.372460083</v>
      </c>
      <c r="X18" s="118">
        <f>'5'!F38</f>
        <v>1.3655381040000001</v>
      </c>
      <c r="Y18" s="49">
        <f>AVERAGE(N18:X18)</f>
        <v>1.5538893992154543</v>
      </c>
    </row>
    <row r="19" spans="1:25">
      <c r="A19" s="164"/>
      <c r="B19" s="158"/>
      <c r="C19" s="151"/>
      <c r="D19" s="152"/>
      <c r="E19" s="152"/>
      <c r="F19" s="152"/>
      <c r="G19" s="153"/>
      <c r="H19" s="170"/>
      <c r="I19" s="39" t="s">
        <v>114</v>
      </c>
      <c r="J19" s="38" t="s">
        <v>117</v>
      </c>
      <c r="K19" s="49">
        <v>0.9</v>
      </c>
      <c r="L19" s="5" t="s">
        <v>8</v>
      </c>
      <c r="M19" s="38" t="s">
        <v>116</v>
      </c>
      <c r="N19" s="49">
        <f>'5'!F46</f>
        <v>1.0052020957515162</v>
      </c>
      <c r="O19" s="49">
        <f>'5'!F47</f>
        <v>0.94493150269525306</v>
      </c>
      <c r="P19" s="49">
        <f>'5'!F48</f>
        <v>1.3071061438763854</v>
      </c>
      <c r="Q19" s="49">
        <f>'5'!F49</f>
        <v>0.83199528844178117</v>
      </c>
      <c r="R19" s="49">
        <f>'5'!F50</f>
        <v>0.99659984699542792</v>
      </c>
      <c r="S19" s="49">
        <f>'5'!F51</f>
        <v>1.0376518515574604</v>
      </c>
      <c r="T19" s="49">
        <f>'5'!F52</f>
        <v>0.93921546120517996</v>
      </c>
      <c r="U19" s="49">
        <f>'5'!F53</f>
        <v>0.96539840520466191</v>
      </c>
      <c r="V19" s="49">
        <f>'5'!F54</f>
        <v>1.0401505243860183</v>
      </c>
      <c r="W19" s="49">
        <f>'5'!F55</f>
        <v>0.98306778075117351</v>
      </c>
      <c r="X19" s="49">
        <f>'5'!F56</f>
        <v>0.979313028940481</v>
      </c>
      <c r="Y19" s="49">
        <f>AVERAGE(N19:X19)</f>
        <v>1.0027847208913945</v>
      </c>
    </row>
    <row r="20" spans="1:25">
      <c r="A20" s="164"/>
      <c r="B20" s="158"/>
      <c r="C20" s="151"/>
      <c r="D20" s="152"/>
      <c r="E20" s="152"/>
      <c r="F20" s="152"/>
      <c r="G20" s="153"/>
      <c r="H20" s="170"/>
      <c r="I20" s="39" t="s">
        <v>115</v>
      </c>
      <c r="J20" s="38" t="s">
        <v>118</v>
      </c>
      <c r="K20" s="49">
        <v>0.95</v>
      </c>
      <c r="L20" s="5" t="s">
        <v>8</v>
      </c>
      <c r="M20" s="38" t="s">
        <v>116</v>
      </c>
      <c r="N20" s="49">
        <f>'5'!G46</f>
        <v>1.0568157580464883</v>
      </c>
      <c r="O20" s="49">
        <f>'5'!G47</f>
        <v>0.98748076989160416</v>
      </c>
      <c r="P20" s="49">
        <f>'5'!G48</f>
        <v>0.95391619249622583</v>
      </c>
      <c r="Q20" s="49">
        <f>'5'!G49</f>
        <v>1.0018322887396613</v>
      </c>
      <c r="R20" s="49">
        <f>'5'!G50</f>
        <v>1.0499855491938941</v>
      </c>
      <c r="S20" s="49">
        <f>'5'!G51</f>
        <v>0.99857940189011518</v>
      </c>
      <c r="T20" s="49">
        <f>'5'!G52</f>
        <v>0.99136227556496181</v>
      </c>
      <c r="U20" s="49">
        <f>'5'!G53</f>
        <v>0.83762435978255334</v>
      </c>
      <c r="V20" s="49">
        <f>'5'!G54</f>
        <v>1.1834115553582252</v>
      </c>
      <c r="W20" s="49">
        <f>'5'!G55</f>
        <v>0.99461449829216031</v>
      </c>
      <c r="X20" s="49">
        <f>'5'!G56</f>
        <v>1.0048763583340654</v>
      </c>
      <c r="Y20" s="49">
        <f>AVERAGE(N20:X20)</f>
        <v>1.005499909780905</v>
      </c>
    </row>
    <row r="21" spans="1:25">
      <c r="A21" s="164"/>
      <c r="B21" s="158"/>
      <c r="C21" s="151"/>
      <c r="D21" s="152"/>
      <c r="E21" s="152"/>
      <c r="F21" s="152"/>
      <c r="G21" s="153"/>
      <c r="H21" s="170"/>
      <c r="I21" s="10" t="s">
        <v>162</v>
      </c>
      <c r="J21" s="68" t="s">
        <v>158</v>
      </c>
      <c r="K21" s="49" t="s">
        <v>161</v>
      </c>
      <c r="L21" s="5" t="s">
        <v>8</v>
      </c>
      <c r="M21" s="68" t="s">
        <v>159</v>
      </c>
      <c r="N21" s="49">
        <f>'5'!D79</f>
        <v>9.0157776108189328E-3</v>
      </c>
      <c r="O21" s="49">
        <f>'5'!D80</f>
        <v>2.0895522388059702E-2</v>
      </c>
      <c r="P21" s="49">
        <f>'5'!D81</f>
        <v>1.1054421768707483E-2</v>
      </c>
      <c r="Q21" s="49">
        <f>'5'!D82</f>
        <v>2.068519715578539E-2</v>
      </c>
      <c r="R21" s="49">
        <f>'5'!D83</f>
        <v>1.4437689969604863E-2</v>
      </c>
      <c r="S21" s="49">
        <f>'5'!D84</f>
        <v>1.0744435917114352E-2</v>
      </c>
      <c r="T21" s="49">
        <f>'5'!D85</f>
        <v>1.3408609738884969E-2</v>
      </c>
      <c r="U21" s="49">
        <f>'5'!D86</f>
        <v>8.7778528021607016E-3</v>
      </c>
      <c r="V21" s="49">
        <f>'5'!D87</f>
        <v>3.927729772191673E-3</v>
      </c>
      <c r="W21" s="49">
        <f>'5'!D88</f>
        <v>5.1357300073367569E-3</v>
      </c>
      <c r="X21" s="49">
        <f>'5'!D89</f>
        <v>6.3875088715400997E-3</v>
      </c>
      <c r="Y21" s="118">
        <f>AVERAGE(N21:X21)</f>
        <v>1.1315497818382265E-2</v>
      </c>
    </row>
    <row r="22" spans="1:25">
      <c r="A22" s="165"/>
      <c r="B22" s="159"/>
      <c r="C22" s="160"/>
      <c r="D22" s="161"/>
      <c r="E22" s="161"/>
      <c r="F22" s="161"/>
      <c r="G22" s="162"/>
      <c r="H22" s="169"/>
      <c r="I22" s="10" t="s">
        <v>163</v>
      </c>
      <c r="J22" s="68" t="s">
        <v>160</v>
      </c>
      <c r="K22" s="49" t="s">
        <v>170</v>
      </c>
      <c r="L22" s="5" t="s">
        <v>8</v>
      </c>
      <c r="M22" s="68" t="s">
        <v>167</v>
      </c>
      <c r="N22" s="49">
        <f>'5'!D95</f>
        <v>0</v>
      </c>
      <c r="O22" s="49">
        <f>'5'!D96</f>
        <v>0</v>
      </c>
      <c r="P22" s="49">
        <f>'5'!D97</f>
        <v>0</v>
      </c>
      <c r="Q22" s="49">
        <f>'5'!D98</f>
        <v>0</v>
      </c>
      <c r="R22" s="49">
        <f>'5'!D99</f>
        <v>0</v>
      </c>
      <c r="S22" s="49">
        <f>'5'!D100</f>
        <v>0</v>
      </c>
      <c r="T22" s="49">
        <f>'5'!D101</f>
        <v>0</v>
      </c>
      <c r="U22" s="49">
        <f>'5'!D102</f>
        <v>0</v>
      </c>
      <c r="V22" s="49">
        <f>'5'!D103</f>
        <v>0</v>
      </c>
      <c r="W22" s="49">
        <f>'5'!D104</f>
        <v>0</v>
      </c>
      <c r="X22" s="49">
        <f>'5'!D105</f>
        <v>0</v>
      </c>
      <c r="Y22" s="118">
        <v>0</v>
      </c>
    </row>
    <row r="23" spans="1:25" ht="141.75" customHeight="1">
      <c r="A23" s="2">
        <v>6</v>
      </c>
      <c r="B23" s="3" t="s">
        <v>22</v>
      </c>
      <c r="C23" s="144" t="s">
        <v>95</v>
      </c>
      <c r="D23" s="144"/>
      <c r="E23" s="144"/>
      <c r="F23" s="144"/>
      <c r="G23" s="144"/>
      <c r="H23" s="4" t="s">
        <v>34</v>
      </c>
      <c r="I23" s="14" t="s">
        <v>13</v>
      </c>
      <c r="J23" s="4" t="s">
        <v>14</v>
      </c>
      <c r="K23" s="5" t="s">
        <v>10</v>
      </c>
      <c r="L23" s="5" t="s">
        <v>8</v>
      </c>
      <c r="M23" s="4" t="s">
        <v>15</v>
      </c>
      <c r="N23" s="49">
        <f>'6'!D11</f>
        <v>1</v>
      </c>
      <c r="O23" s="49">
        <f>'6'!D12</f>
        <v>0.8571428571428571</v>
      </c>
      <c r="P23" s="49">
        <f>'6'!D13</f>
        <v>0.8571428571428571</v>
      </c>
      <c r="Q23" s="49">
        <f>'6'!D14</f>
        <v>0.8571428571428571</v>
      </c>
      <c r="R23" s="49">
        <f>'6'!D15</f>
        <v>1</v>
      </c>
      <c r="S23" s="49">
        <f>'6'!D16</f>
        <v>0.8</v>
      </c>
      <c r="T23" s="49">
        <f>'6'!D17</f>
        <v>1</v>
      </c>
      <c r="U23" s="49">
        <f>'6'!D18</f>
        <v>1</v>
      </c>
      <c r="V23" s="49">
        <f>'6'!C23</f>
        <v>0.90243902439024393</v>
      </c>
      <c r="W23" s="49">
        <f>'6'!D20</f>
        <v>1</v>
      </c>
      <c r="X23" s="49">
        <f>'6'!D21</f>
        <v>1</v>
      </c>
      <c r="Y23" s="118">
        <f>AVERAGE(N23:X23)</f>
        <v>0.93398796325625599</v>
      </c>
    </row>
    <row r="24" spans="1:25" ht="129.75" customHeight="1">
      <c r="A24" s="2">
        <v>7</v>
      </c>
      <c r="B24" s="3" t="s">
        <v>23</v>
      </c>
      <c r="C24" s="144" t="s">
        <v>100</v>
      </c>
      <c r="D24" s="144"/>
      <c r="E24" s="144"/>
      <c r="F24" s="144"/>
      <c r="G24" s="144"/>
      <c r="H24" s="4" t="s">
        <v>36</v>
      </c>
      <c r="I24" s="14" t="s">
        <v>44</v>
      </c>
      <c r="J24" s="9" t="s">
        <v>41</v>
      </c>
      <c r="K24" s="5" t="s">
        <v>42</v>
      </c>
      <c r="L24" s="5" t="s">
        <v>8</v>
      </c>
      <c r="M24" s="4" t="s">
        <v>43</v>
      </c>
      <c r="N24" s="73">
        <f>'7'!D11</f>
        <v>99.875</v>
      </c>
      <c r="O24" s="73">
        <f>'7'!D12</f>
        <v>97.277777777777771</v>
      </c>
      <c r="P24" s="73">
        <f>'7'!D13</f>
        <v>97.35</v>
      </c>
      <c r="Q24" s="73">
        <f>'7'!D14</f>
        <v>97.45</v>
      </c>
      <c r="R24" s="73">
        <f>'7'!D15</f>
        <v>97.9</v>
      </c>
      <c r="S24" s="73">
        <f>'7'!D16</f>
        <v>97.055555555555557</v>
      </c>
      <c r="T24" s="73">
        <f>'7'!D17</f>
        <v>95.8</v>
      </c>
      <c r="U24" s="73">
        <f>'7'!D18</f>
        <v>96.368421052631575</v>
      </c>
      <c r="V24" s="73">
        <f>'7'!D19</f>
        <v>97</v>
      </c>
      <c r="W24" s="73">
        <f>'7'!D20</f>
        <v>97.235294117647058</v>
      </c>
      <c r="X24" s="73">
        <f>'7'!D21</f>
        <v>97.45</v>
      </c>
      <c r="Y24" s="123">
        <f>AVERAGE(N24:X24)</f>
        <v>97.34200440941926</v>
      </c>
    </row>
    <row r="25" spans="1:25" ht="150.75" customHeight="1">
      <c r="A25" s="2">
        <v>8</v>
      </c>
      <c r="B25" s="3" t="s">
        <v>24</v>
      </c>
      <c r="C25" s="144" t="s">
        <v>27</v>
      </c>
      <c r="D25" s="144"/>
      <c r="E25" s="144"/>
      <c r="F25" s="144"/>
      <c r="G25" s="144"/>
      <c r="H25" s="4" t="s">
        <v>35</v>
      </c>
      <c r="I25" s="14" t="s">
        <v>45</v>
      </c>
      <c r="J25" s="9" t="s">
        <v>41</v>
      </c>
      <c r="K25" s="5" t="s">
        <v>142</v>
      </c>
      <c r="L25" s="5" t="s">
        <v>123</v>
      </c>
      <c r="M25" s="4" t="s">
        <v>46</v>
      </c>
      <c r="N25" s="73" t="s">
        <v>143</v>
      </c>
      <c r="O25" s="73" t="s">
        <v>143</v>
      </c>
      <c r="P25" s="73" t="s">
        <v>143</v>
      </c>
      <c r="Q25" s="73" t="s">
        <v>143</v>
      </c>
      <c r="R25" s="73" t="s">
        <v>143</v>
      </c>
      <c r="S25" s="74">
        <f>'8'!D11</f>
        <v>4.7</v>
      </c>
      <c r="T25" s="73" t="s">
        <v>143</v>
      </c>
      <c r="U25" s="73" t="s">
        <v>143</v>
      </c>
      <c r="V25" s="73" t="s">
        <v>143</v>
      </c>
      <c r="W25" s="73" t="s">
        <v>143</v>
      </c>
      <c r="X25" s="73" t="s">
        <v>143</v>
      </c>
      <c r="Y25" s="70">
        <f>AVERAGE(S25)</f>
        <v>4.7</v>
      </c>
    </row>
    <row r="26" spans="1:25">
      <c r="O26" s="6"/>
    </row>
    <row r="27" spans="1:25">
      <c r="O27" s="6"/>
    </row>
    <row r="28" spans="1:25">
      <c r="O28" s="6"/>
    </row>
  </sheetData>
  <mergeCells count="25">
    <mergeCell ref="A1:Y3"/>
    <mergeCell ref="B17:B22"/>
    <mergeCell ref="C17:G22"/>
    <mergeCell ref="A17:A22"/>
    <mergeCell ref="B10:B11"/>
    <mergeCell ref="A10:A11"/>
    <mergeCell ref="B12:B13"/>
    <mergeCell ref="A12:A13"/>
    <mergeCell ref="B14:B15"/>
    <mergeCell ref="A14:A15"/>
    <mergeCell ref="C14:G15"/>
    <mergeCell ref="H10:H11"/>
    <mergeCell ref="H12:H13"/>
    <mergeCell ref="H17:H22"/>
    <mergeCell ref="H14:H15"/>
    <mergeCell ref="A4:B8"/>
    <mergeCell ref="A9:B9"/>
    <mergeCell ref="C9:G9"/>
    <mergeCell ref="C4:Y8"/>
    <mergeCell ref="C24:G24"/>
    <mergeCell ref="C25:G25"/>
    <mergeCell ref="C16:G16"/>
    <mergeCell ref="C23:G23"/>
    <mergeCell ref="C10:G11"/>
    <mergeCell ref="C12:G13"/>
  </mergeCells>
  <pageMargins left="0.7" right="0.7" top="0.75" bottom="0.75" header="0.3" footer="0.3"/>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
  <sheetViews>
    <sheetView topLeftCell="A16" zoomScale="82" zoomScaleNormal="82" workbookViewId="0">
      <selection activeCell="L25" sqref="L25"/>
    </sheetView>
  </sheetViews>
  <sheetFormatPr baseColWidth="10" defaultRowHeight="15"/>
  <cols>
    <col min="1" max="1" width="12.42578125" customWidth="1"/>
    <col min="2" max="2" width="14.42578125" customWidth="1"/>
    <col min="3" max="5" width="14.5703125" customWidth="1"/>
  </cols>
  <sheetData>
    <row r="1" spans="1:19">
      <c r="A1" s="178"/>
      <c r="B1" s="178"/>
      <c r="C1" s="179" t="s">
        <v>73</v>
      </c>
      <c r="D1" s="179"/>
      <c r="E1" s="179"/>
      <c r="F1" s="179"/>
      <c r="G1" s="179"/>
      <c r="H1" s="179"/>
      <c r="I1" s="180" t="s">
        <v>137</v>
      </c>
      <c r="J1" s="180"/>
    </row>
    <row r="2" spans="1:19">
      <c r="A2" s="178"/>
      <c r="B2" s="178"/>
      <c r="C2" s="179"/>
      <c r="D2" s="179"/>
      <c r="E2" s="179"/>
      <c r="F2" s="179"/>
      <c r="G2" s="179"/>
      <c r="H2" s="179"/>
      <c r="I2" s="180" t="s">
        <v>74</v>
      </c>
      <c r="J2" s="180"/>
      <c r="N2" s="26"/>
      <c r="O2" s="26"/>
      <c r="P2" s="26"/>
      <c r="Q2" s="26"/>
      <c r="R2" s="26"/>
      <c r="S2" s="26"/>
    </row>
    <row r="3" spans="1:19">
      <c r="A3" s="178"/>
      <c r="B3" s="178"/>
      <c r="C3" s="179"/>
      <c r="D3" s="179"/>
      <c r="E3" s="179"/>
      <c r="F3" s="179"/>
      <c r="G3" s="179"/>
      <c r="H3" s="179"/>
      <c r="I3" s="180" t="s">
        <v>110</v>
      </c>
      <c r="J3" s="180"/>
      <c r="N3" s="171"/>
      <c r="O3" s="171"/>
      <c r="P3" s="171"/>
      <c r="Q3" s="171"/>
      <c r="R3" s="171"/>
      <c r="S3" s="171"/>
    </row>
    <row r="4" spans="1:19" ht="15" customHeight="1">
      <c r="A4" s="183" t="s">
        <v>188</v>
      </c>
      <c r="B4" s="184"/>
      <c r="C4" s="187" t="s">
        <v>25</v>
      </c>
      <c r="D4" s="188"/>
      <c r="E4" s="188"/>
      <c r="F4" s="188"/>
      <c r="G4" s="188"/>
      <c r="H4" s="188"/>
      <c r="I4" s="188"/>
      <c r="J4" s="189"/>
      <c r="N4" s="26"/>
      <c r="O4" s="26"/>
      <c r="P4" s="26"/>
      <c r="Q4" s="26"/>
      <c r="R4" s="26"/>
      <c r="S4" s="26"/>
    </row>
    <row r="5" spans="1:19">
      <c r="A5" s="185"/>
      <c r="B5" s="186"/>
      <c r="C5" s="190"/>
      <c r="D5" s="191"/>
      <c r="E5" s="191"/>
      <c r="F5" s="191"/>
      <c r="G5" s="191"/>
      <c r="H5" s="191"/>
      <c r="I5" s="191"/>
      <c r="J5" s="192"/>
      <c r="N5" s="26"/>
      <c r="O5" s="26"/>
      <c r="P5" s="26"/>
      <c r="Q5" s="26"/>
      <c r="R5" s="26"/>
      <c r="S5" s="26"/>
    </row>
    <row r="6" spans="1:19" ht="30.75" customHeight="1">
      <c r="A6" s="181" t="s">
        <v>189</v>
      </c>
      <c r="B6" s="182"/>
      <c r="C6" s="193" t="s">
        <v>190</v>
      </c>
      <c r="D6" s="194"/>
      <c r="E6" s="194"/>
      <c r="F6" s="194"/>
      <c r="G6" s="194"/>
      <c r="H6" s="194"/>
      <c r="I6" s="194"/>
      <c r="J6" s="195"/>
      <c r="N6" s="26"/>
      <c r="O6" s="26"/>
      <c r="P6" s="26"/>
      <c r="Q6" s="26"/>
      <c r="R6" s="26"/>
      <c r="S6" s="26"/>
    </row>
    <row r="7" spans="1:19">
      <c r="A7" s="22"/>
      <c r="B7" s="23"/>
      <c r="C7" s="22"/>
      <c r="D7" s="23"/>
      <c r="E7" s="22"/>
      <c r="F7" s="23"/>
      <c r="G7" s="22"/>
      <c r="H7" s="23"/>
      <c r="I7" s="22"/>
      <c r="J7" s="23"/>
      <c r="N7" s="26"/>
      <c r="O7" s="26"/>
      <c r="P7" s="26"/>
      <c r="Q7" s="26"/>
      <c r="R7" s="26"/>
      <c r="S7" s="26"/>
    </row>
    <row r="8" spans="1:19" ht="15" customHeight="1">
      <c r="A8" s="89" t="s">
        <v>3</v>
      </c>
      <c r="B8" s="172" t="s">
        <v>38</v>
      </c>
      <c r="C8" s="172"/>
      <c r="D8" s="172"/>
      <c r="E8" s="172"/>
      <c r="F8" s="172"/>
      <c r="G8" s="172"/>
      <c r="H8" s="172"/>
      <c r="I8" s="172"/>
      <c r="J8" s="173"/>
    </row>
    <row r="9" spans="1:19">
      <c r="A9" s="79" t="s">
        <v>52</v>
      </c>
      <c r="B9" s="174" t="s">
        <v>69</v>
      </c>
      <c r="C9" s="174"/>
      <c r="D9" s="174"/>
      <c r="E9" s="174"/>
      <c r="F9" s="174"/>
      <c r="G9" s="174"/>
      <c r="H9" s="174"/>
      <c r="I9" s="174"/>
      <c r="J9" s="175"/>
    </row>
    <row r="10" spans="1:19" ht="58.5" customHeight="1">
      <c r="A10" s="131" t="s">
        <v>54</v>
      </c>
      <c r="B10" s="130" t="s">
        <v>67</v>
      </c>
      <c r="C10" s="130" t="s">
        <v>199</v>
      </c>
      <c r="D10" s="130" t="s">
        <v>53</v>
      </c>
      <c r="E10" s="196"/>
      <c r="F10" s="196"/>
      <c r="G10" s="196"/>
      <c r="H10" s="196"/>
      <c r="I10" s="196"/>
      <c r="J10" s="197"/>
      <c r="K10" s="88"/>
      <c r="L10" s="80"/>
      <c r="M10" s="80"/>
      <c r="N10" s="80"/>
      <c r="O10" s="80"/>
    </row>
    <row r="11" spans="1:19">
      <c r="A11" s="20" t="s">
        <v>55</v>
      </c>
      <c r="B11" s="19">
        <v>499</v>
      </c>
      <c r="C11" s="19">
        <v>522</v>
      </c>
      <c r="D11" s="21">
        <f>B11/C11</f>
        <v>0.95593869731800762</v>
      </c>
      <c r="E11" s="86"/>
      <c r="F11" s="86"/>
      <c r="G11" s="86"/>
      <c r="H11" s="86"/>
      <c r="I11" s="86"/>
      <c r="J11" s="87"/>
    </row>
    <row r="12" spans="1:19">
      <c r="A12" s="20" t="s">
        <v>56</v>
      </c>
      <c r="B12" s="19">
        <v>491</v>
      </c>
      <c r="C12" s="19">
        <v>499</v>
      </c>
      <c r="D12" s="21">
        <f t="shared" ref="D12:D22" si="0">B12/C12</f>
        <v>0.98396793587174347</v>
      </c>
      <c r="E12" s="86"/>
      <c r="F12" s="86"/>
      <c r="G12" s="86"/>
      <c r="H12" s="86"/>
      <c r="I12" s="86"/>
      <c r="J12" s="87"/>
    </row>
    <row r="13" spans="1:19">
      <c r="A13" s="20" t="s">
        <v>57</v>
      </c>
      <c r="B13" s="19">
        <v>469</v>
      </c>
      <c r="C13" s="19">
        <v>476</v>
      </c>
      <c r="D13" s="21">
        <f t="shared" si="0"/>
        <v>0.98529411764705888</v>
      </c>
      <c r="E13" s="86"/>
      <c r="F13" s="86"/>
      <c r="G13" s="86"/>
      <c r="H13" s="86"/>
      <c r="I13" s="86"/>
      <c r="J13" s="87"/>
    </row>
    <row r="14" spans="1:19">
      <c r="A14" s="20" t="s">
        <v>58</v>
      </c>
      <c r="B14" s="19">
        <v>560</v>
      </c>
      <c r="C14" s="19">
        <v>579</v>
      </c>
      <c r="D14" s="21">
        <f t="shared" si="0"/>
        <v>0.9671848013816926</v>
      </c>
      <c r="E14" s="86"/>
      <c r="F14" s="86"/>
      <c r="G14" s="86"/>
      <c r="H14" s="86"/>
      <c r="I14" s="86"/>
      <c r="J14" s="87"/>
    </row>
    <row r="15" spans="1:19">
      <c r="A15" s="20" t="s">
        <v>59</v>
      </c>
      <c r="B15" s="19">
        <v>480</v>
      </c>
      <c r="C15" s="19">
        <v>521</v>
      </c>
      <c r="D15" s="21">
        <f t="shared" si="0"/>
        <v>0.92130518234165071</v>
      </c>
      <c r="E15" s="86"/>
      <c r="F15" s="86"/>
      <c r="G15" s="86"/>
      <c r="H15" s="86"/>
      <c r="I15" s="86"/>
      <c r="J15" s="87"/>
      <c r="L15" t="s">
        <v>187</v>
      </c>
    </row>
    <row r="16" spans="1:19">
      <c r="A16" s="20" t="s">
        <v>60</v>
      </c>
      <c r="B16" s="19">
        <v>534</v>
      </c>
      <c r="C16" s="19">
        <v>563</v>
      </c>
      <c r="D16" s="21">
        <f t="shared" si="0"/>
        <v>0.94849023090586149</v>
      </c>
      <c r="E16" s="86"/>
      <c r="F16" s="86"/>
      <c r="G16" s="86"/>
      <c r="H16" s="86"/>
      <c r="I16" s="86"/>
      <c r="J16" s="87"/>
    </row>
    <row r="17" spans="1:12">
      <c r="A17" s="20" t="s">
        <v>61</v>
      </c>
      <c r="B17" s="19">
        <v>556</v>
      </c>
      <c r="C17" s="19">
        <v>624</v>
      </c>
      <c r="D17" s="21">
        <f t="shared" si="0"/>
        <v>0.89102564102564108</v>
      </c>
      <c r="E17" s="86"/>
      <c r="F17" s="86"/>
      <c r="G17" s="86"/>
      <c r="H17" s="86"/>
      <c r="I17" s="86"/>
      <c r="J17" s="87"/>
    </row>
    <row r="18" spans="1:12">
      <c r="A18" s="20" t="s">
        <v>62</v>
      </c>
      <c r="B18" s="19">
        <v>460</v>
      </c>
      <c r="C18" s="19">
        <v>493</v>
      </c>
      <c r="D18" s="21">
        <f t="shared" si="0"/>
        <v>0.93306288032454365</v>
      </c>
      <c r="E18" s="86"/>
      <c r="F18" s="86"/>
      <c r="G18" s="86"/>
      <c r="H18" s="86"/>
      <c r="I18" s="86"/>
      <c r="J18" s="87"/>
    </row>
    <row r="19" spans="1:12">
      <c r="A19" s="20" t="s">
        <v>63</v>
      </c>
      <c r="B19" s="19">
        <v>508</v>
      </c>
      <c r="C19" s="19">
        <v>565</v>
      </c>
      <c r="D19" s="21">
        <f t="shared" si="0"/>
        <v>0.89911504424778765</v>
      </c>
      <c r="E19" s="86"/>
      <c r="F19" s="86"/>
      <c r="G19" s="86"/>
      <c r="H19" s="86"/>
      <c r="I19" s="86"/>
      <c r="J19" s="87"/>
    </row>
    <row r="20" spans="1:12">
      <c r="A20" s="20" t="s">
        <v>64</v>
      </c>
      <c r="B20" s="19">
        <v>518</v>
      </c>
      <c r="C20" s="19">
        <v>560</v>
      </c>
      <c r="D20" s="21">
        <f t="shared" si="0"/>
        <v>0.92500000000000004</v>
      </c>
      <c r="E20" s="86"/>
      <c r="F20" s="86"/>
      <c r="G20" s="86"/>
      <c r="H20" s="86"/>
      <c r="I20" s="86"/>
      <c r="J20" s="87"/>
    </row>
    <row r="21" spans="1:12">
      <c r="A21" s="20" t="s">
        <v>65</v>
      </c>
      <c r="B21" s="19">
        <v>606</v>
      </c>
      <c r="C21" s="19">
        <v>628</v>
      </c>
      <c r="D21" s="21">
        <f t="shared" si="0"/>
        <v>0.96496815286624205</v>
      </c>
      <c r="E21" s="86"/>
      <c r="F21" s="86"/>
      <c r="G21" s="86"/>
      <c r="H21" s="86"/>
      <c r="I21" s="86"/>
      <c r="J21" s="87"/>
    </row>
    <row r="22" spans="1:12">
      <c r="A22" s="20" t="s">
        <v>66</v>
      </c>
      <c r="B22" s="19">
        <v>596</v>
      </c>
      <c r="C22" s="19">
        <v>636</v>
      </c>
      <c r="D22" s="21">
        <f t="shared" si="0"/>
        <v>0.93710691823899372</v>
      </c>
      <c r="E22" s="90"/>
      <c r="F22" s="90"/>
      <c r="G22" s="90"/>
      <c r="H22" s="90"/>
      <c r="I22" s="90"/>
      <c r="J22" s="91"/>
    </row>
    <row r="23" spans="1:12">
      <c r="A23" s="137"/>
      <c r="B23" s="138"/>
      <c r="C23" s="138"/>
      <c r="D23" s="240">
        <f>AVERAGE(D11:D22)</f>
        <v>0.94270496684743532</v>
      </c>
      <c r="E23" s="90"/>
      <c r="F23" s="90"/>
      <c r="G23" s="90"/>
      <c r="H23" s="90"/>
      <c r="I23" s="90"/>
      <c r="J23" s="91"/>
    </row>
    <row r="24" spans="1:12">
      <c r="A24" s="198"/>
      <c r="B24" s="198"/>
      <c r="C24" s="198"/>
      <c r="D24" s="198"/>
      <c r="E24" s="198"/>
      <c r="F24" s="198"/>
      <c r="G24" s="198"/>
      <c r="H24" s="198"/>
      <c r="I24" s="198"/>
      <c r="J24" s="198"/>
      <c r="L24" s="241">
        <f>AVERAGE(D23,D40)</f>
        <v>0.96192095887591411</v>
      </c>
    </row>
    <row r="25" spans="1:12" ht="39.75" customHeight="1">
      <c r="A25" s="27" t="s">
        <v>3</v>
      </c>
      <c r="B25" s="199" t="s">
        <v>326</v>
      </c>
      <c r="C25" s="199"/>
      <c r="D25" s="199"/>
      <c r="E25" s="199"/>
      <c r="F25" s="199"/>
      <c r="G25" s="199"/>
      <c r="H25" s="199"/>
      <c r="I25" s="199"/>
      <c r="J25" s="199"/>
    </row>
    <row r="26" spans="1:12" ht="15" customHeight="1">
      <c r="A26" s="27" t="s">
        <v>52</v>
      </c>
      <c r="B26" s="176" t="s">
        <v>327</v>
      </c>
      <c r="C26" s="176"/>
      <c r="D26" s="176"/>
      <c r="E26" s="177"/>
      <c r="F26" s="177"/>
      <c r="G26" s="177"/>
      <c r="H26" s="177"/>
      <c r="I26" s="177"/>
      <c r="J26" s="177"/>
    </row>
    <row r="27" spans="1:12" ht="15" customHeight="1">
      <c r="A27" s="131" t="s">
        <v>54</v>
      </c>
      <c r="B27" s="130" t="s">
        <v>328</v>
      </c>
      <c r="C27" s="130" t="s">
        <v>329</v>
      </c>
      <c r="D27" s="130" t="s">
        <v>334</v>
      </c>
      <c r="E27" s="26"/>
      <c r="F27" s="26"/>
      <c r="G27" s="26"/>
      <c r="H27" s="26"/>
      <c r="I27" s="26"/>
      <c r="J27" s="29"/>
    </row>
    <row r="28" spans="1:12">
      <c r="A28" s="20" t="s">
        <v>55</v>
      </c>
      <c r="B28" s="19" t="s">
        <v>143</v>
      </c>
      <c r="C28" s="19" t="s">
        <v>143</v>
      </c>
      <c r="D28" s="19" t="s">
        <v>143</v>
      </c>
      <c r="E28" s="26"/>
      <c r="F28" s="26"/>
      <c r="G28" s="26"/>
      <c r="H28" s="26"/>
      <c r="I28" s="26"/>
      <c r="J28" s="29"/>
    </row>
    <row r="29" spans="1:12">
      <c r="A29" s="20" t="s">
        <v>56</v>
      </c>
      <c r="B29" s="19" t="s">
        <v>143</v>
      </c>
      <c r="C29" s="19" t="s">
        <v>143</v>
      </c>
      <c r="D29" s="19" t="s">
        <v>143</v>
      </c>
      <c r="E29" s="26"/>
      <c r="F29" s="26"/>
      <c r="G29" s="26"/>
      <c r="H29" s="26"/>
      <c r="I29" s="26"/>
      <c r="J29" s="29"/>
    </row>
    <row r="30" spans="1:12">
      <c r="A30" s="20" t="s">
        <v>57</v>
      </c>
      <c r="B30" s="19" t="s">
        <v>143</v>
      </c>
      <c r="C30" s="19" t="s">
        <v>143</v>
      </c>
      <c r="D30" s="19" t="s">
        <v>143</v>
      </c>
      <c r="E30" s="26"/>
      <c r="F30" s="26"/>
      <c r="G30" s="26"/>
      <c r="H30" s="26"/>
      <c r="I30" s="26"/>
      <c r="J30" s="29"/>
    </row>
    <row r="31" spans="1:12">
      <c r="A31" s="20" t="s">
        <v>58</v>
      </c>
      <c r="B31" s="19" t="s">
        <v>143</v>
      </c>
      <c r="C31" s="19" t="s">
        <v>143</v>
      </c>
      <c r="D31" s="19" t="s">
        <v>143</v>
      </c>
      <c r="E31" s="26"/>
      <c r="F31" s="26"/>
      <c r="G31" s="26"/>
      <c r="H31" s="26"/>
      <c r="I31" s="26"/>
      <c r="J31" s="29"/>
    </row>
    <row r="32" spans="1:12">
      <c r="A32" s="20" t="s">
        <v>59</v>
      </c>
      <c r="B32" s="19" t="s">
        <v>143</v>
      </c>
      <c r="C32" s="19" t="s">
        <v>143</v>
      </c>
      <c r="D32" s="19" t="s">
        <v>143</v>
      </c>
      <c r="E32" s="26"/>
      <c r="F32" s="26"/>
      <c r="G32" s="26"/>
      <c r="H32" s="26"/>
      <c r="I32" s="26"/>
      <c r="J32" s="29"/>
    </row>
    <row r="33" spans="1:10">
      <c r="A33" s="20" t="s">
        <v>60</v>
      </c>
      <c r="B33" s="19" t="s">
        <v>143</v>
      </c>
      <c r="C33" s="19" t="s">
        <v>143</v>
      </c>
      <c r="D33" s="19" t="s">
        <v>143</v>
      </c>
      <c r="E33" s="26"/>
      <c r="F33" s="26"/>
      <c r="G33" s="26"/>
      <c r="H33" s="26"/>
      <c r="I33" s="26"/>
      <c r="J33" s="29"/>
    </row>
    <row r="34" spans="1:10">
      <c r="A34" s="20" t="s">
        <v>61</v>
      </c>
      <c r="B34" s="19">
        <v>15</v>
      </c>
      <c r="C34" s="19">
        <v>14</v>
      </c>
      <c r="D34" s="21">
        <f t="shared" ref="D34:D39" si="1">C34/B34</f>
        <v>0.93333333333333335</v>
      </c>
      <c r="E34" s="26"/>
      <c r="F34" s="26"/>
      <c r="G34" s="26"/>
      <c r="H34" s="26"/>
      <c r="I34" s="26"/>
      <c r="J34" s="29"/>
    </row>
    <row r="35" spans="1:10">
      <c r="A35" s="20" t="s">
        <v>62</v>
      </c>
      <c r="B35" s="19">
        <v>15</v>
      </c>
      <c r="C35" s="19">
        <v>15</v>
      </c>
      <c r="D35" s="21">
        <f t="shared" si="1"/>
        <v>1</v>
      </c>
      <c r="E35" s="26"/>
      <c r="F35" s="26"/>
      <c r="G35" s="26"/>
      <c r="H35" s="26"/>
      <c r="I35" s="26"/>
      <c r="J35" s="29"/>
    </row>
    <row r="36" spans="1:10">
      <c r="A36" s="20" t="s">
        <v>63</v>
      </c>
      <c r="B36" s="19">
        <v>23</v>
      </c>
      <c r="C36" s="19">
        <v>23</v>
      </c>
      <c r="D36" s="21">
        <f t="shared" si="1"/>
        <v>1</v>
      </c>
      <c r="E36" s="26"/>
      <c r="F36" s="26"/>
      <c r="G36" s="26"/>
      <c r="H36" s="26"/>
      <c r="I36" s="26"/>
      <c r="J36" s="29"/>
    </row>
    <row r="37" spans="1:10">
      <c r="A37" s="20" t="s">
        <v>64</v>
      </c>
      <c r="B37" s="19">
        <v>28</v>
      </c>
      <c r="C37" s="19">
        <v>28</v>
      </c>
      <c r="D37" s="21">
        <f t="shared" si="1"/>
        <v>1</v>
      </c>
      <c r="E37" s="26"/>
      <c r="F37" s="26"/>
      <c r="G37" s="26"/>
      <c r="H37" s="26"/>
      <c r="I37" s="26"/>
      <c r="J37" s="29"/>
    </row>
    <row r="38" spans="1:10">
      <c r="A38" s="20" t="s">
        <v>65</v>
      </c>
      <c r="B38" s="19">
        <v>13</v>
      </c>
      <c r="C38" s="19">
        <v>13</v>
      </c>
      <c r="D38" s="21">
        <f t="shared" si="1"/>
        <v>1</v>
      </c>
      <c r="E38" s="26"/>
      <c r="F38" s="26"/>
      <c r="G38" s="26"/>
      <c r="H38" s="26"/>
      <c r="I38" s="26"/>
      <c r="J38" s="29"/>
    </row>
    <row r="39" spans="1:10">
      <c r="A39" s="20" t="s">
        <v>66</v>
      </c>
      <c r="B39" s="19">
        <v>43</v>
      </c>
      <c r="C39" s="19">
        <v>41</v>
      </c>
      <c r="D39" s="21">
        <f t="shared" si="1"/>
        <v>0.95348837209302328</v>
      </c>
      <c r="E39" s="26"/>
      <c r="F39" s="26"/>
      <c r="G39" s="26"/>
      <c r="H39" s="26"/>
      <c r="I39" s="26"/>
      <c r="J39" s="29"/>
    </row>
    <row r="40" spans="1:10" ht="17.25" customHeight="1">
      <c r="A40" s="17"/>
      <c r="B40" s="112">
        <f>SUM(B34:B39)</f>
        <v>137</v>
      </c>
      <c r="C40" s="112">
        <f>SUM(C34:C39)</f>
        <v>134</v>
      </c>
      <c r="D40" s="113">
        <f>AVERAGE(D34:D39)</f>
        <v>0.98113695090439279</v>
      </c>
      <c r="E40" s="26"/>
      <c r="F40" s="26"/>
      <c r="G40" s="26"/>
      <c r="H40" s="26"/>
      <c r="I40" s="26"/>
      <c r="J40" s="29"/>
    </row>
    <row r="41" spans="1:10" ht="17.25" customHeight="1">
      <c r="A41" s="30" t="s">
        <v>172</v>
      </c>
      <c r="B41" s="28"/>
      <c r="C41" s="26"/>
      <c r="D41" s="26"/>
      <c r="E41" s="26"/>
      <c r="F41" s="26"/>
      <c r="G41" s="26"/>
      <c r="H41" s="26"/>
      <c r="I41" s="26"/>
      <c r="J41" s="29"/>
    </row>
    <row r="42" spans="1:10" ht="21.75" customHeight="1">
      <c r="A42" s="18"/>
      <c r="B42" s="31"/>
      <c r="C42" s="31"/>
      <c r="D42" s="31"/>
      <c r="E42" s="31"/>
      <c r="F42" s="31"/>
      <c r="G42" s="31"/>
      <c r="H42" s="31"/>
      <c r="I42" s="31"/>
      <c r="J42" s="32"/>
    </row>
    <row r="43" spans="1:10" ht="18" customHeight="1"/>
  </sheetData>
  <mergeCells count="16">
    <mergeCell ref="N3:S3"/>
    <mergeCell ref="B8:J8"/>
    <mergeCell ref="B9:J9"/>
    <mergeCell ref="B26:J26"/>
    <mergeCell ref="A1:B3"/>
    <mergeCell ref="C1:H3"/>
    <mergeCell ref="I1:J1"/>
    <mergeCell ref="I2:J2"/>
    <mergeCell ref="I3:J3"/>
    <mergeCell ref="A6:B6"/>
    <mergeCell ref="A4:B5"/>
    <mergeCell ref="C4:J5"/>
    <mergeCell ref="C6:J6"/>
    <mergeCell ref="E10:J10"/>
    <mergeCell ref="A24:J24"/>
    <mergeCell ref="B25:J25"/>
  </mergeCells>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
  <sheetViews>
    <sheetView topLeftCell="A19" zoomScale="90" zoomScaleNormal="90" workbookViewId="0">
      <selection activeCell="L27" sqref="L27"/>
    </sheetView>
  </sheetViews>
  <sheetFormatPr baseColWidth="10" defaultRowHeight="15"/>
  <cols>
    <col min="1" max="1" width="12.28515625" customWidth="1"/>
    <col min="2" max="5" width="14.5703125" customWidth="1"/>
  </cols>
  <sheetData>
    <row r="1" spans="1:19">
      <c r="A1" s="178"/>
      <c r="B1" s="178"/>
      <c r="C1" s="179" t="s">
        <v>73</v>
      </c>
      <c r="D1" s="179"/>
      <c r="E1" s="179"/>
      <c r="F1" s="179"/>
      <c r="G1" s="179"/>
      <c r="H1" s="179"/>
      <c r="I1" s="180" t="s">
        <v>137</v>
      </c>
      <c r="J1" s="180"/>
    </row>
    <row r="2" spans="1:19">
      <c r="A2" s="178"/>
      <c r="B2" s="178"/>
      <c r="C2" s="179"/>
      <c r="D2" s="179"/>
      <c r="E2" s="179"/>
      <c r="F2" s="179"/>
      <c r="G2" s="179"/>
      <c r="H2" s="179"/>
      <c r="I2" s="180" t="s">
        <v>74</v>
      </c>
      <c r="J2" s="180"/>
      <c r="N2" s="26"/>
      <c r="O2" s="26"/>
      <c r="P2" s="26"/>
      <c r="Q2" s="26"/>
      <c r="R2" s="26"/>
      <c r="S2" s="26"/>
    </row>
    <row r="3" spans="1:19">
      <c r="A3" s="178"/>
      <c r="B3" s="178"/>
      <c r="C3" s="179"/>
      <c r="D3" s="179"/>
      <c r="E3" s="179"/>
      <c r="F3" s="179"/>
      <c r="G3" s="179"/>
      <c r="H3" s="179"/>
      <c r="I3" s="180" t="s">
        <v>109</v>
      </c>
      <c r="J3" s="180"/>
      <c r="N3" s="171"/>
      <c r="O3" s="171"/>
      <c r="P3" s="171"/>
      <c r="Q3" s="171"/>
      <c r="R3" s="171"/>
      <c r="S3" s="171"/>
    </row>
    <row r="4" spans="1:19" ht="15" customHeight="1">
      <c r="A4" s="203" t="s">
        <v>51</v>
      </c>
      <c r="B4" s="203"/>
      <c r="C4" s="204" t="s">
        <v>19</v>
      </c>
      <c r="D4" s="204"/>
      <c r="E4" s="204"/>
      <c r="F4" s="204"/>
      <c r="G4" s="204"/>
      <c r="H4" s="204"/>
      <c r="I4" s="204"/>
      <c r="J4" s="204"/>
      <c r="N4" s="26"/>
      <c r="O4" s="26"/>
      <c r="P4" s="26"/>
      <c r="Q4" s="26"/>
      <c r="R4" s="26"/>
      <c r="S4" s="26"/>
    </row>
    <row r="5" spans="1:19">
      <c r="A5" s="203"/>
      <c r="B5" s="203"/>
      <c r="C5" s="204"/>
      <c r="D5" s="204"/>
      <c r="E5" s="204"/>
      <c r="F5" s="204"/>
      <c r="G5" s="204"/>
      <c r="H5" s="204"/>
      <c r="I5" s="204"/>
      <c r="J5" s="204"/>
      <c r="N5" s="26"/>
      <c r="O5" s="26"/>
      <c r="P5" s="26"/>
      <c r="Q5" s="26"/>
      <c r="R5" s="26"/>
      <c r="S5" s="26"/>
    </row>
    <row r="6" spans="1:19" ht="50.25" customHeight="1">
      <c r="A6" s="203" t="s">
        <v>189</v>
      </c>
      <c r="B6" s="203"/>
      <c r="C6" s="200" t="s">
        <v>191</v>
      </c>
      <c r="D6" s="201"/>
      <c r="E6" s="201"/>
      <c r="F6" s="201"/>
      <c r="G6" s="201"/>
      <c r="H6" s="201"/>
      <c r="I6" s="201"/>
      <c r="J6" s="202"/>
      <c r="N6" s="26"/>
      <c r="O6" s="26"/>
      <c r="P6" s="26"/>
      <c r="Q6" s="26"/>
      <c r="R6" s="26"/>
      <c r="S6" s="26"/>
    </row>
    <row r="7" spans="1:19">
      <c r="A7" s="22"/>
      <c r="B7" s="23"/>
      <c r="C7" s="23"/>
      <c r="D7" s="23"/>
      <c r="E7" s="23"/>
      <c r="F7" s="23"/>
      <c r="G7" s="23"/>
      <c r="H7" s="23"/>
      <c r="I7" s="23"/>
      <c r="J7" s="23"/>
      <c r="N7" s="26"/>
      <c r="O7" s="26"/>
      <c r="P7" s="26"/>
      <c r="Q7" s="26"/>
      <c r="R7" s="26"/>
      <c r="S7" s="26"/>
    </row>
    <row r="8" spans="1:19" ht="15" customHeight="1">
      <c r="A8" s="27" t="s">
        <v>3</v>
      </c>
      <c r="B8" s="199" t="s">
        <v>122</v>
      </c>
      <c r="C8" s="199"/>
      <c r="D8" s="199"/>
      <c r="E8" s="199"/>
      <c r="F8" s="199"/>
      <c r="G8" s="199"/>
      <c r="H8" s="199"/>
      <c r="I8" s="199"/>
      <c r="J8" s="199"/>
    </row>
    <row r="9" spans="1:19">
      <c r="A9" s="27" t="s">
        <v>52</v>
      </c>
      <c r="B9" s="177" t="s">
        <v>76</v>
      </c>
      <c r="C9" s="177"/>
      <c r="D9" s="177"/>
      <c r="E9" s="177"/>
      <c r="F9" s="177"/>
      <c r="G9" s="177"/>
      <c r="H9" s="177"/>
      <c r="I9" s="177"/>
      <c r="J9" s="177"/>
    </row>
    <row r="10" spans="1:19" ht="58.5" customHeight="1">
      <c r="A10" s="131" t="s">
        <v>54</v>
      </c>
      <c r="B10" s="130" t="s">
        <v>248</v>
      </c>
      <c r="C10" s="130" t="s">
        <v>247</v>
      </c>
      <c r="D10" s="130" t="s">
        <v>246</v>
      </c>
      <c r="E10" s="26"/>
      <c r="F10" s="26"/>
      <c r="G10" s="26"/>
      <c r="H10" s="26"/>
      <c r="I10" s="26"/>
      <c r="J10" s="29"/>
    </row>
    <row r="11" spans="1:19">
      <c r="A11" s="20" t="s">
        <v>55</v>
      </c>
      <c r="B11" s="51">
        <v>4.9000000000000004</v>
      </c>
      <c r="C11" s="51">
        <v>4.5</v>
      </c>
      <c r="D11" s="51">
        <v>4.8</v>
      </c>
      <c r="E11" s="26"/>
      <c r="F11" s="26"/>
      <c r="G11" s="26"/>
      <c r="H11" s="26"/>
      <c r="I11" s="26"/>
      <c r="J11" s="29"/>
    </row>
    <row r="12" spans="1:19">
      <c r="A12" s="20" t="s">
        <v>56</v>
      </c>
      <c r="B12" s="51">
        <v>4.8</v>
      </c>
      <c r="C12" s="51">
        <v>4.7</v>
      </c>
      <c r="D12" s="51">
        <v>4.9000000000000004</v>
      </c>
      <c r="E12" s="26"/>
      <c r="F12" s="26"/>
      <c r="G12" s="26"/>
      <c r="H12" s="26"/>
      <c r="I12" s="26"/>
      <c r="J12" s="29"/>
    </row>
    <row r="13" spans="1:19">
      <c r="A13" s="20" t="s">
        <v>57</v>
      </c>
      <c r="B13" s="51">
        <v>4.8</v>
      </c>
      <c r="C13" s="51">
        <v>4.4000000000000004</v>
      </c>
      <c r="D13" s="51">
        <v>4.9000000000000004</v>
      </c>
      <c r="E13" s="26"/>
      <c r="F13" s="26"/>
      <c r="G13" s="26"/>
      <c r="H13" s="26"/>
      <c r="I13" s="26"/>
      <c r="J13" s="29"/>
    </row>
    <row r="14" spans="1:19">
      <c r="A14" s="20" t="s">
        <v>58</v>
      </c>
      <c r="B14" s="51">
        <v>4.7</v>
      </c>
      <c r="C14" s="51">
        <v>4.5999999999999996</v>
      </c>
      <c r="D14" s="51">
        <v>4.5999999999999996</v>
      </c>
      <c r="E14" s="26"/>
      <c r="F14" s="26"/>
      <c r="G14" s="26"/>
      <c r="H14" s="26"/>
      <c r="I14" s="26"/>
      <c r="J14" s="29"/>
    </row>
    <row r="15" spans="1:19">
      <c r="A15" s="20" t="s">
        <v>59</v>
      </c>
      <c r="B15" s="51">
        <v>4.8</v>
      </c>
      <c r="C15" s="51">
        <v>4.7</v>
      </c>
      <c r="D15" s="51">
        <v>4.9000000000000004</v>
      </c>
      <c r="E15" s="26"/>
      <c r="F15" s="26"/>
      <c r="G15" s="26"/>
      <c r="H15" s="26"/>
      <c r="I15" s="26"/>
      <c r="J15" s="29"/>
    </row>
    <row r="16" spans="1:19">
      <c r="A16" s="20" t="s">
        <v>60</v>
      </c>
      <c r="B16" s="51">
        <v>4.8</v>
      </c>
      <c r="C16" s="51">
        <v>4.4000000000000004</v>
      </c>
      <c r="D16" s="51">
        <v>4.7</v>
      </c>
      <c r="E16" s="26"/>
      <c r="F16" s="26"/>
      <c r="G16" s="26"/>
      <c r="H16" s="26"/>
      <c r="I16" s="26"/>
      <c r="J16" s="29"/>
    </row>
    <row r="17" spans="1:12">
      <c r="A17" s="20" t="s">
        <v>61</v>
      </c>
      <c r="B17" s="51">
        <v>4.7</v>
      </c>
      <c r="C17" s="51">
        <v>4.5999999999999996</v>
      </c>
      <c r="D17" s="51">
        <v>4.8</v>
      </c>
      <c r="E17" s="26"/>
      <c r="F17" s="26"/>
      <c r="G17" s="26"/>
      <c r="H17" s="26"/>
      <c r="I17" s="26"/>
      <c r="J17" s="29"/>
    </row>
    <row r="18" spans="1:12">
      <c r="A18" s="20" t="s">
        <v>62</v>
      </c>
      <c r="B18" s="51">
        <v>4.8</v>
      </c>
      <c r="C18" s="51">
        <v>4.8</v>
      </c>
      <c r="D18" s="51">
        <v>4.8</v>
      </c>
      <c r="E18" s="26"/>
      <c r="F18" s="26"/>
      <c r="G18" s="26"/>
      <c r="H18" s="26"/>
      <c r="I18" s="26"/>
      <c r="J18" s="29"/>
      <c r="L18" t="s">
        <v>361</v>
      </c>
    </row>
    <row r="19" spans="1:12">
      <c r="A19" s="20" t="s">
        <v>63</v>
      </c>
      <c r="B19" s="51">
        <v>4.7</v>
      </c>
      <c r="C19" s="51">
        <v>4.5999999999999996</v>
      </c>
      <c r="D19" s="51">
        <v>4.7</v>
      </c>
      <c r="E19" s="26"/>
      <c r="F19" s="26"/>
      <c r="G19" s="26"/>
      <c r="H19" s="26"/>
      <c r="I19" s="26"/>
      <c r="J19" s="29"/>
    </row>
    <row r="20" spans="1:12">
      <c r="A20" s="20" t="s">
        <v>64</v>
      </c>
      <c r="B20" s="51">
        <v>4.7</v>
      </c>
      <c r="C20" s="51">
        <v>4.5999999999999996</v>
      </c>
      <c r="D20" s="51">
        <v>4.7</v>
      </c>
      <c r="E20" s="26"/>
      <c r="F20" s="26"/>
      <c r="G20" s="26"/>
      <c r="H20" s="26"/>
      <c r="I20" s="26"/>
      <c r="J20" s="29"/>
    </row>
    <row r="21" spans="1:12">
      <c r="A21" s="20" t="s">
        <v>65</v>
      </c>
      <c r="B21" s="51">
        <v>4.5</v>
      </c>
      <c r="C21" s="51">
        <v>4.5</v>
      </c>
      <c r="D21" s="51">
        <v>4.5</v>
      </c>
      <c r="E21" s="26"/>
      <c r="F21" s="26"/>
      <c r="G21" s="26"/>
      <c r="H21" s="26"/>
      <c r="I21" s="26"/>
      <c r="J21" s="29"/>
    </row>
    <row r="22" spans="1:12">
      <c r="A22" s="25" t="s">
        <v>66</v>
      </c>
      <c r="B22" s="51">
        <v>4.5599999999999996</v>
      </c>
      <c r="C22" s="51">
        <v>4.6399999999999997</v>
      </c>
      <c r="D22" s="51">
        <v>4.74</v>
      </c>
      <c r="E22" s="26"/>
      <c r="F22" s="26"/>
      <c r="G22" s="26"/>
      <c r="H22" s="26"/>
      <c r="I22" s="26"/>
      <c r="J22" s="29"/>
    </row>
    <row r="23" spans="1:12">
      <c r="A23" s="25"/>
      <c r="B23" s="51">
        <f>AVERAGE(B11:B22)</f>
        <v>4.7300000000000004</v>
      </c>
      <c r="C23" s="51">
        <f t="shared" ref="C23:D23" si="0">AVERAGE(C11:C22)</f>
        <v>4.5866666666666669</v>
      </c>
      <c r="D23" s="51">
        <f t="shared" si="0"/>
        <v>4.7533333333333339</v>
      </c>
      <c r="E23" s="26"/>
      <c r="F23" s="26"/>
      <c r="G23" s="26"/>
      <c r="H23" s="26"/>
      <c r="I23" s="26"/>
      <c r="J23" s="29"/>
      <c r="K23" s="110">
        <f>AVERAGE(B23:D23)</f>
        <v>4.6900000000000004</v>
      </c>
      <c r="L23" s="6">
        <f>K23/K24*L24</f>
        <v>0.93800000000000006</v>
      </c>
    </row>
    <row r="24" spans="1:12">
      <c r="A24" s="205"/>
      <c r="B24" s="205"/>
      <c r="C24" s="205"/>
      <c r="D24" s="205"/>
      <c r="E24" s="205"/>
      <c r="F24" s="205"/>
      <c r="G24" s="205"/>
      <c r="H24" s="205"/>
      <c r="I24" s="205"/>
      <c r="J24" s="205"/>
      <c r="K24">
        <v>5</v>
      </c>
      <c r="L24" s="241">
        <v>1</v>
      </c>
    </row>
    <row r="25" spans="1:12">
      <c r="A25" s="27" t="s">
        <v>3</v>
      </c>
      <c r="B25" s="199" t="s">
        <v>179</v>
      </c>
      <c r="C25" s="199"/>
      <c r="D25" s="199"/>
      <c r="E25" s="199"/>
      <c r="F25" s="199"/>
      <c r="G25" s="199"/>
      <c r="H25" s="199"/>
      <c r="I25" s="199"/>
      <c r="J25" s="199"/>
    </row>
    <row r="26" spans="1:12" ht="15" customHeight="1">
      <c r="A26" s="27" t="s">
        <v>52</v>
      </c>
      <c r="B26" s="177" t="s">
        <v>180</v>
      </c>
      <c r="C26" s="177"/>
      <c r="D26" s="177"/>
      <c r="E26" s="177"/>
      <c r="F26" s="177"/>
      <c r="G26" s="177"/>
      <c r="H26" s="177"/>
      <c r="I26" s="177"/>
      <c r="J26" s="177"/>
      <c r="L26" s="241">
        <f>AVERAGE(L23:L24)</f>
        <v>0.96900000000000008</v>
      </c>
    </row>
    <row r="27" spans="1:12" ht="15" customHeight="1">
      <c r="A27" s="131" t="s">
        <v>54</v>
      </c>
      <c r="B27" s="130" t="s">
        <v>181</v>
      </c>
      <c r="C27" s="130" t="s">
        <v>182</v>
      </c>
      <c r="D27" s="130" t="s">
        <v>183</v>
      </c>
      <c r="E27" s="26"/>
      <c r="F27" s="26"/>
      <c r="G27" s="26"/>
      <c r="H27" s="26"/>
      <c r="I27" s="26"/>
      <c r="J27" s="29"/>
    </row>
    <row r="28" spans="1:12">
      <c r="A28" s="20" t="s">
        <v>55</v>
      </c>
      <c r="B28" s="52">
        <v>0</v>
      </c>
      <c r="C28" s="52">
        <v>0</v>
      </c>
      <c r="D28" s="21" t="s">
        <v>143</v>
      </c>
      <c r="E28" s="26"/>
      <c r="F28" s="26"/>
      <c r="G28" s="26"/>
      <c r="H28" s="26"/>
      <c r="I28" s="26"/>
      <c r="J28" s="29"/>
    </row>
    <row r="29" spans="1:12">
      <c r="A29" s="20" t="s">
        <v>56</v>
      </c>
      <c r="B29" s="52">
        <v>0</v>
      </c>
      <c r="C29" s="52">
        <v>0</v>
      </c>
      <c r="D29" s="21" t="s">
        <v>143</v>
      </c>
      <c r="E29" s="26"/>
      <c r="F29" s="26"/>
      <c r="G29" s="26"/>
      <c r="H29" s="26"/>
      <c r="I29" s="26"/>
      <c r="J29" s="29"/>
    </row>
    <row r="30" spans="1:12">
      <c r="A30" s="20" t="s">
        <v>57</v>
      </c>
      <c r="B30" s="52">
        <v>3</v>
      </c>
      <c r="C30" s="52">
        <v>3</v>
      </c>
      <c r="D30" s="21">
        <f t="shared" ref="D30:D38" si="1">C30/B30</f>
        <v>1</v>
      </c>
      <c r="E30" s="26"/>
      <c r="F30" s="26"/>
      <c r="G30" s="26"/>
      <c r="H30" s="26"/>
      <c r="I30" s="26"/>
      <c r="J30" s="29"/>
    </row>
    <row r="31" spans="1:12">
      <c r="A31" s="20" t="s">
        <v>58</v>
      </c>
      <c r="B31" s="52">
        <v>0</v>
      </c>
      <c r="C31" s="52">
        <v>0</v>
      </c>
      <c r="D31" s="21" t="s">
        <v>143</v>
      </c>
      <c r="E31" s="26"/>
      <c r="F31" s="26"/>
      <c r="G31" s="26"/>
      <c r="H31" s="26"/>
      <c r="I31" s="26"/>
      <c r="J31" s="29"/>
    </row>
    <row r="32" spans="1:12">
      <c r="A32" s="20" t="s">
        <v>59</v>
      </c>
      <c r="B32" s="52">
        <v>1</v>
      </c>
      <c r="C32" s="52">
        <v>1</v>
      </c>
      <c r="D32" s="21">
        <f t="shared" si="1"/>
        <v>1</v>
      </c>
      <c r="E32" s="26"/>
      <c r="F32" s="26"/>
      <c r="G32" s="26"/>
      <c r="H32" s="26"/>
      <c r="I32" s="26"/>
      <c r="J32" s="29"/>
    </row>
    <row r="33" spans="1:10">
      <c r="A33" s="20" t="s">
        <v>60</v>
      </c>
      <c r="B33" s="52">
        <v>0</v>
      </c>
      <c r="C33" s="52">
        <v>0</v>
      </c>
      <c r="D33" s="21" t="s">
        <v>143</v>
      </c>
      <c r="E33" s="26"/>
      <c r="F33" s="26"/>
      <c r="G33" s="26"/>
      <c r="H33" s="26"/>
      <c r="I33" s="26"/>
      <c r="J33" s="29"/>
    </row>
    <row r="34" spans="1:10">
      <c r="A34" s="20" t="s">
        <v>61</v>
      </c>
      <c r="B34" s="52">
        <v>0</v>
      </c>
      <c r="C34" s="52">
        <v>0</v>
      </c>
      <c r="D34" s="21" t="s">
        <v>143</v>
      </c>
      <c r="E34" s="26"/>
      <c r="F34" s="26"/>
      <c r="G34" s="26"/>
      <c r="H34" s="26"/>
      <c r="I34" s="26"/>
      <c r="J34" s="29"/>
    </row>
    <row r="35" spans="1:10">
      <c r="A35" s="20" t="s">
        <v>62</v>
      </c>
      <c r="B35" s="52">
        <v>1</v>
      </c>
      <c r="C35" s="52">
        <v>1</v>
      </c>
      <c r="D35" s="21">
        <f t="shared" si="1"/>
        <v>1</v>
      </c>
      <c r="E35" s="26"/>
      <c r="F35" s="26"/>
      <c r="G35" s="26"/>
      <c r="H35" s="26"/>
      <c r="I35" s="26"/>
      <c r="J35" s="29"/>
    </row>
    <row r="36" spans="1:10">
      <c r="A36" s="20" t="s">
        <v>63</v>
      </c>
      <c r="B36" s="52">
        <v>0</v>
      </c>
      <c r="C36" s="52">
        <v>0</v>
      </c>
      <c r="D36" s="21" t="s">
        <v>143</v>
      </c>
      <c r="E36" s="26"/>
      <c r="F36" s="26"/>
      <c r="G36" s="26"/>
      <c r="H36" s="26"/>
      <c r="I36" s="26"/>
      <c r="J36" s="29"/>
    </row>
    <row r="37" spans="1:10">
      <c r="A37" s="20" t="s">
        <v>64</v>
      </c>
      <c r="B37" s="52">
        <v>0</v>
      </c>
      <c r="C37" s="52">
        <v>0</v>
      </c>
      <c r="D37" s="21" t="s">
        <v>143</v>
      </c>
      <c r="E37" s="26"/>
      <c r="F37" s="26"/>
      <c r="G37" s="26"/>
      <c r="H37" s="26"/>
      <c r="I37" s="26"/>
      <c r="J37" s="29"/>
    </row>
    <row r="38" spans="1:10">
      <c r="A38" s="20" t="s">
        <v>65</v>
      </c>
      <c r="B38" s="52">
        <v>1</v>
      </c>
      <c r="C38" s="52">
        <v>1</v>
      </c>
      <c r="D38" s="21">
        <f t="shared" si="1"/>
        <v>1</v>
      </c>
      <c r="E38" s="26"/>
      <c r="F38" s="26"/>
      <c r="G38" s="26"/>
      <c r="H38" s="26"/>
      <c r="I38" s="26"/>
      <c r="J38" s="29"/>
    </row>
    <row r="39" spans="1:10">
      <c r="A39" s="20" t="s">
        <v>66</v>
      </c>
      <c r="B39" s="52">
        <v>0</v>
      </c>
      <c r="C39" s="52">
        <v>0</v>
      </c>
      <c r="D39" s="21" t="s">
        <v>143</v>
      </c>
      <c r="E39" s="26"/>
      <c r="F39" s="26"/>
      <c r="G39" s="26"/>
      <c r="H39" s="26"/>
      <c r="I39" s="26"/>
      <c r="J39" s="29"/>
    </row>
    <row r="40" spans="1:10">
      <c r="A40" s="43"/>
      <c r="B40" s="53"/>
      <c r="C40" s="53"/>
      <c r="D40" s="54"/>
      <c r="E40" s="26"/>
      <c r="F40" s="26"/>
      <c r="G40" s="26"/>
      <c r="H40" s="26"/>
      <c r="I40" s="26"/>
      <c r="J40" s="29"/>
    </row>
    <row r="41" spans="1:10">
      <c r="A41" s="43"/>
      <c r="B41" s="53"/>
      <c r="C41" s="53"/>
      <c r="D41" s="54"/>
      <c r="E41" s="26"/>
      <c r="F41" s="26"/>
      <c r="G41" s="26"/>
      <c r="H41" s="26"/>
      <c r="I41" s="26"/>
      <c r="J41" s="29"/>
    </row>
    <row r="42" spans="1:10" ht="15.75">
      <c r="A42" s="30" t="s">
        <v>89</v>
      </c>
      <c r="B42" s="28"/>
      <c r="C42" s="26"/>
      <c r="D42" s="26"/>
      <c r="E42" s="26"/>
      <c r="F42" s="26"/>
      <c r="G42" s="26"/>
      <c r="H42" s="26"/>
      <c r="I42" s="26"/>
      <c r="J42" s="29"/>
    </row>
    <row r="43" spans="1:10">
      <c r="A43" s="18"/>
      <c r="B43" s="31"/>
      <c r="C43" s="31"/>
      <c r="D43" s="31"/>
      <c r="E43" s="31"/>
      <c r="F43" s="31"/>
      <c r="G43" s="31"/>
      <c r="H43" s="31"/>
      <c r="I43" s="31"/>
      <c r="J43" s="32"/>
    </row>
  </sheetData>
  <mergeCells count="15">
    <mergeCell ref="B25:J25"/>
    <mergeCell ref="C6:J6"/>
    <mergeCell ref="B26:J26"/>
    <mergeCell ref="N3:S3"/>
    <mergeCell ref="B8:J8"/>
    <mergeCell ref="B9:J9"/>
    <mergeCell ref="A1:B3"/>
    <mergeCell ref="C1:H3"/>
    <mergeCell ref="I1:J1"/>
    <mergeCell ref="I2:J2"/>
    <mergeCell ref="I3:J3"/>
    <mergeCell ref="A4:B5"/>
    <mergeCell ref="C4:J5"/>
    <mergeCell ref="A6:B6"/>
    <mergeCell ref="A24:J24"/>
  </mergeCells>
  <pageMargins left="0.7" right="0.7" top="0.75" bottom="0.75" header="0.3"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opLeftCell="A16" zoomScale="90" zoomScaleNormal="90" workbookViewId="0">
      <selection activeCell="A8" sqref="A1:XFD1048576"/>
    </sheetView>
  </sheetViews>
  <sheetFormatPr baseColWidth="10" defaultRowHeight="15"/>
  <cols>
    <col min="1" max="1" width="12.28515625" customWidth="1"/>
    <col min="2" max="5" width="14.5703125" customWidth="1"/>
  </cols>
  <sheetData>
    <row r="1" spans="1:19">
      <c r="A1" s="178"/>
      <c r="B1" s="178"/>
      <c r="C1" s="179" t="s">
        <v>73</v>
      </c>
      <c r="D1" s="179"/>
      <c r="E1" s="179"/>
      <c r="F1" s="179"/>
      <c r="G1" s="179"/>
      <c r="H1" s="179"/>
      <c r="I1" s="180" t="s">
        <v>137</v>
      </c>
      <c r="J1" s="180"/>
    </row>
    <row r="2" spans="1:19">
      <c r="A2" s="178"/>
      <c r="B2" s="178"/>
      <c r="C2" s="179"/>
      <c r="D2" s="179"/>
      <c r="E2" s="179"/>
      <c r="F2" s="179"/>
      <c r="G2" s="179"/>
      <c r="H2" s="179"/>
      <c r="I2" s="180" t="s">
        <v>74</v>
      </c>
      <c r="J2" s="180"/>
      <c r="N2" s="26"/>
      <c r="O2" s="26"/>
      <c r="P2" s="26"/>
      <c r="Q2" s="26"/>
      <c r="R2" s="26"/>
      <c r="S2" s="26"/>
    </row>
    <row r="3" spans="1:19">
      <c r="A3" s="178"/>
      <c r="B3" s="178"/>
      <c r="C3" s="179"/>
      <c r="D3" s="179"/>
      <c r="E3" s="179"/>
      <c r="F3" s="179"/>
      <c r="G3" s="179"/>
      <c r="H3" s="179"/>
      <c r="I3" s="180" t="s">
        <v>108</v>
      </c>
      <c r="J3" s="180"/>
      <c r="N3" s="171"/>
      <c r="O3" s="171"/>
      <c r="P3" s="171"/>
      <c r="Q3" s="171"/>
      <c r="R3" s="171"/>
      <c r="S3" s="171"/>
    </row>
    <row r="4" spans="1:19" ht="15" customHeight="1">
      <c r="A4" s="203" t="s">
        <v>51</v>
      </c>
      <c r="B4" s="203"/>
      <c r="C4" s="204" t="s">
        <v>18</v>
      </c>
      <c r="D4" s="204"/>
      <c r="E4" s="204"/>
      <c r="F4" s="204"/>
      <c r="G4" s="204"/>
      <c r="H4" s="204"/>
      <c r="I4" s="204"/>
      <c r="J4" s="204"/>
      <c r="N4" s="26"/>
      <c r="O4" s="26"/>
      <c r="P4" s="26"/>
      <c r="Q4" s="26"/>
      <c r="R4" s="26"/>
      <c r="S4" s="26"/>
    </row>
    <row r="5" spans="1:19">
      <c r="A5" s="203"/>
      <c r="B5" s="203"/>
      <c r="C5" s="204"/>
      <c r="D5" s="204"/>
      <c r="E5" s="204"/>
      <c r="F5" s="204"/>
      <c r="G5" s="204"/>
      <c r="H5" s="204"/>
      <c r="I5" s="204"/>
      <c r="J5" s="204"/>
      <c r="N5" s="26"/>
      <c r="O5" s="26"/>
      <c r="P5" s="26"/>
      <c r="Q5" s="26"/>
      <c r="R5" s="26"/>
      <c r="S5" s="26"/>
    </row>
    <row r="6" spans="1:19" ht="46.5" customHeight="1">
      <c r="A6" s="212" t="s">
        <v>189</v>
      </c>
      <c r="B6" s="212"/>
      <c r="C6" s="200" t="s">
        <v>192</v>
      </c>
      <c r="D6" s="201"/>
      <c r="E6" s="201"/>
      <c r="F6" s="201"/>
      <c r="G6" s="201"/>
      <c r="H6" s="201"/>
      <c r="I6" s="201"/>
      <c r="J6" s="202"/>
      <c r="N6" s="26"/>
      <c r="O6" s="26"/>
      <c r="P6" s="26"/>
      <c r="Q6" s="26"/>
      <c r="R6" s="26"/>
      <c r="S6" s="26"/>
    </row>
    <row r="7" spans="1:19">
      <c r="A7" s="22"/>
      <c r="B7" s="23"/>
      <c r="C7" s="23"/>
      <c r="D7" s="23"/>
      <c r="E7" s="23"/>
      <c r="F7" s="23"/>
      <c r="G7" s="23"/>
      <c r="H7" s="23"/>
      <c r="I7" s="23"/>
      <c r="J7" s="23"/>
      <c r="N7" s="26"/>
      <c r="O7" s="26"/>
      <c r="P7" s="26"/>
      <c r="Q7" s="26"/>
      <c r="R7" s="26"/>
      <c r="S7" s="26"/>
    </row>
    <row r="8" spans="1:19" ht="15" customHeight="1">
      <c r="A8" s="27" t="s">
        <v>3</v>
      </c>
      <c r="B8" s="209" t="s">
        <v>68</v>
      </c>
      <c r="C8" s="210"/>
      <c r="D8" s="210"/>
      <c r="E8" s="210"/>
      <c r="F8" s="210"/>
      <c r="G8" s="210"/>
      <c r="H8" s="210"/>
      <c r="I8" s="210"/>
      <c r="J8" s="211"/>
    </row>
    <row r="9" spans="1:19" ht="15" customHeight="1">
      <c r="A9" s="27" t="s">
        <v>52</v>
      </c>
      <c r="B9" s="206" t="s">
        <v>174</v>
      </c>
      <c r="C9" s="207"/>
      <c r="D9" s="207"/>
      <c r="E9" s="207"/>
      <c r="F9" s="207"/>
      <c r="G9" s="207"/>
      <c r="H9" s="207"/>
      <c r="I9" s="207"/>
      <c r="J9" s="208"/>
    </row>
    <row r="10" spans="1:19" ht="58.5" customHeight="1">
      <c r="A10" s="131" t="s">
        <v>54</v>
      </c>
      <c r="B10" s="130" t="s">
        <v>72</v>
      </c>
      <c r="C10" s="130" t="s">
        <v>70</v>
      </c>
      <c r="D10" s="130" t="s">
        <v>130</v>
      </c>
      <c r="E10" s="26"/>
      <c r="F10" s="26"/>
      <c r="G10" s="26"/>
      <c r="H10" s="26"/>
      <c r="I10" s="26"/>
      <c r="J10" s="29"/>
    </row>
    <row r="11" spans="1:19">
      <c r="A11" s="20" t="s">
        <v>55</v>
      </c>
      <c r="B11" s="19">
        <v>117</v>
      </c>
      <c r="C11" s="19">
        <v>117</v>
      </c>
      <c r="D11" s="21">
        <f>B11/C11</f>
        <v>1</v>
      </c>
      <c r="E11" s="26"/>
      <c r="F11" s="26"/>
      <c r="G11" s="26"/>
      <c r="H11" s="26"/>
      <c r="I11" s="26"/>
      <c r="J11" s="29"/>
    </row>
    <row r="12" spans="1:19">
      <c r="A12" s="20" t="s">
        <v>56</v>
      </c>
      <c r="B12" s="19">
        <v>105</v>
      </c>
      <c r="C12" s="19">
        <v>105</v>
      </c>
      <c r="D12" s="21">
        <f t="shared" ref="D12:D22" si="0">B12/C12</f>
        <v>1</v>
      </c>
      <c r="E12" s="26"/>
      <c r="F12" s="26"/>
      <c r="G12" s="26"/>
      <c r="H12" s="26"/>
      <c r="I12" s="26"/>
      <c r="J12" s="29"/>
    </row>
    <row r="13" spans="1:19">
      <c r="A13" s="20" t="s">
        <v>57</v>
      </c>
      <c r="B13" s="19">
        <v>123</v>
      </c>
      <c r="C13" s="19">
        <v>123</v>
      </c>
      <c r="D13" s="21">
        <f t="shared" si="0"/>
        <v>1</v>
      </c>
      <c r="E13" s="26"/>
      <c r="F13" s="26"/>
      <c r="G13" s="26"/>
      <c r="H13" s="26"/>
      <c r="I13" s="26"/>
      <c r="J13" s="29"/>
    </row>
    <row r="14" spans="1:19">
      <c r="A14" s="20" t="s">
        <v>58</v>
      </c>
      <c r="B14" s="19">
        <v>120</v>
      </c>
      <c r="C14" s="19">
        <v>120</v>
      </c>
      <c r="D14" s="21">
        <f t="shared" si="0"/>
        <v>1</v>
      </c>
      <c r="E14" s="26"/>
      <c r="F14" s="26"/>
      <c r="G14" s="26"/>
      <c r="H14" s="26"/>
      <c r="I14" s="26"/>
      <c r="J14" s="29"/>
    </row>
    <row r="15" spans="1:19">
      <c r="A15" s="20" t="s">
        <v>59</v>
      </c>
      <c r="B15" s="19">
        <v>121</v>
      </c>
      <c r="C15" s="19">
        <v>121</v>
      </c>
      <c r="D15" s="21">
        <f t="shared" si="0"/>
        <v>1</v>
      </c>
      <c r="E15" s="26"/>
      <c r="F15" s="26"/>
      <c r="G15" s="26"/>
      <c r="H15" s="26"/>
      <c r="I15" s="26"/>
      <c r="J15" s="29"/>
    </row>
    <row r="16" spans="1:19">
      <c r="A16" s="20" t="s">
        <v>60</v>
      </c>
      <c r="B16" s="19">
        <v>161</v>
      </c>
      <c r="C16" s="19">
        <v>161</v>
      </c>
      <c r="D16" s="21">
        <f t="shared" si="0"/>
        <v>1</v>
      </c>
      <c r="E16" s="26"/>
      <c r="F16" s="26"/>
      <c r="G16" s="26"/>
      <c r="H16" s="26"/>
      <c r="I16" s="26"/>
      <c r="J16" s="29"/>
    </row>
    <row r="17" spans="1:10">
      <c r="A17" s="20" t="s">
        <v>61</v>
      </c>
      <c r="B17" s="19">
        <v>110</v>
      </c>
      <c r="C17" s="19">
        <v>110</v>
      </c>
      <c r="D17" s="21">
        <f t="shared" si="0"/>
        <v>1</v>
      </c>
      <c r="E17" s="26"/>
      <c r="F17" s="26"/>
      <c r="G17" s="26"/>
      <c r="H17" s="26"/>
      <c r="I17" s="26"/>
      <c r="J17" s="29"/>
    </row>
    <row r="18" spans="1:10">
      <c r="A18" s="20" t="s">
        <v>62</v>
      </c>
      <c r="B18" s="19">
        <v>298</v>
      </c>
      <c r="C18" s="19">
        <v>298</v>
      </c>
      <c r="D18" s="21">
        <f t="shared" si="0"/>
        <v>1</v>
      </c>
      <c r="E18" s="26"/>
      <c r="F18" s="26"/>
      <c r="G18" s="26"/>
      <c r="H18" s="26"/>
      <c r="I18" s="26"/>
      <c r="J18" s="29"/>
    </row>
    <row r="19" spans="1:10">
      <c r="A19" s="20" t="s">
        <v>63</v>
      </c>
      <c r="B19" s="19">
        <v>571</v>
      </c>
      <c r="C19" s="19">
        <v>571</v>
      </c>
      <c r="D19" s="21">
        <f t="shared" si="0"/>
        <v>1</v>
      </c>
      <c r="E19" s="26"/>
      <c r="F19" s="26"/>
      <c r="G19" s="26"/>
      <c r="H19" s="26"/>
      <c r="I19" s="26"/>
      <c r="J19" s="29"/>
    </row>
    <row r="20" spans="1:10">
      <c r="A20" s="20" t="s">
        <v>64</v>
      </c>
      <c r="B20" s="19">
        <v>527</v>
      </c>
      <c r="C20" s="19">
        <v>527</v>
      </c>
      <c r="D20" s="21">
        <f t="shared" si="0"/>
        <v>1</v>
      </c>
      <c r="E20" s="26"/>
      <c r="F20" s="26"/>
      <c r="G20" s="26"/>
      <c r="H20" s="26"/>
      <c r="I20" s="26"/>
      <c r="J20" s="29"/>
    </row>
    <row r="21" spans="1:10">
      <c r="A21" s="20" t="s">
        <v>65</v>
      </c>
      <c r="B21" s="19">
        <v>510</v>
      </c>
      <c r="C21" s="19">
        <v>510</v>
      </c>
      <c r="D21" s="21">
        <f t="shared" si="0"/>
        <v>1</v>
      </c>
      <c r="E21" s="26"/>
      <c r="F21" s="26"/>
      <c r="G21" s="26"/>
      <c r="H21" s="26"/>
      <c r="I21" s="26"/>
      <c r="J21" s="29"/>
    </row>
    <row r="22" spans="1:10">
      <c r="A22" s="20" t="s">
        <v>66</v>
      </c>
      <c r="B22" s="19">
        <v>372</v>
      </c>
      <c r="C22" s="19">
        <v>372</v>
      </c>
      <c r="D22" s="21">
        <f t="shared" si="0"/>
        <v>1</v>
      </c>
      <c r="E22" s="26"/>
      <c r="F22" s="26"/>
      <c r="G22" s="26"/>
      <c r="H22" s="26"/>
      <c r="I22" s="26"/>
      <c r="J22" s="29"/>
    </row>
    <row r="23" spans="1:10">
      <c r="A23" s="22"/>
      <c r="B23" s="23"/>
      <c r="C23" s="23"/>
      <c r="D23" s="23"/>
      <c r="E23" s="23"/>
      <c r="F23" s="23"/>
      <c r="G23" s="24"/>
      <c r="H23" s="24"/>
      <c r="I23" s="24"/>
      <c r="J23" s="24"/>
    </row>
    <row r="24" spans="1:10">
      <c r="A24" s="27" t="s">
        <v>3</v>
      </c>
      <c r="B24" s="209" t="s">
        <v>171</v>
      </c>
      <c r="C24" s="210"/>
      <c r="D24" s="210"/>
      <c r="E24" s="210"/>
      <c r="F24" s="210"/>
      <c r="G24" s="210"/>
      <c r="H24" s="210"/>
      <c r="I24" s="210"/>
      <c r="J24" s="211"/>
    </row>
    <row r="25" spans="1:10">
      <c r="A25" s="27" t="s">
        <v>52</v>
      </c>
      <c r="B25" s="206" t="s">
        <v>144</v>
      </c>
      <c r="C25" s="207"/>
      <c r="D25" s="207"/>
      <c r="E25" s="207"/>
      <c r="F25" s="207"/>
      <c r="G25" s="207"/>
      <c r="H25" s="207"/>
      <c r="I25" s="207"/>
      <c r="J25" s="208"/>
    </row>
    <row r="26" spans="1:10" ht="15" customHeight="1">
      <c r="A26" s="131" t="s">
        <v>54</v>
      </c>
      <c r="B26" s="130" t="s">
        <v>128</v>
      </c>
      <c r="C26" s="130" t="s">
        <v>129</v>
      </c>
      <c r="D26" s="130" t="s">
        <v>130</v>
      </c>
      <c r="E26" s="26"/>
      <c r="F26" s="26"/>
      <c r="G26" s="26"/>
      <c r="H26" s="26"/>
      <c r="I26" s="26"/>
      <c r="J26" s="29"/>
    </row>
    <row r="27" spans="1:10">
      <c r="A27" s="213" t="s">
        <v>84</v>
      </c>
      <c r="B27" s="216">
        <v>0</v>
      </c>
      <c r="C27" s="216">
        <v>0</v>
      </c>
      <c r="D27" s="219">
        <v>1</v>
      </c>
      <c r="E27" s="26"/>
      <c r="F27" s="26"/>
      <c r="G27" s="26"/>
      <c r="H27" s="26"/>
      <c r="I27" s="26"/>
      <c r="J27" s="29"/>
    </row>
    <row r="28" spans="1:10">
      <c r="A28" s="214"/>
      <c r="B28" s="217"/>
      <c r="C28" s="217"/>
      <c r="D28" s="220"/>
      <c r="E28" s="26"/>
      <c r="F28" s="26"/>
      <c r="G28" s="26"/>
      <c r="H28" s="26"/>
      <c r="I28" s="26"/>
      <c r="J28" s="29"/>
    </row>
    <row r="29" spans="1:10">
      <c r="A29" s="215"/>
      <c r="B29" s="218"/>
      <c r="C29" s="218"/>
      <c r="D29" s="221"/>
      <c r="E29" s="26"/>
      <c r="F29" s="26"/>
      <c r="G29" s="26"/>
      <c r="H29" s="26"/>
      <c r="I29" s="26"/>
      <c r="J29" s="29"/>
    </row>
    <row r="30" spans="1:10">
      <c r="A30" s="213" t="s">
        <v>85</v>
      </c>
      <c r="B30" s="216">
        <v>0</v>
      </c>
      <c r="C30" s="216">
        <v>0</v>
      </c>
      <c r="D30" s="219">
        <v>1</v>
      </c>
      <c r="E30" s="26"/>
      <c r="F30" s="26"/>
      <c r="G30" s="26"/>
      <c r="H30" s="26"/>
      <c r="I30" s="26"/>
      <c r="J30" s="29"/>
    </row>
    <row r="31" spans="1:10">
      <c r="A31" s="214"/>
      <c r="B31" s="217"/>
      <c r="C31" s="217"/>
      <c r="D31" s="220"/>
      <c r="E31" s="26"/>
      <c r="F31" s="26"/>
      <c r="G31" s="26"/>
      <c r="H31" s="26"/>
      <c r="I31" s="26"/>
      <c r="J31" s="29"/>
    </row>
    <row r="32" spans="1:10">
      <c r="A32" s="215"/>
      <c r="B32" s="218"/>
      <c r="C32" s="218"/>
      <c r="D32" s="221"/>
      <c r="E32" s="26"/>
      <c r="F32" s="26"/>
      <c r="G32" s="26"/>
      <c r="H32" s="26"/>
      <c r="I32" s="26"/>
      <c r="J32" s="29"/>
    </row>
    <row r="33" spans="1:10">
      <c r="A33" s="213" t="s">
        <v>86</v>
      </c>
      <c r="B33" s="216">
        <v>0</v>
      </c>
      <c r="C33" s="216">
        <v>0</v>
      </c>
      <c r="D33" s="219">
        <v>1</v>
      </c>
      <c r="E33" s="26"/>
      <c r="F33" s="26"/>
      <c r="G33" s="26"/>
      <c r="H33" s="26"/>
      <c r="I33" s="26"/>
      <c r="J33" s="29"/>
    </row>
    <row r="34" spans="1:10">
      <c r="A34" s="214"/>
      <c r="B34" s="217"/>
      <c r="C34" s="217"/>
      <c r="D34" s="220"/>
      <c r="E34" s="26"/>
      <c r="F34" s="26"/>
      <c r="G34" s="26"/>
      <c r="H34" s="26"/>
      <c r="I34" s="26"/>
      <c r="J34" s="29"/>
    </row>
    <row r="35" spans="1:10">
      <c r="A35" s="215"/>
      <c r="B35" s="218"/>
      <c r="C35" s="218"/>
      <c r="D35" s="221"/>
      <c r="E35" s="26"/>
      <c r="F35" s="26"/>
      <c r="G35" s="26"/>
      <c r="H35" s="26"/>
      <c r="I35" s="26"/>
      <c r="J35" s="29"/>
    </row>
    <row r="36" spans="1:10">
      <c r="A36" s="213" t="s">
        <v>87</v>
      </c>
      <c r="B36" s="216">
        <v>0</v>
      </c>
      <c r="C36" s="216">
        <v>0</v>
      </c>
      <c r="D36" s="219">
        <v>1</v>
      </c>
      <c r="E36" s="26"/>
      <c r="F36" s="26"/>
      <c r="G36" s="26"/>
      <c r="H36" s="26"/>
      <c r="I36" s="26"/>
      <c r="J36" s="29"/>
    </row>
    <row r="37" spans="1:10">
      <c r="A37" s="214"/>
      <c r="B37" s="217"/>
      <c r="C37" s="217"/>
      <c r="D37" s="220"/>
      <c r="E37" s="26"/>
      <c r="F37" s="26"/>
      <c r="G37" s="26"/>
      <c r="H37" s="26"/>
      <c r="I37" s="26"/>
      <c r="J37" s="29"/>
    </row>
    <row r="38" spans="1:10">
      <c r="A38" s="215"/>
      <c r="B38" s="218"/>
      <c r="C38" s="218"/>
      <c r="D38" s="221"/>
      <c r="E38" s="26"/>
      <c r="F38" s="26"/>
      <c r="G38" s="26"/>
      <c r="H38" s="26"/>
      <c r="I38" s="26"/>
      <c r="J38" s="29"/>
    </row>
    <row r="39" spans="1:10">
      <c r="E39" s="26"/>
      <c r="F39" s="26"/>
      <c r="G39" s="26"/>
      <c r="H39" s="26"/>
      <c r="I39" s="26"/>
      <c r="J39" s="29"/>
    </row>
    <row r="40" spans="1:10" ht="15.75">
      <c r="A40" s="30" t="s">
        <v>173</v>
      </c>
      <c r="B40" s="28"/>
      <c r="C40" s="26"/>
      <c r="D40" s="26"/>
      <c r="E40" s="26"/>
      <c r="F40" s="26"/>
      <c r="G40" s="26"/>
      <c r="H40" s="26"/>
      <c r="I40" s="26"/>
      <c r="J40" s="29"/>
    </row>
    <row r="41" spans="1:10">
      <c r="A41" s="18"/>
      <c r="B41" s="31"/>
      <c r="C41" s="31"/>
      <c r="D41" s="31"/>
      <c r="E41" s="31"/>
      <c r="F41" s="31"/>
      <c r="G41" s="31"/>
      <c r="H41" s="31"/>
      <c r="I41" s="31"/>
      <c r="J41" s="32"/>
    </row>
  </sheetData>
  <mergeCells count="30">
    <mergeCell ref="A33:A35"/>
    <mergeCell ref="B33:B35"/>
    <mergeCell ref="C33:C35"/>
    <mergeCell ref="D33:D35"/>
    <mergeCell ref="A36:A38"/>
    <mergeCell ref="B36:B38"/>
    <mergeCell ref="C36:C38"/>
    <mergeCell ref="D36:D38"/>
    <mergeCell ref="A27:A29"/>
    <mergeCell ref="B27:B29"/>
    <mergeCell ref="C27:C29"/>
    <mergeCell ref="D27:D29"/>
    <mergeCell ref="A30:A32"/>
    <mergeCell ref="B30:B32"/>
    <mergeCell ref="C30:C32"/>
    <mergeCell ref="D30:D32"/>
    <mergeCell ref="B25:J25"/>
    <mergeCell ref="N3:S3"/>
    <mergeCell ref="B8:J8"/>
    <mergeCell ref="B9:J9"/>
    <mergeCell ref="A1:B3"/>
    <mergeCell ref="C1:H3"/>
    <mergeCell ref="I1:J1"/>
    <mergeCell ref="I2:J2"/>
    <mergeCell ref="I3:J3"/>
    <mergeCell ref="A4:B5"/>
    <mergeCell ref="C4:J5"/>
    <mergeCell ref="A6:B6"/>
    <mergeCell ref="C6:J6"/>
    <mergeCell ref="B24:J24"/>
  </mergeCells>
  <pageMargins left="0.7" right="0.7" top="0.75" bottom="0.75" header="0.3" footer="0.3"/>
  <pageSetup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zoomScale="90" zoomScaleNormal="90" workbookViewId="0">
      <selection activeCell="D24" sqref="D24"/>
    </sheetView>
  </sheetViews>
  <sheetFormatPr baseColWidth="10" defaultRowHeight="15"/>
  <cols>
    <col min="1" max="1" width="12.28515625" customWidth="1"/>
    <col min="2" max="5" width="14.5703125" customWidth="1"/>
  </cols>
  <sheetData>
    <row r="1" spans="1:19">
      <c r="A1" s="178"/>
      <c r="B1" s="178"/>
      <c r="C1" s="179" t="s">
        <v>73</v>
      </c>
      <c r="D1" s="179"/>
      <c r="E1" s="179"/>
      <c r="F1" s="179"/>
      <c r="G1" s="179"/>
      <c r="H1" s="179"/>
      <c r="I1" s="180" t="s">
        <v>137</v>
      </c>
      <c r="J1" s="180"/>
    </row>
    <row r="2" spans="1:19">
      <c r="A2" s="178"/>
      <c r="B2" s="178"/>
      <c r="C2" s="179"/>
      <c r="D2" s="179"/>
      <c r="E2" s="179"/>
      <c r="F2" s="179"/>
      <c r="G2" s="179"/>
      <c r="H2" s="179"/>
      <c r="I2" s="180" t="s">
        <v>74</v>
      </c>
      <c r="J2" s="180"/>
      <c r="N2" s="26"/>
      <c r="O2" s="26"/>
      <c r="P2" s="26"/>
      <c r="Q2" s="26"/>
      <c r="R2" s="26"/>
      <c r="S2" s="26"/>
    </row>
    <row r="3" spans="1:19">
      <c r="A3" s="178"/>
      <c r="B3" s="178"/>
      <c r="C3" s="179"/>
      <c r="D3" s="179"/>
      <c r="E3" s="179"/>
      <c r="F3" s="179"/>
      <c r="G3" s="179"/>
      <c r="H3" s="179"/>
      <c r="I3" s="180" t="s">
        <v>107</v>
      </c>
      <c r="J3" s="180"/>
      <c r="N3" s="171"/>
      <c r="O3" s="171"/>
      <c r="P3" s="171"/>
      <c r="Q3" s="171"/>
      <c r="R3" s="171"/>
      <c r="S3" s="171"/>
    </row>
    <row r="4" spans="1:19" ht="15" customHeight="1">
      <c r="A4" s="203" t="s">
        <v>51</v>
      </c>
      <c r="B4" s="203"/>
      <c r="C4" s="177" t="s">
        <v>26</v>
      </c>
      <c r="D4" s="177"/>
      <c r="E4" s="177"/>
      <c r="F4" s="177"/>
      <c r="G4" s="177"/>
      <c r="H4" s="177"/>
      <c r="I4" s="177"/>
      <c r="J4" s="177"/>
      <c r="N4" s="26"/>
      <c r="O4" s="26"/>
      <c r="P4" s="26"/>
      <c r="Q4" s="26"/>
      <c r="R4" s="26"/>
      <c r="S4" s="26"/>
    </row>
    <row r="5" spans="1:19">
      <c r="A5" s="203"/>
      <c r="B5" s="203"/>
      <c r="C5" s="177"/>
      <c r="D5" s="177"/>
      <c r="E5" s="177"/>
      <c r="F5" s="177"/>
      <c r="G5" s="177"/>
      <c r="H5" s="177"/>
      <c r="I5" s="177"/>
      <c r="J5" s="177"/>
      <c r="N5" s="26"/>
      <c r="O5" s="26"/>
      <c r="P5" s="26"/>
      <c r="Q5" s="26"/>
      <c r="R5" s="26"/>
      <c r="S5" s="26"/>
    </row>
    <row r="6" spans="1:19" ht="30.75" customHeight="1">
      <c r="A6" s="203" t="s">
        <v>189</v>
      </c>
      <c r="B6" s="203"/>
      <c r="C6" s="204" t="s">
        <v>193</v>
      </c>
      <c r="D6" s="204"/>
      <c r="E6" s="204"/>
      <c r="F6" s="204"/>
      <c r="G6" s="204"/>
      <c r="H6" s="204"/>
      <c r="I6" s="204"/>
      <c r="J6" s="204"/>
      <c r="N6" s="26"/>
      <c r="O6" s="26"/>
      <c r="P6" s="26"/>
      <c r="Q6" s="26"/>
      <c r="R6" s="26"/>
      <c r="S6" s="26"/>
    </row>
    <row r="7" spans="1:19">
      <c r="A7" s="22"/>
      <c r="B7" s="23"/>
      <c r="C7" s="23"/>
      <c r="D7" s="23"/>
      <c r="E7" s="23"/>
      <c r="F7" s="23"/>
      <c r="G7" s="24"/>
      <c r="H7" s="24"/>
      <c r="I7" s="24"/>
      <c r="J7" s="24"/>
      <c r="N7" s="26"/>
      <c r="O7" s="26"/>
      <c r="P7" s="26"/>
      <c r="Q7" s="26"/>
      <c r="R7" s="26"/>
      <c r="S7" s="26"/>
    </row>
    <row r="8" spans="1:19" ht="15" customHeight="1">
      <c r="A8" s="27" t="s">
        <v>3</v>
      </c>
      <c r="B8" s="209" t="s">
        <v>80</v>
      </c>
      <c r="C8" s="210"/>
      <c r="D8" s="210"/>
      <c r="E8" s="210"/>
      <c r="F8" s="210"/>
      <c r="G8" s="210"/>
      <c r="H8" s="210"/>
      <c r="I8" s="210"/>
      <c r="J8" s="211"/>
    </row>
    <row r="9" spans="1:19" ht="15" customHeight="1">
      <c r="A9" s="27" t="s">
        <v>52</v>
      </c>
      <c r="B9" s="206" t="s">
        <v>82</v>
      </c>
      <c r="C9" s="207"/>
      <c r="D9" s="207"/>
      <c r="E9" s="207"/>
      <c r="F9" s="207"/>
      <c r="G9" s="207"/>
      <c r="H9" s="207"/>
      <c r="I9" s="207"/>
      <c r="J9" s="208"/>
    </row>
    <row r="10" spans="1:19" ht="58.5" customHeight="1">
      <c r="A10" s="131" t="s">
        <v>54</v>
      </c>
      <c r="B10" s="130" t="s">
        <v>83</v>
      </c>
      <c r="C10" s="130" t="s">
        <v>81</v>
      </c>
      <c r="D10" s="130" t="s">
        <v>130</v>
      </c>
      <c r="E10" s="26"/>
      <c r="F10" s="26"/>
      <c r="G10" s="26"/>
      <c r="H10" s="26"/>
      <c r="I10" s="26"/>
      <c r="J10" s="29"/>
    </row>
    <row r="11" spans="1:19">
      <c r="A11" s="213" t="s">
        <v>84</v>
      </c>
      <c r="B11" s="216">
        <v>1</v>
      </c>
      <c r="C11" s="216">
        <v>1</v>
      </c>
      <c r="D11" s="219">
        <f>B11/C11</f>
        <v>1</v>
      </c>
      <c r="E11" s="26"/>
      <c r="F11" s="26"/>
      <c r="G11" s="26"/>
      <c r="H11" s="26"/>
      <c r="I11" s="26"/>
      <c r="J11" s="29"/>
    </row>
    <row r="12" spans="1:19">
      <c r="A12" s="214"/>
      <c r="B12" s="217"/>
      <c r="C12" s="217"/>
      <c r="D12" s="220"/>
      <c r="E12" s="26"/>
      <c r="F12" s="26"/>
      <c r="G12" s="26"/>
      <c r="H12" s="26"/>
      <c r="I12" s="26"/>
      <c r="J12" s="29"/>
    </row>
    <row r="13" spans="1:19">
      <c r="A13" s="215"/>
      <c r="B13" s="218"/>
      <c r="C13" s="218"/>
      <c r="D13" s="221"/>
      <c r="E13" s="26"/>
      <c r="F13" s="26"/>
      <c r="G13" s="26"/>
      <c r="H13" s="26"/>
      <c r="I13" s="26"/>
      <c r="J13" s="29"/>
    </row>
    <row r="14" spans="1:19">
      <c r="A14" s="213" t="s">
        <v>85</v>
      </c>
      <c r="B14" s="216">
        <v>8</v>
      </c>
      <c r="C14" s="216">
        <v>8</v>
      </c>
      <c r="D14" s="219">
        <f t="shared" ref="D14" si="0">B14/C14</f>
        <v>1</v>
      </c>
      <c r="E14" s="26"/>
      <c r="F14" s="26"/>
      <c r="G14" s="26"/>
      <c r="H14" s="26"/>
      <c r="I14" s="26"/>
      <c r="J14" s="29"/>
    </row>
    <row r="15" spans="1:19">
      <c r="A15" s="214"/>
      <c r="B15" s="217"/>
      <c r="C15" s="217"/>
      <c r="D15" s="220"/>
      <c r="E15" s="26"/>
      <c r="F15" s="26"/>
      <c r="G15" s="26"/>
      <c r="H15" s="26"/>
      <c r="I15" s="26"/>
      <c r="J15" s="29"/>
    </row>
    <row r="16" spans="1:19">
      <c r="A16" s="215"/>
      <c r="B16" s="218"/>
      <c r="C16" s="218"/>
      <c r="D16" s="221"/>
      <c r="E16" s="26"/>
      <c r="F16" s="26"/>
      <c r="G16" s="26"/>
      <c r="H16" s="26"/>
      <c r="I16" s="26"/>
      <c r="J16" s="29"/>
    </row>
    <row r="17" spans="1:10">
      <c r="A17" s="213" t="s">
        <v>86</v>
      </c>
      <c r="B17" s="216">
        <v>6</v>
      </c>
      <c r="C17" s="216">
        <v>6</v>
      </c>
      <c r="D17" s="219">
        <f t="shared" ref="D17" si="1">B17/C17</f>
        <v>1</v>
      </c>
      <c r="E17" s="26"/>
      <c r="F17" s="26"/>
      <c r="G17" s="26"/>
      <c r="H17" s="26"/>
      <c r="I17" s="26"/>
      <c r="J17" s="29"/>
    </row>
    <row r="18" spans="1:10">
      <c r="A18" s="214"/>
      <c r="B18" s="217"/>
      <c r="C18" s="217"/>
      <c r="D18" s="220"/>
      <c r="E18" s="26"/>
      <c r="F18" s="26"/>
      <c r="G18" s="26"/>
      <c r="H18" s="26"/>
      <c r="I18" s="26"/>
      <c r="J18" s="29"/>
    </row>
    <row r="19" spans="1:10">
      <c r="A19" s="215"/>
      <c r="B19" s="218"/>
      <c r="C19" s="218"/>
      <c r="D19" s="221"/>
      <c r="E19" s="26"/>
      <c r="F19" s="26"/>
      <c r="G19" s="26"/>
      <c r="H19" s="26"/>
      <c r="I19" s="26"/>
      <c r="J19" s="29"/>
    </row>
    <row r="20" spans="1:10">
      <c r="A20" s="213" t="s">
        <v>87</v>
      </c>
      <c r="B20" s="216">
        <v>0</v>
      </c>
      <c r="C20" s="216">
        <v>0</v>
      </c>
      <c r="D20" s="219">
        <v>0</v>
      </c>
      <c r="E20" s="26"/>
      <c r="F20" s="26"/>
      <c r="G20" s="26"/>
      <c r="H20" s="26"/>
      <c r="I20" s="26"/>
      <c r="J20" s="29"/>
    </row>
    <row r="21" spans="1:10">
      <c r="A21" s="214"/>
      <c r="B21" s="217"/>
      <c r="C21" s="217"/>
      <c r="D21" s="220"/>
      <c r="E21" s="26"/>
      <c r="F21" s="26"/>
      <c r="G21" s="26"/>
      <c r="H21" s="26"/>
      <c r="I21" s="26"/>
      <c r="J21" s="29"/>
    </row>
    <row r="22" spans="1:10">
      <c r="A22" s="215"/>
      <c r="B22" s="218"/>
      <c r="C22" s="218"/>
      <c r="D22" s="221"/>
      <c r="E22" s="26"/>
      <c r="F22" s="26"/>
      <c r="G22" s="26"/>
      <c r="H22" s="26"/>
      <c r="I22" s="26"/>
      <c r="J22" s="29"/>
    </row>
    <row r="23" spans="1:10">
      <c r="D23" s="241">
        <f>AVERAGE(D11:D19)</f>
        <v>1</v>
      </c>
      <c r="E23" s="26"/>
      <c r="F23" s="26"/>
      <c r="G23" s="26"/>
      <c r="H23" s="26"/>
      <c r="I23" s="26"/>
      <c r="J23" s="29"/>
    </row>
    <row r="24" spans="1:10">
      <c r="A24" s="17"/>
      <c r="B24" s="26"/>
      <c r="C24" s="26"/>
      <c r="D24" s="26"/>
      <c r="E24" s="26"/>
      <c r="F24" s="26"/>
      <c r="G24" s="26"/>
      <c r="H24" s="26"/>
      <c r="I24" s="26"/>
      <c r="J24" s="29"/>
    </row>
    <row r="25" spans="1:10" ht="15.75">
      <c r="A25" s="30" t="s">
        <v>88</v>
      </c>
      <c r="B25" s="28"/>
      <c r="C25" s="26"/>
      <c r="D25" s="26"/>
      <c r="E25" s="26"/>
      <c r="F25" s="26"/>
      <c r="G25" s="26"/>
      <c r="H25" s="26"/>
      <c r="I25" s="26"/>
      <c r="J25" s="29"/>
    </row>
    <row r="26" spans="1:10">
      <c r="A26" s="18"/>
      <c r="B26" s="31"/>
      <c r="C26" s="31"/>
      <c r="D26" s="31"/>
      <c r="E26" s="31"/>
      <c r="F26" s="31"/>
      <c r="G26" s="31"/>
      <c r="H26" s="31"/>
      <c r="I26" s="31"/>
      <c r="J26" s="32"/>
    </row>
  </sheetData>
  <mergeCells count="28">
    <mergeCell ref="B20:B22"/>
    <mergeCell ref="C20:C22"/>
    <mergeCell ref="D20:D22"/>
    <mergeCell ref="A11:A13"/>
    <mergeCell ref="A14:A16"/>
    <mergeCell ref="A17:A19"/>
    <mergeCell ref="A20:A22"/>
    <mergeCell ref="B14:B16"/>
    <mergeCell ref="C14:C16"/>
    <mergeCell ref="D14:D16"/>
    <mergeCell ref="B17:B19"/>
    <mergeCell ref="C17:C19"/>
    <mergeCell ref="D17:D19"/>
    <mergeCell ref="B8:J8"/>
    <mergeCell ref="B9:J9"/>
    <mergeCell ref="B11:B13"/>
    <mergeCell ref="C11:C13"/>
    <mergeCell ref="D11:D13"/>
    <mergeCell ref="A4:B5"/>
    <mergeCell ref="C4:J5"/>
    <mergeCell ref="A6:B6"/>
    <mergeCell ref="C6:J6"/>
    <mergeCell ref="N3:S3"/>
    <mergeCell ref="A1:B3"/>
    <mergeCell ref="C1:H3"/>
    <mergeCell ref="I1:J1"/>
    <mergeCell ref="I2:J2"/>
    <mergeCell ref="I3:J3"/>
  </mergeCells>
  <pageMargins left="0.7" right="0.7" top="0.75" bottom="0.75" header="0.3" footer="0.3"/>
  <pageSetup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5"/>
  <sheetViews>
    <sheetView topLeftCell="A7" zoomScaleNormal="100" workbookViewId="0">
      <selection activeCell="D23" sqref="D23"/>
    </sheetView>
  </sheetViews>
  <sheetFormatPr baseColWidth="10" defaultRowHeight="15"/>
  <cols>
    <col min="1" max="1" width="12.28515625" customWidth="1"/>
    <col min="2" max="2" width="15.5703125" customWidth="1"/>
    <col min="3" max="3" width="15" customWidth="1"/>
    <col min="4" max="4" width="17" bestFit="1" customWidth="1"/>
    <col min="5" max="5" width="15.85546875" customWidth="1"/>
    <col min="6" max="6" width="7.42578125" customWidth="1"/>
    <col min="7" max="8" width="14.28515625" customWidth="1"/>
    <col min="9" max="10" width="12.140625" customWidth="1"/>
    <col min="11" max="11" width="8.85546875" customWidth="1"/>
    <col min="12" max="12" width="9.7109375" customWidth="1"/>
    <col min="13" max="13" width="9" customWidth="1"/>
    <col min="14" max="14" width="8" customWidth="1"/>
    <col min="15" max="16" width="7.28515625" customWidth="1"/>
    <col min="17" max="17" width="7" customWidth="1"/>
    <col min="18" max="18" width="6.7109375" customWidth="1"/>
    <col min="19" max="19" width="4.140625" customWidth="1"/>
    <col min="20" max="20" width="4.7109375" customWidth="1"/>
    <col min="21" max="21" width="5.42578125" customWidth="1"/>
  </cols>
  <sheetData>
    <row r="1" spans="1:19">
      <c r="A1" s="178"/>
      <c r="B1" s="178"/>
      <c r="C1" s="179" t="s">
        <v>73</v>
      </c>
      <c r="D1" s="179"/>
      <c r="E1" s="179"/>
      <c r="F1" s="179"/>
      <c r="G1" s="179"/>
      <c r="H1" s="179"/>
      <c r="I1" s="180" t="s">
        <v>137</v>
      </c>
      <c r="J1" s="180"/>
    </row>
    <row r="2" spans="1:19">
      <c r="A2" s="178"/>
      <c r="B2" s="178"/>
      <c r="C2" s="179"/>
      <c r="D2" s="179"/>
      <c r="E2" s="179"/>
      <c r="F2" s="179"/>
      <c r="G2" s="179"/>
      <c r="H2" s="179"/>
      <c r="I2" s="180" t="s">
        <v>74</v>
      </c>
      <c r="J2" s="180"/>
      <c r="N2" s="26"/>
      <c r="O2" s="26"/>
      <c r="P2" s="26"/>
      <c r="Q2" s="26"/>
      <c r="R2" s="26"/>
      <c r="S2" s="26"/>
    </row>
    <row r="3" spans="1:19">
      <c r="A3" s="178"/>
      <c r="B3" s="178"/>
      <c r="C3" s="179"/>
      <c r="D3" s="179"/>
      <c r="E3" s="179"/>
      <c r="F3" s="179"/>
      <c r="G3" s="179"/>
      <c r="H3" s="179"/>
      <c r="I3" s="180" t="s">
        <v>106</v>
      </c>
      <c r="J3" s="180"/>
      <c r="N3" s="171"/>
      <c r="O3" s="171"/>
      <c r="P3" s="171"/>
      <c r="Q3" s="171"/>
      <c r="R3" s="171"/>
      <c r="S3" s="171"/>
    </row>
    <row r="4" spans="1:19" ht="15" customHeight="1">
      <c r="A4" s="203" t="s">
        <v>51</v>
      </c>
      <c r="B4" s="203"/>
      <c r="C4" s="204" t="s">
        <v>90</v>
      </c>
      <c r="D4" s="204"/>
      <c r="E4" s="204"/>
      <c r="F4" s="204"/>
      <c r="G4" s="204"/>
      <c r="H4" s="204"/>
      <c r="I4" s="204"/>
      <c r="J4" s="204"/>
      <c r="N4" s="26"/>
      <c r="O4" s="26"/>
      <c r="P4" s="26"/>
      <c r="Q4" s="26"/>
      <c r="R4" s="26"/>
      <c r="S4" s="26"/>
    </row>
    <row r="5" spans="1:19">
      <c r="A5" s="203"/>
      <c r="B5" s="203"/>
      <c r="C5" s="204"/>
      <c r="D5" s="204"/>
      <c r="E5" s="204"/>
      <c r="F5" s="204"/>
      <c r="G5" s="204"/>
      <c r="H5" s="204"/>
      <c r="I5" s="204"/>
      <c r="J5" s="204"/>
      <c r="N5" s="26"/>
      <c r="O5" s="26"/>
      <c r="P5" s="26"/>
      <c r="Q5" s="26"/>
      <c r="R5" s="26"/>
      <c r="S5" s="26"/>
    </row>
    <row r="6" spans="1:19" ht="32.25" customHeight="1">
      <c r="A6" s="203" t="s">
        <v>189</v>
      </c>
      <c r="B6" s="203"/>
      <c r="C6" s="204" t="s">
        <v>194</v>
      </c>
      <c r="D6" s="204"/>
      <c r="E6" s="204"/>
      <c r="F6" s="204"/>
      <c r="G6" s="204"/>
      <c r="H6" s="204"/>
      <c r="I6" s="204"/>
      <c r="J6" s="204"/>
      <c r="N6" s="26"/>
      <c r="O6" s="26"/>
      <c r="P6" s="26"/>
      <c r="Q6" s="26"/>
      <c r="R6" s="26"/>
      <c r="S6" s="26"/>
    </row>
    <row r="7" spans="1:19">
      <c r="A7" s="61"/>
      <c r="B7" s="23"/>
      <c r="C7" s="23"/>
      <c r="D7" s="23"/>
      <c r="E7" s="23"/>
      <c r="F7" s="23"/>
      <c r="G7" s="62"/>
      <c r="H7" s="62"/>
      <c r="I7" s="62"/>
      <c r="J7" s="63"/>
      <c r="N7" s="26"/>
      <c r="O7" s="26"/>
      <c r="P7" s="26"/>
      <c r="Q7" s="26"/>
      <c r="R7" s="26"/>
      <c r="S7" s="26"/>
    </row>
    <row r="8" spans="1:19" ht="15" customHeight="1">
      <c r="A8" s="27" t="s">
        <v>3</v>
      </c>
      <c r="B8" s="199" t="s">
        <v>91</v>
      </c>
      <c r="C8" s="199"/>
      <c r="D8" s="199"/>
      <c r="E8" s="199"/>
      <c r="F8" s="199"/>
      <c r="G8" s="199"/>
      <c r="H8" s="199"/>
      <c r="I8" s="199"/>
      <c r="J8" s="199"/>
    </row>
    <row r="9" spans="1:19">
      <c r="A9" s="27" t="s">
        <v>52</v>
      </c>
      <c r="B9" s="177" t="s">
        <v>47</v>
      </c>
      <c r="C9" s="177"/>
      <c r="D9" s="177"/>
      <c r="E9" s="177"/>
      <c r="F9" s="177"/>
      <c r="G9" s="177"/>
      <c r="H9" s="177"/>
      <c r="I9" s="177"/>
      <c r="J9" s="177"/>
    </row>
    <row r="10" spans="1:19" ht="58.5" customHeight="1">
      <c r="A10" s="131" t="s">
        <v>54</v>
      </c>
      <c r="B10" s="130" t="s">
        <v>92</v>
      </c>
      <c r="C10" s="130" t="s">
        <v>93</v>
      </c>
      <c r="D10" s="130" t="s">
        <v>94</v>
      </c>
      <c r="E10" s="26"/>
      <c r="F10" s="26"/>
      <c r="G10" s="26"/>
      <c r="H10" s="26"/>
      <c r="I10" s="26"/>
      <c r="J10" s="29"/>
    </row>
    <row r="11" spans="1:19">
      <c r="A11" s="20" t="s">
        <v>55</v>
      </c>
      <c r="B11" s="99">
        <v>2574378491</v>
      </c>
      <c r="C11" s="99">
        <v>1392344324</v>
      </c>
      <c r="D11" s="21">
        <f>B11/C11</f>
        <v>1.8489524800906934</v>
      </c>
      <c r="E11" s="26"/>
      <c r="F11" s="26"/>
      <c r="G11" s="26"/>
      <c r="H11" s="26"/>
      <c r="I11" s="26"/>
      <c r="J11" s="29"/>
    </row>
    <row r="12" spans="1:19">
      <c r="A12" s="20" t="s">
        <v>56</v>
      </c>
      <c r="B12" s="99">
        <v>2013264678</v>
      </c>
      <c r="C12" s="99">
        <v>1331687190</v>
      </c>
      <c r="D12" s="21">
        <f t="shared" ref="D12:D22" si="0">B12/C12</f>
        <v>1.5118150066458176</v>
      </c>
      <c r="E12" s="26"/>
      <c r="F12" s="26"/>
      <c r="G12" s="26"/>
      <c r="H12" s="26"/>
      <c r="I12" s="26"/>
      <c r="J12" s="29"/>
    </row>
    <row r="13" spans="1:19">
      <c r="A13" s="20" t="s">
        <v>57</v>
      </c>
      <c r="B13" s="99">
        <v>1852132005.48</v>
      </c>
      <c r="C13" s="99">
        <v>1392027000</v>
      </c>
      <c r="D13" s="21">
        <f t="shared" si="0"/>
        <v>1.3305287939673585</v>
      </c>
      <c r="E13" s="26"/>
      <c r="F13" s="26"/>
      <c r="G13" s="26"/>
      <c r="H13" s="26"/>
      <c r="I13" s="26"/>
      <c r="J13" s="29"/>
    </row>
    <row r="14" spans="1:19">
      <c r="A14" s="20" t="s">
        <v>58</v>
      </c>
      <c r="B14" s="99">
        <v>1516821347</v>
      </c>
      <c r="C14" s="99">
        <v>1382027000</v>
      </c>
      <c r="D14" s="21">
        <f t="shared" si="0"/>
        <v>1.0975338014380327</v>
      </c>
      <c r="E14" s="26"/>
      <c r="F14" s="26"/>
      <c r="G14" s="26"/>
      <c r="H14" s="26"/>
      <c r="I14" s="26"/>
      <c r="J14" s="29"/>
    </row>
    <row r="15" spans="1:19">
      <c r="A15" s="20" t="s">
        <v>59</v>
      </c>
      <c r="B15" s="99">
        <v>2533285826</v>
      </c>
      <c r="C15" s="99">
        <v>1801702771</v>
      </c>
      <c r="D15" s="21">
        <f t="shared" si="0"/>
        <v>1.4060509129338514</v>
      </c>
      <c r="E15" s="26"/>
      <c r="F15" s="26"/>
      <c r="G15" s="26"/>
      <c r="H15" s="26"/>
      <c r="I15" s="26"/>
      <c r="J15" s="29"/>
    </row>
    <row r="16" spans="1:19">
      <c r="A16" s="20" t="s">
        <v>60</v>
      </c>
      <c r="B16" s="99">
        <v>1994189417</v>
      </c>
      <c r="C16" s="99">
        <v>1801702771</v>
      </c>
      <c r="D16" s="21">
        <f t="shared" si="0"/>
        <v>1.1068359604582081</v>
      </c>
      <c r="E16" s="26"/>
      <c r="F16" s="26"/>
      <c r="G16" s="26"/>
      <c r="H16" s="26"/>
      <c r="I16" s="26"/>
      <c r="J16" s="29"/>
    </row>
    <row r="17" spans="1:13">
      <c r="A17" s="20" t="s">
        <v>61</v>
      </c>
      <c r="B17" s="99">
        <v>2338837194</v>
      </c>
      <c r="C17" s="99">
        <v>1801702771</v>
      </c>
      <c r="D17" s="21">
        <f t="shared" si="0"/>
        <v>1.2981259903940061</v>
      </c>
      <c r="E17" s="26"/>
      <c r="F17" s="26"/>
      <c r="G17" s="26"/>
      <c r="H17" s="26"/>
      <c r="I17" s="26"/>
      <c r="J17" s="29"/>
      <c r="L17" s="136">
        <f>100*0.2</f>
        <v>20</v>
      </c>
    </row>
    <row r="18" spans="1:13">
      <c r="A18" s="20" t="s">
        <v>62</v>
      </c>
      <c r="B18" s="99">
        <v>2198492641</v>
      </c>
      <c r="C18" s="99">
        <v>1801702771</v>
      </c>
      <c r="D18" s="21">
        <f t="shared" si="0"/>
        <v>1.2202304821786834</v>
      </c>
      <c r="E18" s="26"/>
      <c r="F18" s="26"/>
      <c r="G18" s="26"/>
      <c r="H18" s="26"/>
      <c r="I18" s="26"/>
      <c r="J18" s="29"/>
    </row>
    <row r="19" spans="1:13">
      <c r="A19" s="20" t="s">
        <v>63</v>
      </c>
      <c r="B19" s="99">
        <v>2360586272</v>
      </c>
      <c r="C19" s="99">
        <v>1801702771</v>
      </c>
      <c r="D19" s="21">
        <f t="shared" si="0"/>
        <v>1.3101973921535364</v>
      </c>
      <c r="E19" s="26"/>
      <c r="F19" s="26"/>
      <c r="G19" s="26"/>
      <c r="H19" s="26"/>
      <c r="I19" s="26"/>
      <c r="J19" s="29"/>
    </row>
    <row r="20" spans="1:13">
      <c r="A20" s="20" t="s">
        <v>64</v>
      </c>
      <c r="B20" s="99">
        <v>2075589295</v>
      </c>
      <c r="C20" s="99">
        <v>1801702771</v>
      </c>
      <c r="D20" s="21">
        <f t="shared" si="0"/>
        <v>1.1520153759035319</v>
      </c>
      <c r="E20" s="26"/>
      <c r="F20" s="26"/>
      <c r="G20" s="26"/>
      <c r="H20" s="26"/>
      <c r="I20" s="26"/>
      <c r="J20" s="29"/>
    </row>
    <row r="21" spans="1:13">
      <c r="A21" s="20" t="s">
        <v>65</v>
      </c>
      <c r="B21" s="99">
        <v>2016317502</v>
      </c>
      <c r="C21" s="99">
        <v>1801702771</v>
      </c>
      <c r="D21" s="21">
        <f t="shared" si="0"/>
        <v>1.1191177226645892</v>
      </c>
      <c r="E21" s="26"/>
      <c r="F21" s="26"/>
      <c r="G21" s="26"/>
      <c r="H21" s="26"/>
      <c r="I21" s="26"/>
      <c r="J21" s="29"/>
    </row>
    <row r="22" spans="1:13">
      <c r="A22" s="25" t="s">
        <v>66</v>
      </c>
      <c r="B22" s="99">
        <v>1443397437</v>
      </c>
      <c r="C22" s="99">
        <v>1801702771</v>
      </c>
      <c r="D22" s="21">
        <f t="shared" si="0"/>
        <v>0.80112960929669352</v>
      </c>
      <c r="E22" s="26"/>
      <c r="F22" s="26"/>
      <c r="G22" s="26"/>
      <c r="H22" s="26"/>
      <c r="I22" s="26"/>
      <c r="J22" s="29"/>
    </row>
    <row r="23" spans="1:13">
      <c r="A23" s="25"/>
      <c r="B23" s="77"/>
      <c r="C23" s="77"/>
      <c r="D23" s="21">
        <f>AVERAGE(D11:D22)</f>
        <v>1.2668777940104168</v>
      </c>
      <c r="E23" s="26"/>
      <c r="F23" s="26"/>
      <c r="G23" s="26"/>
      <c r="H23" s="26"/>
      <c r="I23" s="26"/>
      <c r="J23" s="29"/>
    </row>
    <row r="24" spans="1:13">
      <c r="A24" s="205"/>
      <c r="B24" s="205"/>
      <c r="C24" s="205"/>
      <c r="D24" s="205"/>
      <c r="E24" s="205"/>
      <c r="F24" s="205"/>
      <c r="G24" s="205"/>
      <c r="H24" s="205"/>
      <c r="I24" s="205"/>
      <c r="J24" s="205"/>
    </row>
    <row r="25" spans="1:13" ht="15" customHeight="1">
      <c r="A25" s="27" t="s">
        <v>3</v>
      </c>
      <c r="B25" s="199" t="s">
        <v>136</v>
      </c>
      <c r="C25" s="199"/>
      <c r="D25" s="199"/>
      <c r="E25" s="199"/>
      <c r="F25" s="199"/>
      <c r="G25" s="199"/>
      <c r="H25" s="199"/>
      <c r="I25" s="199"/>
      <c r="J25" s="199"/>
    </row>
    <row r="26" spans="1:13" ht="15" customHeight="1">
      <c r="A26" s="27" t="s">
        <v>52</v>
      </c>
      <c r="B26" s="176" t="s">
        <v>131</v>
      </c>
      <c r="C26" s="176"/>
      <c r="D26" s="176"/>
      <c r="E26" s="177"/>
      <c r="F26" s="177"/>
      <c r="G26" s="177"/>
      <c r="H26" s="177"/>
      <c r="I26" s="177"/>
      <c r="J26" s="177"/>
    </row>
    <row r="27" spans="1:13" ht="30">
      <c r="A27" s="131" t="s">
        <v>54</v>
      </c>
      <c r="B27" s="129" t="s">
        <v>132</v>
      </c>
      <c r="C27" s="129" t="s">
        <v>133</v>
      </c>
      <c r="D27" s="129" t="s">
        <v>134</v>
      </c>
      <c r="E27" s="59" t="s">
        <v>135</v>
      </c>
      <c r="F27" s="59" t="s">
        <v>336</v>
      </c>
      <c r="G27" s="115">
        <v>1000000000</v>
      </c>
      <c r="H27" s="26"/>
      <c r="I27" s="26"/>
      <c r="J27" s="29"/>
    </row>
    <row r="28" spans="1:13">
      <c r="A28" s="20" t="s">
        <v>55</v>
      </c>
      <c r="B28" s="76">
        <v>2882988682</v>
      </c>
      <c r="C28" s="76">
        <v>372812235.33000004</v>
      </c>
      <c r="D28" s="76">
        <v>1147850167.1900001</v>
      </c>
      <c r="E28" s="58">
        <f>B28-C28-D28</f>
        <v>1362326279.48</v>
      </c>
      <c r="F28" s="21">
        <f>E28*100%/$G$27</f>
        <v>1.36232627948</v>
      </c>
      <c r="G28" s="26"/>
      <c r="H28" s="26"/>
      <c r="I28" s="26"/>
      <c r="J28" s="29"/>
      <c r="M28" t="s">
        <v>187</v>
      </c>
    </row>
    <row r="29" spans="1:13">
      <c r="A29" s="20" t="s">
        <v>56</v>
      </c>
      <c r="B29" s="76">
        <v>3059505887</v>
      </c>
      <c r="C29" s="76">
        <v>281249102.48000002</v>
      </c>
      <c r="D29" s="76">
        <v>1148351551.45</v>
      </c>
      <c r="E29" s="58">
        <f t="shared" ref="E29:E33" si="1">B29-C29-D29</f>
        <v>1629905233.0699999</v>
      </c>
      <c r="F29" s="21">
        <f>E29*100%/$G$27</f>
        <v>1.6299052330699999</v>
      </c>
      <c r="G29" s="116"/>
      <c r="H29" s="117"/>
      <c r="I29" s="26"/>
      <c r="J29" s="29"/>
    </row>
    <row r="30" spans="1:13">
      <c r="A30" s="20" t="s">
        <v>57</v>
      </c>
      <c r="B30" s="57">
        <v>2626896812</v>
      </c>
      <c r="C30" s="57">
        <v>332476052.97000003</v>
      </c>
      <c r="D30" s="57">
        <v>998573997.21000004</v>
      </c>
      <c r="E30" s="58">
        <f t="shared" si="1"/>
        <v>1295846761.8199997</v>
      </c>
      <c r="F30" s="21">
        <f>E30*100%/$G$27</f>
        <v>1.2958467618199998</v>
      </c>
      <c r="G30" s="114"/>
      <c r="H30" s="54"/>
      <c r="I30" s="26"/>
      <c r="J30" s="29"/>
    </row>
    <row r="31" spans="1:13">
      <c r="A31" s="20" t="s">
        <v>58</v>
      </c>
      <c r="B31" s="57">
        <v>3679739696</v>
      </c>
      <c r="C31" s="57">
        <v>251924149</v>
      </c>
      <c r="D31" s="57">
        <v>1441915670</v>
      </c>
      <c r="E31" s="58">
        <f t="shared" si="1"/>
        <v>1985899877</v>
      </c>
      <c r="F31" s="21">
        <f>E31*100%/$G$27</f>
        <v>1.985899877</v>
      </c>
      <c r="G31" s="26"/>
      <c r="H31" s="26"/>
      <c r="I31" s="26"/>
      <c r="J31" s="29"/>
    </row>
    <row r="32" spans="1:13">
      <c r="A32" s="20" t="s">
        <v>59</v>
      </c>
      <c r="B32" s="57">
        <v>2953010536</v>
      </c>
      <c r="C32" s="57">
        <v>242818908</v>
      </c>
      <c r="D32" s="57">
        <v>1109855298</v>
      </c>
      <c r="E32" s="58">
        <f t="shared" si="1"/>
        <v>1600336330</v>
      </c>
      <c r="F32" s="21">
        <f t="shared" ref="F32:F39" si="2">E32*100%/$G$27</f>
        <v>1.60033633</v>
      </c>
      <c r="G32" s="26"/>
      <c r="H32" s="26"/>
      <c r="I32" s="26"/>
      <c r="J32" s="29"/>
    </row>
    <row r="33" spans="1:10">
      <c r="A33" s="20" t="s">
        <v>60</v>
      </c>
      <c r="B33" s="57">
        <v>2835120888</v>
      </c>
      <c r="C33" s="57">
        <v>272175091</v>
      </c>
      <c r="D33" s="57">
        <v>1081203976</v>
      </c>
      <c r="E33" s="58">
        <f t="shared" si="1"/>
        <v>1481741821</v>
      </c>
      <c r="F33" s="21">
        <f t="shared" si="2"/>
        <v>1.481741821</v>
      </c>
      <c r="G33" s="26"/>
      <c r="H33" s="26"/>
      <c r="I33" s="26"/>
      <c r="J33" s="29"/>
    </row>
    <row r="34" spans="1:10">
      <c r="A34" s="20" t="s">
        <v>61</v>
      </c>
      <c r="B34" s="57">
        <v>3226505903</v>
      </c>
      <c r="C34" s="57">
        <v>291977681</v>
      </c>
      <c r="D34" s="57">
        <v>1242087477</v>
      </c>
      <c r="E34" s="58">
        <f>B34-C34-D34</f>
        <v>1692440745</v>
      </c>
      <c r="F34" s="21">
        <f t="shared" si="2"/>
        <v>1.6924407450000001</v>
      </c>
      <c r="G34" s="26"/>
      <c r="H34" s="26"/>
      <c r="I34" s="26"/>
      <c r="J34" s="29"/>
    </row>
    <row r="35" spans="1:10">
      <c r="A35" s="20" t="s">
        <v>62</v>
      </c>
      <c r="B35" s="57">
        <v>3433025588</v>
      </c>
      <c r="C35" s="57">
        <v>321321793</v>
      </c>
      <c r="D35" s="57">
        <v>1199476770</v>
      </c>
      <c r="E35" s="58">
        <f t="shared" ref="E35:E39" si="3">B35-C35-D35</f>
        <v>1912227025</v>
      </c>
      <c r="F35" s="21">
        <f t="shared" si="2"/>
        <v>1.912227025</v>
      </c>
      <c r="G35" s="26"/>
      <c r="H35" s="26"/>
      <c r="I35" s="26"/>
      <c r="J35" s="29"/>
    </row>
    <row r="36" spans="1:10">
      <c r="A36" s="20" t="s">
        <v>63</v>
      </c>
      <c r="B36" s="57">
        <v>2867011036</v>
      </c>
      <c r="C36" s="57">
        <v>267052289</v>
      </c>
      <c r="D36" s="57">
        <v>1205897615</v>
      </c>
      <c r="E36" s="58">
        <f t="shared" si="3"/>
        <v>1394061132</v>
      </c>
      <c r="F36" s="21">
        <f t="shared" si="2"/>
        <v>1.394061132</v>
      </c>
      <c r="G36" s="26"/>
      <c r="H36" s="26"/>
      <c r="I36" s="26"/>
      <c r="J36" s="29"/>
    </row>
    <row r="37" spans="1:10">
      <c r="A37" s="20" t="s">
        <v>64</v>
      </c>
      <c r="B37" s="57">
        <v>2972782996</v>
      </c>
      <c r="C37" s="57">
        <v>394425298</v>
      </c>
      <c r="D37" s="57">
        <v>1205897615</v>
      </c>
      <c r="E37" s="58">
        <f t="shared" si="3"/>
        <v>1372460083</v>
      </c>
      <c r="F37" s="21">
        <f t="shared" si="2"/>
        <v>1.372460083</v>
      </c>
      <c r="G37" s="26"/>
      <c r="H37" s="26"/>
      <c r="I37" s="26"/>
      <c r="J37" s="29"/>
    </row>
    <row r="38" spans="1:10">
      <c r="A38" s="20" t="s">
        <v>65</v>
      </c>
      <c r="B38" s="57">
        <v>3284165521</v>
      </c>
      <c r="C38" s="57">
        <v>318563363</v>
      </c>
      <c r="D38" s="57">
        <v>1600064054</v>
      </c>
      <c r="E38" s="58">
        <f t="shared" si="3"/>
        <v>1365538104</v>
      </c>
      <c r="F38" s="21">
        <f t="shared" si="2"/>
        <v>1.3655381040000001</v>
      </c>
      <c r="G38" s="26"/>
      <c r="H38" s="26"/>
      <c r="I38" s="26"/>
      <c r="J38" s="29"/>
    </row>
    <row r="39" spans="1:10">
      <c r="A39" s="20" t="s">
        <v>66</v>
      </c>
      <c r="B39" s="57">
        <v>3063713121</v>
      </c>
      <c r="C39" s="57">
        <v>502200607</v>
      </c>
      <c r="D39" s="57">
        <v>1365350423</v>
      </c>
      <c r="E39" s="58">
        <f t="shared" si="3"/>
        <v>1196162091</v>
      </c>
      <c r="F39" s="21">
        <f t="shared" si="2"/>
        <v>1.1961620909999999</v>
      </c>
      <c r="G39" s="26"/>
      <c r="H39" s="26"/>
      <c r="I39" s="26"/>
      <c r="J39" s="29"/>
    </row>
    <row r="40" spans="1:10">
      <c r="A40" s="20" t="s">
        <v>337</v>
      </c>
      <c r="B40" s="57">
        <f>SUM(B28:B39)</f>
        <v>36884466666</v>
      </c>
      <c r="C40" s="57">
        <f>SUM(C28:C39)</f>
        <v>3848996569.7800002</v>
      </c>
      <c r="D40" s="57">
        <f>SUM(D28:D39)</f>
        <v>14746524613.85</v>
      </c>
      <c r="E40" s="58">
        <f>SUM(E28:E39)</f>
        <v>18288945482.369999</v>
      </c>
      <c r="F40" s="21">
        <f>AVERAGE(F28:F39)</f>
        <v>1.5240787901974999</v>
      </c>
      <c r="G40" s="26"/>
      <c r="H40" s="26"/>
      <c r="I40" s="26"/>
      <c r="J40" s="29"/>
    </row>
    <row r="41" spans="1:10">
      <c r="A41" s="20"/>
      <c r="B41" s="57"/>
      <c r="C41" s="57"/>
      <c r="D41" s="57"/>
      <c r="E41" s="58"/>
      <c r="F41" s="21">
        <f>AVERAGE(F28:F40)</f>
        <v>1.5240787901974999</v>
      </c>
      <c r="G41" s="26"/>
      <c r="H41" s="26"/>
      <c r="I41" s="26"/>
      <c r="J41" s="29"/>
    </row>
    <row r="42" spans="1:10">
      <c r="A42" s="205"/>
      <c r="B42" s="205"/>
      <c r="C42" s="205"/>
      <c r="D42" s="205"/>
      <c r="E42" s="205"/>
      <c r="F42" s="205"/>
      <c r="G42" s="205"/>
      <c r="H42" s="205"/>
      <c r="I42" s="205"/>
      <c r="J42" s="205"/>
    </row>
    <row r="43" spans="1:10" ht="15" customHeight="1">
      <c r="A43" s="27" t="s">
        <v>3</v>
      </c>
      <c r="B43" s="226" t="s">
        <v>120</v>
      </c>
      <c r="C43" s="227"/>
      <c r="D43" s="227"/>
      <c r="E43" s="227"/>
      <c r="F43" s="227"/>
      <c r="G43" s="227"/>
      <c r="H43" s="227"/>
      <c r="I43" s="227"/>
      <c r="J43" s="228"/>
    </row>
    <row r="44" spans="1:10" ht="15" customHeight="1">
      <c r="A44" s="47" t="s">
        <v>52</v>
      </c>
      <c r="B44" s="176" t="s">
        <v>121</v>
      </c>
      <c r="C44" s="176"/>
      <c r="D44" s="176"/>
      <c r="E44" s="176"/>
      <c r="F44" s="176"/>
      <c r="G44" s="177"/>
      <c r="H44" s="177"/>
      <c r="I44" s="177"/>
      <c r="J44" s="177"/>
    </row>
    <row r="45" spans="1:10" ht="105">
      <c r="A45" s="131" t="s">
        <v>54</v>
      </c>
      <c r="B45" s="129" t="s">
        <v>111</v>
      </c>
      <c r="C45" s="229" t="s">
        <v>112</v>
      </c>
      <c r="D45" s="230"/>
      <c r="E45" s="129" t="s">
        <v>113</v>
      </c>
      <c r="F45" s="130" t="s">
        <v>178</v>
      </c>
      <c r="G45" s="130" t="s">
        <v>177</v>
      </c>
      <c r="H45" s="132"/>
      <c r="I45" s="132"/>
      <c r="J45" s="133"/>
    </row>
    <row r="46" spans="1:10">
      <c r="A46" s="20" t="s">
        <v>55</v>
      </c>
      <c r="B46" s="48">
        <v>4849084687</v>
      </c>
      <c r="C46" s="222">
        <v>4823989830</v>
      </c>
      <c r="D46" s="222"/>
      <c r="E46" s="48">
        <v>5098068469</v>
      </c>
      <c r="F46" s="41">
        <f>B46/C46</f>
        <v>1.0052020957515162</v>
      </c>
      <c r="G46" s="41">
        <f t="shared" ref="G46:G57" si="4">E46/C46</f>
        <v>1.0568157580464883</v>
      </c>
      <c r="H46" s="132"/>
      <c r="I46" s="132"/>
      <c r="J46" s="133"/>
    </row>
    <row r="47" spans="1:10">
      <c r="A47" s="20" t="s">
        <v>56</v>
      </c>
      <c r="B47" s="48">
        <v>4705984191</v>
      </c>
      <c r="C47" s="222">
        <v>4980238438</v>
      </c>
      <c r="D47" s="222"/>
      <c r="E47" s="48">
        <v>4917889687</v>
      </c>
      <c r="F47" s="41">
        <f>B47/C47</f>
        <v>0.94493150269525306</v>
      </c>
      <c r="G47" s="41">
        <f t="shared" si="4"/>
        <v>0.98748076989160416</v>
      </c>
      <c r="H47" s="132"/>
      <c r="I47" s="132"/>
      <c r="J47" s="133"/>
    </row>
    <row r="48" spans="1:10">
      <c r="A48" s="20" t="s">
        <v>57</v>
      </c>
      <c r="B48" s="48">
        <v>5665324161</v>
      </c>
      <c r="C48" s="222">
        <v>4334249508</v>
      </c>
      <c r="D48" s="222"/>
      <c r="E48" s="48">
        <v>4134510788</v>
      </c>
      <c r="F48" s="41">
        <f t="shared" ref="F48:F56" si="5">B48/C48</f>
        <v>1.3071061438763854</v>
      </c>
      <c r="G48" s="41">
        <f t="shared" si="4"/>
        <v>0.95391619249622583</v>
      </c>
      <c r="H48" s="132"/>
      <c r="I48" s="132"/>
      <c r="J48" s="133"/>
    </row>
    <row r="49" spans="1:12">
      <c r="A49" s="20" t="s">
        <v>58</v>
      </c>
      <c r="B49" s="48">
        <v>4921076452</v>
      </c>
      <c r="C49" s="222">
        <v>5914788846</v>
      </c>
      <c r="D49" s="222"/>
      <c r="E49" s="48">
        <v>5925626447</v>
      </c>
      <c r="F49" s="41">
        <f t="shared" si="5"/>
        <v>0.83199528844178117</v>
      </c>
      <c r="G49" s="41">
        <f t="shared" si="4"/>
        <v>1.0018322887396613</v>
      </c>
      <c r="H49" s="132"/>
      <c r="I49" s="132"/>
      <c r="J49" s="133"/>
    </row>
    <row r="50" spans="1:12">
      <c r="A50" s="20" t="s">
        <v>59</v>
      </c>
      <c r="B50" s="48">
        <v>4786781359</v>
      </c>
      <c r="C50" s="222">
        <v>4803112677</v>
      </c>
      <c r="D50" s="222"/>
      <c r="E50" s="48">
        <v>5043198902</v>
      </c>
      <c r="F50" s="41">
        <f t="shared" si="5"/>
        <v>0.99659984699542792</v>
      </c>
      <c r="G50" s="41">
        <f t="shared" si="4"/>
        <v>1.0499855491938941</v>
      </c>
      <c r="H50" s="132"/>
      <c r="I50" s="132"/>
      <c r="J50" s="133"/>
    </row>
    <row r="51" spans="1:12">
      <c r="A51" s="20" t="s">
        <v>60</v>
      </c>
      <c r="B51" s="48">
        <v>4846666714</v>
      </c>
      <c r="C51" s="222">
        <v>4670802357</v>
      </c>
      <c r="D51" s="222"/>
      <c r="E51" s="48">
        <v>4664167024</v>
      </c>
      <c r="F51" s="41">
        <f t="shared" si="5"/>
        <v>1.0376518515574604</v>
      </c>
      <c r="G51" s="41">
        <f t="shared" si="4"/>
        <v>0.99857940189011518</v>
      </c>
      <c r="H51" s="65"/>
      <c r="I51" s="132"/>
      <c r="J51" s="133"/>
    </row>
    <row r="52" spans="1:12">
      <c r="A52" s="20" t="s">
        <v>61</v>
      </c>
      <c r="B52" s="48">
        <v>5024191770</v>
      </c>
      <c r="C52" s="222">
        <v>5349349513</v>
      </c>
      <c r="D52" s="222"/>
      <c r="E52" s="48">
        <v>5303143306</v>
      </c>
      <c r="F52" s="41">
        <f t="shared" si="5"/>
        <v>0.93921546120517996</v>
      </c>
      <c r="G52" s="41">
        <f t="shared" si="4"/>
        <v>0.99136227556496181</v>
      </c>
      <c r="H52" s="132"/>
      <c r="I52" s="132"/>
      <c r="J52" s="133"/>
      <c r="L52" s="64"/>
    </row>
    <row r="53" spans="1:12">
      <c r="A53" s="20" t="s">
        <v>62</v>
      </c>
      <c r="B53" s="48">
        <v>4682708920</v>
      </c>
      <c r="C53" s="222">
        <v>4850545531</v>
      </c>
      <c r="D53" s="222"/>
      <c r="E53" s="48">
        <v>4062935095</v>
      </c>
      <c r="F53" s="41">
        <f t="shared" si="5"/>
        <v>0.96539840520466191</v>
      </c>
      <c r="G53" s="41">
        <f t="shared" si="4"/>
        <v>0.83762435978255334</v>
      </c>
      <c r="H53" s="132"/>
      <c r="I53" s="132"/>
      <c r="J53" s="133"/>
      <c r="L53" s="64"/>
    </row>
    <row r="54" spans="1:12">
      <c r="A54" s="20" t="s">
        <v>63</v>
      </c>
      <c r="B54" s="48">
        <v>4829621738</v>
      </c>
      <c r="C54" s="222">
        <v>4643195023</v>
      </c>
      <c r="D54" s="222"/>
      <c r="E54" s="48">
        <v>5494810644</v>
      </c>
      <c r="F54" s="41">
        <f t="shared" si="5"/>
        <v>1.0401505243860183</v>
      </c>
      <c r="G54" s="41">
        <f t="shared" si="4"/>
        <v>1.1834115553582252</v>
      </c>
      <c r="H54" s="132"/>
      <c r="I54" s="132"/>
      <c r="J54" s="133"/>
    </row>
    <row r="55" spans="1:12">
      <c r="A55" s="20" t="s">
        <v>64</v>
      </c>
      <c r="B55" s="48">
        <v>4791666709</v>
      </c>
      <c r="C55" s="222">
        <v>4874197693</v>
      </c>
      <c r="D55" s="222"/>
      <c r="E55" s="94">
        <v>4847947693</v>
      </c>
      <c r="F55" s="41">
        <f t="shared" si="5"/>
        <v>0.98306778075117351</v>
      </c>
      <c r="G55" s="41">
        <f t="shared" si="4"/>
        <v>0.99461449829216031</v>
      </c>
      <c r="H55" s="132"/>
      <c r="I55" s="132"/>
      <c r="J55" s="133"/>
    </row>
    <row r="56" spans="1:12">
      <c r="A56" s="20" t="s">
        <v>65</v>
      </c>
      <c r="B56" s="48">
        <v>5271755119</v>
      </c>
      <c r="C56" s="222">
        <v>5383115473</v>
      </c>
      <c r="D56" s="222"/>
      <c r="E56" s="94">
        <v>5409365473</v>
      </c>
      <c r="F56" s="41">
        <f t="shared" si="5"/>
        <v>0.979313028940481</v>
      </c>
      <c r="G56" s="41">
        <f t="shared" si="4"/>
        <v>1.0048763583340654</v>
      </c>
      <c r="H56" s="132"/>
      <c r="I56" s="132"/>
      <c r="J56" s="133"/>
    </row>
    <row r="57" spans="1:12">
      <c r="A57" s="20" t="s">
        <v>66</v>
      </c>
      <c r="B57" s="48">
        <v>5269656165</v>
      </c>
      <c r="C57" s="222">
        <v>5148637641</v>
      </c>
      <c r="D57" s="222"/>
      <c r="E57" s="94">
        <v>4819056637</v>
      </c>
      <c r="F57" s="41">
        <f>B57/C57</f>
        <v>1.0235049604260935</v>
      </c>
      <c r="G57" s="41">
        <f t="shared" si="4"/>
        <v>0.93598675475324633</v>
      </c>
      <c r="H57" s="26"/>
      <c r="I57" s="26"/>
      <c r="J57" s="29"/>
    </row>
    <row r="58" spans="1:12">
      <c r="A58" s="124"/>
      <c r="B58" s="125"/>
      <c r="C58" s="126"/>
      <c r="D58" s="126"/>
      <c r="E58" s="127"/>
      <c r="F58" s="42">
        <f>AVERAGE(F46:F57)</f>
        <v>1.004511407519286</v>
      </c>
      <c r="G58" s="42">
        <f>AVERAGE(G46:G57)</f>
        <v>0.99970714686193329</v>
      </c>
      <c r="H58" s="26"/>
      <c r="I58" s="26"/>
      <c r="J58" s="29"/>
    </row>
    <row r="59" spans="1:12">
      <c r="A59" s="43"/>
      <c r="B59" s="44"/>
      <c r="C59" s="45"/>
      <c r="D59" s="46"/>
      <c r="E59" s="42"/>
      <c r="F59" s="42"/>
      <c r="G59" s="26"/>
      <c r="H59" s="26"/>
      <c r="I59" s="26"/>
      <c r="J59" s="29"/>
    </row>
    <row r="60" spans="1:12">
      <c r="A60" s="43"/>
      <c r="B60" s="44"/>
      <c r="C60" s="45"/>
      <c r="D60" s="46"/>
      <c r="E60" s="42"/>
      <c r="F60" s="42"/>
      <c r="G60" s="26"/>
      <c r="H60" s="26"/>
      <c r="I60" s="26"/>
      <c r="J60" s="29"/>
    </row>
    <row r="61" spans="1:12">
      <c r="A61" s="43"/>
      <c r="B61" s="44"/>
      <c r="C61" s="45"/>
      <c r="D61" s="46"/>
      <c r="E61" s="42"/>
      <c r="F61" s="42"/>
      <c r="G61" s="26"/>
      <c r="H61" s="26"/>
      <c r="I61" s="26"/>
      <c r="J61" s="29"/>
    </row>
    <row r="62" spans="1:12">
      <c r="A62" s="43"/>
      <c r="B62" s="44"/>
      <c r="C62" s="45"/>
      <c r="D62" s="46"/>
      <c r="E62" s="42"/>
      <c r="F62" s="42"/>
      <c r="G62" s="26"/>
      <c r="H62" s="26"/>
      <c r="I62" s="26"/>
      <c r="J62" s="29"/>
    </row>
    <row r="63" spans="1:12">
      <c r="A63" s="43"/>
      <c r="B63" s="44"/>
      <c r="C63" s="45"/>
      <c r="D63" s="46"/>
      <c r="E63" s="42"/>
      <c r="F63" s="42"/>
      <c r="G63" s="26"/>
      <c r="H63" s="26"/>
      <c r="I63" s="26"/>
      <c r="J63" s="29"/>
    </row>
    <row r="64" spans="1:12">
      <c r="A64" s="43"/>
      <c r="B64" s="44"/>
      <c r="C64" s="45"/>
      <c r="D64" s="46"/>
      <c r="E64" s="42"/>
      <c r="F64" s="42"/>
      <c r="G64" s="26"/>
      <c r="H64" s="26"/>
      <c r="I64" s="26"/>
      <c r="J64" s="29"/>
    </row>
    <row r="65" spans="1:10">
      <c r="A65" s="43"/>
      <c r="B65" s="44"/>
      <c r="C65" s="45"/>
      <c r="D65" s="46"/>
      <c r="E65" s="42"/>
      <c r="F65" s="42"/>
      <c r="G65" s="26"/>
      <c r="H65" s="26"/>
      <c r="I65" s="26"/>
      <c r="J65" s="29"/>
    </row>
    <row r="66" spans="1:10">
      <c r="A66" s="43"/>
      <c r="B66" s="44"/>
      <c r="C66" s="45"/>
      <c r="D66" s="46"/>
      <c r="E66" s="42"/>
      <c r="F66" s="42"/>
      <c r="G66" s="26"/>
      <c r="H66" s="26"/>
      <c r="I66" s="26"/>
      <c r="J66" s="29"/>
    </row>
    <row r="67" spans="1:10">
      <c r="A67" s="43"/>
      <c r="B67" s="44"/>
      <c r="C67" s="45"/>
      <c r="D67" s="46"/>
      <c r="E67" s="42"/>
      <c r="F67" s="42"/>
      <c r="G67" s="26"/>
      <c r="H67" s="26"/>
      <c r="I67" s="26"/>
      <c r="J67" s="29"/>
    </row>
    <row r="68" spans="1:10">
      <c r="A68" s="43"/>
      <c r="B68" s="44"/>
      <c r="C68" s="45"/>
      <c r="D68" s="46"/>
      <c r="E68" s="42"/>
      <c r="F68" s="42"/>
      <c r="G68" s="26"/>
      <c r="H68" s="26"/>
      <c r="I68" s="26"/>
      <c r="J68" s="29"/>
    </row>
    <row r="69" spans="1:10">
      <c r="A69" s="43"/>
      <c r="B69" s="44"/>
      <c r="C69" s="45"/>
      <c r="D69" s="46"/>
      <c r="E69" s="42"/>
      <c r="F69" s="42"/>
      <c r="G69" s="26"/>
      <c r="H69" s="26"/>
      <c r="I69" s="26"/>
      <c r="J69" s="29"/>
    </row>
    <row r="70" spans="1:10">
      <c r="A70" s="43"/>
      <c r="B70" s="44"/>
      <c r="C70" s="45"/>
      <c r="D70" s="46"/>
      <c r="E70" s="42"/>
      <c r="F70" s="42"/>
      <c r="G70" s="26"/>
      <c r="H70" s="26"/>
      <c r="I70" s="26"/>
      <c r="J70" s="29"/>
    </row>
    <row r="71" spans="1:10">
      <c r="A71" s="43"/>
      <c r="B71" s="44"/>
      <c r="C71" s="45"/>
      <c r="D71" s="46"/>
      <c r="E71" s="42"/>
      <c r="F71" s="42"/>
      <c r="G71" s="26"/>
      <c r="H71" s="26"/>
      <c r="I71" s="26"/>
      <c r="J71" s="29"/>
    </row>
    <row r="72" spans="1:10">
      <c r="A72" s="43"/>
      <c r="B72" s="44"/>
      <c r="C72" s="45"/>
      <c r="D72" s="46"/>
      <c r="E72" s="42"/>
      <c r="F72" s="42"/>
      <c r="G72" s="26"/>
      <c r="H72" s="26"/>
      <c r="I72" s="26"/>
      <c r="J72" s="29"/>
    </row>
    <row r="73" spans="1:10">
      <c r="A73" s="43"/>
      <c r="B73" s="44"/>
      <c r="C73" s="45"/>
      <c r="D73" s="46"/>
      <c r="E73" s="42"/>
      <c r="F73" s="42"/>
      <c r="G73" s="26"/>
      <c r="H73" s="26"/>
      <c r="I73" s="26"/>
      <c r="J73" s="29"/>
    </row>
    <row r="74" spans="1:10">
      <c r="A74" s="43"/>
      <c r="B74" s="44"/>
      <c r="C74" s="45"/>
      <c r="D74" s="46"/>
      <c r="E74" s="42"/>
      <c r="F74" s="42"/>
      <c r="G74" s="26"/>
      <c r="H74" s="26"/>
      <c r="I74" s="26"/>
      <c r="J74" s="29"/>
    </row>
    <row r="75" spans="1:10">
      <c r="A75" s="223"/>
      <c r="B75" s="224"/>
      <c r="C75" s="224"/>
      <c r="D75" s="224"/>
      <c r="E75" s="224"/>
      <c r="F75" s="224"/>
      <c r="G75" s="224"/>
      <c r="H75" s="224"/>
      <c r="I75" s="224"/>
      <c r="J75" s="225"/>
    </row>
    <row r="76" spans="1:10" ht="15" customHeight="1">
      <c r="A76" s="27" t="s">
        <v>3</v>
      </c>
      <c r="B76" s="199" t="s">
        <v>162</v>
      </c>
      <c r="C76" s="199"/>
      <c r="D76" s="199"/>
      <c r="E76" s="199"/>
      <c r="F76" s="199"/>
      <c r="G76" s="199"/>
      <c r="H76" s="199"/>
      <c r="I76" s="199"/>
      <c r="J76" s="199"/>
    </row>
    <row r="77" spans="1:10" ht="15" customHeight="1">
      <c r="A77" s="27" t="s">
        <v>52</v>
      </c>
      <c r="B77" s="177" t="s">
        <v>158</v>
      </c>
      <c r="C77" s="177"/>
      <c r="D77" s="177"/>
      <c r="E77" s="177"/>
      <c r="F77" s="177"/>
      <c r="G77" s="177"/>
      <c r="H77" s="177"/>
      <c r="I77" s="177"/>
      <c r="J77" s="177"/>
    </row>
    <row r="78" spans="1:10" ht="45">
      <c r="A78" s="131" t="s">
        <v>54</v>
      </c>
      <c r="B78" s="130" t="s">
        <v>157</v>
      </c>
      <c r="C78" s="130" t="s">
        <v>164</v>
      </c>
      <c r="D78" s="130" t="s">
        <v>165</v>
      </c>
      <c r="E78" s="26"/>
      <c r="F78" s="26"/>
      <c r="G78" s="26"/>
      <c r="H78" s="26"/>
      <c r="I78" s="26"/>
      <c r="J78" s="29"/>
    </row>
    <row r="79" spans="1:10">
      <c r="A79" s="20" t="s">
        <v>55</v>
      </c>
      <c r="B79" s="57">
        <v>12</v>
      </c>
      <c r="C79" s="57">
        <v>1331</v>
      </c>
      <c r="D79" s="21">
        <f>B79/C79</f>
        <v>9.0157776108189328E-3</v>
      </c>
      <c r="E79" s="26"/>
      <c r="F79" s="26"/>
      <c r="G79" s="26"/>
      <c r="H79" s="26"/>
      <c r="I79" s="26"/>
      <c r="J79" s="29"/>
    </row>
    <row r="80" spans="1:10">
      <c r="A80" s="20" t="s">
        <v>56</v>
      </c>
      <c r="B80" s="57">
        <v>28</v>
      </c>
      <c r="C80" s="57">
        <v>1340</v>
      </c>
      <c r="D80" s="21">
        <f>B80/C80</f>
        <v>2.0895522388059702E-2</v>
      </c>
      <c r="E80" s="26"/>
      <c r="F80" s="26"/>
      <c r="G80" s="26"/>
      <c r="H80" s="26"/>
      <c r="I80" s="26"/>
      <c r="J80" s="29"/>
    </row>
    <row r="81" spans="1:12">
      <c r="A81" s="20" t="s">
        <v>57</v>
      </c>
      <c r="B81" s="57">
        <v>13</v>
      </c>
      <c r="C81" s="57">
        <v>1176</v>
      </c>
      <c r="D81" s="21">
        <f>B81/C81</f>
        <v>1.1054421768707483E-2</v>
      </c>
      <c r="E81" s="26"/>
      <c r="F81" s="26"/>
      <c r="G81" s="26"/>
      <c r="H81" s="26"/>
      <c r="I81" s="26"/>
      <c r="J81" s="29"/>
    </row>
    <row r="82" spans="1:12">
      <c r="A82" s="20" t="s">
        <v>58</v>
      </c>
      <c r="B82" s="57">
        <v>32</v>
      </c>
      <c r="C82" s="57">
        <v>1547</v>
      </c>
      <c r="D82" s="21">
        <f t="shared" ref="D82:D90" si="6">B82/C82</f>
        <v>2.068519715578539E-2</v>
      </c>
      <c r="E82" s="26"/>
      <c r="F82" s="26"/>
      <c r="G82" s="26"/>
      <c r="H82" s="26"/>
      <c r="I82" s="26"/>
      <c r="J82" s="29"/>
    </row>
    <row r="83" spans="1:12">
      <c r="A83" s="20" t="s">
        <v>59</v>
      </c>
      <c r="B83" s="57">
        <v>19</v>
      </c>
      <c r="C83" s="57">
        <v>1316</v>
      </c>
      <c r="D83" s="21">
        <f>B83/C83</f>
        <v>1.4437689969604863E-2</v>
      </c>
      <c r="E83" s="26"/>
      <c r="F83" s="26"/>
      <c r="G83" s="26"/>
      <c r="H83" s="26"/>
      <c r="I83" s="26"/>
      <c r="J83" s="29"/>
      <c r="L83" s="78"/>
    </row>
    <row r="84" spans="1:12">
      <c r="A84" s="20" t="s">
        <v>60</v>
      </c>
      <c r="B84" s="57">
        <v>14</v>
      </c>
      <c r="C84" s="57">
        <v>1303</v>
      </c>
      <c r="D84" s="21">
        <f>B84/C84</f>
        <v>1.0744435917114352E-2</v>
      </c>
      <c r="E84" s="26"/>
      <c r="F84" s="26"/>
      <c r="G84" s="26"/>
      <c r="H84" s="26"/>
      <c r="I84" s="26"/>
      <c r="J84" s="29"/>
      <c r="L84" s="78"/>
    </row>
    <row r="85" spans="1:12">
      <c r="A85" s="20" t="s">
        <v>61</v>
      </c>
      <c r="B85" s="57">
        <v>19</v>
      </c>
      <c r="C85" s="57">
        <v>1417</v>
      </c>
      <c r="D85" s="21">
        <f t="shared" si="6"/>
        <v>1.3408609738884969E-2</v>
      </c>
      <c r="E85" s="26"/>
      <c r="F85" s="26"/>
      <c r="G85" s="26"/>
      <c r="H85" s="26"/>
      <c r="I85" s="26"/>
      <c r="J85" s="29"/>
      <c r="L85" s="78"/>
    </row>
    <row r="86" spans="1:12">
      <c r="A86" s="20" t="s">
        <v>62</v>
      </c>
      <c r="B86" s="57">
        <v>13</v>
      </c>
      <c r="C86" s="57">
        <v>1481</v>
      </c>
      <c r="D86" s="21">
        <f t="shared" si="6"/>
        <v>8.7778528021607016E-3</v>
      </c>
      <c r="E86" s="26"/>
      <c r="F86" s="26"/>
      <c r="G86" s="26"/>
      <c r="H86" s="26"/>
      <c r="I86" s="26"/>
      <c r="J86" s="29"/>
      <c r="L86" s="78"/>
    </row>
    <row r="87" spans="1:12">
      <c r="A87" s="20" t="s">
        <v>63</v>
      </c>
      <c r="B87" s="57">
        <v>5</v>
      </c>
      <c r="C87" s="57">
        <v>1273</v>
      </c>
      <c r="D87" s="21">
        <f t="shared" si="6"/>
        <v>3.927729772191673E-3</v>
      </c>
      <c r="E87" s="26"/>
      <c r="F87" s="26"/>
      <c r="G87" s="26"/>
      <c r="H87" s="26"/>
      <c r="I87" s="26"/>
      <c r="J87" s="29"/>
      <c r="L87" s="78"/>
    </row>
    <row r="88" spans="1:12">
      <c r="A88" s="20" t="s">
        <v>64</v>
      </c>
      <c r="B88" s="57">
        <v>7</v>
      </c>
      <c r="C88" s="57">
        <v>1363</v>
      </c>
      <c r="D88" s="21">
        <f t="shared" si="6"/>
        <v>5.1357300073367569E-3</v>
      </c>
      <c r="E88" s="26"/>
      <c r="F88" s="26"/>
      <c r="G88" s="26"/>
      <c r="H88" s="26"/>
      <c r="I88" s="26"/>
      <c r="J88" s="29"/>
      <c r="L88" s="78"/>
    </row>
    <row r="89" spans="1:12">
      <c r="A89" s="20" t="s">
        <v>65</v>
      </c>
      <c r="B89" s="57">
        <v>9</v>
      </c>
      <c r="C89" s="57">
        <v>1409</v>
      </c>
      <c r="D89" s="21">
        <f t="shared" si="6"/>
        <v>6.3875088715400997E-3</v>
      </c>
      <c r="E89" s="26"/>
      <c r="F89" s="26"/>
      <c r="G89" s="26"/>
      <c r="H89" s="26"/>
      <c r="I89" s="26"/>
      <c r="J89" s="29"/>
    </row>
    <row r="90" spans="1:12">
      <c r="A90" s="20" t="s">
        <v>66</v>
      </c>
      <c r="B90" s="57">
        <v>7</v>
      </c>
      <c r="C90" s="57">
        <v>1398</v>
      </c>
      <c r="D90" s="21">
        <f t="shared" si="6"/>
        <v>5.0071530758226037E-3</v>
      </c>
      <c r="E90" s="26"/>
      <c r="F90" s="26"/>
      <c r="G90" s="26"/>
      <c r="H90" s="26"/>
      <c r="I90" s="26"/>
      <c r="J90" s="29"/>
    </row>
    <row r="91" spans="1:12">
      <c r="A91" s="223"/>
      <c r="B91" s="224"/>
      <c r="C91" s="224"/>
      <c r="D91" s="224"/>
      <c r="E91" s="224"/>
      <c r="F91" s="224"/>
      <c r="G91" s="224"/>
      <c r="H91" s="224"/>
      <c r="I91" s="224"/>
      <c r="J91" s="225"/>
    </row>
    <row r="92" spans="1:12" ht="15" customHeight="1">
      <c r="A92" s="27" t="s">
        <v>3</v>
      </c>
      <c r="B92" s="199" t="s">
        <v>163</v>
      </c>
      <c r="C92" s="199"/>
      <c r="D92" s="199"/>
      <c r="E92" s="199"/>
      <c r="F92" s="199"/>
      <c r="G92" s="199"/>
      <c r="H92" s="199"/>
      <c r="I92" s="199"/>
      <c r="J92" s="199"/>
    </row>
    <row r="93" spans="1:12" ht="15" customHeight="1">
      <c r="A93" s="27" t="s">
        <v>52</v>
      </c>
      <c r="B93" s="177" t="s">
        <v>166</v>
      </c>
      <c r="C93" s="177"/>
      <c r="D93" s="177"/>
      <c r="E93" s="177"/>
      <c r="F93" s="177"/>
      <c r="G93" s="177"/>
      <c r="H93" s="177"/>
      <c r="I93" s="177"/>
      <c r="J93" s="177"/>
    </row>
    <row r="94" spans="1:12" ht="45">
      <c r="A94" s="131" t="s">
        <v>54</v>
      </c>
      <c r="B94" s="130" t="s">
        <v>168</v>
      </c>
      <c r="C94" s="130" t="s">
        <v>164</v>
      </c>
      <c r="D94" s="130" t="s">
        <v>169</v>
      </c>
      <c r="E94" s="26"/>
      <c r="F94" s="26"/>
      <c r="G94" s="26"/>
      <c r="H94" s="26"/>
      <c r="I94" s="26"/>
      <c r="J94" s="29"/>
    </row>
    <row r="95" spans="1:12">
      <c r="A95" s="20" t="s">
        <v>55</v>
      </c>
      <c r="B95" s="57">
        <v>0</v>
      </c>
      <c r="C95" s="57">
        <v>1331</v>
      </c>
      <c r="D95" s="21">
        <f>B95/C95</f>
        <v>0</v>
      </c>
      <c r="E95" s="26"/>
      <c r="F95" s="26"/>
      <c r="G95" s="26"/>
      <c r="H95" s="26"/>
      <c r="I95" s="26"/>
      <c r="J95" s="29"/>
    </row>
    <row r="96" spans="1:12">
      <c r="A96" s="20" t="s">
        <v>56</v>
      </c>
      <c r="B96" s="57">
        <v>0</v>
      </c>
      <c r="C96" s="57">
        <v>1340</v>
      </c>
      <c r="D96" s="21">
        <f>B96/C96</f>
        <v>0</v>
      </c>
      <c r="E96" s="26"/>
      <c r="F96" s="26"/>
      <c r="G96" s="26"/>
      <c r="H96" s="26"/>
      <c r="I96" s="26"/>
      <c r="J96" s="29"/>
    </row>
    <row r="97" spans="1:10">
      <c r="A97" s="20" t="s">
        <v>57</v>
      </c>
      <c r="B97" s="57">
        <v>0</v>
      </c>
      <c r="C97" s="57">
        <v>1176</v>
      </c>
      <c r="D97" s="21">
        <f t="shared" ref="D97:D106" si="7">B97/C97</f>
        <v>0</v>
      </c>
      <c r="E97" s="26"/>
      <c r="F97" s="26"/>
      <c r="G97" s="26"/>
      <c r="H97" s="26"/>
      <c r="I97" s="26"/>
      <c r="J97" s="29"/>
    </row>
    <row r="98" spans="1:10">
      <c r="A98" s="20" t="s">
        <v>58</v>
      </c>
      <c r="B98" s="57">
        <v>0</v>
      </c>
      <c r="C98" s="57">
        <v>1547</v>
      </c>
      <c r="D98" s="21">
        <f t="shared" si="7"/>
        <v>0</v>
      </c>
      <c r="E98" s="26"/>
      <c r="F98" s="26"/>
      <c r="G98" s="26"/>
      <c r="H98" s="26"/>
      <c r="I98" s="26"/>
      <c r="J98" s="29"/>
    </row>
    <row r="99" spans="1:10">
      <c r="A99" s="20" t="s">
        <v>59</v>
      </c>
      <c r="B99" s="57">
        <v>0</v>
      </c>
      <c r="C99" s="57">
        <v>1316</v>
      </c>
      <c r="D99" s="21">
        <f t="shared" si="7"/>
        <v>0</v>
      </c>
      <c r="E99" s="26"/>
      <c r="F99" s="26"/>
      <c r="G99" s="26"/>
      <c r="H99" s="26"/>
      <c r="I99" s="26"/>
      <c r="J99" s="29"/>
    </row>
    <row r="100" spans="1:10">
      <c r="A100" s="20" t="s">
        <v>60</v>
      </c>
      <c r="B100" s="57">
        <v>0</v>
      </c>
      <c r="C100" s="57">
        <v>1303</v>
      </c>
      <c r="D100" s="21">
        <f t="shared" si="7"/>
        <v>0</v>
      </c>
      <c r="E100" s="26"/>
      <c r="F100" s="26"/>
      <c r="G100" s="26"/>
      <c r="H100" s="26"/>
      <c r="I100" s="26"/>
      <c r="J100" s="29"/>
    </row>
    <row r="101" spans="1:10">
      <c r="A101" s="20" t="s">
        <v>61</v>
      </c>
      <c r="B101" s="57">
        <v>0</v>
      </c>
      <c r="C101" s="57">
        <v>1417</v>
      </c>
      <c r="D101" s="21">
        <f t="shared" si="7"/>
        <v>0</v>
      </c>
      <c r="E101" s="26"/>
      <c r="F101" s="26"/>
      <c r="G101" s="26"/>
      <c r="H101" s="26"/>
      <c r="I101" s="26"/>
      <c r="J101" s="29"/>
    </row>
    <row r="102" spans="1:10">
      <c r="A102" s="20" t="s">
        <v>62</v>
      </c>
      <c r="B102" s="57">
        <v>0</v>
      </c>
      <c r="C102" s="57">
        <v>1481</v>
      </c>
      <c r="D102" s="21">
        <f t="shared" si="7"/>
        <v>0</v>
      </c>
      <c r="E102" s="26"/>
      <c r="F102" s="26"/>
      <c r="G102" s="26"/>
      <c r="H102" s="26"/>
      <c r="I102" s="26"/>
      <c r="J102" s="29"/>
    </row>
    <row r="103" spans="1:10">
      <c r="A103" s="20" t="s">
        <v>63</v>
      </c>
      <c r="B103" s="57">
        <v>0</v>
      </c>
      <c r="C103" s="57">
        <v>1273</v>
      </c>
      <c r="D103" s="21">
        <f t="shared" si="7"/>
        <v>0</v>
      </c>
      <c r="E103" s="26"/>
      <c r="F103" s="26"/>
      <c r="G103" s="26"/>
      <c r="H103" s="26"/>
      <c r="I103" s="26"/>
      <c r="J103" s="29"/>
    </row>
    <row r="104" spans="1:10">
      <c r="A104" s="20" t="s">
        <v>64</v>
      </c>
      <c r="B104" s="57">
        <v>0</v>
      </c>
      <c r="C104" s="57">
        <v>1363</v>
      </c>
      <c r="D104" s="21">
        <f t="shared" si="7"/>
        <v>0</v>
      </c>
      <c r="E104" s="26"/>
      <c r="F104" s="26"/>
      <c r="G104" s="26"/>
      <c r="H104" s="26"/>
      <c r="I104" s="26"/>
      <c r="J104" s="29"/>
    </row>
    <row r="105" spans="1:10">
      <c r="A105" s="20" t="s">
        <v>65</v>
      </c>
      <c r="B105" s="57">
        <v>0</v>
      </c>
      <c r="C105" s="57">
        <v>1409</v>
      </c>
      <c r="D105" s="21">
        <f t="shared" si="7"/>
        <v>0</v>
      </c>
      <c r="E105" s="26"/>
      <c r="F105" s="26"/>
      <c r="G105" s="26"/>
      <c r="H105" s="26"/>
      <c r="I105" s="26"/>
      <c r="J105" s="29"/>
    </row>
    <row r="106" spans="1:10">
      <c r="A106" s="20" t="s">
        <v>66</v>
      </c>
      <c r="B106" s="57">
        <v>0</v>
      </c>
      <c r="C106" s="57">
        <v>0</v>
      </c>
      <c r="D106" s="21" t="e">
        <f t="shared" si="7"/>
        <v>#DIV/0!</v>
      </c>
      <c r="E106" s="26"/>
      <c r="F106" s="26"/>
      <c r="G106" s="26"/>
      <c r="H106" s="26"/>
      <c r="I106" s="26"/>
      <c r="J106" s="29"/>
    </row>
    <row r="107" spans="1:10" ht="15" customHeight="1">
      <c r="A107" s="27" t="s">
        <v>3</v>
      </c>
      <c r="B107" s="199" t="s">
        <v>210</v>
      </c>
      <c r="C107" s="199"/>
      <c r="D107" s="199"/>
      <c r="E107" s="199"/>
      <c r="F107" s="199"/>
      <c r="G107" s="199"/>
      <c r="H107" s="199"/>
      <c r="I107" s="199"/>
      <c r="J107" s="199"/>
    </row>
    <row r="108" spans="1:10" ht="15" customHeight="1">
      <c r="A108" s="27" t="s">
        <v>52</v>
      </c>
      <c r="B108" s="177" t="s">
        <v>211</v>
      </c>
      <c r="C108" s="177"/>
      <c r="D108" s="177"/>
      <c r="E108" s="177"/>
      <c r="F108" s="177"/>
      <c r="G108" s="177"/>
      <c r="H108" s="177"/>
      <c r="I108" s="177"/>
      <c r="J108" s="177"/>
    </row>
    <row r="109" spans="1:10" ht="30">
      <c r="A109" s="131" t="s">
        <v>54</v>
      </c>
      <c r="B109" s="130" t="s">
        <v>212</v>
      </c>
      <c r="C109" s="130" t="s">
        <v>213</v>
      </c>
      <c r="D109" s="130" t="s">
        <v>261</v>
      </c>
      <c r="E109" s="26"/>
      <c r="F109" s="26"/>
      <c r="G109" s="26"/>
      <c r="H109" s="26"/>
      <c r="I109" s="26"/>
      <c r="J109" s="29"/>
    </row>
    <row r="110" spans="1:10">
      <c r="A110" s="20" t="s">
        <v>55</v>
      </c>
      <c r="B110" s="57">
        <v>8</v>
      </c>
      <c r="C110" s="57">
        <v>20</v>
      </c>
      <c r="D110" s="21">
        <f>B110/C110</f>
        <v>0.4</v>
      </c>
      <c r="E110" s="26"/>
      <c r="F110" s="26"/>
      <c r="G110" s="26"/>
      <c r="H110" s="26"/>
      <c r="I110" s="26"/>
      <c r="J110" s="29"/>
    </row>
    <row r="111" spans="1:10">
      <c r="A111" s="20" t="s">
        <v>56</v>
      </c>
      <c r="B111" s="57"/>
      <c r="C111" s="57"/>
      <c r="D111" s="21" t="e">
        <f t="shared" ref="D111:D121" si="8">B111/C111</f>
        <v>#DIV/0!</v>
      </c>
      <c r="E111" s="26"/>
      <c r="F111" s="26"/>
      <c r="G111" s="26"/>
      <c r="H111" s="26"/>
      <c r="I111" s="26"/>
      <c r="J111" s="29"/>
    </row>
    <row r="112" spans="1:10">
      <c r="A112" s="20" t="s">
        <v>57</v>
      </c>
      <c r="B112" s="57"/>
      <c r="C112" s="57"/>
      <c r="D112" s="21" t="e">
        <f t="shared" si="8"/>
        <v>#DIV/0!</v>
      </c>
      <c r="E112" s="26"/>
      <c r="F112" s="26"/>
      <c r="G112" s="26"/>
      <c r="H112" s="26"/>
      <c r="I112" s="26"/>
      <c r="J112" s="29"/>
    </row>
    <row r="113" spans="1:10">
      <c r="A113" s="20" t="s">
        <v>58</v>
      </c>
      <c r="B113" s="57"/>
      <c r="C113" s="57"/>
      <c r="D113" s="21" t="e">
        <f t="shared" si="8"/>
        <v>#DIV/0!</v>
      </c>
      <c r="E113" s="26"/>
      <c r="F113" s="26"/>
      <c r="G113" s="26"/>
      <c r="H113" s="26"/>
      <c r="I113" s="26"/>
      <c r="J113" s="29"/>
    </row>
    <row r="114" spans="1:10">
      <c r="A114" s="20" t="s">
        <v>59</v>
      </c>
      <c r="B114" s="57"/>
      <c r="C114" s="57"/>
      <c r="D114" s="21" t="e">
        <f t="shared" si="8"/>
        <v>#DIV/0!</v>
      </c>
      <c r="E114" s="26"/>
      <c r="F114" s="26"/>
      <c r="G114" s="26"/>
      <c r="H114" s="26"/>
      <c r="I114" s="26"/>
      <c r="J114" s="29"/>
    </row>
    <row r="115" spans="1:10">
      <c r="A115" s="20" t="s">
        <v>60</v>
      </c>
      <c r="B115" s="57"/>
      <c r="C115" s="57"/>
      <c r="D115" s="21" t="e">
        <f t="shared" si="8"/>
        <v>#DIV/0!</v>
      </c>
      <c r="E115" s="26"/>
      <c r="F115" s="26"/>
      <c r="G115" s="26"/>
      <c r="H115" s="26"/>
      <c r="I115" s="26"/>
      <c r="J115" s="29"/>
    </row>
    <row r="116" spans="1:10">
      <c r="A116" s="20" t="s">
        <v>61</v>
      </c>
      <c r="B116" s="57"/>
      <c r="C116" s="57"/>
      <c r="D116" s="21" t="e">
        <f t="shared" si="8"/>
        <v>#DIV/0!</v>
      </c>
      <c r="E116" s="26"/>
      <c r="F116" s="26"/>
      <c r="G116" s="26"/>
      <c r="H116" s="26"/>
      <c r="I116" s="26"/>
      <c r="J116" s="29"/>
    </row>
    <row r="117" spans="1:10">
      <c r="A117" s="20" t="s">
        <v>62</v>
      </c>
      <c r="B117" s="57"/>
      <c r="C117" s="57"/>
      <c r="D117" s="21" t="e">
        <f t="shared" si="8"/>
        <v>#DIV/0!</v>
      </c>
      <c r="E117" s="26"/>
      <c r="F117" s="26"/>
      <c r="G117" s="26"/>
      <c r="H117" s="26"/>
      <c r="I117" s="26"/>
      <c r="J117" s="29"/>
    </row>
    <row r="118" spans="1:10">
      <c r="A118" s="20" t="s">
        <v>63</v>
      </c>
      <c r="B118" s="57"/>
      <c r="C118" s="57"/>
      <c r="D118" s="21" t="e">
        <f t="shared" si="8"/>
        <v>#DIV/0!</v>
      </c>
      <c r="E118" s="26"/>
      <c r="F118" s="26"/>
      <c r="G118" s="26"/>
      <c r="H118" s="26"/>
      <c r="I118" s="26"/>
      <c r="J118" s="29"/>
    </row>
    <row r="119" spans="1:10">
      <c r="A119" s="20" t="s">
        <v>64</v>
      </c>
      <c r="B119" s="57"/>
      <c r="C119" s="57"/>
      <c r="D119" s="21" t="e">
        <f t="shared" si="8"/>
        <v>#DIV/0!</v>
      </c>
      <c r="E119" s="26"/>
      <c r="F119" s="26"/>
      <c r="G119" s="26"/>
      <c r="H119" s="26"/>
      <c r="I119" s="26"/>
      <c r="J119" s="29"/>
    </row>
    <row r="120" spans="1:10">
      <c r="A120" s="20" t="s">
        <v>65</v>
      </c>
      <c r="B120" s="57"/>
      <c r="C120" s="57"/>
      <c r="D120" s="21" t="e">
        <f t="shared" si="8"/>
        <v>#DIV/0!</v>
      </c>
      <c r="E120" s="26"/>
      <c r="F120" s="26"/>
      <c r="G120" s="26"/>
      <c r="H120" s="26"/>
      <c r="I120" s="26"/>
      <c r="J120" s="29"/>
    </row>
    <row r="121" spans="1:10">
      <c r="A121" s="20" t="s">
        <v>66</v>
      </c>
      <c r="B121" s="57"/>
      <c r="C121" s="57"/>
      <c r="D121" s="21" t="e">
        <f t="shared" si="8"/>
        <v>#DIV/0!</v>
      </c>
      <c r="E121" s="26"/>
      <c r="F121" s="26"/>
      <c r="G121" s="26"/>
      <c r="H121" s="26"/>
      <c r="I121" s="26"/>
      <c r="J121" s="29"/>
    </row>
    <row r="122" spans="1:10">
      <c r="A122" s="223"/>
      <c r="B122" s="224"/>
      <c r="C122" s="224"/>
      <c r="D122" s="224"/>
      <c r="E122" s="224"/>
      <c r="F122" s="224"/>
      <c r="G122" s="224"/>
      <c r="H122" s="224"/>
      <c r="I122" s="224"/>
      <c r="J122" s="225"/>
    </row>
    <row r="123" spans="1:10" ht="15" customHeight="1">
      <c r="A123" s="27" t="s">
        <v>3</v>
      </c>
      <c r="B123" s="199" t="s">
        <v>163</v>
      </c>
      <c r="C123" s="199"/>
      <c r="D123" s="199"/>
      <c r="E123" s="199"/>
      <c r="F123" s="199"/>
      <c r="G123" s="199"/>
      <c r="H123" s="199"/>
      <c r="I123" s="199"/>
      <c r="J123" s="199"/>
    </row>
    <row r="124" spans="1:10" ht="15" customHeight="1">
      <c r="A124" s="27" t="s">
        <v>52</v>
      </c>
      <c r="B124" s="177" t="s">
        <v>166</v>
      </c>
      <c r="C124" s="177"/>
      <c r="D124" s="177"/>
      <c r="E124" s="177"/>
      <c r="F124" s="177"/>
      <c r="G124" s="177"/>
      <c r="H124" s="177"/>
      <c r="I124" s="177"/>
      <c r="J124" s="177"/>
    </row>
    <row r="125" spans="1:10" ht="15.75">
      <c r="A125" s="75" t="s">
        <v>214</v>
      </c>
      <c r="B125" s="31"/>
      <c r="C125" s="31"/>
      <c r="D125" s="31"/>
      <c r="E125" s="31"/>
      <c r="F125" s="31"/>
      <c r="G125" s="31"/>
      <c r="H125" s="31"/>
      <c r="I125" s="31"/>
      <c r="J125" s="32"/>
    </row>
  </sheetData>
  <mergeCells count="42">
    <mergeCell ref="B107:J107"/>
    <mergeCell ref="B108:J108"/>
    <mergeCell ref="A122:J122"/>
    <mergeCell ref="B123:J123"/>
    <mergeCell ref="B124:J124"/>
    <mergeCell ref="B76:J76"/>
    <mergeCell ref="B77:J77"/>
    <mergeCell ref="A75:J75"/>
    <mergeCell ref="A4:B5"/>
    <mergeCell ref="C4:J5"/>
    <mergeCell ref="A6:B6"/>
    <mergeCell ref="C6:J6"/>
    <mergeCell ref="B9:J9"/>
    <mergeCell ref="C45:D45"/>
    <mergeCell ref="C46:D46"/>
    <mergeCell ref="C47:D47"/>
    <mergeCell ref="C48:D48"/>
    <mergeCell ref="C49:D49"/>
    <mergeCell ref="C50:D50"/>
    <mergeCell ref="C51:D51"/>
    <mergeCell ref="C52:D52"/>
    <mergeCell ref="A91:J91"/>
    <mergeCell ref="B92:J92"/>
    <mergeCell ref="B93:J93"/>
    <mergeCell ref="N3:S3"/>
    <mergeCell ref="A1:B3"/>
    <mergeCell ref="C1:H3"/>
    <mergeCell ref="I1:J1"/>
    <mergeCell ref="I2:J2"/>
    <mergeCell ref="I3:J3"/>
    <mergeCell ref="B43:J43"/>
    <mergeCell ref="B44:J44"/>
    <mergeCell ref="A42:J42"/>
    <mergeCell ref="B26:J26"/>
    <mergeCell ref="B8:J8"/>
    <mergeCell ref="A24:J24"/>
    <mergeCell ref="B25:J25"/>
    <mergeCell ref="C53:D53"/>
    <mergeCell ref="C54:D54"/>
    <mergeCell ref="C55:D55"/>
    <mergeCell ref="C56:D56"/>
    <mergeCell ref="C57:D57"/>
  </mergeCells>
  <pageMargins left="0.7" right="0.7" top="0.75" bottom="0.75" header="0.3" footer="0.3"/>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topLeftCell="A10" zoomScale="90" zoomScaleNormal="90" workbookViewId="0">
      <selection activeCell="D10" sqref="D10"/>
    </sheetView>
  </sheetViews>
  <sheetFormatPr baseColWidth="10" defaultRowHeight="15"/>
  <cols>
    <col min="1" max="1" width="12.28515625" customWidth="1"/>
    <col min="2" max="5" width="14.5703125" customWidth="1"/>
  </cols>
  <sheetData>
    <row r="1" spans="1:19">
      <c r="A1" s="178"/>
      <c r="B1" s="178"/>
      <c r="C1" s="179" t="s">
        <v>73</v>
      </c>
      <c r="D1" s="179"/>
      <c r="E1" s="179"/>
      <c r="F1" s="179"/>
      <c r="G1" s="179"/>
      <c r="H1" s="179"/>
      <c r="I1" s="180" t="s">
        <v>137</v>
      </c>
      <c r="J1" s="180"/>
    </row>
    <row r="2" spans="1:19">
      <c r="A2" s="178"/>
      <c r="B2" s="178"/>
      <c r="C2" s="179"/>
      <c r="D2" s="179"/>
      <c r="E2" s="179"/>
      <c r="F2" s="179"/>
      <c r="G2" s="179"/>
      <c r="H2" s="179"/>
      <c r="I2" s="180" t="s">
        <v>74</v>
      </c>
      <c r="J2" s="180"/>
      <c r="N2" s="26"/>
      <c r="O2" s="26"/>
      <c r="P2" s="26"/>
      <c r="Q2" s="26"/>
      <c r="R2" s="26"/>
      <c r="S2" s="26"/>
    </row>
    <row r="3" spans="1:19">
      <c r="A3" s="178"/>
      <c r="B3" s="178"/>
      <c r="C3" s="179"/>
      <c r="D3" s="179"/>
      <c r="E3" s="179"/>
      <c r="F3" s="179"/>
      <c r="G3" s="179"/>
      <c r="H3" s="179"/>
      <c r="I3" s="180" t="s">
        <v>105</v>
      </c>
      <c r="J3" s="180"/>
      <c r="N3" s="171"/>
      <c r="O3" s="171"/>
      <c r="P3" s="171"/>
      <c r="Q3" s="171"/>
      <c r="R3" s="171"/>
      <c r="S3" s="171"/>
    </row>
    <row r="4" spans="1:19" ht="15" customHeight="1">
      <c r="A4" s="203" t="s">
        <v>51</v>
      </c>
      <c r="B4" s="203"/>
      <c r="C4" s="231" t="s">
        <v>96</v>
      </c>
      <c r="D4" s="231"/>
      <c r="E4" s="231"/>
      <c r="F4" s="231"/>
      <c r="G4" s="231"/>
      <c r="H4" s="231"/>
      <c r="I4" s="231"/>
      <c r="J4" s="231"/>
      <c r="N4" s="26"/>
      <c r="O4" s="26"/>
      <c r="P4" s="26"/>
      <c r="Q4" s="26"/>
      <c r="R4" s="26"/>
      <c r="S4" s="26"/>
    </row>
    <row r="5" spans="1:19">
      <c r="A5" s="203"/>
      <c r="B5" s="203"/>
      <c r="C5" s="231"/>
      <c r="D5" s="231"/>
      <c r="E5" s="231"/>
      <c r="F5" s="231"/>
      <c r="G5" s="231"/>
      <c r="H5" s="231"/>
      <c r="I5" s="231"/>
      <c r="J5" s="231"/>
      <c r="N5" s="26"/>
      <c r="O5" s="26"/>
      <c r="P5" s="26"/>
      <c r="Q5" s="26"/>
      <c r="R5" s="26"/>
      <c r="S5" s="26"/>
    </row>
    <row r="6" spans="1:19" ht="43.5" customHeight="1">
      <c r="A6" s="203" t="s">
        <v>189</v>
      </c>
      <c r="B6" s="203"/>
      <c r="C6" s="231" t="s">
        <v>195</v>
      </c>
      <c r="D6" s="231"/>
      <c r="E6" s="231"/>
      <c r="F6" s="231"/>
      <c r="G6" s="231"/>
      <c r="H6" s="231"/>
      <c r="I6" s="231"/>
      <c r="J6" s="231"/>
      <c r="N6" s="26"/>
      <c r="O6" s="26"/>
      <c r="P6" s="26"/>
      <c r="Q6" s="26"/>
      <c r="R6" s="26"/>
      <c r="S6" s="26"/>
    </row>
    <row r="7" spans="1:19">
      <c r="A7" s="22"/>
      <c r="B7" s="23"/>
      <c r="C7" s="23"/>
      <c r="D7" s="23"/>
      <c r="E7" s="23"/>
      <c r="F7" s="23"/>
      <c r="G7" s="24"/>
      <c r="H7" s="24"/>
      <c r="I7" s="24"/>
      <c r="J7" s="24"/>
      <c r="N7" s="26"/>
      <c r="O7" s="26"/>
      <c r="P7" s="26"/>
      <c r="Q7" s="26"/>
      <c r="R7" s="26"/>
      <c r="S7" s="26"/>
    </row>
    <row r="8" spans="1:19" ht="15" customHeight="1">
      <c r="A8" s="27" t="s">
        <v>3</v>
      </c>
      <c r="B8" s="199" t="s">
        <v>13</v>
      </c>
      <c r="C8" s="199"/>
      <c r="D8" s="199"/>
      <c r="E8" s="199"/>
      <c r="F8" s="199"/>
      <c r="G8" s="199"/>
      <c r="H8" s="199"/>
      <c r="I8" s="199"/>
      <c r="J8" s="199"/>
    </row>
    <row r="9" spans="1:19">
      <c r="A9" s="27" t="s">
        <v>52</v>
      </c>
      <c r="B9" s="177" t="s">
        <v>97</v>
      </c>
      <c r="C9" s="177"/>
      <c r="D9" s="177"/>
      <c r="E9" s="177"/>
      <c r="F9" s="177"/>
      <c r="G9" s="177"/>
      <c r="H9" s="177"/>
      <c r="I9" s="177"/>
      <c r="J9" s="177"/>
    </row>
    <row r="10" spans="1:19" ht="58.5" customHeight="1">
      <c r="A10" s="131" t="s">
        <v>54</v>
      </c>
      <c r="B10" s="130" t="s">
        <v>98</v>
      </c>
      <c r="C10" s="130" t="s">
        <v>99</v>
      </c>
      <c r="D10" s="130" t="s">
        <v>53</v>
      </c>
      <c r="E10" s="26"/>
      <c r="F10" s="26"/>
      <c r="G10" s="26"/>
      <c r="H10" s="26"/>
      <c r="I10" s="26"/>
      <c r="J10" s="29"/>
    </row>
    <row r="11" spans="1:19">
      <c r="A11" s="20" t="s">
        <v>55</v>
      </c>
      <c r="B11" s="19">
        <v>1</v>
      </c>
      <c r="C11" s="19">
        <v>1</v>
      </c>
      <c r="D11" s="21">
        <f>B11/C11</f>
        <v>1</v>
      </c>
      <c r="E11" s="26"/>
      <c r="F11" s="26"/>
      <c r="G11" s="26"/>
      <c r="H11" s="26"/>
      <c r="I11" s="26"/>
      <c r="J11" s="29"/>
    </row>
    <row r="12" spans="1:19">
      <c r="A12" s="20" t="s">
        <v>56</v>
      </c>
      <c r="B12" s="19">
        <v>6</v>
      </c>
      <c r="C12" s="19">
        <v>7</v>
      </c>
      <c r="D12" s="21">
        <f t="shared" ref="D12:D22" si="0">B12/C12</f>
        <v>0.8571428571428571</v>
      </c>
      <c r="E12" s="26"/>
      <c r="F12" s="26"/>
      <c r="G12" s="26"/>
      <c r="H12" s="26"/>
      <c r="I12" s="26"/>
      <c r="J12" s="29"/>
    </row>
    <row r="13" spans="1:19">
      <c r="A13" s="20" t="s">
        <v>57</v>
      </c>
      <c r="B13" s="19">
        <v>6</v>
      </c>
      <c r="C13" s="19">
        <v>7</v>
      </c>
      <c r="D13" s="21">
        <f t="shared" si="0"/>
        <v>0.8571428571428571</v>
      </c>
      <c r="E13" s="26"/>
      <c r="F13" s="26"/>
      <c r="G13" s="26"/>
      <c r="H13" s="26"/>
      <c r="I13" s="26"/>
      <c r="J13" s="29"/>
    </row>
    <row r="14" spans="1:19">
      <c r="A14" s="20" t="s">
        <v>58</v>
      </c>
      <c r="B14" s="19">
        <v>6</v>
      </c>
      <c r="C14" s="19">
        <v>7</v>
      </c>
      <c r="D14" s="21">
        <f t="shared" si="0"/>
        <v>0.8571428571428571</v>
      </c>
      <c r="E14" s="26"/>
      <c r="F14" s="26"/>
      <c r="G14" s="26"/>
      <c r="H14" s="26"/>
      <c r="I14" s="26"/>
      <c r="J14" s="29"/>
    </row>
    <row r="15" spans="1:19">
      <c r="A15" s="20" t="s">
        <v>59</v>
      </c>
      <c r="B15" s="19">
        <v>1</v>
      </c>
      <c r="C15" s="19">
        <v>1</v>
      </c>
      <c r="D15" s="21">
        <f t="shared" si="0"/>
        <v>1</v>
      </c>
      <c r="E15" s="26"/>
      <c r="F15" s="26"/>
      <c r="G15" s="26"/>
      <c r="H15" s="26"/>
      <c r="I15" s="26"/>
      <c r="J15" s="29"/>
    </row>
    <row r="16" spans="1:19">
      <c r="A16" s="20" t="s">
        <v>60</v>
      </c>
      <c r="B16" s="19">
        <v>4</v>
      </c>
      <c r="C16" s="19">
        <v>5</v>
      </c>
      <c r="D16" s="21">
        <f t="shared" si="0"/>
        <v>0.8</v>
      </c>
      <c r="E16" s="26"/>
      <c r="F16" s="26"/>
      <c r="G16" s="26"/>
      <c r="H16" s="26"/>
      <c r="I16" s="26"/>
      <c r="J16" s="29"/>
    </row>
    <row r="17" spans="1:10">
      <c r="A17" s="20" t="s">
        <v>61</v>
      </c>
      <c r="B17" s="19">
        <v>1</v>
      </c>
      <c r="C17" s="19">
        <v>1</v>
      </c>
      <c r="D17" s="21">
        <f t="shared" si="0"/>
        <v>1</v>
      </c>
      <c r="E17" s="26"/>
      <c r="F17" s="26"/>
      <c r="G17" s="26"/>
      <c r="H17" s="26"/>
      <c r="I17" s="26"/>
      <c r="J17" s="29"/>
    </row>
    <row r="18" spans="1:10">
      <c r="A18" s="20" t="s">
        <v>62</v>
      </c>
      <c r="B18" s="19">
        <v>2</v>
      </c>
      <c r="C18" s="19">
        <v>2</v>
      </c>
      <c r="D18" s="21">
        <f t="shared" si="0"/>
        <v>1</v>
      </c>
      <c r="E18" s="26"/>
      <c r="F18" s="26"/>
      <c r="G18" s="26"/>
      <c r="H18" s="26"/>
      <c r="I18" s="26"/>
      <c r="J18" s="29"/>
    </row>
    <row r="19" spans="1:10">
      <c r="A19" s="20" t="s">
        <v>63</v>
      </c>
      <c r="B19" s="19">
        <v>1</v>
      </c>
      <c r="C19" s="19">
        <v>1</v>
      </c>
      <c r="D19" s="21">
        <f t="shared" si="0"/>
        <v>1</v>
      </c>
      <c r="E19" s="26"/>
      <c r="F19" s="26"/>
      <c r="G19" s="26"/>
      <c r="H19" s="26"/>
      <c r="I19" s="26"/>
      <c r="J19" s="29"/>
    </row>
    <row r="20" spans="1:10">
      <c r="A20" s="20" t="s">
        <v>64</v>
      </c>
      <c r="B20" s="100">
        <v>2</v>
      </c>
      <c r="C20" s="100">
        <v>2</v>
      </c>
      <c r="D20" s="21">
        <f t="shared" si="0"/>
        <v>1</v>
      </c>
      <c r="E20" s="26"/>
      <c r="F20" s="26"/>
      <c r="G20" s="26"/>
      <c r="H20" s="26"/>
      <c r="I20" s="26"/>
      <c r="J20" s="29"/>
    </row>
    <row r="21" spans="1:10">
      <c r="A21" s="20" t="s">
        <v>65</v>
      </c>
      <c r="B21" s="19">
        <v>1</v>
      </c>
      <c r="C21" s="19">
        <v>1</v>
      </c>
      <c r="D21" s="21">
        <f t="shared" si="0"/>
        <v>1</v>
      </c>
      <c r="E21" s="26"/>
      <c r="F21" s="26"/>
      <c r="G21" s="26"/>
      <c r="H21" s="26"/>
      <c r="I21" s="26"/>
      <c r="J21" s="29"/>
    </row>
    <row r="22" spans="1:10">
      <c r="A22" s="20" t="s">
        <v>66</v>
      </c>
      <c r="B22" s="19">
        <v>2</v>
      </c>
      <c r="C22" s="19">
        <v>2</v>
      </c>
      <c r="D22" s="21">
        <f t="shared" si="0"/>
        <v>1</v>
      </c>
      <c r="E22" s="26"/>
      <c r="F22" s="26"/>
      <c r="G22" s="26"/>
      <c r="H22" s="26"/>
      <c r="I22" s="26"/>
      <c r="J22" s="29"/>
    </row>
    <row r="23" spans="1:10">
      <c r="A23" s="17"/>
      <c r="B23" s="121">
        <f>SUM(B11:B22)/41</f>
        <v>0.80487804878048785</v>
      </c>
      <c r="C23" s="121">
        <f>SUM(C11:C22)/41</f>
        <v>0.90243902439024393</v>
      </c>
      <c r="D23" s="122">
        <f>AVERAGE(D11:E22)</f>
        <v>0.94761904761904747</v>
      </c>
      <c r="E23" s="26"/>
      <c r="F23" s="26"/>
      <c r="G23" s="26"/>
      <c r="H23" s="26"/>
      <c r="I23" s="26"/>
      <c r="J23" s="29"/>
    </row>
    <row r="24" spans="1:10" ht="15.75">
      <c r="A24" s="30" t="s">
        <v>198</v>
      </c>
      <c r="B24" s="28"/>
      <c r="C24" s="26"/>
      <c r="D24" s="26"/>
      <c r="E24" s="26"/>
      <c r="F24" s="26"/>
      <c r="G24" s="26"/>
      <c r="H24" s="26"/>
      <c r="I24" s="26"/>
      <c r="J24" s="29"/>
    </row>
    <row r="25" spans="1:10">
      <c r="A25" s="18"/>
      <c r="B25" s="31"/>
      <c r="C25" s="31"/>
      <c r="D25" s="31"/>
      <c r="E25" s="31"/>
      <c r="F25" s="31"/>
      <c r="G25" s="31"/>
      <c r="H25" s="31"/>
      <c r="I25" s="31"/>
      <c r="J25" s="32"/>
    </row>
  </sheetData>
  <mergeCells count="12">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topLeftCell="A10" zoomScale="90" zoomScaleNormal="90" workbookViewId="0">
      <selection activeCell="D23" sqref="D23"/>
    </sheetView>
  </sheetViews>
  <sheetFormatPr baseColWidth="10" defaultRowHeight="15"/>
  <cols>
    <col min="1" max="1" width="12.28515625" customWidth="1"/>
    <col min="2" max="3" width="14.5703125" customWidth="1"/>
    <col min="4" max="4" width="14.5703125" style="37" customWidth="1"/>
    <col min="5" max="5" width="14.5703125" customWidth="1"/>
  </cols>
  <sheetData>
    <row r="1" spans="1:19">
      <c r="A1" s="178"/>
      <c r="B1" s="178"/>
      <c r="C1" s="179" t="s">
        <v>73</v>
      </c>
      <c r="D1" s="179"/>
      <c r="E1" s="179"/>
      <c r="F1" s="179"/>
      <c r="G1" s="179"/>
      <c r="H1" s="179"/>
      <c r="I1" s="180" t="s">
        <v>137</v>
      </c>
      <c r="J1" s="180"/>
    </row>
    <row r="2" spans="1:19">
      <c r="A2" s="178"/>
      <c r="B2" s="178"/>
      <c r="C2" s="179"/>
      <c r="D2" s="179"/>
      <c r="E2" s="179"/>
      <c r="F2" s="179"/>
      <c r="G2" s="179"/>
      <c r="H2" s="179"/>
      <c r="I2" s="180" t="s">
        <v>74</v>
      </c>
      <c r="J2" s="180"/>
      <c r="N2" s="26"/>
      <c r="O2" s="26"/>
      <c r="P2" s="26"/>
      <c r="Q2" s="26"/>
      <c r="R2" s="26"/>
      <c r="S2" s="26"/>
    </row>
    <row r="3" spans="1:19">
      <c r="A3" s="178"/>
      <c r="B3" s="178"/>
      <c r="C3" s="179"/>
      <c r="D3" s="179"/>
      <c r="E3" s="179"/>
      <c r="F3" s="179"/>
      <c r="G3" s="179"/>
      <c r="H3" s="179"/>
      <c r="I3" s="180" t="s">
        <v>104</v>
      </c>
      <c r="J3" s="180"/>
      <c r="N3" s="171"/>
      <c r="O3" s="171"/>
      <c r="P3" s="171"/>
      <c r="Q3" s="171"/>
      <c r="R3" s="171"/>
      <c r="S3" s="171"/>
    </row>
    <row r="4" spans="1:19" ht="15" customHeight="1">
      <c r="A4" s="203" t="s">
        <v>51</v>
      </c>
      <c r="B4" s="203"/>
      <c r="C4" s="231" t="s">
        <v>100</v>
      </c>
      <c r="D4" s="231"/>
      <c r="E4" s="231"/>
      <c r="F4" s="231"/>
      <c r="G4" s="231"/>
      <c r="H4" s="231"/>
      <c r="I4" s="231"/>
      <c r="J4" s="231"/>
      <c r="N4" s="26"/>
      <c r="O4" s="26"/>
      <c r="P4" s="26"/>
      <c r="Q4" s="26"/>
      <c r="R4" s="26"/>
      <c r="S4" s="26"/>
    </row>
    <row r="5" spans="1:19">
      <c r="A5" s="203"/>
      <c r="B5" s="203"/>
      <c r="C5" s="231"/>
      <c r="D5" s="231"/>
      <c r="E5" s="231"/>
      <c r="F5" s="231"/>
      <c r="G5" s="231"/>
      <c r="H5" s="231"/>
      <c r="I5" s="231"/>
      <c r="J5" s="231"/>
      <c r="N5" s="26"/>
      <c r="O5" s="26"/>
      <c r="P5" s="26"/>
      <c r="Q5" s="26"/>
      <c r="R5" s="26"/>
      <c r="S5" s="26"/>
    </row>
    <row r="6" spans="1:19" ht="31.5" customHeight="1">
      <c r="A6" s="203" t="s">
        <v>189</v>
      </c>
      <c r="B6" s="203"/>
      <c r="C6" s="188" t="s">
        <v>196</v>
      </c>
      <c r="D6" s="188"/>
      <c r="E6" s="188"/>
      <c r="F6" s="188"/>
      <c r="G6" s="188"/>
      <c r="H6" s="188"/>
      <c r="I6" s="188"/>
      <c r="J6" s="188"/>
      <c r="N6" s="26"/>
      <c r="O6" s="26"/>
      <c r="P6" s="26"/>
      <c r="Q6" s="26"/>
      <c r="R6" s="26"/>
      <c r="S6" s="26"/>
    </row>
    <row r="7" spans="1:19">
      <c r="A7" s="22"/>
      <c r="B7" s="23"/>
      <c r="C7" s="23"/>
      <c r="D7" s="33"/>
      <c r="E7" s="23"/>
      <c r="F7" s="23"/>
      <c r="G7" s="24"/>
      <c r="H7" s="24"/>
      <c r="I7" s="24"/>
      <c r="J7" s="24"/>
      <c r="N7" s="26"/>
      <c r="O7" s="26"/>
      <c r="P7" s="26"/>
      <c r="Q7" s="26"/>
      <c r="R7" s="26"/>
      <c r="S7" s="26"/>
    </row>
    <row r="8" spans="1:19" ht="15" customHeight="1">
      <c r="A8" s="27" t="s">
        <v>3</v>
      </c>
      <c r="B8" s="199" t="s">
        <v>44</v>
      </c>
      <c r="C8" s="199"/>
      <c r="D8" s="199"/>
      <c r="E8" s="199"/>
      <c r="F8" s="199"/>
      <c r="G8" s="199"/>
      <c r="H8" s="199"/>
      <c r="I8" s="199"/>
      <c r="J8" s="199"/>
    </row>
    <row r="9" spans="1:19">
      <c r="A9" s="27" t="s">
        <v>52</v>
      </c>
      <c r="B9" s="177" t="s">
        <v>41</v>
      </c>
      <c r="C9" s="177"/>
      <c r="D9" s="177"/>
      <c r="E9" s="177"/>
      <c r="F9" s="177"/>
      <c r="G9" s="177"/>
      <c r="H9" s="177"/>
      <c r="I9" s="177"/>
      <c r="J9" s="177"/>
    </row>
    <row r="10" spans="1:19" ht="58.5" customHeight="1">
      <c r="A10" s="131" t="s">
        <v>54</v>
      </c>
      <c r="B10" s="130" t="s">
        <v>75</v>
      </c>
      <c r="C10" s="130" t="s">
        <v>77</v>
      </c>
      <c r="D10" s="34" t="s">
        <v>101</v>
      </c>
      <c r="E10" s="26"/>
      <c r="F10" s="26"/>
      <c r="G10" s="26"/>
      <c r="H10" s="26"/>
      <c r="I10" s="26"/>
      <c r="J10" s="29"/>
    </row>
    <row r="11" spans="1:19">
      <c r="A11" s="20" t="s">
        <v>55</v>
      </c>
      <c r="B11" s="19">
        <v>1598</v>
      </c>
      <c r="C11" s="134">
        <v>16</v>
      </c>
      <c r="D11" s="66">
        <f>B11/C11</f>
        <v>99.875</v>
      </c>
      <c r="E11" s="26"/>
      <c r="F11" s="26"/>
      <c r="G11" s="26"/>
      <c r="H11" s="26"/>
      <c r="I11" s="26"/>
      <c r="J11" s="29"/>
    </row>
    <row r="12" spans="1:19">
      <c r="A12" s="20" t="s">
        <v>56</v>
      </c>
      <c r="B12" s="19">
        <v>1751</v>
      </c>
      <c r="C12" s="134">
        <v>18</v>
      </c>
      <c r="D12" s="66">
        <f t="shared" ref="D12:D22" si="0">B12/C12</f>
        <v>97.277777777777771</v>
      </c>
      <c r="E12" s="26"/>
      <c r="F12" s="26"/>
      <c r="G12" s="26"/>
      <c r="H12" s="26"/>
      <c r="I12" s="26"/>
      <c r="J12" s="29"/>
    </row>
    <row r="13" spans="1:19">
      <c r="A13" s="20" t="s">
        <v>57</v>
      </c>
      <c r="B13" s="19">
        <v>1947</v>
      </c>
      <c r="C13" s="134">
        <v>20</v>
      </c>
      <c r="D13" s="66">
        <f t="shared" si="0"/>
        <v>97.35</v>
      </c>
      <c r="E13" s="26"/>
      <c r="F13" s="26"/>
      <c r="G13" s="26"/>
      <c r="H13" s="26"/>
      <c r="I13" s="26"/>
      <c r="J13" s="29"/>
    </row>
    <row r="14" spans="1:19">
      <c r="A14" s="20" t="s">
        <v>58</v>
      </c>
      <c r="B14" s="19">
        <v>1949</v>
      </c>
      <c r="C14" s="134">
        <v>20</v>
      </c>
      <c r="D14" s="66">
        <f t="shared" si="0"/>
        <v>97.45</v>
      </c>
      <c r="E14" s="26"/>
      <c r="F14" s="26"/>
      <c r="G14" s="26"/>
      <c r="H14" s="26"/>
      <c r="I14" s="26"/>
      <c r="J14" s="29"/>
    </row>
    <row r="15" spans="1:19">
      <c r="A15" s="20" t="s">
        <v>59</v>
      </c>
      <c r="B15" s="19">
        <v>1958</v>
      </c>
      <c r="C15" s="134">
        <v>20</v>
      </c>
      <c r="D15" s="66">
        <f t="shared" si="0"/>
        <v>97.9</v>
      </c>
      <c r="E15" s="26"/>
      <c r="F15" s="26"/>
      <c r="G15" s="26"/>
      <c r="H15" s="26"/>
      <c r="I15" s="26"/>
      <c r="J15" s="29"/>
    </row>
    <row r="16" spans="1:19">
      <c r="A16" s="20" t="s">
        <v>60</v>
      </c>
      <c r="B16" s="19">
        <v>1747</v>
      </c>
      <c r="C16" s="134">
        <v>18</v>
      </c>
      <c r="D16" s="66">
        <f t="shared" si="0"/>
        <v>97.055555555555557</v>
      </c>
      <c r="E16" s="26"/>
      <c r="F16" s="26"/>
      <c r="G16" s="26"/>
      <c r="H16" s="26"/>
      <c r="I16" s="26"/>
      <c r="J16" s="29"/>
    </row>
    <row r="17" spans="1:10">
      <c r="A17" s="20" t="s">
        <v>61</v>
      </c>
      <c r="B17" s="19">
        <v>1916</v>
      </c>
      <c r="C17" s="134">
        <v>20</v>
      </c>
      <c r="D17" s="66">
        <f t="shared" si="0"/>
        <v>95.8</v>
      </c>
      <c r="E17" s="26"/>
      <c r="F17" s="26"/>
      <c r="G17" s="26"/>
      <c r="H17" s="26"/>
      <c r="I17" s="26"/>
      <c r="J17" s="29"/>
    </row>
    <row r="18" spans="1:10">
      <c r="A18" s="20" t="s">
        <v>62</v>
      </c>
      <c r="B18" s="19">
        <v>1831</v>
      </c>
      <c r="C18" s="134">
        <v>19</v>
      </c>
      <c r="D18" s="66">
        <f t="shared" si="0"/>
        <v>96.368421052631575</v>
      </c>
      <c r="E18" s="26"/>
      <c r="F18" s="26"/>
      <c r="G18" s="26"/>
      <c r="H18" s="26"/>
      <c r="I18" s="26"/>
      <c r="J18" s="29"/>
    </row>
    <row r="19" spans="1:10">
      <c r="A19" s="20" t="s">
        <v>63</v>
      </c>
      <c r="B19" s="19">
        <v>1940</v>
      </c>
      <c r="C19" s="134">
        <v>20</v>
      </c>
      <c r="D19" s="66">
        <f t="shared" si="0"/>
        <v>97</v>
      </c>
      <c r="E19" s="26"/>
      <c r="F19" s="26"/>
      <c r="G19" s="26"/>
      <c r="H19" s="26"/>
      <c r="I19" s="26"/>
      <c r="J19" s="29"/>
    </row>
    <row r="20" spans="1:10">
      <c r="A20" s="20" t="s">
        <v>64</v>
      </c>
      <c r="B20" s="19">
        <v>1653</v>
      </c>
      <c r="C20" s="134">
        <v>17</v>
      </c>
      <c r="D20" s="66">
        <f t="shared" si="0"/>
        <v>97.235294117647058</v>
      </c>
      <c r="E20" s="26"/>
      <c r="F20" s="26"/>
      <c r="G20" s="26"/>
      <c r="H20" s="26"/>
      <c r="I20" s="26"/>
      <c r="J20" s="29"/>
    </row>
    <row r="21" spans="1:10">
      <c r="A21" s="20" t="s">
        <v>65</v>
      </c>
      <c r="B21" s="19">
        <v>1949</v>
      </c>
      <c r="C21" s="134">
        <v>20</v>
      </c>
      <c r="D21" s="66">
        <f t="shared" si="0"/>
        <v>97.45</v>
      </c>
      <c r="E21" s="26"/>
      <c r="F21" s="26"/>
      <c r="G21" s="26"/>
      <c r="H21" s="26"/>
      <c r="I21" s="26"/>
      <c r="J21" s="29"/>
    </row>
    <row r="22" spans="1:10">
      <c r="A22" s="20" t="s">
        <v>66</v>
      </c>
      <c r="B22" s="19">
        <v>1863</v>
      </c>
      <c r="C22" s="134">
        <v>19</v>
      </c>
      <c r="D22" s="66">
        <f t="shared" si="0"/>
        <v>98.05263157894737</v>
      </c>
      <c r="E22" s="26"/>
      <c r="F22" s="26"/>
      <c r="G22" s="26"/>
      <c r="H22" s="26"/>
      <c r="I22" s="26"/>
      <c r="J22" s="29"/>
    </row>
    <row r="23" spans="1:10">
      <c r="A23" s="17"/>
      <c r="B23" s="26"/>
      <c r="C23" s="26"/>
      <c r="D23" s="35">
        <f>AVERAGE(D11:D22)</f>
        <v>97.401223340213264</v>
      </c>
      <c r="E23" s="26"/>
      <c r="F23" s="26"/>
      <c r="G23" s="26"/>
      <c r="H23" s="26"/>
      <c r="I23" s="26"/>
      <c r="J23" s="29"/>
    </row>
    <row r="24" spans="1:10" ht="15.75">
      <c r="A24" s="30" t="s">
        <v>102</v>
      </c>
      <c r="B24" s="28" t="s">
        <v>176</v>
      </c>
      <c r="C24" s="26"/>
      <c r="D24" s="35"/>
      <c r="E24" s="26"/>
      <c r="F24" s="26"/>
      <c r="G24" s="26"/>
      <c r="H24" s="26"/>
      <c r="I24" s="26"/>
      <c r="J24" s="29"/>
    </row>
    <row r="25" spans="1:10">
      <c r="A25" s="18"/>
      <c r="B25" s="31"/>
      <c r="C25" s="31"/>
      <c r="D25" s="36"/>
      <c r="E25" s="31"/>
      <c r="F25" s="31"/>
      <c r="G25" s="31"/>
      <c r="H25" s="31"/>
      <c r="I25" s="31"/>
      <c r="J25" s="32"/>
    </row>
  </sheetData>
  <mergeCells count="12">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tabSelected="1" topLeftCell="A10" zoomScale="90" zoomScaleNormal="90" workbookViewId="0">
      <selection activeCell="D23" sqref="D23"/>
    </sheetView>
  </sheetViews>
  <sheetFormatPr baseColWidth="10" defaultRowHeight="15"/>
  <cols>
    <col min="1" max="1" width="12.28515625" customWidth="1"/>
    <col min="2" max="3" width="14.5703125" customWidth="1"/>
    <col min="4" max="4" width="14.5703125" style="37" customWidth="1"/>
    <col min="5" max="5" width="14.5703125" customWidth="1"/>
  </cols>
  <sheetData>
    <row r="1" spans="1:19">
      <c r="A1" s="178"/>
      <c r="B1" s="178"/>
      <c r="C1" s="179" t="s">
        <v>73</v>
      </c>
      <c r="D1" s="179"/>
      <c r="E1" s="179"/>
      <c r="F1" s="179"/>
      <c r="G1" s="179"/>
      <c r="H1" s="179"/>
      <c r="I1" s="180" t="s">
        <v>137</v>
      </c>
      <c r="J1" s="180"/>
    </row>
    <row r="2" spans="1:19">
      <c r="A2" s="178"/>
      <c r="B2" s="178"/>
      <c r="C2" s="179"/>
      <c r="D2" s="179"/>
      <c r="E2" s="179"/>
      <c r="F2" s="179"/>
      <c r="G2" s="179"/>
      <c r="H2" s="179"/>
      <c r="I2" s="180" t="s">
        <v>74</v>
      </c>
      <c r="J2" s="180"/>
      <c r="N2" s="26"/>
      <c r="O2" s="26"/>
      <c r="P2" s="26"/>
      <c r="Q2" s="26"/>
      <c r="R2" s="26"/>
      <c r="S2" s="26"/>
    </row>
    <row r="3" spans="1:19">
      <c r="A3" s="178"/>
      <c r="B3" s="178"/>
      <c r="C3" s="179"/>
      <c r="D3" s="179"/>
      <c r="E3" s="179"/>
      <c r="F3" s="179"/>
      <c r="G3" s="179"/>
      <c r="H3" s="179"/>
      <c r="I3" s="180" t="s">
        <v>103</v>
      </c>
      <c r="J3" s="180"/>
      <c r="N3" s="171"/>
      <c r="O3" s="171"/>
      <c r="P3" s="171"/>
      <c r="Q3" s="171"/>
      <c r="R3" s="171"/>
      <c r="S3" s="171"/>
    </row>
    <row r="4" spans="1:19" ht="15" customHeight="1">
      <c r="A4" s="203" t="s">
        <v>51</v>
      </c>
      <c r="B4" s="203"/>
      <c r="C4" s="235" t="s">
        <v>27</v>
      </c>
      <c r="D4" s="235"/>
      <c r="E4" s="235"/>
      <c r="F4" s="235"/>
      <c r="G4" s="235"/>
      <c r="H4" s="235"/>
      <c r="I4" s="235"/>
      <c r="J4" s="235"/>
      <c r="N4" s="26"/>
      <c r="O4" s="26"/>
      <c r="P4" s="26"/>
      <c r="Q4" s="26"/>
      <c r="R4" s="26"/>
      <c r="S4" s="26"/>
    </row>
    <row r="5" spans="1:19">
      <c r="A5" s="203"/>
      <c r="B5" s="203"/>
      <c r="C5" s="235"/>
      <c r="D5" s="235"/>
      <c r="E5" s="235"/>
      <c r="F5" s="235"/>
      <c r="G5" s="235"/>
      <c r="H5" s="235"/>
      <c r="I5" s="235"/>
      <c r="J5" s="235"/>
      <c r="N5" s="26"/>
      <c r="O5" s="26"/>
      <c r="P5" s="26"/>
      <c r="Q5" s="26"/>
      <c r="R5" s="26"/>
      <c r="S5" s="26"/>
    </row>
    <row r="6" spans="1:19" ht="33" customHeight="1">
      <c r="A6" s="203" t="s">
        <v>189</v>
      </c>
      <c r="B6" s="203"/>
      <c r="C6" s="231" t="s">
        <v>197</v>
      </c>
      <c r="D6" s="231"/>
      <c r="E6" s="231"/>
      <c r="F6" s="231"/>
      <c r="G6" s="231"/>
      <c r="H6" s="231"/>
      <c r="I6" s="231"/>
      <c r="J6" s="231"/>
      <c r="N6" s="26"/>
      <c r="O6" s="26"/>
      <c r="P6" s="26"/>
      <c r="Q6" s="26"/>
      <c r="R6" s="26"/>
      <c r="S6" s="26"/>
    </row>
    <row r="7" spans="1:19">
      <c r="A7" s="22"/>
      <c r="B7" s="23"/>
      <c r="C7" s="23"/>
      <c r="D7" s="33"/>
      <c r="E7" s="23"/>
      <c r="F7" s="23"/>
      <c r="G7" s="24"/>
      <c r="H7" s="24"/>
      <c r="I7" s="24"/>
      <c r="J7" s="24"/>
      <c r="N7" s="26"/>
      <c r="O7" s="26"/>
      <c r="P7" s="26"/>
      <c r="Q7" s="26"/>
      <c r="R7" s="26"/>
      <c r="S7" s="26"/>
    </row>
    <row r="8" spans="1:19" ht="15" customHeight="1">
      <c r="A8" s="27" t="s">
        <v>3</v>
      </c>
      <c r="B8" s="209" t="s">
        <v>45</v>
      </c>
      <c r="C8" s="210"/>
      <c r="D8" s="210"/>
      <c r="E8" s="210"/>
      <c r="F8" s="210"/>
      <c r="G8" s="210"/>
      <c r="H8" s="210"/>
      <c r="I8" s="210"/>
      <c r="J8" s="211"/>
    </row>
    <row r="9" spans="1:19" ht="15" customHeight="1">
      <c r="A9" s="27" t="s">
        <v>52</v>
      </c>
      <c r="B9" s="206" t="s">
        <v>41</v>
      </c>
      <c r="C9" s="207"/>
      <c r="D9" s="207"/>
      <c r="E9" s="207"/>
      <c r="F9" s="207"/>
      <c r="G9" s="207"/>
      <c r="H9" s="207"/>
      <c r="I9" s="207"/>
      <c r="J9" s="208"/>
    </row>
    <row r="10" spans="1:19" ht="58.5" customHeight="1">
      <c r="A10" s="131" t="s">
        <v>54</v>
      </c>
      <c r="B10" s="130" t="s">
        <v>75</v>
      </c>
      <c r="C10" s="130" t="s">
        <v>77</v>
      </c>
      <c r="D10" s="34" t="s">
        <v>141</v>
      </c>
      <c r="E10" s="26"/>
      <c r="F10" s="26"/>
      <c r="G10" s="26"/>
      <c r="H10" s="26"/>
      <c r="I10" s="26"/>
      <c r="J10" s="29"/>
    </row>
    <row r="11" spans="1:19" ht="15" customHeight="1">
      <c r="A11" s="213" t="s">
        <v>138</v>
      </c>
      <c r="B11" s="216">
        <v>23.5</v>
      </c>
      <c r="C11" s="216">
        <v>5</v>
      </c>
      <c r="D11" s="232">
        <f>B11/C11</f>
        <v>4.7</v>
      </c>
      <c r="E11" s="26"/>
      <c r="F11" s="26"/>
      <c r="G11" s="26"/>
      <c r="H11" s="26"/>
      <c r="I11" s="26"/>
      <c r="J11" s="29"/>
    </row>
    <row r="12" spans="1:19">
      <c r="A12" s="214"/>
      <c r="B12" s="217"/>
      <c r="C12" s="217"/>
      <c r="D12" s="233"/>
      <c r="E12" s="26"/>
      <c r="F12" s="26"/>
      <c r="G12" s="26"/>
      <c r="H12" s="26"/>
      <c r="I12" s="26"/>
      <c r="J12" s="29"/>
    </row>
    <row r="13" spans="1:19">
      <c r="A13" s="214"/>
      <c r="B13" s="217"/>
      <c r="C13" s="217"/>
      <c r="D13" s="233"/>
      <c r="E13" s="26"/>
      <c r="F13" s="26"/>
      <c r="G13" s="26"/>
      <c r="H13" s="26"/>
      <c r="I13" s="26"/>
      <c r="J13" s="29"/>
    </row>
    <row r="14" spans="1:19">
      <c r="A14" s="214"/>
      <c r="B14" s="217"/>
      <c r="C14" s="217"/>
      <c r="D14" s="233"/>
      <c r="E14" s="26"/>
      <c r="F14" s="26"/>
      <c r="G14" s="26"/>
      <c r="H14" s="26"/>
      <c r="I14" s="26"/>
      <c r="J14" s="29"/>
    </row>
    <row r="15" spans="1:19">
      <c r="A15" s="214"/>
      <c r="B15" s="217"/>
      <c r="C15" s="217"/>
      <c r="D15" s="233"/>
      <c r="E15" s="26"/>
      <c r="F15" s="26"/>
      <c r="G15" s="26"/>
      <c r="H15" s="26"/>
      <c r="I15" s="26"/>
      <c r="J15" s="29"/>
    </row>
    <row r="16" spans="1:19">
      <c r="A16" s="215"/>
      <c r="B16" s="218"/>
      <c r="C16" s="218"/>
      <c r="D16" s="234"/>
      <c r="E16" s="26"/>
      <c r="F16" s="26"/>
      <c r="G16" s="26"/>
      <c r="H16" s="26"/>
      <c r="I16" s="26"/>
      <c r="J16" s="29"/>
    </row>
    <row r="17" spans="1:16" ht="15" customHeight="1">
      <c r="A17" s="213" t="s">
        <v>139</v>
      </c>
      <c r="B17" s="216">
        <v>22.82</v>
      </c>
      <c r="C17" s="216">
        <v>5</v>
      </c>
      <c r="D17" s="232">
        <f>B17/C17</f>
        <v>4.5640000000000001</v>
      </c>
      <c r="E17" s="26"/>
      <c r="F17" s="26"/>
      <c r="G17" s="26"/>
      <c r="H17" s="26"/>
      <c r="I17" s="26"/>
      <c r="J17" s="29"/>
    </row>
    <row r="18" spans="1:16">
      <c r="A18" s="214"/>
      <c r="B18" s="217"/>
      <c r="C18" s="217"/>
      <c r="D18" s="233"/>
      <c r="E18" s="26"/>
      <c r="F18" s="26"/>
      <c r="G18" s="26"/>
      <c r="H18" s="26"/>
      <c r="I18" s="26"/>
      <c r="J18" s="29"/>
    </row>
    <row r="19" spans="1:16">
      <c r="A19" s="214"/>
      <c r="B19" s="217"/>
      <c r="C19" s="217"/>
      <c r="D19" s="233"/>
      <c r="E19" s="26"/>
      <c r="F19" s="26"/>
      <c r="G19" s="26"/>
      <c r="H19" s="26"/>
      <c r="I19" s="26"/>
      <c r="J19" s="29"/>
    </row>
    <row r="20" spans="1:16">
      <c r="A20" s="214"/>
      <c r="B20" s="217"/>
      <c r="C20" s="217"/>
      <c r="D20" s="233"/>
      <c r="E20" s="26"/>
      <c r="F20" s="26"/>
      <c r="G20" s="26"/>
      <c r="H20" s="26"/>
      <c r="I20" s="26"/>
      <c r="J20" s="29"/>
      <c r="P20" s="110"/>
    </row>
    <row r="21" spans="1:16">
      <c r="A21" s="214"/>
      <c r="B21" s="217"/>
      <c r="C21" s="217"/>
      <c r="D21" s="233"/>
      <c r="E21" s="26"/>
      <c r="F21" s="26"/>
      <c r="G21" s="26"/>
      <c r="H21" s="26"/>
      <c r="I21" s="26"/>
      <c r="J21" s="29"/>
      <c r="P21" s="110"/>
    </row>
    <row r="22" spans="1:16">
      <c r="A22" s="215"/>
      <c r="B22" s="218"/>
      <c r="C22" s="218"/>
      <c r="D22" s="234"/>
      <c r="E22" s="26"/>
      <c r="F22" s="26"/>
      <c r="G22" s="26"/>
      <c r="H22" s="26"/>
      <c r="I22" s="26"/>
      <c r="J22" s="29"/>
      <c r="P22" s="110"/>
    </row>
    <row r="23" spans="1:16">
      <c r="A23" s="17"/>
      <c r="B23" s="26"/>
      <c r="C23" s="26"/>
      <c r="D23" s="35">
        <f>AVERAGE(D11:D22)</f>
        <v>4.6319999999999997</v>
      </c>
      <c r="E23" s="26"/>
      <c r="F23" s="26"/>
      <c r="G23" s="26"/>
      <c r="H23" s="26"/>
      <c r="I23" s="26"/>
      <c r="J23" s="29"/>
      <c r="P23" s="110"/>
    </row>
    <row r="24" spans="1:16" ht="15.75">
      <c r="A24" s="30" t="s">
        <v>332</v>
      </c>
      <c r="B24" s="28"/>
      <c r="C24" s="26"/>
      <c r="D24" s="35"/>
      <c r="E24" s="26"/>
      <c r="F24" s="26"/>
      <c r="G24" s="26"/>
      <c r="H24" s="26"/>
      <c r="I24" s="26"/>
      <c r="J24" s="29"/>
      <c r="P24" s="110"/>
    </row>
    <row r="25" spans="1:16">
      <c r="A25" s="18"/>
      <c r="B25" s="31"/>
      <c r="C25" s="31"/>
      <c r="D25" s="36"/>
      <c r="E25" s="31"/>
      <c r="F25" s="31"/>
      <c r="G25" s="31"/>
      <c r="H25" s="31"/>
      <c r="I25" s="31"/>
      <c r="J25" s="32"/>
      <c r="P25" s="110"/>
    </row>
    <row r="26" spans="1:16">
      <c r="D26" s="119">
        <v>5</v>
      </c>
      <c r="E26" s="120">
        <v>1</v>
      </c>
      <c r="P26" s="110"/>
    </row>
    <row r="27" spans="1:16">
      <c r="D27" s="119">
        <f>AVERAGE(D11:D17)</f>
        <v>4.6319999999999997</v>
      </c>
      <c r="E27" s="21">
        <f>E26*D27/D26</f>
        <v>0.92639999999999989</v>
      </c>
    </row>
  </sheetData>
  <mergeCells count="20">
    <mergeCell ref="N3:S3"/>
    <mergeCell ref="B8:J8"/>
    <mergeCell ref="B9:J9"/>
    <mergeCell ref="A1:B3"/>
    <mergeCell ref="C1:H3"/>
    <mergeCell ref="I1:J1"/>
    <mergeCell ref="I2:J2"/>
    <mergeCell ref="I3:J3"/>
    <mergeCell ref="A4:B5"/>
    <mergeCell ref="C4:J5"/>
    <mergeCell ref="C6:J6"/>
    <mergeCell ref="A6:B6"/>
    <mergeCell ref="A11:A16"/>
    <mergeCell ref="B11:B16"/>
    <mergeCell ref="C11:C16"/>
    <mergeCell ref="D11:D16"/>
    <mergeCell ref="D17:D22"/>
    <mergeCell ref="A17:A22"/>
    <mergeCell ref="B17:B22"/>
    <mergeCell ref="C17:C22"/>
  </mergeCells>
  <pageMargins left="0.7" right="0.7" top="0.75" bottom="0.75" header="0.3" footer="0.3"/>
  <pageSetup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zoomScale="85" zoomScaleNormal="85" workbookViewId="0">
      <pane xSplit="1" ySplit="3" topLeftCell="D12" activePane="bottomRight" state="frozen"/>
      <selection pane="topRight" activeCell="B1" sqref="B1"/>
      <selection pane="bottomLeft" activeCell="A4" sqref="A4"/>
      <selection pane="bottomRight" activeCell="F13" sqref="F13"/>
    </sheetView>
  </sheetViews>
  <sheetFormatPr baseColWidth="10" defaultRowHeight="15"/>
  <cols>
    <col min="1" max="1" width="2.28515625" bestFit="1" customWidth="1"/>
    <col min="2" max="2" width="14.140625" bestFit="1" customWidth="1"/>
    <col min="3" max="3" width="41.28515625" bestFit="1" customWidth="1"/>
    <col min="4" max="4" width="32.28515625" customWidth="1"/>
    <col min="5" max="5" width="37.42578125" customWidth="1"/>
    <col min="6" max="7" width="34.5703125" customWidth="1"/>
    <col min="8" max="8" width="30.140625" customWidth="1"/>
    <col min="9" max="10" width="29.5703125" customWidth="1"/>
    <col min="11" max="11" width="32.42578125" customWidth="1"/>
    <col min="12" max="12" width="30.140625" customWidth="1"/>
    <col min="13" max="13" width="29.140625" customWidth="1"/>
    <col min="14" max="14" width="32.140625" customWidth="1"/>
    <col min="15" max="15" width="31.7109375" customWidth="1"/>
  </cols>
  <sheetData>
    <row r="1" spans="1:16" ht="66" customHeight="1">
      <c r="A1" s="237" t="s">
        <v>201</v>
      </c>
      <c r="B1" s="238"/>
      <c r="C1" s="238"/>
      <c r="D1" s="238"/>
      <c r="E1" s="238"/>
      <c r="F1" s="238"/>
      <c r="G1" s="238"/>
      <c r="H1" s="238"/>
      <c r="I1" s="238"/>
      <c r="J1" s="238"/>
      <c r="K1" s="238"/>
      <c r="L1" s="238"/>
      <c r="M1" s="238"/>
      <c r="N1" s="238"/>
      <c r="O1" s="239"/>
    </row>
    <row r="2" spans="1:16" ht="38.25" customHeight="1">
      <c r="A2" s="217">
        <v>1</v>
      </c>
      <c r="B2" s="166" t="s">
        <v>29</v>
      </c>
      <c r="C2" s="93" t="s">
        <v>200</v>
      </c>
      <c r="D2" s="166" t="s">
        <v>145</v>
      </c>
      <c r="E2" s="166" t="s">
        <v>146</v>
      </c>
      <c r="F2" s="166" t="s">
        <v>147</v>
      </c>
      <c r="G2" s="166" t="s">
        <v>148</v>
      </c>
      <c r="H2" s="166" t="s">
        <v>149</v>
      </c>
      <c r="I2" s="166" t="s">
        <v>150</v>
      </c>
      <c r="J2" s="166" t="s">
        <v>151</v>
      </c>
      <c r="K2" s="166" t="s">
        <v>152</v>
      </c>
      <c r="L2" s="166" t="s">
        <v>153</v>
      </c>
      <c r="M2" s="166" t="s">
        <v>154</v>
      </c>
      <c r="N2" s="166" t="s">
        <v>155</v>
      </c>
      <c r="O2" s="166" t="s">
        <v>156</v>
      </c>
    </row>
    <row r="3" spans="1:16">
      <c r="A3" s="217"/>
      <c r="B3" s="166"/>
      <c r="C3" s="92" t="s">
        <v>3</v>
      </c>
      <c r="D3" s="166"/>
      <c r="E3" s="166"/>
      <c r="F3" s="166"/>
      <c r="G3" s="166"/>
      <c r="H3" s="166"/>
      <c r="I3" s="166"/>
      <c r="J3" s="166"/>
      <c r="K3" s="166"/>
      <c r="L3" s="166"/>
      <c r="M3" s="166"/>
      <c r="N3" s="166"/>
      <c r="O3" s="166"/>
    </row>
    <row r="4" spans="1:16" ht="69" customHeight="1">
      <c r="A4" s="217"/>
      <c r="B4" s="97" t="s">
        <v>202</v>
      </c>
      <c r="C4" s="98" t="s">
        <v>38</v>
      </c>
      <c r="D4" s="96" t="s">
        <v>218</v>
      </c>
      <c r="E4" s="96" t="s">
        <v>217</v>
      </c>
      <c r="F4" s="102" t="s">
        <v>241</v>
      </c>
      <c r="G4" s="102" t="s">
        <v>242</v>
      </c>
      <c r="H4" s="106" t="s">
        <v>330</v>
      </c>
      <c r="I4" s="106" t="s">
        <v>273</v>
      </c>
      <c r="J4" s="106" t="s">
        <v>274</v>
      </c>
      <c r="K4" s="106" t="s">
        <v>272</v>
      </c>
      <c r="L4" s="106" t="s">
        <v>271</v>
      </c>
      <c r="M4" s="106" t="s">
        <v>303</v>
      </c>
      <c r="N4" s="106" t="s">
        <v>304</v>
      </c>
      <c r="O4" s="106" t="s">
        <v>305</v>
      </c>
      <c r="P4" s="83"/>
    </row>
    <row r="5" spans="1:16" ht="132" customHeight="1">
      <c r="A5" s="218"/>
      <c r="B5" s="97" t="s">
        <v>202</v>
      </c>
      <c r="C5" s="81" t="s">
        <v>78</v>
      </c>
      <c r="D5" s="135" t="s">
        <v>143</v>
      </c>
      <c r="E5" s="135" t="s">
        <v>143</v>
      </c>
      <c r="F5" s="135" t="s">
        <v>143</v>
      </c>
      <c r="G5" s="135" t="s">
        <v>143</v>
      </c>
      <c r="H5" s="135" t="s">
        <v>143</v>
      </c>
      <c r="I5" s="135" t="s">
        <v>143</v>
      </c>
      <c r="J5" s="81" t="s">
        <v>355</v>
      </c>
      <c r="K5" s="105" t="s">
        <v>356</v>
      </c>
      <c r="L5" s="105" t="s">
        <v>357</v>
      </c>
      <c r="M5" s="105" t="s">
        <v>358</v>
      </c>
      <c r="N5" s="105" t="s">
        <v>359</v>
      </c>
      <c r="O5" s="105" t="s">
        <v>360</v>
      </c>
      <c r="P5" s="83"/>
    </row>
    <row r="6" spans="1:16" ht="132" customHeight="1">
      <c r="A6" s="236">
        <v>2</v>
      </c>
      <c r="B6" s="97" t="s">
        <v>203</v>
      </c>
      <c r="C6" s="81" t="s">
        <v>122</v>
      </c>
      <c r="D6" s="81" t="s">
        <v>235</v>
      </c>
      <c r="E6" s="81" t="s">
        <v>236</v>
      </c>
      <c r="F6" s="81" t="s">
        <v>237</v>
      </c>
      <c r="G6" s="81" t="s">
        <v>250</v>
      </c>
      <c r="H6" s="81" t="s">
        <v>251</v>
      </c>
      <c r="I6" s="81" t="s">
        <v>289</v>
      </c>
      <c r="J6" s="81" t="s">
        <v>291</v>
      </c>
      <c r="K6" s="81" t="s">
        <v>290</v>
      </c>
      <c r="L6" s="81" t="s">
        <v>297</v>
      </c>
      <c r="M6" s="105" t="s">
        <v>299</v>
      </c>
      <c r="N6" s="105" t="s">
        <v>298</v>
      </c>
      <c r="O6" s="81" t="s">
        <v>301</v>
      </c>
    </row>
    <row r="7" spans="1:16" ht="113.25" customHeight="1">
      <c r="A7" s="236"/>
      <c r="B7" s="97" t="s">
        <v>203</v>
      </c>
      <c r="C7" s="81" t="s">
        <v>179</v>
      </c>
      <c r="D7" s="81" t="s">
        <v>221</v>
      </c>
      <c r="E7" s="81" t="s">
        <v>222</v>
      </c>
      <c r="F7" s="81" t="s">
        <v>331</v>
      </c>
      <c r="G7" s="81" t="s">
        <v>252</v>
      </c>
      <c r="H7" s="81" t="s">
        <v>253</v>
      </c>
      <c r="I7" s="105" t="s">
        <v>292</v>
      </c>
      <c r="J7" s="105" t="s">
        <v>293</v>
      </c>
      <c r="K7" s="105" t="s">
        <v>294</v>
      </c>
      <c r="L7" s="105" t="s">
        <v>295</v>
      </c>
      <c r="M7" s="105" t="s">
        <v>296</v>
      </c>
      <c r="N7" s="105" t="s">
        <v>300</v>
      </c>
      <c r="O7" s="105" t="s">
        <v>302</v>
      </c>
    </row>
    <row r="8" spans="1:16" ht="78" customHeight="1">
      <c r="A8" s="236">
        <v>3</v>
      </c>
      <c r="B8" s="97" t="s">
        <v>202</v>
      </c>
      <c r="C8" s="81" t="s">
        <v>68</v>
      </c>
      <c r="D8" s="96" t="s">
        <v>219</v>
      </c>
      <c r="E8" s="96" t="s">
        <v>220</v>
      </c>
      <c r="F8" s="102" t="s">
        <v>238</v>
      </c>
      <c r="G8" s="102" t="s">
        <v>249</v>
      </c>
      <c r="H8" s="106" t="s">
        <v>275</v>
      </c>
      <c r="I8" s="106" t="s">
        <v>276</v>
      </c>
      <c r="J8" s="106" t="s">
        <v>277</v>
      </c>
      <c r="K8" s="106" t="s">
        <v>278</v>
      </c>
      <c r="L8" s="106" t="s">
        <v>279</v>
      </c>
      <c r="M8" s="106" t="s">
        <v>306</v>
      </c>
      <c r="N8" s="106" t="s">
        <v>307</v>
      </c>
      <c r="O8" s="106" t="s">
        <v>308</v>
      </c>
    </row>
    <row r="9" spans="1:16" ht="144" customHeight="1">
      <c r="A9" s="236"/>
      <c r="B9" s="97" t="s">
        <v>204</v>
      </c>
      <c r="C9" s="81" t="s">
        <v>171</v>
      </c>
      <c r="D9" s="106"/>
      <c r="E9" s="82"/>
      <c r="F9" s="106" t="s">
        <v>338</v>
      </c>
      <c r="G9" s="82"/>
      <c r="H9" s="82"/>
      <c r="I9" s="106" t="s">
        <v>339</v>
      </c>
      <c r="J9" s="82"/>
      <c r="K9" s="82"/>
      <c r="L9" s="106" t="s">
        <v>340</v>
      </c>
      <c r="M9" s="82"/>
      <c r="N9" s="82"/>
      <c r="O9" s="106" t="s">
        <v>341</v>
      </c>
    </row>
    <row r="10" spans="1:16" ht="126" customHeight="1">
      <c r="A10" s="84">
        <v>4</v>
      </c>
      <c r="B10" s="97" t="s">
        <v>205</v>
      </c>
      <c r="C10" s="81" t="s">
        <v>80</v>
      </c>
      <c r="D10" s="82"/>
      <c r="E10" s="82"/>
      <c r="F10" s="105" t="s">
        <v>342</v>
      </c>
      <c r="G10" s="82"/>
      <c r="H10" s="82"/>
      <c r="I10" s="105" t="s">
        <v>343</v>
      </c>
      <c r="J10" s="82"/>
      <c r="K10" s="82"/>
      <c r="L10" s="105" t="s">
        <v>344</v>
      </c>
      <c r="M10" s="82"/>
      <c r="N10" s="82"/>
      <c r="O10" s="105" t="s">
        <v>345</v>
      </c>
    </row>
    <row r="11" spans="1:16" s="108" customFormat="1" ht="59.25" customHeight="1">
      <c r="A11" s="216">
        <v>5</v>
      </c>
      <c r="B11" s="107" t="s">
        <v>206</v>
      </c>
      <c r="C11" s="105" t="s">
        <v>91</v>
      </c>
      <c r="D11" s="106" t="s">
        <v>232</v>
      </c>
      <c r="E11" s="106" t="s">
        <v>233</v>
      </c>
      <c r="F11" s="106" t="s">
        <v>234</v>
      </c>
      <c r="G11" s="106" t="s">
        <v>259</v>
      </c>
      <c r="H11" s="106" t="s">
        <v>260</v>
      </c>
      <c r="I11" s="106" t="s">
        <v>312</v>
      </c>
      <c r="J11" s="106" t="s">
        <v>314</v>
      </c>
      <c r="K11" s="106" t="s">
        <v>316</v>
      </c>
      <c r="L11" s="106" t="s">
        <v>318</v>
      </c>
      <c r="M11" s="106" t="s">
        <v>320</v>
      </c>
      <c r="N11" s="106" t="s">
        <v>322</v>
      </c>
      <c r="O11" s="106" t="s">
        <v>324</v>
      </c>
    </row>
    <row r="12" spans="1:16" s="109" customFormat="1" ht="74.25" customHeight="1">
      <c r="A12" s="217"/>
      <c r="B12" s="104" t="s">
        <v>206</v>
      </c>
      <c r="C12" s="103" t="s">
        <v>136</v>
      </c>
      <c r="D12" s="106" t="s">
        <v>254</v>
      </c>
      <c r="E12" s="106" t="s">
        <v>255</v>
      </c>
      <c r="F12" s="106" t="s">
        <v>256</v>
      </c>
      <c r="G12" s="106" t="s">
        <v>257</v>
      </c>
      <c r="H12" s="106" t="s">
        <v>258</v>
      </c>
      <c r="I12" s="106" t="s">
        <v>313</v>
      </c>
      <c r="J12" s="106" t="s">
        <v>315</v>
      </c>
      <c r="K12" s="106" t="s">
        <v>317</v>
      </c>
      <c r="L12" s="106" t="s">
        <v>319</v>
      </c>
      <c r="M12" s="106" t="s">
        <v>321</v>
      </c>
      <c r="N12" s="106" t="s">
        <v>323</v>
      </c>
      <c r="O12" s="106" t="s">
        <v>325</v>
      </c>
    </row>
    <row r="13" spans="1:16" ht="156" customHeight="1">
      <c r="A13" s="217"/>
      <c r="B13" s="97" t="s">
        <v>207</v>
      </c>
      <c r="C13" s="81" t="s">
        <v>120</v>
      </c>
      <c r="D13" s="102" t="s">
        <v>227</v>
      </c>
      <c r="E13" s="102" t="s">
        <v>228</v>
      </c>
      <c r="F13" s="102" t="s">
        <v>229</v>
      </c>
      <c r="G13" s="102" t="s">
        <v>243</v>
      </c>
      <c r="H13" s="106" t="s">
        <v>264</v>
      </c>
      <c r="I13" s="106" t="s">
        <v>265</v>
      </c>
      <c r="J13" s="106" t="s">
        <v>266</v>
      </c>
      <c r="K13" s="106" t="s">
        <v>285</v>
      </c>
      <c r="L13" s="106" t="s">
        <v>286</v>
      </c>
      <c r="M13" s="82"/>
      <c r="N13" s="82"/>
      <c r="O13" s="82"/>
    </row>
    <row r="14" spans="1:16" ht="75.75" customHeight="1">
      <c r="A14" s="217"/>
      <c r="B14" s="97" t="s">
        <v>207</v>
      </c>
      <c r="C14" s="81" t="s">
        <v>162</v>
      </c>
      <c r="D14" s="102" t="s">
        <v>225</v>
      </c>
      <c r="E14" s="102" t="s">
        <v>226</v>
      </c>
      <c r="F14" s="102" t="s">
        <v>230</v>
      </c>
      <c r="G14" s="102" t="s">
        <v>244</v>
      </c>
      <c r="H14" s="106" t="s">
        <v>262</v>
      </c>
      <c r="I14" s="106" t="s">
        <v>267</v>
      </c>
      <c r="J14" s="106" t="s">
        <v>269</v>
      </c>
      <c r="K14" s="106" t="s">
        <v>269</v>
      </c>
      <c r="L14" s="106" t="s">
        <v>287</v>
      </c>
      <c r="M14" s="82"/>
      <c r="N14" s="82"/>
      <c r="O14" s="82"/>
    </row>
    <row r="15" spans="1:16" ht="59.25" customHeight="1">
      <c r="A15" s="218"/>
      <c r="B15" s="97" t="s">
        <v>207</v>
      </c>
      <c r="C15" s="81" t="s">
        <v>163</v>
      </c>
      <c r="D15" s="101" t="s">
        <v>223</v>
      </c>
      <c r="E15" s="101" t="s">
        <v>224</v>
      </c>
      <c r="F15" s="102" t="s">
        <v>231</v>
      </c>
      <c r="G15" s="102" t="s">
        <v>245</v>
      </c>
      <c r="H15" s="106" t="s">
        <v>263</v>
      </c>
      <c r="I15" s="106" t="s">
        <v>268</v>
      </c>
      <c r="J15" s="106" t="s">
        <v>270</v>
      </c>
      <c r="K15" s="106" t="s">
        <v>270</v>
      </c>
      <c r="L15" s="106" t="s">
        <v>288</v>
      </c>
      <c r="M15" s="81"/>
      <c r="N15" s="81"/>
      <c r="O15" s="81"/>
    </row>
    <row r="16" spans="1:16" ht="171.75" customHeight="1">
      <c r="A16" s="84">
        <v>6</v>
      </c>
      <c r="B16" s="97" t="s">
        <v>208</v>
      </c>
      <c r="C16" s="81" t="s">
        <v>13</v>
      </c>
      <c r="D16" s="81" t="s">
        <v>346</v>
      </c>
      <c r="E16" s="81" t="s">
        <v>347</v>
      </c>
      <c r="F16" s="81" t="s">
        <v>348</v>
      </c>
      <c r="G16" s="81" t="s">
        <v>349</v>
      </c>
      <c r="H16" s="81" t="s">
        <v>350</v>
      </c>
      <c r="I16" s="81" t="s">
        <v>352</v>
      </c>
      <c r="J16" s="105" t="s">
        <v>351</v>
      </c>
      <c r="K16" s="105" t="s">
        <v>351</v>
      </c>
      <c r="L16" s="105" t="s">
        <v>351</v>
      </c>
      <c r="M16" s="105" t="s">
        <v>351</v>
      </c>
      <c r="N16" s="105" t="s">
        <v>351</v>
      </c>
      <c r="O16" s="105" t="s">
        <v>353</v>
      </c>
    </row>
    <row r="17" spans="1:15" ht="111" customHeight="1">
      <c r="A17" s="84">
        <v>7</v>
      </c>
      <c r="B17" s="97" t="s">
        <v>202</v>
      </c>
      <c r="C17" s="81" t="s">
        <v>209</v>
      </c>
      <c r="D17" s="81" t="s">
        <v>215</v>
      </c>
      <c r="E17" s="81" t="s">
        <v>216</v>
      </c>
      <c r="F17" s="81" t="s">
        <v>239</v>
      </c>
      <c r="G17" s="81" t="s">
        <v>240</v>
      </c>
      <c r="H17" s="105" t="s">
        <v>280</v>
      </c>
      <c r="I17" s="105" t="s">
        <v>281</v>
      </c>
      <c r="J17" s="105" t="s">
        <v>282</v>
      </c>
      <c r="K17" s="105" t="s">
        <v>283</v>
      </c>
      <c r="L17" s="105" t="s">
        <v>284</v>
      </c>
      <c r="M17" s="105" t="s">
        <v>309</v>
      </c>
      <c r="N17" s="105" t="s">
        <v>310</v>
      </c>
      <c r="O17" s="105" t="s">
        <v>311</v>
      </c>
    </row>
    <row r="18" spans="1:15" ht="59.25" customHeight="1">
      <c r="A18" s="84">
        <v>8</v>
      </c>
      <c r="B18" s="95" t="s">
        <v>203</v>
      </c>
      <c r="C18" s="81" t="s">
        <v>45</v>
      </c>
      <c r="D18" s="81"/>
      <c r="E18" s="81"/>
      <c r="F18" s="81"/>
      <c r="G18" s="81"/>
      <c r="H18" s="81"/>
      <c r="I18" s="81"/>
      <c r="J18" s="81"/>
      <c r="K18" s="81"/>
      <c r="L18" s="81"/>
      <c r="M18" s="81"/>
      <c r="N18" s="81"/>
      <c r="O18" s="81"/>
    </row>
    <row r="19" spans="1:15">
      <c r="B19" s="85"/>
    </row>
  </sheetData>
  <mergeCells count="18">
    <mergeCell ref="F2:F3"/>
    <mergeCell ref="A1:O1"/>
    <mergeCell ref="A11:A15"/>
    <mergeCell ref="A8:A9"/>
    <mergeCell ref="M2:M3"/>
    <mergeCell ref="N2:N3"/>
    <mergeCell ref="O2:O3"/>
    <mergeCell ref="A2:A5"/>
    <mergeCell ref="A6:A7"/>
    <mergeCell ref="B2:B3"/>
    <mergeCell ref="G2:G3"/>
    <mergeCell ref="H2:H3"/>
    <mergeCell ref="I2:I3"/>
    <mergeCell ref="J2:J3"/>
    <mergeCell ref="K2:K3"/>
    <mergeCell ref="L2:L3"/>
    <mergeCell ref="D2:D3"/>
    <mergeCell ref="E2:E3"/>
  </mergeCells>
  <pageMargins left="0" right="0" top="0.74803149606299213" bottom="0.74803149606299213" header="0.31496062992125984" footer="0.31496062992125984"/>
  <pageSetup scale="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5CE249-0A25-4C2A-A058-6236E14D9F5B}"/>
</file>

<file path=customXml/itemProps2.xml><?xml version="1.0" encoding="utf-8"?>
<ds:datastoreItem xmlns:ds="http://schemas.openxmlformats.org/officeDocument/2006/customXml" ds:itemID="{EBD75915-6FA0-4855-845A-B7D0E5EE59BF}"/>
</file>

<file path=customXml/itemProps3.xml><?xml version="1.0" encoding="utf-8"?>
<ds:datastoreItem xmlns:ds="http://schemas.openxmlformats.org/officeDocument/2006/customXml" ds:itemID="{3185048A-9771-49B8-9632-F2DCAC0DD4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Usuario de red</cp:lastModifiedBy>
  <cp:lastPrinted>2017-07-27T21:30:49Z</cp:lastPrinted>
  <dcterms:created xsi:type="dcterms:W3CDTF">2015-06-02T22:21:33Z</dcterms:created>
  <dcterms:modified xsi:type="dcterms:W3CDTF">2019-08-14T22:24:36Z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60200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