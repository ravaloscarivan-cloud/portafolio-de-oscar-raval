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charts/chart16.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2.xml" ContentType="application/vnd.openxmlformats-officedocument.drawingml.chart+xml"/>
  <Override PartName="/xl/worksheets/sheet1.xml" ContentType="application/vnd.openxmlformats-officedocument.spreadsheetml.worksheet+xml"/>
  <Override PartName="/xl/drawings/drawing6.xml" ContentType="application/vnd.openxmlformats-officedocument.drawing+xml"/>
  <Override PartName="/xl/charts/chart14.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10.xml" ContentType="application/vnd.openxmlformats-officedocument.drawingml.char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4.xml" ContentType="application/vnd.openxmlformats-officedocument.drawingml.chart+xml"/>
  <Override PartName="/xl/charts/chart6.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drawings/drawing3.xml" ContentType="application/vnd.openxmlformats-officedocument.drawing+xml"/>
  <Override PartName="/xl/drawings/drawing5.xml" ContentType="application/vnd.openxmlformats-officedocument.drawing+xml"/>
  <Override PartName="/xl/charts/chart8.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330"/>
  <workbookPr defaultThemeVersion="124226"/>
  <mc:AlternateContent xmlns:mc="http://schemas.openxmlformats.org/markup-compatibility/2006">
    <mc:Choice Requires="x15">
      <x15ac:absPath xmlns:x15ac="http://schemas.microsoft.com/office/spreadsheetml/2010/11/ac" url="D:\INF MENSUALES\CALIDAD\Matrices de Despliegue politicas de Calidad\"/>
    </mc:Choice>
  </mc:AlternateContent>
  <xr:revisionPtr revIDLastSave="0" documentId="13_ncr:1_{79D68688-A8B3-49E8-AED9-86F10B9FB8DE}" xr6:coauthVersionLast="33" xr6:coauthVersionMax="33" xr10:uidLastSave="{00000000-0000-0000-0000-000000000000}"/>
  <bookViews>
    <workbookView xWindow="0" yWindow="0" windowWidth="20490" windowHeight="7755" activeTab="9"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calcPr calcId="179017"/>
</workbook>
</file>

<file path=xl/calcChain.xml><?xml version="1.0" encoding="utf-8"?>
<calcChain xmlns="http://schemas.openxmlformats.org/spreadsheetml/2006/main">
  <c r="E27" i="6" l="1"/>
  <c r="D77" i="6" l="1"/>
  <c r="D14" i="5" l="1"/>
  <c r="D17" i="5"/>
  <c r="D20" i="5"/>
  <c r="D92" i="6" l="1"/>
  <c r="E50" i="6"/>
  <c r="D117" i="6" l="1"/>
  <c r="D116" i="6"/>
  <c r="D115" i="6"/>
  <c r="D114" i="6"/>
  <c r="D113" i="6"/>
  <c r="D112" i="6"/>
  <c r="D111" i="6"/>
  <c r="D110" i="6"/>
  <c r="D109" i="6"/>
  <c r="D108" i="6"/>
  <c r="D107" i="6"/>
  <c r="D106" i="6"/>
  <c r="E43" i="6" l="1"/>
  <c r="F43" i="6"/>
  <c r="E44" i="6"/>
  <c r="E45" i="6"/>
  <c r="E46" i="6"/>
  <c r="E47" i="6"/>
  <c r="D11" i="6"/>
  <c r="D29" i="2" l="1"/>
  <c r="D94" i="6" l="1"/>
  <c r="D30" i="3" l="1"/>
  <c r="D27" i="3"/>
  <c r="D28" i="3"/>
  <c r="D31" i="3"/>
  <c r="D32" i="3"/>
  <c r="D27" i="2" l="1"/>
  <c r="E32" i="6" l="1"/>
  <c r="E31" i="6"/>
  <c r="E30" i="6"/>
  <c r="E29" i="6"/>
  <c r="E28" i="6"/>
  <c r="E33" i="6"/>
  <c r="D12" i="6"/>
  <c r="D13" i="6"/>
  <c r="D29" i="3" l="1"/>
  <c r="D33" i="3"/>
  <c r="D34" i="3"/>
  <c r="D35" i="3"/>
  <c r="D36" i="3"/>
  <c r="D37" i="3"/>
  <c r="D38" i="3"/>
  <c r="D11" i="8"/>
  <c r="F44" i="6" l="1"/>
  <c r="F45" i="6"/>
  <c r="F46" i="6"/>
  <c r="F47" i="6"/>
  <c r="F48" i="6"/>
  <c r="F49" i="6"/>
  <c r="F50" i="6"/>
  <c r="F51" i="6"/>
  <c r="F52" i="6"/>
  <c r="F53" i="6"/>
  <c r="F54" i="6"/>
  <c r="E48" i="6"/>
  <c r="E49" i="6"/>
  <c r="E51" i="6"/>
  <c r="E52" i="6"/>
  <c r="E53" i="6"/>
  <c r="E54" i="6"/>
  <c r="D102" i="6" l="1"/>
  <c r="AC22" i="1" s="1"/>
  <c r="D101" i="6"/>
  <c r="AB22" i="1" s="1"/>
  <c r="D100" i="6"/>
  <c r="AA22" i="1" s="1"/>
  <c r="D99" i="6"/>
  <c r="Z22" i="1" s="1"/>
  <c r="D98" i="6"/>
  <c r="Y22" i="1" s="1"/>
  <c r="D97" i="6"/>
  <c r="X22" i="1" s="1"/>
  <c r="D96" i="6"/>
  <c r="W22" i="1" s="1"/>
  <c r="D95" i="6"/>
  <c r="V22" i="1" s="1"/>
  <c r="U22" i="1"/>
  <c r="D93" i="6"/>
  <c r="T22" i="1" s="1"/>
  <c r="S22" i="1"/>
  <c r="D91" i="6"/>
  <c r="R22" i="1" s="1"/>
  <c r="D75" i="6"/>
  <c r="R21" i="1" s="1"/>
  <c r="D76" i="6"/>
  <c r="S21" i="1" s="1"/>
  <c r="T21" i="1"/>
  <c r="D78" i="6"/>
  <c r="U21" i="1" s="1"/>
  <c r="D79" i="6"/>
  <c r="V21" i="1" s="1"/>
  <c r="D80" i="6"/>
  <c r="W21" i="1" s="1"/>
  <c r="D81" i="6"/>
  <c r="X21" i="1" s="1"/>
  <c r="D82" i="6"/>
  <c r="Y21" i="1" s="1"/>
  <c r="D83" i="6"/>
  <c r="Z21" i="1" s="1"/>
  <c r="D84" i="6"/>
  <c r="AA21" i="1" s="1"/>
  <c r="D85" i="6"/>
  <c r="AB21" i="1" s="1"/>
  <c r="D86" i="6"/>
  <c r="AC21" i="1" s="1"/>
  <c r="W14" i="1" l="1"/>
  <c r="X13" i="1"/>
  <c r="W13" i="1"/>
  <c r="V13" i="1"/>
  <c r="W12" i="1"/>
  <c r="V12" i="1"/>
  <c r="T12" i="1"/>
  <c r="S12" i="1"/>
  <c r="Z14" i="1" l="1"/>
  <c r="AC14" i="1"/>
  <c r="T14" i="1"/>
  <c r="R12" i="1"/>
  <c r="U12" i="1"/>
  <c r="X12" i="1"/>
  <c r="Y12" i="1"/>
  <c r="Z12" i="1"/>
  <c r="AA12" i="1"/>
  <c r="AB12" i="1"/>
  <c r="AC12" i="1"/>
  <c r="W25" i="1" l="1"/>
  <c r="AC25" i="1" l="1"/>
  <c r="D22" i="8"/>
  <c r="AC24" i="1" s="1"/>
  <c r="D21" i="8"/>
  <c r="AB24" i="1" s="1"/>
  <c r="D20" i="8"/>
  <c r="AA24" i="1" s="1"/>
  <c r="D19" i="8"/>
  <c r="Z24" i="1" s="1"/>
  <c r="D18" i="8"/>
  <c r="Y24" i="1" s="1"/>
  <c r="D17" i="8"/>
  <c r="X24" i="1" s="1"/>
  <c r="D16" i="8"/>
  <c r="W24" i="1" s="1"/>
  <c r="D15" i="8"/>
  <c r="V24" i="1" s="1"/>
  <c r="D14" i="8"/>
  <c r="U24" i="1" s="1"/>
  <c r="D13" i="8"/>
  <c r="T24" i="1" s="1"/>
  <c r="D12" i="8"/>
  <c r="S24" i="1" s="1"/>
  <c r="R24" i="1"/>
  <c r="C23" i="7"/>
  <c r="B23" i="7"/>
  <c r="D22" i="7"/>
  <c r="AC23" i="1" s="1"/>
  <c r="D21" i="7"/>
  <c r="AB23" i="1" s="1"/>
  <c r="D20" i="7"/>
  <c r="AA23" i="1" s="1"/>
  <c r="D19" i="7"/>
  <c r="Z23" i="1" s="1"/>
  <c r="D18" i="7"/>
  <c r="Y23" i="1" s="1"/>
  <c r="D17" i="7"/>
  <c r="X23" i="1" s="1"/>
  <c r="D16" i="7"/>
  <c r="W23" i="1" s="1"/>
  <c r="D15" i="7"/>
  <c r="V23" i="1" s="1"/>
  <c r="D14" i="7"/>
  <c r="U23" i="1" s="1"/>
  <c r="D13" i="7"/>
  <c r="T23" i="1" s="1"/>
  <c r="D12" i="7"/>
  <c r="S23" i="1" s="1"/>
  <c r="D11" i="7"/>
  <c r="R23" i="1" s="1"/>
  <c r="AC20" i="1"/>
  <c r="AC19" i="1"/>
  <c r="AB20" i="1"/>
  <c r="AB19" i="1"/>
  <c r="AA20" i="1"/>
  <c r="AA19" i="1"/>
  <c r="Z20" i="1"/>
  <c r="Z19" i="1"/>
  <c r="Y20" i="1"/>
  <c r="Y19" i="1"/>
  <c r="X20" i="1"/>
  <c r="X19" i="1"/>
  <c r="W20" i="1"/>
  <c r="W19" i="1"/>
  <c r="V20" i="1"/>
  <c r="V19" i="1"/>
  <c r="U20" i="1"/>
  <c r="U19" i="1"/>
  <c r="T20" i="1"/>
  <c r="T19" i="1"/>
  <c r="S20" i="1"/>
  <c r="S19" i="1"/>
  <c r="R20" i="1"/>
  <c r="R19" i="1"/>
  <c r="E38" i="6"/>
  <c r="AC18" i="1" s="1"/>
  <c r="E37" i="6"/>
  <c r="AB18" i="1" s="1"/>
  <c r="E36" i="6"/>
  <c r="AA18" i="1" s="1"/>
  <c r="E35" i="6"/>
  <c r="Z18" i="1" s="1"/>
  <c r="E34" i="6"/>
  <c r="Y18" i="1" s="1"/>
  <c r="X18" i="1"/>
  <c r="W18" i="1"/>
  <c r="V18" i="1"/>
  <c r="U18" i="1"/>
  <c r="T18" i="1"/>
  <c r="S18" i="1"/>
  <c r="R18" i="1"/>
  <c r="D22" i="6"/>
  <c r="AC17" i="1" s="1"/>
  <c r="D21" i="6"/>
  <c r="AB17" i="1" s="1"/>
  <c r="D20" i="6"/>
  <c r="AA17" i="1" s="1"/>
  <c r="D19" i="6"/>
  <c r="Z17" i="1" s="1"/>
  <c r="D18" i="6"/>
  <c r="Y17" i="1" s="1"/>
  <c r="D17" i="6"/>
  <c r="X17" i="1" s="1"/>
  <c r="D16" i="6"/>
  <c r="W17" i="1" s="1"/>
  <c r="D15" i="6"/>
  <c r="V17" i="1" s="1"/>
  <c r="D14" i="6"/>
  <c r="U17" i="1" s="1"/>
  <c r="T17" i="1"/>
  <c r="S17" i="1"/>
  <c r="R17" i="1"/>
  <c r="AC16" i="1"/>
  <c r="Z16" i="1"/>
  <c r="W16" i="1"/>
  <c r="D11" i="5"/>
  <c r="T16" i="1" s="1"/>
  <c r="D22" i="4"/>
  <c r="AC15" i="1" s="1"/>
  <c r="D21" i="4"/>
  <c r="AB15" i="1" s="1"/>
  <c r="D20" i="4"/>
  <c r="AA15" i="1" s="1"/>
  <c r="D19" i="4"/>
  <c r="Z15" i="1" s="1"/>
  <c r="D18" i="4"/>
  <c r="Y15" i="1" s="1"/>
  <c r="D17" i="4"/>
  <c r="X15" i="1" s="1"/>
  <c r="D16" i="4"/>
  <c r="W15" i="1" s="1"/>
  <c r="D15" i="4"/>
  <c r="V15" i="1" s="1"/>
  <c r="D14" i="4"/>
  <c r="U15" i="1" s="1"/>
  <c r="D13" i="4"/>
  <c r="T15" i="1" s="1"/>
  <c r="D12" i="4"/>
  <c r="S15" i="1" s="1"/>
  <c r="D11" i="4"/>
  <c r="R15" i="1" s="1"/>
  <c r="AC13" i="1"/>
  <c r="AB13" i="1"/>
  <c r="AA13" i="1"/>
  <c r="Z13" i="1"/>
  <c r="Y13" i="1"/>
  <c r="D38" i="2"/>
  <c r="AC11" i="1" s="1"/>
  <c r="D37" i="2"/>
  <c r="AB11" i="1" s="1"/>
  <c r="D36" i="2"/>
  <c r="AA11" i="1" s="1"/>
  <c r="D35" i="2"/>
  <c r="Z11" i="1" s="1"/>
  <c r="D34" i="2"/>
  <c r="Y11" i="1" s="1"/>
  <c r="D33" i="2"/>
  <c r="X11" i="1" s="1"/>
  <c r="D32" i="2"/>
  <c r="W11" i="1" s="1"/>
  <c r="D31" i="2"/>
  <c r="V11" i="1" s="1"/>
  <c r="D30" i="2"/>
  <c r="U11" i="1" s="1"/>
  <c r="T11" i="1"/>
  <c r="D28" i="2"/>
  <c r="S11" i="1" s="1"/>
  <c r="R11" i="1"/>
  <c r="D22" i="2"/>
  <c r="AC10" i="1" s="1"/>
  <c r="D21" i="2"/>
  <c r="AB10" i="1" s="1"/>
  <c r="D20" i="2"/>
  <c r="AA10" i="1" s="1"/>
  <c r="D19" i="2"/>
  <c r="Z10" i="1" s="1"/>
  <c r="D18" i="2"/>
  <c r="Y10" i="1" s="1"/>
  <c r="D17" i="2"/>
  <c r="X10" i="1" s="1"/>
  <c r="D16" i="2"/>
  <c r="W10" i="1" s="1"/>
  <c r="D15" i="2"/>
  <c r="V10" i="1" s="1"/>
  <c r="D14" i="2"/>
  <c r="U10" i="1" s="1"/>
  <c r="D13" i="2"/>
  <c r="T10" i="1" s="1"/>
  <c r="D12" i="2"/>
  <c r="S10" i="1" s="1"/>
  <c r="D11" i="2"/>
  <c r="R10" i="1" s="1"/>
  <c r="R13" i="1" l="1"/>
  <c r="T13" i="1"/>
  <c r="U13" i="1"/>
  <c r="S13" i="1"/>
</calcChain>
</file>

<file path=xl/sharedStrings.xml><?xml version="1.0" encoding="utf-8"?>
<sst xmlns="http://schemas.openxmlformats.org/spreadsheetml/2006/main" count="649" uniqueCount="284">
  <si>
    <t>POLITICA DE  CALIDAD</t>
  </si>
  <si>
    <t>PREMISAS</t>
  </si>
  <si>
    <t>OBJETIVOS</t>
  </si>
  <si>
    <t>INDICADOR</t>
  </si>
  <si>
    <t>FORMULACIÓN</t>
  </si>
  <si>
    <t>META</t>
  </si>
  <si>
    <t>FRECUENCIA</t>
  </si>
  <si>
    <t>FUENTE DE DATOS</t>
  </si>
  <si>
    <t>Mensual</t>
  </si>
  <si>
    <t>Evaluación de seguimiento de asesorías quirúrgicas</t>
  </si>
  <si>
    <t>&gt;70%</t>
  </si>
  <si>
    <t>Trimestral</t>
  </si>
  <si>
    <t>Consolidado de acciones correctivas, preventivas y de mejora.</t>
  </si>
  <si>
    <t>Ejecución del programa de capacitación</t>
  </si>
  <si>
    <t>(Capacitaciones ejecutadas / Capacitaciones planeadas)*100%</t>
  </si>
  <si>
    <t>Cronograma de capacitación</t>
  </si>
  <si>
    <t xml:space="preserve">satisfacer las necesidades y expectativas de especialistas, instituciones del área de la salud y usuarios </t>
  </si>
  <si>
    <t>garantizando el cumplimiento de los requisitos legales exigibles,</t>
  </si>
  <si>
    <t>Garantizar a los clientes confiabilidad con el cumpliento del manual de requisitos de  Capacidad de Almacenamiento y/o Acondicionamiento para dispositivos médicos.</t>
  </si>
  <si>
    <t>Crear estrategías de buen servicio que permitan optimizar el manejo de procesos y recursos con el fin de establecer mecanismos para garantizar la satisfacción del cliente.</t>
  </si>
  <si>
    <t>el mejoramiento continuo de nuestros procesos</t>
  </si>
  <si>
    <t xml:space="preserve">optimización de nuestros  recursos </t>
  </si>
  <si>
    <t xml:space="preserve"> el desarrollo integral de nuestros colaboradores,</t>
  </si>
  <si>
    <t>la consolidación de alianzas estratégicas solidas con nuestros proveedores</t>
  </si>
  <si>
    <t>el fortalecimiento de las relaciones comerciales con los clientes.</t>
  </si>
  <si>
    <t>Respaldar los procesos de importación, comercialización y distribuición a los clientes mediante la recepción, acondicionamento, almacenamiento, manejo y suministro de dispositivo médicos acorde a las normas vigentes de sanidad.</t>
  </si>
  <si>
    <t>Planificar, ejecutar, verificar y retroalimentar el sistema de gestión  de calidad, a través de identificaciones de acciones correctivas, preventivas y de mejora continúa.</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</si>
  <si>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</si>
  <si>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PROCESO</t>
  </si>
  <si>
    <t>RESPONSABLE</t>
  </si>
  <si>
    <t>INVOLUCRADOS DEL PROCESO</t>
  </si>
  <si>
    <t>PERSONAL RELACIONADO</t>
  </si>
  <si>
    <t xml:space="preserve">Importación, comercialización y distribución </t>
  </si>
  <si>
    <t>Almacén Gerencia Administrativa</t>
  </si>
  <si>
    <t>Asistencia Técnica</t>
  </si>
  <si>
    <t>Gestión de Calidad</t>
  </si>
  <si>
    <t>Gestión Administrativa</t>
  </si>
  <si>
    <t>Asistencia Técnica, Almacén, Facturación</t>
  </si>
  <si>
    <t>Coordinador Asistencial</t>
  </si>
  <si>
    <t>Almacén, Gestión Administrativa</t>
  </si>
  <si>
    <t xml:space="preserve">Jefe de Almacén </t>
  </si>
  <si>
    <t>Gerente Administrativa</t>
  </si>
  <si>
    <t>Coordinador de Calidad</t>
  </si>
  <si>
    <t>Asesor Quirúrgico</t>
  </si>
  <si>
    <t>_</t>
  </si>
  <si>
    <t>Auxiliar de Contabilidad</t>
  </si>
  <si>
    <t>Todo el personal de Biosteel De Colombia S.A</t>
  </si>
  <si>
    <t>Auxiliar de Almacén, Asesor Quirúrgico, Auxiliar de Facturación, Auxiliar Administrativo</t>
  </si>
  <si>
    <t>Formato de Seguimiento a Proveedores</t>
  </si>
  <si>
    <t>% de Ordenes de Compra recibidas completas</t>
  </si>
  <si>
    <t>% de cumplimientos de especificaciones técnicas</t>
  </si>
  <si>
    <t>(No. De desviaciones encontradas/ No. De muestras verificadas) X 100</t>
  </si>
  <si>
    <t>Sumatoria del resultado de todas las evaluaciones/ El total de las evaluaciones.</t>
  </si>
  <si>
    <t>&gt;95</t>
  </si>
  <si>
    <t>Formato de Evaluación de Proveedores</t>
  </si>
  <si>
    <t>Evalución de Cumplimiento Proveedores</t>
  </si>
  <si>
    <t>Satisfacción del Cliente</t>
  </si>
  <si>
    <t>Formato de Satisfacción del Cliente</t>
  </si>
  <si>
    <t>Gasto real / Presupuesto</t>
  </si>
  <si>
    <t>% Cumplimiento de presupuesto</t>
  </si>
  <si>
    <t>Formato de Informe de Presupuestos</t>
  </si>
  <si>
    <t>Informes de cuentas por pagar y cuentas por cobrar</t>
  </si>
  <si>
    <t>OBJETIVO</t>
  </si>
  <si>
    <t>FORMULA</t>
  </si>
  <si>
    <t>% de Cumplimiento (&gt;70%)</t>
  </si>
  <si>
    <t>Meses</t>
  </si>
  <si>
    <t>Enero</t>
  </si>
  <si>
    <t>Febrero</t>
  </si>
  <si>
    <t>Marzo</t>
  </si>
  <si>
    <t>Abril</t>
  </si>
  <si>
    <t>Mayo</t>
  </si>
  <si>
    <t>Junio</t>
  </si>
  <si>
    <t>Julio</t>
  </si>
  <si>
    <t>Agosto</t>
  </si>
  <si>
    <t>Septiembre</t>
  </si>
  <si>
    <t>Octubre</t>
  </si>
  <si>
    <t>Noviembre</t>
  </si>
  <si>
    <t>Diciembre</t>
  </si>
  <si>
    <t>No. Ordenes de Compra recibidas Completas</t>
  </si>
  <si>
    <t xml:space="preserve"> % de cumplimientos de especificaciones técnicas</t>
  </si>
  <si>
    <t>(No. Ordenes de Compra recibidas completas/ No. Ordenes totales recibidas)</t>
  </si>
  <si>
    <t>No.  De muestras verificadas</t>
  </si>
  <si>
    <t>(No. Ordenes de Compra recibidas completas/ No. Ordenes recibidas) X 100</t>
  </si>
  <si>
    <t>No. De evaluaciones recibidas satisfactoriamente</t>
  </si>
  <si>
    <t>INDICADORES</t>
  </si>
  <si>
    <t>VERSION: 0</t>
  </si>
  <si>
    <t>Sumatoria del resultado de todas las evaluaciones</t>
  </si>
  <si>
    <t>Sumatoria del resultado de todas las evaluaciones/ El No. total de evaluaciones realizadas.</t>
  </si>
  <si>
    <t>No. total de evaluaciones realizadas.</t>
  </si>
  <si>
    <t>Número de Cirugías canceladas por falta de disponibilidad DM/ Número de Cirugías  programas con requerimientos de DM</t>
  </si>
  <si>
    <t xml:space="preserve">Número de Cirugías  programas con requerimientos de DM </t>
  </si>
  <si>
    <t>Número de Cirugías canceladas por falta de disponibilidad DM</t>
  </si>
  <si>
    <t xml:space="preserve"> % de incumplimiento de disponibilidad de dispositivos médicos</t>
  </si>
  <si>
    <t>Incumplimiento de disponibilidad de dispositivos médicos</t>
  </si>
  <si>
    <t>% Incumplimiento de disponibilidad de DM</t>
  </si>
  <si>
    <t>Auxiliar de almacén, Asesor Quirúrgico, Auxiliar Administrativo</t>
  </si>
  <si>
    <t>Formato de Ostesintesis Programas</t>
  </si>
  <si>
    <t>Cierre de planes de acción</t>
  </si>
  <si>
    <t>No.  Total de planes de Accion</t>
  </si>
  <si>
    <t>Planes de acción cerrados / No. Total de planes  de acción</t>
  </si>
  <si>
    <t>Planes de acción cerrados</t>
  </si>
  <si>
    <t>Enero - Marzo</t>
  </si>
  <si>
    <t>Abril - Junio</t>
  </si>
  <si>
    <t>Julio - Septiembre</t>
  </si>
  <si>
    <t>Octubre - Dicembre</t>
  </si>
  <si>
    <t>Responsable: Coordinador De Calidad</t>
  </si>
  <si>
    <t>Responsable: Coordinador Asistencial</t>
  </si>
  <si>
    <t>Consolidar un adecuado manejo financiero a traves de la contabilización adecuada, con el fin de generar confiabilidad entre los stakeholders de la compañía.</t>
  </si>
  <si>
    <t>Cumplimiento de presupuesto</t>
  </si>
  <si>
    <t xml:space="preserve">Gasto real </t>
  </si>
  <si>
    <t>Gasto presupuestado</t>
  </si>
  <si>
    <t>% de Cumplimiento (&gt;90%)</t>
  </si>
  <si>
    <r>
      <rPr>
        <sz val="11"/>
        <color rgb="FFFF0000"/>
        <rFont val="Calibri"/>
        <family val="2"/>
        <scheme val="minor"/>
      </rPr>
      <t xml:space="preserve">     </t>
    </r>
    <r>
      <rPr>
        <sz val="11"/>
        <color theme="1"/>
        <rFont val="Calibri"/>
        <family val="2"/>
        <scheme val="minor"/>
      </rPr>
      <t>Establecer programas de formación permanentes, los cuales permitirán disponer de un personal con mayor nivel de cualificación para desempeñar las actividades comprendidas en el Sistema de gestión.</t>
    </r>
  </si>
  <si>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</si>
  <si>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</si>
  <si>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</si>
  <si>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</si>
  <si>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Expandir y consolidar la relacion con proveedores buscando nuevas opciones en el mercado, diseñando herramientas y concertando acuerdos para adquirir beneficio mutuo.</t>
  </si>
  <si>
    <t>Calificación (&gt;95)</t>
  </si>
  <si>
    <t>Responsable: Jefe De Almacén</t>
  </si>
  <si>
    <t>PAGINA: 8 DE 8</t>
  </si>
  <si>
    <t>PAGINA: 7 DE 8</t>
  </si>
  <si>
    <t>PAGINA: 6 DE 8</t>
  </si>
  <si>
    <t>PAGINA: 5 DE 8</t>
  </si>
  <si>
    <t>PAGINA: 4 DE 8</t>
  </si>
  <si>
    <t>PAGINA: 3 DE 8</t>
  </si>
  <si>
    <t>PAGINA: 2 DE 8</t>
  </si>
  <si>
    <t>PAGINA: 1 DE 8</t>
  </si>
  <si>
    <t>Total Ventas Mensual</t>
  </si>
  <si>
    <t>Total facturado mensual</t>
  </si>
  <si>
    <t>Total radicado</t>
  </si>
  <si>
    <t>% Cumplimiento Facturado</t>
  </si>
  <si>
    <t>% Cumplimiento Radicado</t>
  </si>
  <si>
    <t xml:space="preserve">Informes de Facturación </t>
  </si>
  <si>
    <t>Total ventas/ Total Facturado</t>
  </si>
  <si>
    <t>Total Facturado/ Total Radicado</t>
  </si>
  <si>
    <t>Líder de Contabilidad y Líder de Facturación</t>
  </si>
  <si>
    <t>Contabilidad Facturación</t>
  </si>
  <si>
    <t xml:space="preserve">% Cumplimiento de Facturación y Radicado
</t>
  </si>
  <si>
    <t>Total ventas/ Total Facturado                                                        Total Facturado/ Total Radicado</t>
  </si>
  <si>
    <t>Evaluaciones de Seguimiento</t>
  </si>
  <si>
    <t>Semestral</t>
  </si>
  <si>
    <t>Almacén, Asistencia Técnica</t>
  </si>
  <si>
    <t>Auxiliar de almacén, Asesor Quirúrgico</t>
  </si>
  <si>
    <t>Reportes de Tecnivigilancia</t>
  </si>
  <si>
    <t>No. De Reportes presentados/ No. De Reportes Notificacos al INVIMA</t>
  </si>
  <si>
    <t>Formato de Eventos o Incidentes Adversos</t>
  </si>
  <si>
    <t>No. De Reportes presentados</t>
  </si>
  <si>
    <t>No. De Reportes Notificacos al INVIMA</t>
  </si>
  <si>
    <t>% de Cumplimiento (100%)</t>
  </si>
  <si>
    <t xml:space="preserve">Ventas - Cuentas por pagar - Gastos </t>
  </si>
  <si>
    <t>Ingresos</t>
  </si>
  <si>
    <t>Gastos</t>
  </si>
  <si>
    <t>Costo</t>
  </si>
  <si>
    <t>Utilidad (&gt;1,000,000,000)</t>
  </si>
  <si>
    <t>Utilidad Mensual</t>
  </si>
  <si>
    <t>CODIGO: FOR-GC-011</t>
  </si>
  <si>
    <t>Primer Semestre</t>
  </si>
  <si>
    <t>Segundo Semestre</t>
  </si>
  <si>
    <t>MATRIZ DE DESPLIEGUE DE POLÍTICA DE CALIDAD DE BIOSTEEL DE COLOMBIA</t>
  </si>
  <si>
    <t>Calificación (&gt;4.5)</t>
  </si>
  <si>
    <t>&gt;4.5</t>
  </si>
  <si>
    <t>N/A</t>
  </si>
  <si>
    <t xml:space="preserve">No. De Reportes Notificados al INVIMA / No. De Reportes Presentados * 100 </t>
  </si>
  <si>
    <t>ENERO</t>
  </si>
  <si>
    <t>FEBRERO</t>
  </si>
  <si>
    <t>MARZO</t>
  </si>
  <si>
    <t>ABRIL</t>
  </si>
  <si>
    <t>MAYO</t>
  </si>
  <si>
    <t>JUNIO</t>
  </si>
  <si>
    <t>JULIO</t>
  </si>
  <si>
    <t>AGOSTO</t>
  </si>
  <si>
    <t>SEPTIEMBRE</t>
  </si>
  <si>
    <t>OCTUBRE</t>
  </si>
  <si>
    <t>NOVIEMBRE</t>
  </si>
  <si>
    <t>DICIEMBRE</t>
  </si>
  <si>
    <t>Facturas Anuladas</t>
  </si>
  <si>
    <t>Facturas anuladas/ Facturas Generadas</t>
  </si>
  <si>
    <t>Cuadro de Control Facturas</t>
  </si>
  <si>
    <t>Facturas Glosadas por EPS/ Facturas Generadas a EPS</t>
  </si>
  <si>
    <t>&lt;5%</t>
  </si>
  <si>
    <t>% Facturas Anuladas</t>
  </si>
  <si>
    <t>% Facturas Glosadas por EPS</t>
  </si>
  <si>
    <t>Facturas Generadas</t>
  </si>
  <si>
    <t>% de Cumplimiento (&lt;5%)</t>
  </si>
  <si>
    <t>Facturas Glosadas/ Facturas Generadas a EPS</t>
  </si>
  <si>
    <t>Notificaciones de Glosas</t>
  </si>
  <si>
    <t>Facturas Glosadas</t>
  </si>
  <si>
    <t>% de Cumplimiento (&lt;30%)</t>
  </si>
  <si>
    <t>&lt;30%</t>
  </si>
  <si>
    <t>Reportes de Tecnovigilancia</t>
  </si>
  <si>
    <t>Responsable: Coordinador Logistico</t>
  </si>
  <si>
    <t>Responsable: Coordinador Logistico  y Coordinador Asistencial</t>
  </si>
  <si>
    <t>(No. De evaluaciones recibidas satisfactoriamente/ No. De muestras verificadas)</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</si>
  <si>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</si>
  <si>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Coordinador Logistico</t>
  </si>
  <si>
    <t>% de cumplimiento de radicado (&gt;95%)</t>
  </si>
  <si>
    <t>% de cumplimiento de facturación (&gt;90%)</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</si>
  <si>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</si>
  <si>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</si>
  <si>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</si>
  <si>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</si>
  <si>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</si>
  <si>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 xml:space="preserve">Atención a Quejas, Reclamos y/o Sugerencias  </t>
  </si>
  <si>
    <t>No. Quejas, reclamos o sugerencias recibidos = a No. De quejas y reclamos atendidos</t>
  </si>
  <si>
    <t>Formato de quejas, reclamos o sugerencias</t>
  </si>
  <si>
    <t>Coordinador Logistico, Coordinador Asistencial</t>
  </si>
  <si>
    <t>Coordinador Logistico , Coordinador Asistencial, Gerente Administrativo</t>
  </si>
  <si>
    <t xml:space="preserve"> </t>
  </si>
  <si>
    <t>OBJETIVO GENERAL</t>
  </si>
  <si>
    <t>OBJETIVO ESPECIFICO</t>
  </si>
  <si>
    <t>Evaluar el cumplimiento de entrega de las ordenes de compra de dispositivos medicos mediante el informe mensual de compra.</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</si>
  <si>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</si>
  <si>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</si>
  <si>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Verificar el cierre de los planes de Accion generados con el fin de comprobar la eficacia del sistema de Gestion de calidad.</t>
  </si>
  <si>
    <t xml:space="preserve">Verificar el cumplimiento del presupuesto,conocer la utilidad generada y comparar lo vendido con lo radicado con el fin de conocer el estado financiero de la Organización. </t>
  </si>
  <si>
    <t>Verificar el cumplimiento y eficacia  del plan de formacion por medio de la evaluacion de capacitacion, la cual nos permita disponer de un personal con mayor nivel de cualificacion para desempeñar las actividades comprometidas en el sistema de gestion.</t>
  </si>
  <si>
    <t>Analizar el cumpliento de nuestros proveedores a traves de un seguimiento mensual para determinar el desempeño con la empresa y consolidar la relacion con el proveedor, creando acuerdos para adquirir beneficios mutuos.</t>
  </si>
  <si>
    <t>Conocer el grado de aceptacion de nuestros clientes mediante la encuesta de satisfaccion con la finalidad de fortalecer las relaciones comerciales, brindandoles credibilidad en la comercializacion de nuestros productos y la prestacion de un buen servicio.</t>
  </si>
  <si>
    <t>Responsable:  Lider de Gestion Humana</t>
  </si>
  <si>
    <t xml:space="preserve">No. De ordenes de compra totales </t>
  </si>
  <si>
    <t>MESES</t>
  </si>
  <si>
    <t>ANALISIS DE INDICADORES</t>
  </si>
  <si>
    <t>Almacen
Coordinador Logistico</t>
  </si>
  <si>
    <t>Asistencia Tecnica
Coordinador Asistencial</t>
  </si>
  <si>
    <t>Tecnovigilancia
Coordinador Asistencial</t>
  </si>
  <si>
    <t>Sistema de Gestion de Calidad
Coordinador de Calidad</t>
  </si>
  <si>
    <t>Contabilidad
Lider de Contabilidad</t>
  </si>
  <si>
    <t>Facturación
Lider de Facturación</t>
  </si>
  <si>
    <t>Gestion Humana
Lider de Gestión Humana</t>
  </si>
  <si>
    <t>Evaluación de Cumplimiento Proveedores</t>
  </si>
  <si>
    <t>% Cotizaciones Aprobadas/facturadas</t>
  </si>
  <si>
    <t>Cotizaciones Generadas/ Cotizaciones Facturadas</t>
  </si>
  <si>
    <t xml:space="preserve">Cotizaciones Generadas </t>
  </si>
  <si>
    <t>Cotizaciones Facturadas</t>
  </si>
  <si>
    <t>% de Cotizaciones facturadas (&lt;5%)</t>
  </si>
  <si>
    <t>Responsable: Líder de Contabilidad, Líder de Facturación y Coordinador Logistico</t>
  </si>
  <si>
    <t>En el mes de Enero del 2018 se cumplió el indicador de evaluación de cumplimiento de proveedores, debido a que  cumplieron con los parametros establecidos en la evaluación mensual,</t>
  </si>
  <si>
    <t>En el mes de Febrero del 2018 se cumplió el indicador de evaluación de cumplimiento de proveedores, debido a que  cumplieron con los parametros establecidos en la evaluación mensual,</t>
  </si>
  <si>
    <t>En el mes de Febrero de 2018 se cumplió con el indicador de compras debido a que los proveedores fueron oportunos en los tiempos de entrega.</t>
  </si>
  <si>
    <t>En el mes de Enero de 2018 se cumplió con el indicador de compras debido a que los proveedores fueron oportunos en los tiempos de entrega.</t>
  </si>
  <si>
    <t>En el mes de Enero de 2018 se cumplió con el indicador de cumplimiento de especificaciones tecnicas porque los dispositivos fueron recibidos en optimas condiciones.</t>
  </si>
  <si>
    <t>En el mes de Febrero de 2018 se cumplió con el indicador de cumplimiento de especificaciones tecnicas porque los dispositivos fueron recibidos en optimas condiciones.</t>
  </si>
  <si>
    <t>En el mes de enero no se genero, quejas, sugerencias o reclamos.</t>
  </si>
  <si>
    <t>En el mes de febrero no se ejecutaron, quejas, sugerencias o reclamos.</t>
  </si>
  <si>
    <t>En el mes de Enero del 2018 no se objetaron facturas por glosas.</t>
  </si>
  <si>
    <t>En el mes de Febrero del 2018 no se objetaron facturas por glosas.</t>
  </si>
  <si>
    <t>En el mes de Enero del 2018 se cumplio con el indicador de Anuladas ya que no hubo un alto nivel de error en las facturas Generadas</t>
  </si>
  <si>
    <t>En el mes de Febrero del 2018 se cumplio con el indicador de Anuladas ya que no hubo un alto nivel de error en las facturas Generadas</t>
  </si>
  <si>
    <t>En el mes de Enero del 2018 se cumplio con el indicador de lo facturado ya que lo vendido del mes en curso se facturo teniendo en cuenta los cortes de cierre. se cumplio el indicador de lo Radicado ya que quedaron tres relaciones radicadas con fecha del mes siguiente por parte de las Ips.</t>
  </si>
  <si>
    <t>En el mes de Febrero del 2018 se cumplio con el indicador de lo facturado ya que se facturo lo vendido del mes en curso y lo pendiente del mes anterior. se cumplio el indicador de lo Radicado ya que quedo una relacion radicada con fecha del mes siguiente por parte de las Ips.</t>
  </si>
  <si>
    <t>Responsable: Coordinador de Calidad</t>
  </si>
  <si>
    <t>En el mes de Marzo del 2018 no se cumplio con el indicador de lo facturado ya que en el mes se  suspendieron labores 4 dias festivos religiosos. No se cumplio el indicador de lo Radicado ya que quedaron dos relaciones radicadas con fecha del mes siguiente por parte de las Ips.</t>
  </si>
  <si>
    <t>En el mes de Marzo del 2018 se cumplio con el indicador de Anuladas ya que no hubo un alto nivel de error en las facturas Generadas</t>
  </si>
  <si>
    <t>En el mes de marzo del 2018 no se objetaron facturas por glosas.</t>
  </si>
  <si>
    <t>En el mes de Enero de 2018 se cumplio el presupuesto porque  se recaudo lo esperado para este mes</t>
  </si>
  <si>
    <t>En el mes de Febrero de 2018 se cumplio el presupuesto porque  se recaudo lo esperado para este mes</t>
  </si>
  <si>
    <t>En el mes de Marzo de 2018 se cumplio el presupuesto porque  se recaudo lo esperado para este mes</t>
  </si>
  <si>
    <t>En el mes deEnero se cumplio con el indicador, ya que el servicio fue oportuno,, tanto por la asesoria quirurgica como por el material utilizado.</t>
  </si>
  <si>
    <t>En el mes de febrero  se alcanzaron los objetivos propuestos en nuestros indicadores , teniendo buen servicio, cumpliendo con buenas condiciones del material y prestando buenas asesorias quirurgicas.</t>
  </si>
  <si>
    <t>En el mes de marzo, se logro mantener el buen servicio, tannto en el material como en la prestacion de asesorias quirurgicas.</t>
  </si>
  <si>
    <t>En el mes de Marzo de 2018 se cumplió con el indicador de cumplimiento de especificaciones tecnicas porque los dispositivos fueron recibidos en optimas condiciones.</t>
  </si>
  <si>
    <t>En el mes de Marzo del 2018 se cumplió el indicador de evaluación de cumplimiento de proveedores, debido a que  cumplieron con los parametros establecidos en la evaluación mensual,</t>
  </si>
  <si>
    <t>En el mes de Abril del 2018 se cumplió el indicador de evaluación de cumplimiento de proveedores, debido a que  cumplieron con los parametros establecidos en la evaluación mensual,</t>
  </si>
  <si>
    <t>En el mes de Marzo de 2018 se cumplió con el indicador de compras debido a que los proveedores fueron oportunos en los tiempos de entrega.</t>
  </si>
  <si>
    <t>En el mes de Abril de 2018 se cumplió con el indicador de compras debido a que los proveedores fueron oportunos en los tiempos de entrega.</t>
  </si>
  <si>
    <t>En el mes de marzo tuvimos dos queja y una sugerencia por parte de dos especialista, los cuales se hizo su respectiva accion correctiva para mantener el buen servicio que se ha presentado en meses anteriores.</t>
  </si>
  <si>
    <t>En el mes de Abril del 2018 se cumplio con el indicador de lo facturado ya que se facturo lo vendido del mes en curso y lo pendiente del mes anterior. se cumplio el indicador de lo Radicado ya que quedaron dos relacion radicada con fecha del mes siguiente por parte de la Ips Baru.</t>
  </si>
  <si>
    <t>En el mes de Abril del 2018 se cumplio con el indicador de Anuladas ya que no hubo un alto nivel de error en las facturas Generadas</t>
  </si>
  <si>
    <t>En el mes de Abril del 2018 no se objetaron facturas por glosas.</t>
  </si>
  <si>
    <t>Habilidad Soporte Técnico (&gt;4.5)</t>
  </si>
  <si>
    <t>Condiciones del Material Utilizado (&gt;4.5)</t>
  </si>
  <si>
    <t>Cumplimiento del servicio (&gt;4.5)</t>
  </si>
  <si>
    <t>En el mes de Abril de 2018 se cumplió con el indicador de cumplimiento de especificaciones tecnicas porque los dispositivos fueron recibidos en optimas condiciones.</t>
  </si>
  <si>
    <t>En el mes de abril, no se se recepciono quejas reclamos o sugerencias.</t>
  </si>
  <si>
    <t>En el mes de Abril se cumplio con el indicador, ya que el servicio fue oportuno,, tanto por la asesoria quirurgica como por el material utilizado.</t>
  </si>
  <si>
    <t>En el mes de mayo se cumplio con el indicador, ya que el servicio fue oportuno,, tanto por la asesoria quirurgica como por el material utilizado.</t>
  </si>
  <si>
    <t>En el mes de Mayo del 2018 se cumplio con el indicador de lo facturado ya que se facturo lo vendido del mes en curso y lo pendiente del mes anterior. se cumplio el indicador de lo Radicado ya que quedó una relacion radicada con fecha del mes siguiente por parte de la Ips Odontotrans.</t>
  </si>
  <si>
    <t>En el mes de Mayo del 2018 se cumplio con el indicador de Anuladas ya que no hubo un alto nivel de error en las facturas Generadas</t>
  </si>
  <si>
    <t>En el mes de Mayo del 2018 no se objetaron facturas por glosas.</t>
  </si>
  <si>
    <t>Durante el primer trimestre del 2018 no se presentó ningún evento, ni incidente adverso y sto fue notificado al INVIMA.</t>
  </si>
  <si>
    <t>En el mes de Mayo de 2018 se cumplió con el indicador de compras debido a que los proveedores fueron oportunos en los tiempos de entrega.</t>
  </si>
  <si>
    <t>En el mes de Mayo de 2018 se cumplió con el indicador de cumplimiento de especificaciones tecnicas porque los dispositivos fueron recibidos en optimas condiciones.</t>
  </si>
  <si>
    <t>En el mes de Mayo del 2018 se cumplió el indicador de evaluación de cumplimiento de proveedores, debido a que  cumplieron con los parametros establecidos en la evaluación mensual,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</si>
</sst>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4" formatCode="_ &quot;$&quot;\ * #,##0.00_ ;_ &quot;$&quot;\ * \-#,##0.00_ ;_ &quot;$&quot;\ * &quot;-&quot;??_ ;_ @_ "/>
    <numFmt numFmtId="43" formatCode="_ * #,##0.00_ ;_ * \-#,##0.00_ ;_ * &quot;-&quot;??_ ;_ @_ "/>
    <numFmt numFmtId="164" formatCode="0.0"/>
    <numFmt numFmtId="165" formatCode="_ * #,##0_ ;_ * \-#,##0_ ;_ * &quot;-&quot;??_ ;_ @_ "/>
    <numFmt numFmtId="166" formatCode="_-* #,##0.00\ _$_-;\-* #,##0.00\ _$_-;_-* &quot;-&quot;??\ _$_-;_-@_-"/>
  </numFmts>
  <fonts count="33">
    <font>
      <sz val="11"/>
      <color theme="1"/>
      <name val="Calibri"/>
      <family val="2"/>
      <scheme val="minor"/>
    </font>
    <font>
      <sz val="12"/>
      <color theme="1"/>
      <name val="Tahoma"/>
      <family val="2"/>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8"/>
      <color theme="1"/>
      <name val="Calibri"/>
      <family val="2"/>
      <scheme val="minor"/>
    </font>
    <font>
      <b/>
      <sz val="11"/>
      <color theme="1"/>
      <name val="Calibri"/>
      <family val="2"/>
      <scheme val="minor"/>
    </font>
    <font>
      <sz val="12"/>
      <color theme="1"/>
      <name val="Calibri"/>
      <family val="2"/>
      <scheme val="minor"/>
    </font>
    <font>
      <sz val="10"/>
      <name val="Calibri"/>
      <family val="2"/>
      <scheme val="minor"/>
    </font>
    <font>
      <b/>
      <sz val="18"/>
      <color theme="3"/>
      <name val="Cambria"/>
      <family val="2"/>
      <scheme val="major"/>
    </font>
    <font>
      <sz val="10"/>
      <name val="Verdana   "/>
    </font>
    <font>
      <sz val="10"/>
      <name val="Verdana"/>
      <family val="2"/>
    </font>
    <font>
      <sz val="10"/>
      <color indexed="8"/>
      <name val="MS Sans Serif"/>
      <family val="2"/>
    </font>
    <font>
      <sz val="11"/>
      <color theme="0"/>
      <name val="Calibri"/>
      <family val="2"/>
      <scheme val="minor"/>
    </font>
    <font>
      <sz val="11"/>
      <color rgb="FF006100"/>
      <name val="Calibri"/>
      <family val="2"/>
      <scheme val="minor"/>
    </font>
    <font>
      <b/>
      <sz val="11"/>
      <color rgb="FFFA7D0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0"/>
      <name val="Calibri"/>
      <family val="2"/>
      <scheme val="minor"/>
    </font>
    <font>
      <sz val="10"/>
      <color indexed="8"/>
      <name val="MS Sans Serif"/>
      <family val="2"/>
    </font>
    <font>
      <b/>
      <sz val="15.95"/>
      <color indexed="8"/>
      <name val="Times New Roman"/>
      <family val="1"/>
    </font>
    <font>
      <sz val="8"/>
      <name val="Calibri"/>
      <family val="2"/>
      <scheme val="minor"/>
    </font>
    <font>
      <sz val="8"/>
      <color theme="1"/>
      <name val="Calibri"/>
      <family val="2"/>
      <scheme val="minor"/>
    </font>
    <font>
      <b/>
      <sz val="48"/>
      <color theme="0"/>
      <name val="Calibri"/>
      <family val="2"/>
      <scheme val="minor"/>
    </font>
    <font>
      <b/>
      <sz val="10"/>
      <color theme="1"/>
      <name val="Calibri"/>
      <family val="2"/>
      <scheme val="minor"/>
    </font>
  </fonts>
  <fills count="37">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05">
    <xf numFmtId="0" fontId="0" fillId="0" borderId="0"/>
    <xf numFmtId="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10" fillId="0" borderId="0" applyNumberFormat="0" applyFill="0" applyBorder="0" applyAlignment="0" applyProtection="0"/>
    <xf numFmtId="0" fontId="1" fillId="0" borderId="0"/>
    <xf numFmtId="0" fontId="2" fillId="0" borderId="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13" fillId="0" borderId="0"/>
    <xf numFmtId="0" fontId="11" fillId="0" borderId="0"/>
    <xf numFmtId="0" fontId="11" fillId="0" borderId="0"/>
    <xf numFmtId="0" fontId="11" fillId="0" borderId="0"/>
    <xf numFmtId="0" fontId="13" fillId="0" borderId="0"/>
    <xf numFmtId="0" fontId="13" fillId="0" borderId="0"/>
    <xf numFmtId="0" fontId="11" fillId="0" borderId="0"/>
    <xf numFmtId="0" fontId="13" fillId="0" borderId="0"/>
    <xf numFmtId="0" fontId="13" fillId="0" borderId="0"/>
    <xf numFmtId="0" fontId="2" fillId="0" borderId="0"/>
    <xf numFmtId="0" fontId="11" fillId="0" borderId="0"/>
    <xf numFmtId="0" fontId="11" fillId="0" borderId="0"/>
    <xf numFmtId="0" fontId="11" fillId="0" borderId="0"/>
    <xf numFmtId="0" fontId="13" fillId="0" borderId="0"/>
    <xf numFmtId="0" fontId="12" fillId="0" borderId="0"/>
    <xf numFmtId="0" fontId="12" fillId="0" borderId="0"/>
    <xf numFmtId="0" fontId="13" fillId="0" borderId="0"/>
    <xf numFmtId="0" fontId="2" fillId="0" borderId="0"/>
    <xf numFmtId="0" fontId="2" fillId="0" borderId="0"/>
    <xf numFmtId="0" fontId="1" fillId="0" borderId="0"/>
    <xf numFmtId="0" fontId="13" fillId="0" borderId="0"/>
    <xf numFmtId="0" fontId="2" fillId="0" borderId="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27" fillId="0" borderId="0"/>
    <xf numFmtId="166" fontId="28" fillId="0" borderId="0" applyFont="0" applyFill="0" applyBorder="0" applyAlignment="0" applyProtection="0"/>
    <xf numFmtId="0" fontId="13" fillId="0" borderId="0"/>
  </cellStyleXfs>
  <cellXfs count="236">
    <xf numFmtId="0" fontId="0" fillId="0" borderId="0" xfId="0"/>
    <xf numFmtId="0" fontId="0" fillId="0" borderId="0" xfId="0" applyFont="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2" xfId="0" applyFont="1" applyFill="1" applyBorder="1" applyAlignment="1">
      <alignment horizontal="center" vertical="center"/>
    </xf>
    <xf numFmtId="9" fontId="0" fillId="0" borderId="0" xfId="1" applyFont="1"/>
    <xf numFmtId="0" fontId="3" fillId="2" borderId="10" xfId="0" applyFont="1" applyFill="1" applyBorder="1" applyAlignment="1">
      <alignment horizontal="center" vertical="center"/>
    </xf>
    <xf numFmtId="0" fontId="3" fillId="2" borderId="1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xf>
    <xf numFmtId="9" fontId="5" fillId="3" borderId="12" xfId="0" applyNumberFormat="1" applyFont="1" applyFill="1" applyBorder="1" applyAlignment="1">
      <alignment horizontal="center" vertical="center"/>
    </xf>
    <xf numFmtId="164" fontId="5" fillId="3" borderId="12" xfId="0" applyNumberFormat="1" applyFont="1" applyFill="1" applyBorder="1" applyAlignment="1">
      <alignment horizontal="center" vertical="center"/>
    </xf>
    <xf numFmtId="0" fontId="0" fillId="3" borderId="10" xfId="0" applyFont="1" applyFill="1" applyBorder="1" applyAlignment="1">
      <alignment horizontal="center" vertical="center" wrapText="1"/>
    </xf>
    <xf numFmtId="0" fontId="0" fillId="3" borderId="0" xfId="0" applyFont="1" applyFill="1" applyAlignment="1">
      <alignment horizontal="center" vertical="center" wrapText="1"/>
    </xf>
    <xf numFmtId="0" fontId="0" fillId="3" borderId="12" xfId="0" applyFont="1" applyFill="1" applyBorder="1" applyAlignment="1">
      <alignment horizontal="center" vertical="center" wrapText="1"/>
    </xf>
    <xf numFmtId="0" fontId="0" fillId="0" borderId="4" xfId="0" applyBorder="1"/>
    <xf numFmtId="0" fontId="0" fillId="0" borderId="6" xfId="0" applyBorder="1"/>
    <xf numFmtId="0" fontId="0" fillId="0" borderId="12" xfId="0" applyBorder="1"/>
    <xf numFmtId="0" fontId="0" fillId="4" borderId="12" xfId="0" applyFill="1" applyBorder="1"/>
    <xf numFmtId="9" fontId="0" fillId="0" borderId="12" xfId="1" applyFont="1" applyBorder="1"/>
    <xf numFmtId="0" fontId="0" fillId="2" borderId="0" xfId="0" applyFill="1" applyBorder="1" applyAlignment="1">
      <alignment vertical="center"/>
    </xf>
    <xf numFmtId="0" fontId="0" fillId="2" borderId="0" xfId="0" applyFill="1" applyBorder="1" applyAlignment="1">
      <alignment horizontal="left" wrapText="1"/>
    </xf>
    <xf numFmtId="0" fontId="0" fillId="2" borderId="0" xfId="0" applyFill="1"/>
    <xf numFmtId="0" fontId="0" fillId="4" borderId="13" xfId="0" applyFill="1" applyBorder="1"/>
    <xf numFmtId="0" fontId="0" fillId="0" borderId="0" xfId="0" applyBorder="1"/>
    <xf numFmtId="0" fontId="7" fillId="0" borderId="12" xfId="0" applyFont="1" applyBorder="1" applyAlignment="1">
      <alignment vertical="center"/>
    </xf>
    <xf numFmtId="0" fontId="8" fillId="0" borderId="0" xfId="0" applyFont="1" applyFill="1" applyBorder="1"/>
    <xf numFmtId="0" fontId="0" fillId="0" borderId="5" xfId="0" applyBorder="1"/>
    <xf numFmtId="0" fontId="8" fillId="0" borderId="4" xfId="0" applyFont="1" applyFill="1" applyBorder="1"/>
    <xf numFmtId="0" fontId="0" fillId="0" borderId="8" xfId="0" applyBorder="1"/>
    <xf numFmtId="0" fontId="0" fillId="0" borderId="7" xfId="0" applyBorder="1"/>
    <xf numFmtId="2" fontId="0" fillId="2" borderId="0" xfId="0" applyNumberFormat="1" applyFill="1" applyBorder="1" applyAlignment="1">
      <alignment horizontal="left" wrapText="1"/>
    </xf>
    <xf numFmtId="2" fontId="3" fillId="2" borderId="12" xfId="0" applyNumberFormat="1" applyFont="1" applyFill="1" applyBorder="1" applyAlignment="1">
      <alignment horizontal="center" vertical="center" wrapText="1"/>
    </xf>
    <xf numFmtId="2" fontId="0" fillId="0" borderId="0" xfId="0" applyNumberFormat="1" applyBorder="1"/>
    <xf numFmtId="2" fontId="0" fillId="0" borderId="8" xfId="0" applyNumberFormat="1" applyBorder="1"/>
    <xf numFmtId="2" fontId="0" fillId="0" borderId="0" xfId="0" applyNumberFormat="1"/>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9" fontId="0" fillId="0" borderId="12" xfId="1" applyFont="1" applyBorder="1" applyAlignment="1">
      <alignment horizont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9" fontId="0" fillId="0" borderId="0" xfId="1" applyFont="1" applyBorder="1" applyAlignment="1">
      <alignment horizontal="center"/>
    </xf>
    <xf numFmtId="0" fontId="0" fillId="0" borderId="4" xfId="0" applyFill="1" applyBorder="1"/>
    <xf numFmtId="44" fontId="0" fillId="0" borderId="0" xfId="2" applyFont="1" applyFill="1" applyBorder="1" applyAlignment="1">
      <alignment horizontal="right" vertical="center" wrapText="1"/>
    </xf>
    <xf numFmtId="9" fontId="7" fillId="0" borderId="0" xfId="1" applyFont="1" applyFill="1" applyBorder="1" applyAlignment="1">
      <alignment horizontal="center" vertical="center"/>
    </xf>
    <xf numFmtId="3" fontId="7" fillId="0" borderId="0" xfId="1" applyNumberFormat="1" applyFont="1" applyFill="1" applyBorder="1" applyAlignment="1">
      <alignment horizontal="center" vertical="center"/>
    </xf>
    <xf numFmtId="0" fontId="7" fillId="0" borderId="13" xfId="0" applyFont="1" applyBorder="1" applyAlignment="1">
      <alignment vertical="center"/>
    </xf>
    <xf numFmtId="41" fontId="7" fillId="0" borderId="12" xfId="2" applyNumberFormat="1" applyFont="1" applyFill="1" applyBorder="1" applyAlignment="1">
      <alignment horizontal="center" vertical="center"/>
    </xf>
    <xf numFmtId="41" fontId="0" fillId="0" borderId="12" xfId="2" applyNumberFormat="1" applyFont="1" applyFill="1" applyBorder="1" applyAlignment="1">
      <alignment horizontal="right" vertical="center" wrapText="1"/>
    </xf>
    <xf numFmtId="9" fontId="0" fillId="3" borderId="12" xfId="0" applyNumberFormat="1" applyFont="1" applyFill="1" applyBorder="1" applyAlignment="1">
      <alignment horizontal="center" vertical="center"/>
    </xf>
    <xf numFmtId="0" fontId="5" fillId="3" borderId="12" xfId="0" applyFont="1" applyFill="1" applyBorder="1" applyAlignment="1">
      <alignment horizontal="center" vertical="center" wrapText="1"/>
    </xf>
    <xf numFmtId="164" fontId="0" fillId="0" borderId="12" xfId="0" applyNumberFormat="1" applyBorder="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1" fontId="0" fillId="0" borderId="12" xfId="0" applyNumberFormat="1" applyBorder="1" applyAlignment="1">
      <alignment horizontal="center"/>
    </xf>
    <xf numFmtId="1" fontId="0" fillId="0" borderId="0" xfId="0" applyNumberFormat="1" applyBorder="1" applyAlignment="1">
      <alignment horizontal="center"/>
    </xf>
    <xf numFmtId="9" fontId="0" fillId="0" borderId="0" xfId="1" applyFont="1" applyBorder="1"/>
    <xf numFmtId="9" fontId="5" fillId="3" borderId="12" xfId="1"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165" fontId="0" fillId="0" borderId="12" xfId="3" applyNumberFormat="1" applyFont="1" applyBorder="1"/>
    <xf numFmtId="165" fontId="0" fillId="0" borderId="12" xfId="0" applyNumberFormat="1" applyBorder="1"/>
    <xf numFmtId="41" fontId="3" fillId="2" borderId="15" xfId="0" applyNumberFormat="1" applyFont="1" applyFill="1" applyBorder="1" applyAlignment="1">
      <alignment horizontal="center" vertical="center" wrapText="1"/>
    </xf>
    <xf numFmtId="41" fontId="0" fillId="3" borderId="12" xfId="0" applyNumberFormat="1" applyFont="1" applyFill="1" applyBorder="1" applyAlignment="1">
      <alignment horizontal="center" vertical="center"/>
    </xf>
    <xf numFmtId="0" fontId="5" fillId="3" borderId="0" xfId="0" applyFont="1" applyFill="1" applyAlignment="1">
      <alignment horizontal="center" vertical="center"/>
    </xf>
    <xf numFmtId="0" fontId="0" fillId="2" borderId="4" xfId="0" applyFill="1" applyBorder="1" applyAlignment="1">
      <alignment vertical="center"/>
    </xf>
    <xf numFmtId="0" fontId="0" fillId="2" borderId="0" xfId="0" applyFill="1" applyBorder="1"/>
    <xf numFmtId="0" fontId="0" fillId="2" borderId="5" xfId="0" applyFill="1" applyBorder="1"/>
    <xf numFmtId="44" fontId="0" fillId="0" borderId="0" xfId="0" applyNumberFormat="1"/>
    <xf numFmtId="41" fontId="0" fillId="0" borderId="0" xfId="0" applyNumberFormat="1" applyBorder="1" applyAlignment="1">
      <alignment horizontal="center" vertical="center" wrapText="1"/>
    </xf>
    <xf numFmtId="1" fontId="0" fillId="0" borderId="12" xfId="1" applyNumberFormat="1" applyFont="1" applyBorder="1" applyAlignment="1">
      <alignment horizont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5" borderId="0" xfId="0" applyFont="1" applyFill="1"/>
    <xf numFmtId="0" fontId="0" fillId="5" borderId="0" xfId="0" applyFill="1"/>
    <xf numFmtId="49" fontId="0" fillId="3" borderId="12" xfId="0" applyNumberFormat="1" applyFont="1" applyFill="1" applyBorder="1" applyAlignment="1">
      <alignment horizontal="center" vertical="center"/>
    </xf>
    <xf numFmtId="164" fontId="0" fillId="3" borderId="12" xfId="0" applyNumberFormat="1" applyFont="1" applyFill="1" applyBorder="1" applyAlignment="1">
      <alignment horizontal="center" vertical="center"/>
    </xf>
    <xf numFmtId="0" fontId="0" fillId="3" borderId="12" xfId="0" applyFill="1" applyBorder="1" applyAlignment="1">
      <alignment horizontal="center" vertical="center"/>
    </xf>
    <xf numFmtId="9" fontId="0" fillId="3" borderId="12" xfId="0" applyNumberFormat="1" applyFill="1" applyBorder="1" applyAlignment="1">
      <alignment horizontal="center" vertical="center"/>
    </xf>
    <xf numFmtId="1" fontId="0" fillId="3" borderId="12" xfId="0" applyNumberFormat="1" applyFont="1" applyFill="1" applyBorder="1" applyAlignment="1">
      <alignment horizontal="center" vertical="center"/>
    </xf>
    <xf numFmtId="164" fontId="0" fillId="3" borderId="12" xfId="2" applyNumberFormat="1" applyFont="1" applyFill="1" applyBorder="1" applyAlignment="1">
      <alignment horizontal="center" vertical="center"/>
    </xf>
    <xf numFmtId="0" fontId="8" fillId="0" borderId="6" xfId="0" applyFont="1" applyFill="1" applyBorder="1"/>
    <xf numFmtId="0" fontId="3" fillId="2" borderId="13" xfId="0" applyFont="1" applyFill="1" applyBorder="1" applyAlignment="1">
      <alignment horizontal="center" vertical="center" wrapText="1"/>
    </xf>
    <xf numFmtId="165" fontId="2" fillId="0" borderId="12" xfId="132" applyNumberFormat="1" applyFont="1" applyBorder="1" applyProtection="1">
      <protection locked="0"/>
    </xf>
    <xf numFmtId="165" fontId="26" fillId="0" borderId="12" xfId="132" applyNumberFormat="1" applyFont="1" applyBorder="1"/>
    <xf numFmtId="0" fontId="0" fillId="0" borderId="12" xfId="0" applyBorder="1" applyAlignment="1">
      <alignment horizontal="center"/>
    </xf>
    <xf numFmtId="0" fontId="0" fillId="0" borderId="12" xfId="0" applyBorder="1" applyAlignment="1">
      <alignment horizontal="center"/>
    </xf>
    <xf numFmtId="0" fontId="0" fillId="0" borderId="12" xfId="0" applyBorder="1" applyAlignment="1">
      <alignment horizontal="center"/>
    </xf>
    <xf numFmtId="0" fontId="3" fillId="2" borderId="10"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0" borderId="12" xfId="0" applyBorder="1" applyAlignment="1">
      <alignment horizontal="center"/>
    </xf>
    <xf numFmtId="165" fontId="0" fillId="0" borderId="0" xfId="0" applyNumberFormat="1"/>
    <xf numFmtId="0" fontId="7" fillId="0" borderId="4" xfId="0" applyFont="1" applyBorder="1" applyAlignment="1">
      <alignment vertical="center"/>
    </xf>
    <xf numFmtId="0" fontId="7" fillId="0" borderId="0" xfId="0" applyFont="1" applyAlignment="1">
      <alignment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5" fillId="0" borderId="12" xfId="0" applyFont="1" applyFill="1" applyBorder="1" applyAlignment="1">
      <alignment vertical="center" wrapText="1"/>
    </xf>
    <xf numFmtId="0" fontId="29" fillId="0" borderId="12" xfId="0" applyFont="1" applyFill="1" applyBorder="1" applyAlignment="1">
      <alignment vertical="center" wrapText="1"/>
    </xf>
    <xf numFmtId="0" fontId="30" fillId="0" borderId="0" xfId="0" applyFont="1"/>
    <xf numFmtId="0" fontId="0" fillId="0" borderId="12" xfId="0" applyBorder="1" applyAlignment="1">
      <alignment horizontal="center" vertical="center"/>
    </xf>
    <xf numFmtId="0" fontId="0" fillId="0" borderId="0" xfId="0" applyAlignment="1">
      <alignment horizontal="center" vertical="center"/>
    </xf>
    <xf numFmtId="0" fontId="0" fillId="5" borderId="0" xfId="0" applyFill="1" applyBorder="1"/>
    <xf numFmtId="0" fontId="0" fillId="5" borderId="5" xfId="0" applyFill="1" applyBorder="1"/>
    <xf numFmtId="0" fontId="7" fillId="0" borderId="0" xfId="0" applyFont="1" applyBorder="1" applyAlignment="1">
      <alignment vertical="center"/>
    </xf>
    <xf numFmtId="0" fontId="7" fillId="0" borderId="1" xfId="0" applyFont="1" applyBorder="1" applyAlignment="1">
      <alignment vertical="center"/>
    </xf>
    <xf numFmtId="0" fontId="0" fillId="5" borderId="8" xfId="0" applyFill="1" applyBorder="1"/>
    <xf numFmtId="0" fontId="0" fillId="5" borderId="7" xfId="0" applyFill="1" applyBorder="1"/>
    <xf numFmtId="0" fontId="3" fillId="2" borderId="12" xfId="0" applyFont="1" applyFill="1" applyBorder="1" applyAlignment="1">
      <alignment vertical="center" wrapText="1"/>
    </xf>
    <xf numFmtId="0" fontId="3" fillId="2" borderId="12" xfId="0" applyFont="1" applyFill="1" applyBorder="1" applyAlignment="1">
      <alignment horizontal="center" vertical="center" textRotation="45"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41" fontId="2" fillId="0" borderId="12" xfId="2" applyNumberFormat="1" applyFont="1" applyFill="1" applyBorder="1" applyAlignment="1">
      <alignment horizontal="center" vertical="center"/>
    </xf>
    <xf numFmtId="0" fontId="0" fillId="0" borderId="12" xfId="0" applyBorder="1" applyAlignment="1">
      <alignment horizontal="center"/>
    </xf>
    <xf numFmtId="0" fontId="5" fillId="0" borderId="12" xfId="0" applyFont="1" applyFill="1" applyBorder="1" applyAlignment="1">
      <alignment horizontal="center" vertical="center" wrapText="1"/>
    </xf>
    <xf numFmtId="0" fontId="9" fillId="0" borderId="12" xfId="0" applyFont="1" applyFill="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165" fontId="26" fillId="0" borderId="12" xfId="132" applyNumberFormat="1" applyFont="1" applyFill="1" applyBorder="1"/>
    <xf numFmtId="0" fontId="0" fillId="0" borderId="12" xfId="0" applyFill="1" applyBorder="1"/>
    <xf numFmtId="0" fontId="7" fillId="0" borderId="1" xfId="0" applyFont="1" applyFill="1" applyBorder="1" applyAlignment="1">
      <alignment horizontal="center" vertical="center" wrapText="1"/>
    </xf>
    <xf numFmtId="0" fontId="7" fillId="0" borderId="12" xfId="0" applyFont="1" applyFill="1" applyBorder="1" applyAlignment="1">
      <alignment vertical="center" wrapText="1"/>
    </xf>
    <xf numFmtId="0" fontId="32" fillId="0" borderId="12" xfId="0" applyFont="1" applyFill="1" applyBorder="1" applyAlignment="1">
      <alignment vertical="center" wrapText="1"/>
    </xf>
    <xf numFmtId="0" fontId="7" fillId="0" borderId="0" xfId="0" applyFont="1"/>
    <xf numFmtId="0" fontId="9" fillId="0" borderId="12" xfId="0" applyFont="1" applyFill="1" applyBorder="1" applyAlignment="1">
      <alignment vertical="center" wrapText="1"/>
    </xf>
    <xf numFmtId="0" fontId="9" fillId="0" borderId="12" xfId="0" applyFont="1" applyFill="1" applyBorder="1" applyAlignment="1">
      <alignment vertical="center" wrapText="1"/>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1"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6" fillId="0" borderId="12" xfId="0" applyFont="1" applyBorder="1" applyAlignment="1">
      <alignment horizontal="center" vertical="center"/>
    </xf>
    <xf numFmtId="0" fontId="9" fillId="3" borderId="12" xfId="0" applyFont="1" applyFill="1" applyBorder="1" applyAlignment="1">
      <alignment horizontal="left" vertical="center" wrapText="1"/>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5" fillId="3" borderId="15"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5" fillId="0" borderId="1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2" borderId="14" xfId="0" applyFill="1" applyBorder="1" applyAlignment="1">
      <alignment horizontal="center"/>
    </xf>
    <xf numFmtId="0" fontId="0" fillId="0" borderId="12" xfId="0" applyBorder="1" applyAlignment="1">
      <alignment horizontal="center"/>
    </xf>
    <xf numFmtId="0" fontId="0" fillId="0" borderId="12" xfId="0" applyBorder="1" applyAlignment="1">
      <alignment horizontal="left"/>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1" xfId="0" applyBorder="1" applyAlignment="1">
      <alignment horizontal="left" wrapText="1"/>
    </xf>
    <xf numFmtId="0" fontId="0" fillId="0" borderId="3" xfId="0" applyBorder="1" applyAlignment="1">
      <alignment horizontal="left" wrapText="1"/>
    </xf>
    <xf numFmtId="0" fontId="0" fillId="0" borderId="2"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2" xfId="0" applyFont="1" applyFill="1" applyBorder="1" applyAlignment="1">
      <alignment horizontal="left" vertical="center" wrapText="1"/>
    </xf>
    <xf numFmtId="0" fontId="3" fillId="5" borderId="0"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0" fillId="2" borderId="12" xfId="0" applyFill="1" applyBorder="1" applyAlignment="1">
      <alignment horizontal="center"/>
    </xf>
    <xf numFmtId="0" fontId="7" fillId="0" borderId="12" xfId="0" applyFont="1" applyBorder="1" applyAlignment="1">
      <alignment horizontal="center" vertical="center"/>
    </xf>
    <xf numFmtId="0" fontId="0" fillId="0" borderId="12" xfId="0" applyBorder="1" applyAlignment="1">
      <alignment horizontal="left" vertical="center" wrapText="1"/>
    </xf>
    <xf numFmtId="0" fontId="5"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7" fillId="0" borderId="3" xfId="0" applyFont="1" applyBorder="1" applyAlignment="1">
      <alignment horizontal="center" vertical="center"/>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9" fontId="0" fillId="0" borderId="13" xfId="1" applyFont="1" applyBorder="1" applyAlignment="1">
      <alignment horizontal="center" vertical="center"/>
    </xf>
    <xf numFmtId="9" fontId="0" fillId="0" borderId="15" xfId="1" applyFont="1" applyBorder="1" applyAlignment="1">
      <alignment horizontal="center" vertical="center"/>
    </xf>
    <xf numFmtId="9" fontId="0" fillId="0" borderId="14" xfId="1" applyFont="1" applyBorder="1" applyAlignment="1">
      <alignment horizontal="center" vertic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5" fillId="0" borderId="9" xfId="0" applyFont="1" applyFill="1" applyBorder="1" applyAlignment="1">
      <alignment horizontal="center" vertical="top" wrapText="1"/>
    </xf>
    <xf numFmtId="0" fontId="5" fillId="0" borderId="11" xfId="0" applyFont="1" applyFill="1" applyBorder="1" applyAlignment="1">
      <alignment horizontal="center" vertical="top" wrapText="1"/>
    </xf>
    <xf numFmtId="0" fontId="5" fillId="0" borderId="10" xfId="0" applyFont="1" applyFill="1" applyBorder="1" applyAlignment="1">
      <alignment horizontal="center" vertical="top" wrapText="1"/>
    </xf>
    <xf numFmtId="0" fontId="0" fillId="0" borderId="12" xfId="0" applyBorder="1" applyAlignment="1">
      <alignment horizontal="left" wrapText="1"/>
    </xf>
    <xf numFmtId="164" fontId="0" fillId="0" borderId="13" xfId="1" applyNumberFormat="1" applyFont="1" applyBorder="1" applyAlignment="1">
      <alignment horizontal="center" vertical="center"/>
    </xf>
    <xf numFmtId="164" fontId="0" fillId="0" borderId="15" xfId="1" applyNumberFormat="1" applyFont="1" applyBorder="1" applyAlignment="1">
      <alignment horizontal="center" vertical="center"/>
    </xf>
    <xf numFmtId="164" fontId="0" fillId="0" borderId="14" xfId="1" applyNumberFormat="1" applyFont="1" applyBorder="1" applyAlignment="1">
      <alignment horizontal="center" vertical="center"/>
    </xf>
    <xf numFmtId="0" fontId="0" fillId="0" borderId="12" xfId="0" applyBorder="1" applyAlignment="1">
      <alignment horizontal="center" wrapText="1"/>
    </xf>
    <xf numFmtId="0" fontId="0" fillId="0" borderId="12" xfId="0" applyBorder="1" applyAlignment="1">
      <alignment horizontal="center" vertical="center"/>
    </xf>
    <xf numFmtId="0" fontId="31" fillId="2" borderId="1" xfId="0" applyFont="1" applyFill="1" applyBorder="1" applyAlignment="1">
      <alignment horizontal="center" vertical="center" wrapText="1"/>
    </xf>
    <xf numFmtId="0" fontId="31" fillId="2" borderId="3" xfId="0" applyFont="1" applyFill="1" applyBorder="1" applyAlignment="1">
      <alignment horizontal="center" vertical="center" wrapText="1"/>
    </xf>
    <xf numFmtId="0" fontId="31" fillId="2" borderId="2" xfId="0" applyFont="1" applyFill="1" applyBorder="1" applyAlignment="1">
      <alignment horizontal="center" vertical="center" wrapText="1"/>
    </xf>
    <xf numFmtId="2" fontId="0" fillId="0" borderId="12" xfId="3" applyNumberFormat="1" applyFont="1" applyBorder="1"/>
    <xf numFmtId="0" fontId="9" fillId="0" borderId="9"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10" xfId="0" applyFont="1" applyFill="1" applyBorder="1" applyAlignment="1">
      <alignment horizontal="center" vertical="center" wrapText="1"/>
    </xf>
  </cellXfs>
  <cellStyles count="205">
    <cellStyle name="20% - Énfasis1 2" xfId="8" xr:uid="{00000000-0005-0000-0000-000000000000}"/>
    <cellStyle name="20% - Énfasis1 3" xfId="9" xr:uid="{00000000-0005-0000-0000-000001000000}"/>
    <cellStyle name="20% - Énfasis1 4" xfId="10" xr:uid="{00000000-0005-0000-0000-000002000000}"/>
    <cellStyle name="20% - Énfasis1 5" xfId="7" xr:uid="{00000000-0005-0000-0000-000003000000}"/>
    <cellStyle name="20% - Énfasis2 2" xfId="12" xr:uid="{00000000-0005-0000-0000-000004000000}"/>
    <cellStyle name="20% - Énfasis2 3" xfId="13" xr:uid="{00000000-0005-0000-0000-000005000000}"/>
    <cellStyle name="20% - Énfasis2 4" xfId="14" xr:uid="{00000000-0005-0000-0000-000006000000}"/>
    <cellStyle name="20% - Énfasis2 5" xfId="11" xr:uid="{00000000-0005-0000-0000-000007000000}"/>
    <cellStyle name="20% - Énfasis3 2" xfId="16" xr:uid="{00000000-0005-0000-0000-000008000000}"/>
    <cellStyle name="20% - Énfasis3 3" xfId="17" xr:uid="{00000000-0005-0000-0000-000009000000}"/>
    <cellStyle name="20% - Énfasis3 4" xfId="18" xr:uid="{00000000-0005-0000-0000-00000A000000}"/>
    <cellStyle name="20% - Énfasis3 5" xfId="15" xr:uid="{00000000-0005-0000-0000-00000B000000}"/>
    <cellStyle name="20% - Énfasis4 2" xfId="20" xr:uid="{00000000-0005-0000-0000-00000C000000}"/>
    <cellStyle name="20% - Énfasis4 3" xfId="21" xr:uid="{00000000-0005-0000-0000-00000D000000}"/>
    <cellStyle name="20% - Énfasis4 4" xfId="22" xr:uid="{00000000-0005-0000-0000-00000E000000}"/>
    <cellStyle name="20% - Énfasis4 5" xfId="19" xr:uid="{00000000-0005-0000-0000-00000F000000}"/>
    <cellStyle name="20% - Énfasis5 2" xfId="24" xr:uid="{00000000-0005-0000-0000-000010000000}"/>
    <cellStyle name="20% - Énfasis5 3" xfId="25" xr:uid="{00000000-0005-0000-0000-000011000000}"/>
    <cellStyle name="20% - Énfasis5 4" xfId="26" xr:uid="{00000000-0005-0000-0000-000012000000}"/>
    <cellStyle name="20% - Énfasis5 5" xfId="23" xr:uid="{00000000-0005-0000-0000-000013000000}"/>
    <cellStyle name="20% - Énfasis6 2" xfId="28" xr:uid="{00000000-0005-0000-0000-000014000000}"/>
    <cellStyle name="20% - Énfasis6 3" xfId="29" xr:uid="{00000000-0005-0000-0000-000015000000}"/>
    <cellStyle name="20% - Énfasis6 4" xfId="30" xr:uid="{00000000-0005-0000-0000-000016000000}"/>
    <cellStyle name="20% - Énfasis6 5" xfId="27" xr:uid="{00000000-0005-0000-0000-000017000000}"/>
    <cellStyle name="40% - Énfasis1 2" xfId="32" xr:uid="{00000000-0005-0000-0000-000018000000}"/>
    <cellStyle name="40% - Énfasis1 3" xfId="33" xr:uid="{00000000-0005-0000-0000-000019000000}"/>
    <cellStyle name="40% - Énfasis1 4" xfId="34" xr:uid="{00000000-0005-0000-0000-00001A000000}"/>
    <cellStyle name="40% - Énfasis1 5" xfId="31" xr:uid="{00000000-0005-0000-0000-00001B000000}"/>
    <cellStyle name="40% - Énfasis2 2" xfId="36" xr:uid="{00000000-0005-0000-0000-00001C000000}"/>
    <cellStyle name="40% - Énfasis2 3" xfId="37" xr:uid="{00000000-0005-0000-0000-00001D000000}"/>
    <cellStyle name="40% - Énfasis2 4" xfId="38" xr:uid="{00000000-0005-0000-0000-00001E000000}"/>
    <cellStyle name="40% - Énfasis2 5" xfId="35" xr:uid="{00000000-0005-0000-0000-00001F000000}"/>
    <cellStyle name="40% - Énfasis3 2" xfId="40" xr:uid="{00000000-0005-0000-0000-000020000000}"/>
    <cellStyle name="40% - Énfasis3 3" xfId="41" xr:uid="{00000000-0005-0000-0000-000021000000}"/>
    <cellStyle name="40% - Énfasis3 4" xfId="42" xr:uid="{00000000-0005-0000-0000-000022000000}"/>
    <cellStyle name="40% - Énfasis3 5" xfId="39" xr:uid="{00000000-0005-0000-0000-000023000000}"/>
    <cellStyle name="40% - Énfasis4 2" xfId="44" xr:uid="{00000000-0005-0000-0000-000024000000}"/>
    <cellStyle name="40% - Énfasis4 3" xfId="45" xr:uid="{00000000-0005-0000-0000-000025000000}"/>
    <cellStyle name="40% - Énfasis4 4" xfId="46" xr:uid="{00000000-0005-0000-0000-000026000000}"/>
    <cellStyle name="40% - Énfasis4 5" xfId="43" xr:uid="{00000000-0005-0000-0000-000027000000}"/>
    <cellStyle name="40% - Énfasis5 2" xfId="48" xr:uid="{00000000-0005-0000-0000-000028000000}"/>
    <cellStyle name="40% - Énfasis5 3" xfId="49" xr:uid="{00000000-0005-0000-0000-000029000000}"/>
    <cellStyle name="40% - Énfasis5 4" xfId="50" xr:uid="{00000000-0005-0000-0000-00002A000000}"/>
    <cellStyle name="40% - Énfasis5 5" xfId="47" xr:uid="{00000000-0005-0000-0000-00002B000000}"/>
    <cellStyle name="40% - Énfasis6 2" xfId="52" xr:uid="{00000000-0005-0000-0000-00002C000000}"/>
    <cellStyle name="40% - Énfasis6 3" xfId="53" xr:uid="{00000000-0005-0000-0000-00002D000000}"/>
    <cellStyle name="40% - Énfasis6 4" xfId="54" xr:uid="{00000000-0005-0000-0000-00002E000000}"/>
    <cellStyle name="40% - Énfasis6 5" xfId="51" xr:uid="{00000000-0005-0000-0000-00002F000000}"/>
    <cellStyle name="60% - Énfasis1 2" xfId="56" xr:uid="{00000000-0005-0000-0000-000030000000}"/>
    <cellStyle name="60% - Énfasis1 3" xfId="57" xr:uid="{00000000-0005-0000-0000-000031000000}"/>
    <cellStyle name="60% - Énfasis1 4" xfId="58" xr:uid="{00000000-0005-0000-0000-000032000000}"/>
    <cellStyle name="60% - Énfasis1 5" xfId="55" xr:uid="{00000000-0005-0000-0000-000033000000}"/>
    <cellStyle name="60% - Énfasis2 2" xfId="60" xr:uid="{00000000-0005-0000-0000-000034000000}"/>
    <cellStyle name="60% - Énfasis2 3" xfId="61" xr:uid="{00000000-0005-0000-0000-000035000000}"/>
    <cellStyle name="60% - Énfasis2 4" xfId="62" xr:uid="{00000000-0005-0000-0000-000036000000}"/>
    <cellStyle name="60% - Énfasis2 5" xfId="59" xr:uid="{00000000-0005-0000-0000-000037000000}"/>
    <cellStyle name="60% - Énfasis3 2" xfId="64" xr:uid="{00000000-0005-0000-0000-000038000000}"/>
    <cellStyle name="60% - Énfasis3 3" xfId="65" xr:uid="{00000000-0005-0000-0000-000039000000}"/>
    <cellStyle name="60% - Énfasis3 4" xfId="66" xr:uid="{00000000-0005-0000-0000-00003A000000}"/>
    <cellStyle name="60% - Énfasis3 5" xfId="63" xr:uid="{00000000-0005-0000-0000-00003B000000}"/>
    <cellStyle name="60% - Énfasis4 2" xfId="68" xr:uid="{00000000-0005-0000-0000-00003C000000}"/>
    <cellStyle name="60% - Énfasis4 3" xfId="69" xr:uid="{00000000-0005-0000-0000-00003D000000}"/>
    <cellStyle name="60% - Énfasis4 4" xfId="70" xr:uid="{00000000-0005-0000-0000-00003E000000}"/>
    <cellStyle name="60% - Énfasis4 5" xfId="67" xr:uid="{00000000-0005-0000-0000-00003F000000}"/>
    <cellStyle name="60% - Énfasis5 2" xfId="72" xr:uid="{00000000-0005-0000-0000-000040000000}"/>
    <cellStyle name="60% - Énfasis5 3" xfId="73" xr:uid="{00000000-0005-0000-0000-000041000000}"/>
    <cellStyle name="60% - Énfasis5 4" xfId="74" xr:uid="{00000000-0005-0000-0000-000042000000}"/>
    <cellStyle name="60% - Énfasis5 5" xfId="71" xr:uid="{00000000-0005-0000-0000-000043000000}"/>
    <cellStyle name="60% - Énfasis6 2" xfId="76" xr:uid="{00000000-0005-0000-0000-000044000000}"/>
    <cellStyle name="60% - Énfasis6 3" xfId="77" xr:uid="{00000000-0005-0000-0000-000045000000}"/>
    <cellStyle name="60% - Énfasis6 4" xfId="78" xr:uid="{00000000-0005-0000-0000-000046000000}"/>
    <cellStyle name="60% - Énfasis6 5" xfId="75" xr:uid="{00000000-0005-0000-0000-000047000000}"/>
    <cellStyle name="Buena 2" xfId="80" xr:uid="{00000000-0005-0000-0000-000048000000}"/>
    <cellStyle name="Buena 3" xfId="81" xr:uid="{00000000-0005-0000-0000-000049000000}"/>
    <cellStyle name="Buena 4" xfId="82" xr:uid="{00000000-0005-0000-0000-00004A000000}"/>
    <cellStyle name="Buena 5" xfId="79" xr:uid="{00000000-0005-0000-0000-00004B000000}"/>
    <cellStyle name="Cálculo 2" xfId="84" xr:uid="{00000000-0005-0000-0000-00004C000000}"/>
    <cellStyle name="Cálculo 3" xfId="85" xr:uid="{00000000-0005-0000-0000-00004D000000}"/>
    <cellStyle name="Cálculo 4" xfId="86" xr:uid="{00000000-0005-0000-0000-00004E000000}"/>
    <cellStyle name="Cálculo 5" xfId="83" xr:uid="{00000000-0005-0000-0000-00004F000000}"/>
    <cellStyle name="Celda de comprobación 2" xfId="88" xr:uid="{00000000-0005-0000-0000-000050000000}"/>
    <cellStyle name="Celda de comprobación 3" xfId="89" xr:uid="{00000000-0005-0000-0000-000051000000}"/>
    <cellStyle name="Celda de comprobación 4" xfId="90" xr:uid="{00000000-0005-0000-0000-000052000000}"/>
    <cellStyle name="Celda de comprobación 5" xfId="87" xr:uid="{00000000-0005-0000-0000-000053000000}"/>
    <cellStyle name="Celda vinculada 2" xfId="92" xr:uid="{00000000-0005-0000-0000-000054000000}"/>
    <cellStyle name="Celda vinculada 3" xfId="93" xr:uid="{00000000-0005-0000-0000-000055000000}"/>
    <cellStyle name="Celda vinculada 4" xfId="94" xr:uid="{00000000-0005-0000-0000-000056000000}"/>
    <cellStyle name="Celda vinculada 5" xfId="91" xr:uid="{00000000-0005-0000-0000-000057000000}"/>
    <cellStyle name="Encabezado 4 2" xfId="96" xr:uid="{00000000-0005-0000-0000-000058000000}"/>
    <cellStyle name="Encabezado 4 3" xfId="97" xr:uid="{00000000-0005-0000-0000-000059000000}"/>
    <cellStyle name="Encabezado 4 4" xfId="98" xr:uid="{00000000-0005-0000-0000-00005A000000}"/>
    <cellStyle name="Encabezado 4 5" xfId="95" xr:uid="{00000000-0005-0000-0000-00005B000000}"/>
    <cellStyle name="Énfasis1 2" xfId="100" xr:uid="{00000000-0005-0000-0000-00005C000000}"/>
    <cellStyle name="Énfasis1 3" xfId="101" xr:uid="{00000000-0005-0000-0000-00005D000000}"/>
    <cellStyle name="Énfasis1 4" xfId="102" xr:uid="{00000000-0005-0000-0000-00005E000000}"/>
    <cellStyle name="Énfasis1 5" xfId="99" xr:uid="{00000000-0005-0000-0000-00005F000000}"/>
    <cellStyle name="Énfasis2 2" xfId="104" xr:uid="{00000000-0005-0000-0000-000060000000}"/>
    <cellStyle name="Énfasis2 3" xfId="105" xr:uid="{00000000-0005-0000-0000-000061000000}"/>
    <cellStyle name="Énfasis2 4" xfId="106" xr:uid="{00000000-0005-0000-0000-000062000000}"/>
    <cellStyle name="Énfasis2 5" xfId="103" xr:uid="{00000000-0005-0000-0000-000063000000}"/>
    <cellStyle name="Énfasis3 2" xfId="108" xr:uid="{00000000-0005-0000-0000-000064000000}"/>
    <cellStyle name="Énfasis3 3" xfId="109" xr:uid="{00000000-0005-0000-0000-000065000000}"/>
    <cellStyle name="Énfasis3 4" xfId="110" xr:uid="{00000000-0005-0000-0000-000066000000}"/>
    <cellStyle name="Énfasis3 5" xfId="107" xr:uid="{00000000-0005-0000-0000-000067000000}"/>
    <cellStyle name="Énfasis4 2" xfId="112" xr:uid="{00000000-0005-0000-0000-000068000000}"/>
    <cellStyle name="Énfasis4 3" xfId="113" xr:uid="{00000000-0005-0000-0000-000069000000}"/>
    <cellStyle name="Énfasis4 4" xfId="114" xr:uid="{00000000-0005-0000-0000-00006A000000}"/>
    <cellStyle name="Énfasis4 5" xfId="111" xr:uid="{00000000-0005-0000-0000-00006B000000}"/>
    <cellStyle name="Énfasis5 2" xfId="116" xr:uid="{00000000-0005-0000-0000-00006C000000}"/>
    <cellStyle name="Énfasis5 3" xfId="117" xr:uid="{00000000-0005-0000-0000-00006D000000}"/>
    <cellStyle name="Énfasis5 4" xfId="118" xr:uid="{00000000-0005-0000-0000-00006E000000}"/>
    <cellStyle name="Énfasis5 5" xfId="115" xr:uid="{00000000-0005-0000-0000-00006F000000}"/>
    <cellStyle name="Énfasis6 2" xfId="120" xr:uid="{00000000-0005-0000-0000-000070000000}"/>
    <cellStyle name="Énfasis6 3" xfId="121" xr:uid="{00000000-0005-0000-0000-000071000000}"/>
    <cellStyle name="Énfasis6 4" xfId="122" xr:uid="{00000000-0005-0000-0000-000072000000}"/>
    <cellStyle name="Énfasis6 5" xfId="119" xr:uid="{00000000-0005-0000-0000-000073000000}"/>
    <cellStyle name="Entrada 2" xfId="124" xr:uid="{00000000-0005-0000-0000-000074000000}"/>
    <cellStyle name="Entrada 3" xfId="125" xr:uid="{00000000-0005-0000-0000-000075000000}"/>
    <cellStyle name="Entrada 4" xfId="126" xr:uid="{00000000-0005-0000-0000-000076000000}"/>
    <cellStyle name="Entrada 5" xfId="123" xr:uid="{00000000-0005-0000-0000-000077000000}"/>
    <cellStyle name="Incorrecto 2" xfId="128" xr:uid="{00000000-0005-0000-0000-000078000000}"/>
    <cellStyle name="Incorrecto 3" xfId="129" xr:uid="{00000000-0005-0000-0000-000079000000}"/>
    <cellStyle name="Incorrecto 4" xfId="130" xr:uid="{00000000-0005-0000-0000-00007A000000}"/>
    <cellStyle name="Incorrecto 5" xfId="127" xr:uid="{00000000-0005-0000-0000-00007B000000}"/>
    <cellStyle name="Millares" xfId="3" builtinId="3"/>
    <cellStyle name="Millares 2" xfId="132" xr:uid="{00000000-0005-0000-0000-00007D000000}"/>
    <cellStyle name="Millares 3" xfId="133" xr:uid="{00000000-0005-0000-0000-00007E000000}"/>
    <cellStyle name="Millares 4" xfId="134" xr:uid="{00000000-0005-0000-0000-00007F000000}"/>
    <cellStyle name="Millares 5" xfId="135" xr:uid="{00000000-0005-0000-0000-000080000000}"/>
    <cellStyle name="Millares 6" xfId="131" xr:uid="{00000000-0005-0000-0000-000081000000}"/>
    <cellStyle name="Millares 6 2" xfId="203" xr:uid="{00000000-0005-0000-0000-000082000000}"/>
    <cellStyle name="Moneda" xfId="2" builtinId="4"/>
    <cellStyle name="Moneda 2" xfId="137" xr:uid="{00000000-0005-0000-0000-000084000000}"/>
    <cellStyle name="Moneda 3" xfId="138" xr:uid="{00000000-0005-0000-0000-000085000000}"/>
    <cellStyle name="Moneda 4" xfId="139" xr:uid="{00000000-0005-0000-0000-000086000000}"/>
    <cellStyle name="Moneda 5" xfId="136" xr:uid="{00000000-0005-0000-0000-000087000000}"/>
    <cellStyle name="Neutral 2" xfId="141" xr:uid="{00000000-0005-0000-0000-000088000000}"/>
    <cellStyle name="Neutral 3" xfId="142" xr:uid="{00000000-0005-0000-0000-000089000000}"/>
    <cellStyle name="Neutral 4" xfId="143" xr:uid="{00000000-0005-0000-0000-00008A000000}"/>
    <cellStyle name="Neutral 5" xfId="140" xr:uid="{00000000-0005-0000-0000-00008B000000}"/>
    <cellStyle name="Normal" xfId="0" builtinId="0"/>
    <cellStyle name="Normal 10" xfId="144" xr:uid="{00000000-0005-0000-0000-00008D000000}"/>
    <cellStyle name="Normal 10 2" xfId="202" xr:uid="{00000000-0005-0000-0000-00008E000000}"/>
    <cellStyle name="Normal 10 2 2" xfId="204" xr:uid="{00000000-0005-0000-0000-00008F000000}"/>
    <cellStyle name="Normal 11" xfId="6" xr:uid="{00000000-0005-0000-0000-000090000000}"/>
    <cellStyle name="Normal 12" xfId="5" xr:uid="{00000000-0005-0000-0000-000091000000}"/>
    <cellStyle name="Normal 2" xfId="145" xr:uid="{00000000-0005-0000-0000-000092000000}"/>
    <cellStyle name="Normal 2 2" xfId="146" xr:uid="{00000000-0005-0000-0000-000093000000}"/>
    <cellStyle name="Normal 2 2 2" xfId="147" xr:uid="{00000000-0005-0000-0000-000094000000}"/>
    <cellStyle name="Normal 2 2 3" xfId="148" xr:uid="{00000000-0005-0000-0000-000095000000}"/>
    <cellStyle name="Normal 2 3" xfId="149" xr:uid="{00000000-0005-0000-0000-000096000000}"/>
    <cellStyle name="Normal 2 4" xfId="150" xr:uid="{00000000-0005-0000-0000-000097000000}"/>
    <cellStyle name="Normal 2 5" xfId="151" xr:uid="{00000000-0005-0000-0000-000098000000}"/>
    <cellStyle name="Normal 2 5 2" xfId="152" xr:uid="{00000000-0005-0000-0000-000099000000}"/>
    <cellStyle name="Normal 2 6" xfId="153" xr:uid="{00000000-0005-0000-0000-00009A000000}"/>
    <cellStyle name="Normal 2 7" xfId="154" xr:uid="{00000000-0005-0000-0000-00009B000000}"/>
    <cellStyle name="Normal 3" xfId="155" xr:uid="{00000000-0005-0000-0000-00009C000000}"/>
    <cellStyle name="Normal 3 2" xfId="156" xr:uid="{00000000-0005-0000-0000-00009D000000}"/>
    <cellStyle name="Normal 3 3" xfId="157" xr:uid="{00000000-0005-0000-0000-00009E000000}"/>
    <cellStyle name="Normal 4" xfId="158" xr:uid="{00000000-0005-0000-0000-00009F000000}"/>
    <cellStyle name="Normal 5" xfId="159" xr:uid="{00000000-0005-0000-0000-0000A0000000}"/>
    <cellStyle name="Normal 6" xfId="160" xr:uid="{00000000-0005-0000-0000-0000A1000000}"/>
    <cellStyle name="Normal 6 2" xfId="161" xr:uid="{00000000-0005-0000-0000-0000A2000000}"/>
    <cellStyle name="Normal 7" xfId="162" xr:uid="{00000000-0005-0000-0000-0000A3000000}"/>
    <cellStyle name="Normal 8" xfId="163" xr:uid="{00000000-0005-0000-0000-0000A4000000}"/>
    <cellStyle name="Normal 8 2" xfId="164" xr:uid="{00000000-0005-0000-0000-0000A5000000}"/>
    <cellStyle name="Normal 9" xfId="165" xr:uid="{00000000-0005-0000-0000-0000A6000000}"/>
    <cellStyle name="Notas 2" xfId="167" xr:uid="{00000000-0005-0000-0000-0000A7000000}"/>
    <cellStyle name="Notas 3" xfId="168" xr:uid="{00000000-0005-0000-0000-0000A8000000}"/>
    <cellStyle name="Notas 4" xfId="169" xr:uid="{00000000-0005-0000-0000-0000A9000000}"/>
    <cellStyle name="Notas 5" xfId="166" xr:uid="{00000000-0005-0000-0000-0000AA000000}"/>
    <cellStyle name="Porcentaje" xfId="1" builtinId="5"/>
    <cellStyle name="Porcentaje 2" xfId="171" xr:uid="{00000000-0005-0000-0000-0000AC000000}"/>
    <cellStyle name="Porcentaje 3" xfId="172" xr:uid="{00000000-0005-0000-0000-0000AD000000}"/>
    <cellStyle name="Porcentaje 4" xfId="173" xr:uid="{00000000-0005-0000-0000-0000AE000000}"/>
    <cellStyle name="Porcentaje 5" xfId="170" xr:uid="{00000000-0005-0000-0000-0000AF000000}"/>
    <cellStyle name="Salida 2" xfId="175" xr:uid="{00000000-0005-0000-0000-0000B0000000}"/>
    <cellStyle name="Salida 3" xfId="176" xr:uid="{00000000-0005-0000-0000-0000B1000000}"/>
    <cellStyle name="Salida 4" xfId="177" xr:uid="{00000000-0005-0000-0000-0000B2000000}"/>
    <cellStyle name="Salida 5" xfId="174" xr:uid="{00000000-0005-0000-0000-0000B3000000}"/>
    <cellStyle name="Texto de advertencia 2" xfId="179" xr:uid="{00000000-0005-0000-0000-0000B4000000}"/>
    <cellStyle name="Texto de advertencia 3" xfId="180" xr:uid="{00000000-0005-0000-0000-0000B5000000}"/>
    <cellStyle name="Texto de advertencia 4" xfId="181" xr:uid="{00000000-0005-0000-0000-0000B6000000}"/>
    <cellStyle name="Texto de advertencia 5" xfId="178" xr:uid="{00000000-0005-0000-0000-0000B7000000}"/>
    <cellStyle name="Texto explicativo 2" xfId="183" xr:uid="{00000000-0005-0000-0000-0000B8000000}"/>
    <cellStyle name="Texto explicativo 3" xfId="184" xr:uid="{00000000-0005-0000-0000-0000B9000000}"/>
    <cellStyle name="Texto explicativo 4" xfId="185" xr:uid="{00000000-0005-0000-0000-0000BA000000}"/>
    <cellStyle name="Texto explicativo 5" xfId="182" xr:uid="{00000000-0005-0000-0000-0000BB000000}"/>
    <cellStyle name="Título" xfId="4" builtinId="15" customBuiltin="1"/>
    <cellStyle name="Título 1 2" xfId="187" xr:uid="{00000000-0005-0000-0000-0000BD000000}"/>
    <cellStyle name="Título 1 3" xfId="188" xr:uid="{00000000-0005-0000-0000-0000BE000000}"/>
    <cellStyle name="Título 1 4" xfId="189" xr:uid="{00000000-0005-0000-0000-0000BF000000}"/>
    <cellStyle name="Título 1 5" xfId="186" xr:uid="{00000000-0005-0000-0000-0000C0000000}"/>
    <cellStyle name="Título 2 2" xfId="191" xr:uid="{00000000-0005-0000-0000-0000C1000000}"/>
    <cellStyle name="Título 2 3" xfId="192" xr:uid="{00000000-0005-0000-0000-0000C2000000}"/>
    <cellStyle name="Título 2 4" xfId="193" xr:uid="{00000000-0005-0000-0000-0000C3000000}"/>
    <cellStyle name="Título 2 5" xfId="190" xr:uid="{00000000-0005-0000-0000-0000C4000000}"/>
    <cellStyle name="Título 3 2" xfId="195" xr:uid="{00000000-0005-0000-0000-0000C5000000}"/>
    <cellStyle name="Título 3 3" xfId="196" xr:uid="{00000000-0005-0000-0000-0000C6000000}"/>
    <cellStyle name="Título 3 4" xfId="197" xr:uid="{00000000-0005-0000-0000-0000C7000000}"/>
    <cellStyle name="Título 3 5" xfId="194" xr:uid="{00000000-0005-0000-0000-0000C8000000}"/>
    <cellStyle name="Total 2" xfId="199" xr:uid="{00000000-0005-0000-0000-0000C9000000}"/>
    <cellStyle name="Total 3" xfId="200" xr:uid="{00000000-0005-0000-0000-0000CA000000}"/>
    <cellStyle name="Total 4" xfId="201" xr:uid="{00000000-0005-0000-0000-0000CB000000}"/>
    <cellStyle name="Total 5" xfId="198" xr:uid="{00000000-0005-0000-0000-0000CC000000}"/>
  </cellStyles>
  <dxfs count="0"/>
  <tableStyles count="0" defaultTableStyle="TableStyleMedium2" defaultPivotStyle="PivotStyleLight16"/>
  <colors>
    <mruColors>
      <color rgb="FF00297A"/>
      <color rgb="FF002776"/>
      <color rgb="FF0013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Ordenes de Compra Recibidas Completas</a:t>
            </a:r>
          </a:p>
        </c:rich>
      </c:tx>
      <c:overlay val="0"/>
      <c:spPr>
        <a:noFill/>
        <a:ln>
          <a:noFill/>
        </a:ln>
        <a:effectLst/>
      </c:spPr>
    </c:title>
    <c:autoTitleDeleted val="0"/>
    <c:plotArea>
      <c:layout/>
      <c:lineChart>
        <c:grouping val="standard"/>
        <c:varyColors val="0"/>
        <c:ser>
          <c:idx val="0"/>
          <c:order val="0"/>
          <c:tx>
            <c:strRef>
              <c:f>'1'!$D$10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0.95593869731800762</c:v>
                </c:pt>
                <c:pt idx="1">
                  <c:v>0.98396793587174347</c:v>
                </c:pt>
                <c:pt idx="2">
                  <c:v>0.98529411764705888</c:v>
                </c:pt>
                <c:pt idx="3">
                  <c:v>0.9671848013816926</c:v>
                </c:pt>
                <c:pt idx="4">
                  <c:v>0.92130518234165071</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F15-47AD-AC23-EC5F2E8AC9B0}"/>
            </c:ext>
          </c:extLst>
        </c:ser>
        <c:dLbls>
          <c:showLegendKey val="0"/>
          <c:showVal val="0"/>
          <c:showCatName val="0"/>
          <c:showSerName val="0"/>
          <c:showPercent val="0"/>
          <c:showBubbleSize val="0"/>
        </c:dLbls>
        <c:smooth val="0"/>
        <c:axId val="164443704"/>
        <c:axId val="164444880"/>
      </c:lineChart>
      <c:catAx>
        <c:axId val="16444370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4880"/>
        <c:crosses val="autoZero"/>
        <c:auto val="1"/>
        <c:lblAlgn val="ctr"/>
        <c:lblOffset val="100"/>
        <c:noMultiLvlLbl val="0"/>
      </c:catAx>
      <c:valAx>
        <c:axId val="16444488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370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Incumplimiento de disponibilidad de dispositivos médicos</a:t>
            </a:r>
          </a:p>
        </c:rich>
      </c:tx>
      <c:overlay val="0"/>
      <c:spPr>
        <a:noFill/>
        <a:ln>
          <a:noFill/>
        </a:ln>
        <a:effectLst/>
      </c:spPr>
    </c:title>
    <c:autoTitleDeleted val="0"/>
    <c:plotArea>
      <c:layout/>
      <c:lineChart>
        <c:grouping val="standard"/>
        <c:varyColors val="0"/>
        <c:ser>
          <c:idx val="0"/>
          <c:order val="0"/>
          <c:tx>
            <c:strRef>
              <c:f>'1'!$D$26</c:f>
              <c:strCache>
                <c:ptCount val="1"/>
                <c:pt idx="0">
                  <c:v>% Incumplimiento de disponibilidad de DM</c:v>
                </c:pt>
              </c:strCache>
            </c:strRef>
          </c:tx>
          <c:spPr>
            <a:effectLst>
              <a:outerShdw blurRad="40000" dist="23000" dir="5400000" rotWithShape="0">
                <a:srgbClr val="000000">
                  <a:alpha val="35000"/>
                </a:srgbClr>
              </a:outerShdw>
            </a:effectLst>
          </c:spPr>
          <c:marker>
            <c:symbol val="none"/>
          </c:marker>
          <c:cat>
            <c:strRef>
              <c:f>'1'!$A$27:$A$38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'1'!$D$27:$D$38</c:f>
              <c:numCache>
                <c:formatCode>0%</c:formatCode>
                <c:ptCount val="12"/>
                <c:pt idx="0">
                  <c:v>0.6</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2A7-4728-AD2A-2A71D93CA65B}"/>
            </c:ext>
          </c:extLst>
        </c:ser>
        <c:dLbls>
          <c:showLegendKey val="0"/>
          <c:showVal val="0"/>
          <c:showCatName val="0"/>
          <c:showSerName val="0"/>
          <c:showPercent val="0"/>
          <c:showBubbleSize val="0"/>
        </c:dLbls>
        <c:smooth val="0"/>
        <c:axId val="164448016"/>
        <c:axId val="164445272"/>
      </c:lineChart>
      <c:catAx>
        <c:axId val="1644480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5272"/>
        <c:crosses val="autoZero"/>
        <c:auto val="1"/>
        <c:lblAlgn val="ctr"/>
        <c:lblOffset val="100"/>
        <c:noMultiLvlLbl val="0"/>
      </c:catAx>
      <c:valAx>
        <c:axId val="16444527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801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Evaluaciones de Seguimiento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215026701466294E-2"/>
          <c:y val="0.15890384239638294"/>
          <c:w val="0.8929207177767996"/>
          <c:h val="0.3886707973757933"/>
        </c:manualLayout>
      </c:layout>
      <c:bar3DChart>
        <c:barDir val="col"/>
        <c:grouping val="clustered"/>
        <c:varyColors val="0"/>
        <c:ser>
          <c:idx val="0"/>
          <c:order val="0"/>
          <c:tx>
            <c:strRef>
              <c:f>'2'!$B$10</c:f>
              <c:strCache>
                <c:ptCount val="1"/>
                <c:pt idx="0">
                  <c:v>Cumplimiento del servicio (&gt;4.5)</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4.9000000000000004</c:v>
                </c:pt>
                <c:pt idx="1">
                  <c:v>4.8</c:v>
                </c:pt>
                <c:pt idx="2">
                  <c:v>4.8</c:v>
                </c:pt>
                <c:pt idx="3">
                  <c:v>4.7</c:v>
                </c:pt>
                <c:pt idx="4">
                  <c:v>4.8</c:v>
                </c:pt>
              </c:numCache>
            </c:numRef>
          </c:val>
          <c:extLst>
            <c:ext xmlns:c16="http://schemas.microsoft.com/office/drawing/2014/chart" uri="{C3380CC4-5D6E-409C-BE32-E72D297353CC}">
              <c16:uniqueId val="{00000000-0B7B-4C2E-AF05-10603F7AAE64}"/>
            </c:ext>
          </c:extLst>
        </c:ser>
        <c:ser>
          <c:idx val="1"/>
          <c:order val="1"/>
          <c:tx>
            <c:strRef>
              <c:f>'2'!$C$10</c:f>
              <c:strCache>
                <c:ptCount val="1"/>
                <c:pt idx="0">
                  <c:v>Condiciones del Material Utilizado (&gt;4.5)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4.5</c:v>
                </c:pt>
                <c:pt idx="1">
                  <c:v>4.7</c:v>
                </c:pt>
                <c:pt idx="2">
                  <c:v>4.4000000000000004</c:v>
                </c:pt>
                <c:pt idx="3">
                  <c:v>4.5999999999999996</c:v>
                </c:pt>
                <c:pt idx="4">
                  <c:v>4.7</c:v>
                </c:pt>
              </c:numCache>
            </c:numRef>
          </c:val>
          <c:extLst>
            <c:ext xmlns:c16="http://schemas.microsoft.com/office/drawing/2014/chart" uri="{C3380CC4-5D6E-409C-BE32-E72D297353CC}">
              <c16:uniqueId val="{00000001-0B7B-4C2E-AF05-10603F7AAE64}"/>
            </c:ext>
          </c:extLst>
        </c:ser>
        <c:ser>
          <c:idx val="2"/>
          <c:order val="2"/>
          <c:tx>
            <c:strRef>
              <c:f>'2'!$D$10</c:f>
              <c:strCache>
                <c:ptCount val="1"/>
                <c:pt idx="0">
                  <c:v>Habilidad Soporte Técnico (&gt;4.5)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4.8</c:v>
                </c:pt>
                <c:pt idx="1">
                  <c:v>4.9000000000000004</c:v>
                </c:pt>
                <c:pt idx="2">
                  <c:v>4.9000000000000004</c:v>
                </c:pt>
                <c:pt idx="3">
                  <c:v>4.5999999999999996</c:v>
                </c:pt>
                <c:pt idx="4">
                  <c:v>4.9000000000000004</c:v>
                </c:pt>
              </c:numCache>
            </c:numRef>
          </c:val>
          <c:extLst>
            <c:ext xmlns:c16="http://schemas.microsoft.com/office/drawing/2014/chart" uri="{C3380CC4-5D6E-409C-BE32-E72D297353CC}">
              <c16:uniqueId val="{00000002-0B7B-4C2E-AF05-10603F7AAE64}"/>
            </c:ext>
          </c:extLst>
        </c:ser>
        <c:dLbls>
          <c:showLegendKey val="0"/>
          <c:showVal val="0"/>
          <c:showCatName val="0"/>
          <c:showSerName val="0"/>
          <c:showPercent val="0"/>
          <c:showBubbleSize val="0"/>
        </c:dLbls>
        <c:gapWidth val="150"/>
        <c:shape val="box"/>
        <c:axId val="164446056"/>
        <c:axId val="164448800"/>
        <c:axId val="0"/>
      </c:bar3DChart>
      <c:catAx>
        <c:axId val="16444605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8800"/>
        <c:crosses val="autoZero"/>
        <c:auto val="1"/>
        <c:lblAlgn val="ctr"/>
        <c:lblOffset val="100"/>
        <c:noMultiLvlLbl val="0"/>
      </c:catAx>
      <c:valAx>
        <c:axId val="16444880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6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Atención de Quejas,</a:t>
            </a:r>
            <a:r>
              <a:rPr lang="en-US" baseline="0"/>
              <a:t> </a:t>
            </a:r>
            <a:r>
              <a:rPr lang="en-US"/>
              <a:t>Reclamos y/o Sugerencias</a:t>
            </a:r>
          </a:p>
        </c:rich>
      </c:tx>
      <c:overlay val="0"/>
      <c:spPr>
        <a:noFill/>
        <a:ln>
          <a:noFill/>
        </a:ln>
        <a:effectLst/>
      </c:spPr>
    </c:title>
    <c:autoTitleDeleted val="0"/>
    <c:plotArea>
      <c:layout/>
      <c:lineChart>
        <c:grouping val="standard"/>
        <c:varyColors val="0"/>
        <c:ser>
          <c:idx val="0"/>
          <c:order val="0"/>
          <c:tx>
            <c:strRef>
              <c:f>'2'!$D$26</c:f>
              <c:strCache>
                <c:ptCount val="1"/>
                <c:pt idx="0">
                  <c:v>Porcentaje de atención de Quejas, Reclamos o sugerencias</c:v>
                </c:pt>
              </c:strCache>
            </c:strRef>
          </c:tx>
          <c:spPr>
            <a:effectLst>
              <a:outerShdw blurRad="40000" dist="23000" dir="5400000" rotWithShape="0">
                <a:srgbClr val="000000">
                  <a:alpha val="35000"/>
                </a:srgbClr>
              </a:outerShdw>
            </a:effectLst>
          </c:spPr>
          <c:marker>
            <c:symbol val="none"/>
          </c:marker>
          <c:cat>
            <c:strRef>
              <c:f>'2'!$A$27:$A$38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'2'!$D$27:$D$38</c:f>
              <c:numCache>
                <c:formatCode>0%</c:formatCode>
                <c:ptCount val="12"/>
                <c:pt idx="0">
                  <c:v>0</c:v>
                </c:pt>
                <c:pt idx="1">
                  <c:v>0</c:v>
                </c:pt>
                <c:pt idx="2">
                  <c:v>0.5</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414-4539-9759-88A4264CAF88}"/>
            </c:ext>
          </c:extLst>
        </c:ser>
        <c:dLbls>
          <c:showLegendKey val="0"/>
          <c:showVal val="0"/>
          <c:showCatName val="0"/>
          <c:showSerName val="0"/>
          <c:showPercent val="0"/>
          <c:showBubbleSize val="0"/>
        </c:dLbls>
        <c:smooth val="0"/>
        <c:axId val="164444488"/>
        <c:axId val="164447624"/>
      </c:lineChart>
      <c:catAx>
        <c:axId val="1644444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7624"/>
        <c:crosses val="autoZero"/>
        <c:auto val="1"/>
        <c:lblAlgn val="ctr"/>
        <c:lblOffset val="100"/>
        <c:noMultiLvlLbl val="0"/>
      </c:catAx>
      <c:valAx>
        <c:axId val="1644476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6444448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Cumplimiento de Especificaciones Técnicas </a:t>
            </a:r>
          </a:p>
        </c:rich>
      </c:tx>
      <c:layout>
        <c:manualLayout>
          <c:xMode val="edge"/>
          <c:yMode val="edge"/>
          <c:x val="0.15446361595208721"/>
          <c:y val="3.8668111900035322E-2"/>
        </c:manualLayout>
      </c:layout>
      <c:overlay val="0"/>
      <c:spPr>
        <a:noFill/>
        <a:ln>
          <a:noFill/>
        </a:ln>
        <a:effectLst/>
      </c:spPr>
    </c:title>
    <c:autoTitleDeleted val="0"/>
    <c:plotArea>
      <c:layout/>
      <c:lineChart>
        <c:grouping val="standard"/>
        <c:varyColors val="0"/>
        <c:ser>
          <c:idx val="0"/>
          <c:order val="0"/>
          <c:tx>
            <c:strRef>
              <c:f>'3'!$D$10</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E20-4D6B-B263-DE8D26369583}"/>
            </c:ext>
          </c:extLst>
        </c:ser>
        <c:dLbls>
          <c:showLegendKey val="0"/>
          <c:showVal val="0"/>
          <c:showCatName val="0"/>
          <c:showSerName val="0"/>
          <c:showPercent val="0"/>
          <c:showBubbleSize val="0"/>
        </c:dLbls>
        <c:smooth val="0"/>
        <c:axId val="237959752"/>
        <c:axId val="237964064"/>
      </c:lineChart>
      <c:catAx>
        <c:axId val="23795975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4064"/>
        <c:crosses val="autoZero"/>
        <c:auto val="1"/>
        <c:lblAlgn val="ctr"/>
        <c:lblOffset val="100"/>
        <c:noMultiLvlLbl val="0"/>
      </c:catAx>
      <c:valAx>
        <c:axId val="23796406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5975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Reportes de Tecnovigilancia</a:t>
            </a:r>
          </a:p>
        </c:rich>
      </c:tx>
      <c:overlay val="0"/>
      <c:spPr>
        <a:noFill/>
        <a:ln>
          <a:noFill/>
        </a:ln>
        <a:effectLst/>
      </c:spPr>
    </c:title>
    <c:autoTitleDeleted val="0"/>
    <c:plotArea>
      <c:layout/>
      <c:lineChart>
        <c:grouping val="standard"/>
        <c:varyColors val="0"/>
        <c:ser>
          <c:idx val="0"/>
          <c:order val="0"/>
          <c:tx>
            <c:strRef>
              <c:f>'3'!$D$26</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'3'!$A$27:$A$38</c:f>
              <c:strCache>
                <c:ptCount val="10"/>
                <c:pt idx="0">
                  <c:v>Enero - Marzo</c:v>
                </c:pt>
                <c:pt idx="3">
                  <c:v>Abril - Junio</c:v>
                </c:pt>
                <c:pt idx="6">
                  <c:v>Julio - Septiembre</c:v>
                </c:pt>
                <c:pt idx="9">
                  <c:v>Octubre - Dicembre</c:v>
                </c:pt>
              </c:strCache>
            </c:strRef>
          </c:cat>
          <c:val>
            <c:numRef>
              <c:f>'3'!$D$27:$D$38</c:f>
              <c:numCache>
                <c:formatCode>0%</c:formatCode>
                <c:ptCount val="12"/>
                <c:pt idx="0">
                  <c:v>0</c:v>
                </c:pt>
                <c:pt idx="3">
                  <c:v>0</c:v>
                </c:pt>
                <c:pt idx="6">
                  <c:v>0</c:v>
                </c:pt>
                <c:pt idx="9">
                  <c:v>0</c:v>
                </c:pt>
              </c:numCache>
            </c:numRef>
          </c:val>
          <c:smooth val="0"/>
          <c:extLst>
            <c:ext xmlns:c16="http://schemas.microsoft.com/office/drawing/2014/chart" uri="{C3380CC4-5D6E-409C-BE32-E72D297353CC}">
              <c16:uniqueId val="{00000000-6F84-4BC4-AA89-7A9F18E32039}"/>
            </c:ext>
          </c:extLst>
        </c:ser>
        <c:dLbls>
          <c:showLegendKey val="0"/>
          <c:showVal val="0"/>
          <c:showCatName val="0"/>
          <c:showSerName val="0"/>
          <c:showPercent val="0"/>
          <c:showBubbleSize val="0"/>
        </c:dLbls>
        <c:smooth val="0"/>
        <c:axId val="237961320"/>
        <c:axId val="237966024"/>
      </c:lineChart>
      <c:catAx>
        <c:axId val="23796132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6024"/>
        <c:crosses val="autoZero"/>
        <c:auto val="1"/>
        <c:lblAlgn val="ctr"/>
        <c:lblOffset val="100"/>
        <c:noMultiLvlLbl val="0"/>
      </c:catAx>
      <c:valAx>
        <c:axId val="2379660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132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Planes de Acción</a:t>
            </a:r>
          </a:p>
        </c:rich>
      </c:tx>
      <c:overlay val="0"/>
      <c:spPr>
        <a:noFill/>
        <a:ln>
          <a:noFill/>
        </a:ln>
        <a:effectLst/>
      </c:spPr>
    </c:title>
    <c:autoTitleDeleted val="0"/>
    <c:plotArea>
      <c:layout>
        <c:manualLayout>
          <c:layoutTarget val="inner"/>
          <c:xMode val="edge"/>
          <c:yMode val="edge"/>
          <c:x val="0.10358304405506152"/>
          <c:y val="0.24065487936103658"/>
          <c:w val="0.79828441285047891"/>
          <c:h val="0.63890865610044034"/>
        </c:manualLayout>
      </c:layout>
      <c:lineChart>
        <c:grouping val="standard"/>
        <c:varyColors val="0"/>
        <c:ser>
          <c:idx val="0"/>
          <c:order val="0"/>
          <c:tx>
            <c:strRef>
              <c:f>'4'!$D$10</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'4'!$A$11:$A$22</c:f>
              <c:strCache>
                <c:ptCount val="10"/>
                <c:pt idx="0">
                  <c:v>Enero - Marzo</c:v>
                </c:pt>
                <c:pt idx="3">
                  <c:v>Abril - Junio</c:v>
                </c:pt>
                <c:pt idx="6">
                  <c:v>Julio - Septiembre</c:v>
                </c:pt>
                <c:pt idx="9">
                  <c:v>Octubre - Dicembre</c:v>
                </c:pt>
              </c:strCache>
            </c:strRef>
          </c:cat>
          <c:val>
            <c:numRef>
              <c:f>'4'!$D$11:$D$22</c:f>
              <c:numCache>
                <c:formatCode>0%</c:formatCode>
                <c:ptCount val="12"/>
                <c:pt idx="0">
                  <c:v>0</c:v>
                </c:pt>
                <c:pt idx="3">
                  <c:v>0</c:v>
                </c:pt>
                <c:pt idx="6">
                  <c:v>0</c:v>
                </c:pt>
                <c:pt idx="9">
                  <c:v>0</c:v>
                </c:pt>
              </c:numCache>
            </c:numRef>
          </c:val>
          <c:smooth val="0"/>
          <c:extLst>
            <c:ext xmlns:c16="http://schemas.microsoft.com/office/drawing/2014/chart" uri="{C3380CC4-5D6E-409C-BE32-E72D297353CC}">
              <c16:uniqueId val="{00000003-241A-4AE8-B7AF-5ECE0928171F}"/>
            </c:ext>
          </c:extLst>
        </c:ser>
        <c:dLbls>
          <c:showLegendKey val="0"/>
          <c:showVal val="0"/>
          <c:showCatName val="0"/>
          <c:showSerName val="0"/>
          <c:showPercent val="0"/>
          <c:showBubbleSize val="0"/>
        </c:dLbls>
        <c:smooth val="0"/>
        <c:axId val="237967200"/>
        <c:axId val="237962888"/>
      </c:lineChart>
      <c:catAx>
        <c:axId val="23796720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2888"/>
        <c:crosses val="autoZero"/>
        <c:auto val="1"/>
        <c:lblAlgn val="ctr"/>
        <c:lblOffset val="100"/>
        <c:noMultiLvlLbl val="0"/>
      </c:catAx>
      <c:valAx>
        <c:axId val="2379628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720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Presupuesto</a:t>
            </a:r>
          </a:p>
        </c:rich>
      </c:tx>
      <c:overlay val="0"/>
      <c:spPr>
        <a:noFill/>
        <a:ln>
          <a:noFill/>
        </a:ln>
        <a:effectLst/>
      </c:spPr>
    </c:title>
    <c:autoTitleDeleted val="0"/>
    <c:plotArea>
      <c:layout/>
      <c:lineChart>
        <c:grouping val="standard"/>
        <c:varyColors val="0"/>
        <c:ser>
          <c:idx val="0"/>
          <c:order val="0"/>
          <c:tx>
            <c:strRef>
              <c:f>'5'!$D$10</c:f>
              <c:strCache>
                <c:ptCount val="1"/>
                <c:pt idx="0">
                  <c:v>% de Cumplimiento (&gt;90%)</c:v>
                </c:pt>
              </c:strCache>
            </c:strRef>
          </c:tx>
          <c:spPr>
            <a:effectLst>
              <a:outerShdw blurRad="40000" dist="23000" dir="5400000" rotWithShape="0">
                <a:srgbClr val="000000">
                  <a:alpha val="35000"/>
                </a:srgbClr>
              </a:outerShdw>
            </a:effectLst>
          </c:spPr>
          <c:marker>
            <c:symbol val="none"/>
          </c:marker>
          <c:cat>
            <c:strRef>
              <c:f>'5'!$A$11:$A$22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'5'!$D$11:$D$22</c:f>
              <c:numCache>
                <c:formatCode>0%</c:formatCode>
                <c:ptCount val="12"/>
                <c:pt idx="0">
                  <c:v>1.6614282674773182</c:v>
                </c:pt>
                <c:pt idx="1">
                  <c:v>1.5156151773504505</c:v>
                </c:pt>
                <c:pt idx="2">
                  <c:v>1.3305287939673585</c:v>
                </c:pt>
                <c:pt idx="3">
                  <c:v>1.0975338014380327</c:v>
                </c:pt>
                <c:pt idx="4">
                  <c:v>1.2982828276006475</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E0-4DA0-8191-4C9F933E2F44}"/>
            </c:ext>
          </c:extLst>
        </c:ser>
        <c:dLbls>
          <c:showLegendKey val="0"/>
          <c:showVal val="0"/>
          <c:showCatName val="0"/>
          <c:showSerName val="0"/>
          <c:showPercent val="0"/>
          <c:showBubbleSize val="0"/>
        </c:dLbls>
        <c:smooth val="0"/>
        <c:axId val="237965240"/>
        <c:axId val="237961712"/>
      </c:lineChart>
      <c:catAx>
        <c:axId val="23796524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1712"/>
        <c:crosses val="autoZero"/>
        <c:auto val="1"/>
        <c:lblAlgn val="ctr"/>
        <c:lblOffset val="100"/>
        <c:noMultiLvlLbl val="0"/>
      </c:catAx>
      <c:valAx>
        <c:axId val="23796171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524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Utilidad Mensual</a:t>
            </a:r>
          </a:p>
        </c:rich>
      </c:tx>
      <c:overlay val="0"/>
      <c:spPr>
        <a:noFill/>
        <a:ln>
          <a:noFill/>
        </a:ln>
        <a:effectLst/>
      </c:spPr>
    </c:title>
    <c:autoTitleDeleted val="0"/>
    <c:plotArea>
      <c:layout/>
      <c:lineChart>
        <c:grouping val="standard"/>
        <c:varyColors val="0"/>
        <c:ser>
          <c:idx val="0"/>
          <c:order val="0"/>
          <c:tx>
            <c:strRef>
              <c:f>'5'!$E$26</c:f>
              <c:strCache>
                <c:ptCount val="1"/>
                <c:pt idx="0">
                  <c:v> Utilidad (&gt;1,000,000,000) </c:v>
                </c:pt>
              </c:strCache>
            </c:strRef>
          </c:tx>
          <c:spPr>
            <a:effectLst>
              <a:outerShdw blurRad="40000" dist="23000" dir="5400000" rotWithShape="0">
                <a:srgbClr val="000000">
                  <a:alpha val="35000"/>
                </a:srgbClr>
              </a:outerShdw>
            </a:effectLst>
          </c:spPr>
          <c:marker>
            <c:symbol val="none"/>
          </c:marker>
          <c:cat>
            <c:strRef>
              <c:f>'5'!$A$27:$A$38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'5'!$E$27:$E$38</c:f>
              <c:numCache>
                <c:formatCode>_ * #,##0_ ;_ * \-#,##0_ ;_ * "-"??_ ;_ @_ </c:formatCode>
                <c:ptCount val="12"/>
                <c:pt idx="0">
                  <c:v>1362326279.48</c:v>
                </c:pt>
                <c:pt idx="1">
                  <c:v>1629905233.0699999</c:v>
                </c:pt>
                <c:pt idx="2">
                  <c:v>1295846761.8199997</c:v>
                </c:pt>
                <c:pt idx="3">
                  <c:v>1985899877</c:v>
                </c:pt>
                <c:pt idx="4">
                  <c:v>1600336330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EA2-4284-8007-636B9C51C9C7}"/>
            </c:ext>
          </c:extLst>
        </c:ser>
        <c:dLbls>
          <c:showLegendKey val="0"/>
          <c:showVal val="0"/>
          <c:showCatName val="0"/>
          <c:showSerName val="0"/>
          <c:showPercent val="0"/>
          <c:showBubbleSize val="0"/>
        </c:dLbls>
        <c:smooth val="0"/>
        <c:axId val="237960928"/>
        <c:axId val="237963672"/>
      </c:lineChart>
      <c:catAx>
        <c:axId val="23796092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3672"/>
        <c:crosses val="autoZero"/>
        <c:auto val="1"/>
        <c:lblAlgn val="ctr"/>
        <c:lblOffset val="100"/>
        <c:noMultiLvlLbl val="0"/>
      </c:catAx>
      <c:valAx>
        <c:axId val="237963672"/>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092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Cumplimiento de Facturación y Radicado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'5'!$E$42</c:f>
              <c:strCache>
                <c:ptCount val="1"/>
                <c:pt idx="0">
                  <c:v>% de cumplimiento de facturación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'5'!$E$43:$E$54</c:f>
              <c:numCache>
                <c:formatCode>0%</c:formatCode>
                <c:ptCount val="12"/>
                <c:pt idx="0">
                  <c:v>0.994824825999167</c:v>
                </c:pt>
                <c:pt idx="1">
                  <c:v>1.0582777663223986</c:v>
                </c:pt>
                <c:pt idx="2">
                  <c:v>0.76504881006402137</c:v>
                </c:pt>
                <c:pt idx="3">
                  <c:v>1.2019298833685341</c:v>
                </c:pt>
                <c:pt idx="4">
                  <c:v>1.0034117534884468</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22A-4CAD-ADAF-1C31F48234DC}"/>
            </c:ext>
          </c:extLst>
        </c:ser>
        <c:ser>
          <c:idx val="1"/>
          <c:order val="1"/>
          <c:tx>
            <c:strRef>
              <c:f>'5'!$F$42</c:f>
              <c:strCache>
                <c:ptCount val="1"/>
                <c:pt idx="0">
                  <c:v>% de cumplimiento de radicado (&gt;95%)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'5'!$F$43:$F$54</c:f>
              <c:numCache>
                <c:formatCode>0%</c:formatCode>
                <c:ptCount val="12"/>
                <c:pt idx="0">
                  <c:v>1.0568157580464883</c:v>
                </c:pt>
                <c:pt idx="1">
                  <c:v>0.98748076989160416</c:v>
                </c:pt>
                <c:pt idx="2">
                  <c:v>0.95391619249622583</c:v>
                </c:pt>
                <c:pt idx="3">
                  <c:v>1.0018322887396613</c:v>
                </c:pt>
                <c:pt idx="4">
                  <c:v>1.0499855491938941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22A-4CAD-ADAF-1C31F48234DC}"/>
            </c:ext>
          </c:extLst>
        </c:ser>
        <c:dLbls>
          <c:showLegendKey val="0"/>
          <c:showVal val="0"/>
          <c:showCatName val="0"/>
          <c:showSerName val="0"/>
          <c:showPercent val="0"/>
          <c:showBubbleSize val="0"/>
        </c:dLbls>
        <c:gapWidth val="150"/>
        <c:shape val="box"/>
        <c:axId val="237964848"/>
        <c:axId val="237962104"/>
        <c:axId val="0"/>
      </c:bar3DChart>
      <c:catAx>
        <c:axId val="2379648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2104"/>
        <c:crosses val="autoZero"/>
        <c:auto val="1"/>
        <c:lblAlgn val="ctr"/>
        <c:lblOffset val="100"/>
        <c:noMultiLvlLbl val="0"/>
      </c:catAx>
      <c:valAx>
        <c:axId val="2379621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a:t>
            </a:r>
            <a:r>
              <a:rPr lang="en-US"/>
              <a:t>Facturas Anuladas</a:t>
            </a:r>
          </a:p>
        </c:rich>
      </c:tx>
      <c:overlay val="0"/>
      <c:spPr>
        <a:noFill/>
        <a:ln>
          <a:noFill/>
        </a:ln>
        <a:effectLst/>
      </c:spPr>
    </c:title>
    <c:autoTitleDeleted val="0"/>
    <c:plotArea>
      <c:layout/>
      <c:lineChart>
        <c:grouping val="standard"/>
        <c:varyColors val="0"/>
        <c:ser>
          <c:idx val="0"/>
          <c:order val="0"/>
          <c:tx>
            <c:strRef>
              <c:f>'5'!$D$74</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9.0157776108189328E-3</c:v>
                </c:pt>
                <c:pt idx="1">
                  <c:v>2.0895522388059702E-2</c:v>
                </c:pt>
                <c:pt idx="2">
                  <c:v>1.1054421768707483E-2</c:v>
                </c:pt>
                <c:pt idx="3">
                  <c:v>2.068519715578539E-2</c:v>
                </c:pt>
                <c:pt idx="4">
                  <c:v>1.4437689969604863E-2</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237960144"/>
        <c:axId val="237962496"/>
      </c:lineChart>
      <c:catAx>
        <c:axId val="23796014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2496"/>
        <c:crosses val="autoZero"/>
        <c:auto val="1"/>
        <c:lblAlgn val="ctr"/>
        <c:lblOffset val="100"/>
        <c:noMultiLvlLbl val="0"/>
      </c:catAx>
      <c:valAx>
        <c:axId val="23796249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796014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overlay val="0"/>
      <c:spPr>
        <a:noFill/>
        <a:ln>
          <a:noFill/>
        </a:ln>
        <a:effectLst/>
      </c:spPr>
    </c:title>
    <c:autoTitleDeleted val="0"/>
    <c:plotArea>
      <c:layout/>
      <c:lineChart>
        <c:grouping val="standard"/>
        <c:varyColors val="0"/>
        <c:ser>
          <c:idx val="0"/>
          <c:order val="0"/>
          <c:tx>
            <c:strRef>
              <c:f>'5'!$D$90</c:f>
              <c:strCache>
                <c:ptCount val="1"/>
                <c:pt idx="0">
                  <c:v>% de Cumplimiento (&lt;30%)</c:v>
                </c:pt>
              </c:strCache>
            </c:strRef>
          </c:tx>
          <c:spPr>
            <a:effectLst>
              <a:outerShdw blurRad="40000" dist="23000" dir="5400000" rotWithShape="0">
                <a:srgbClr val="000000">
                  <a:alpha val="35000"/>
                </a:srgbClr>
              </a:outerShdw>
            </a:effectLst>
          </c:spPr>
          <c:marker>
            <c:symbol val="none"/>
          </c:marker>
          <c:cat>
            <c:strRef>
              <c:f>'5'!$A$91:$A$102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'5'!$D$91:$D$102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38BC-4E6D-ACB4-09A7F509E40F}"/>
            </c:ext>
          </c:extLst>
        </c:ser>
        <c:dLbls>
          <c:showLegendKey val="0"/>
          <c:showVal val="0"/>
          <c:showCatName val="0"/>
          <c:showSerName val="0"/>
          <c:showPercent val="0"/>
          <c:showBubbleSize val="0"/>
        </c:dLbls>
        <c:smooth val="0"/>
        <c:axId val="239362096"/>
        <c:axId val="239366016"/>
      </c:lineChart>
      <c:catAx>
        <c:axId val="23936209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6016"/>
        <c:crosses val="autoZero"/>
        <c:auto val="1"/>
        <c:lblAlgn val="ctr"/>
        <c:lblOffset val="100"/>
        <c:noMultiLvlLbl val="0"/>
      </c:catAx>
      <c:valAx>
        <c:axId val="23936601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209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Cotizaciones Facturadas</a:t>
            </a:r>
            <a:endParaRPr lang="en-US"/>
          </a:p>
        </c:rich>
      </c:tx>
      <c:overlay val="0"/>
      <c:spPr>
        <a:noFill/>
        <a:ln>
          <a:noFill/>
        </a:ln>
        <a:effectLst/>
      </c:spPr>
    </c:title>
    <c:autoTitleDeleted val="0"/>
    <c:plotArea>
      <c:layout/>
      <c:lineChart>
        <c:grouping val="standard"/>
        <c:varyColors val="0"/>
        <c:ser>
          <c:idx val="0"/>
          <c:order val="0"/>
          <c:tx>
            <c:strRef>
              <c:f>'5'!$D$74</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9.0157776108189328E-3</c:v>
                </c:pt>
                <c:pt idx="1">
                  <c:v>2.0895522388059702E-2</c:v>
                </c:pt>
                <c:pt idx="2">
                  <c:v>1.1054421768707483E-2</c:v>
                </c:pt>
                <c:pt idx="3">
                  <c:v>2.068519715578539E-2</c:v>
                </c:pt>
                <c:pt idx="4">
                  <c:v>1.4437689969604863E-2</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239364448"/>
        <c:axId val="239364840"/>
      </c:lineChart>
      <c:catAx>
        <c:axId val="2393644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4840"/>
        <c:crosses val="autoZero"/>
        <c:auto val="1"/>
        <c:lblAlgn val="ctr"/>
        <c:lblOffset val="100"/>
        <c:noMultiLvlLbl val="0"/>
      </c:catAx>
      <c:valAx>
        <c:axId val="23936484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444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Ejecución del Programa de Capacitación</a:t>
            </a:r>
          </a:p>
        </c:rich>
      </c:tx>
      <c:overlay val="0"/>
      <c:spPr>
        <a:noFill/>
        <a:ln>
          <a:noFill/>
        </a:ln>
        <a:effectLst/>
      </c:spPr>
    </c:title>
    <c:autoTitleDeleted val="0"/>
    <c:plotArea>
      <c:layout/>
      <c:lineChart>
        <c:grouping val="standard"/>
        <c:varyColors val="0"/>
        <c:ser>
          <c:idx val="0"/>
          <c:order val="0"/>
          <c:tx>
            <c:strRef>
              <c:f>'6'!$D$10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0</c:v>
                </c:pt>
                <c:pt idx="1">
                  <c:v>0.75</c:v>
                </c:pt>
                <c:pt idx="2">
                  <c:v>0.8</c:v>
                </c:pt>
                <c:pt idx="3">
                  <c:v>0.5</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ED1-4D89-A03A-20BD07AF26DF}"/>
            </c:ext>
          </c:extLst>
        </c:ser>
        <c:dLbls>
          <c:showLegendKey val="0"/>
          <c:showVal val="0"/>
          <c:showCatName val="0"/>
          <c:showSerName val="0"/>
          <c:showPercent val="0"/>
          <c:showBubbleSize val="0"/>
        </c:dLbls>
        <c:smooth val="0"/>
        <c:axId val="239366408"/>
        <c:axId val="239360920"/>
      </c:lineChart>
      <c:catAx>
        <c:axId val="23936640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0920"/>
        <c:crosses val="autoZero"/>
        <c:auto val="1"/>
        <c:lblAlgn val="ctr"/>
        <c:lblOffset val="100"/>
        <c:noMultiLvlLbl val="0"/>
      </c:catAx>
      <c:valAx>
        <c:axId val="23936092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640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Proveedores</a:t>
            </a:r>
          </a:p>
        </c:rich>
      </c:tx>
      <c:overlay val="0"/>
      <c:spPr>
        <a:noFill/>
        <a:ln>
          <a:noFill/>
        </a:ln>
        <a:effectLst/>
      </c:spPr>
    </c:title>
    <c:autoTitleDeleted val="0"/>
    <c:plotArea>
      <c:layout/>
      <c:lineChart>
        <c:grouping val="standard"/>
        <c:varyColors val="0"/>
        <c:ser>
          <c:idx val="2"/>
          <c:order val="0"/>
          <c:tx>
            <c:strRef>
              <c:f>'7'!$D$10</c:f>
              <c:strCache>
                <c:ptCount val="1"/>
                <c:pt idx="0">
                  <c:v>Calificación (&gt;95)</c:v>
                </c:pt>
              </c:strCache>
            </c:strRef>
          </c:tx>
          <c:spPr>
            <a:effectLst>
              <a:outerShdw blurRad="40000" dist="23000" dir="5400000" rotWithShape="0">
                <a:srgbClr val="000000">
                  <a:alpha val="35000"/>
                </a:srgbClr>
              </a:outerShdw>
            </a:effectLst>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99.875</c:v>
                </c:pt>
                <c:pt idx="1">
                  <c:v>97.277777777777771</c:v>
                </c:pt>
                <c:pt idx="2">
                  <c:v>97.35</c:v>
                </c:pt>
                <c:pt idx="3">
                  <c:v>97.45</c:v>
                </c:pt>
                <c:pt idx="4">
                  <c:v>97.9</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CB57-47AB-B38C-70315533733B}"/>
            </c:ext>
          </c:extLst>
        </c:ser>
        <c:dLbls>
          <c:showLegendKey val="0"/>
          <c:showVal val="0"/>
          <c:showCatName val="0"/>
          <c:showSerName val="0"/>
          <c:showPercent val="0"/>
          <c:showBubbleSize val="0"/>
        </c:dLbls>
        <c:smooth val="0"/>
        <c:axId val="239366800"/>
        <c:axId val="239362488"/>
      </c:lineChart>
      <c:catAx>
        <c:axId val="23936680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2488"/>
        <c:crosses val="autoZero"/>
        <c:auto val="1"/>
        <c:lblAlgn val="ctr"/>
        <c:lblOffset val="100"/>
        <c:noMultiLvlLbl val="0"/>
      </c:catAx>
      <c:valAx>
        <c:axId val="2393624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680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Satisfacción del Cliente</a:t>
            </a:r>
          </a:p>
        </c:rich>
      </c:tx>
      <c:overlay val="0"/>
      <c:spPr>
        <a:noFill/>
        <a:ln>
          <a:noFill/>
        </a:ln>
        <a:effectLst/>
      </c:spPr>
    </c:title>
    <c:autoTitleDeleted val="0"/>
    <c:plotArea>
      <c:layout/>
      <c:lineChart>
        <c:grouping val="standard"/>
        <c:varyColors val="0"/>
        <c:ser>
          <c:idx val="2"/>
          <c:order val="0"/>
          <c:tx>
            <c:strRef>
              <c:f>'8'!$D$10</c:f>
              <c:strCache>
                <c:ptCount val="1"/>
                <c:pt idx="0">
                  <c:v>Calificación (&gt;4.5)</c:v>
                </c:pt>
              </c:strCache>
            </c:strRef>
          </c:tx>
          <c:spPr>
            <a:effectLst>
              <a:outerShdw blurRad="40000" dist="23000" dir="5400000" rotWithShape="0">
                <a:srgbClr val="000000">
                  <a:alpha val="35000"/>
                </a:srgbClr>
              </a:outerShdw>
            </a:effectLst>
          </c:spPr>
          <c:marker>
            <c:symbol val="none"/>
          </c:marker>
          <c:cat>
            <c:strRef>
              <c:f>'8'!$A$11:$A$22</c:f>
              <c:strCache>
                <c:ptCount val="7"/>
                <c:pt idx="0">
                  <c:v>Primer Semestre</c:v>
                </c:pt>
                <c:pt idx="6">
                  <c:v>Segundo Semestre</c:v>
                </c:pt>
              </c:strCache>
            </c:strRef>
          </c:cat>
          <c:val>
            <c:numRef>
              <c:f>'8'!$D$11:$D$22</c:f>
              <c:numCache>
                <c:formatCode>0.0</c:formatCode>
                <c:ptCount val="12"/>
              </c:numCache>
            </c:numRef>
          </c:val>
          <c:smooth val="0"/>
          <c:extLst>
            <c:ext xmlns:c16="http://schemas.microsoft.com/office/drawing/2014/chart" uri="{C3380CC4-5D6E-409C-BE32-E72D297353CC}">
              <c16:uniqueId val="{00000000-4288-4EC5-8B58-F4E29A9FF1BA}"/>
            </c:ext>
          </c:extLst>
        </c:ser>
        <c:dLbls>
          <c:showLegendKey val="0"/>
          <c:showVal val="0"/>
          <c:showCatName val="0"/>
          <c:showSerName val="0"/>
          <c:showPercent val="0"/>
          <c:showBubbleSize val="0"/>
        </c:dLbls>
        <c:smooth val="0"/>
        <c:axId val="239359744"/>
        <c:axId val="239360136"/>
      </c:lineChart>
      <c:catAx>
        <c:axId val="23935974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60136"/>
        <c:crosses val="autoZero"/>
        <c:auto val="1"/>
        <c:lblAlgn val="ctr"/>
        <c:lblOffset val="100"/>
        <c:noMultiLvlLbl val="0"/>
      </c:catAx>
      <c:valAx>
        <c:axId val="23936013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3935974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jpe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42335</xdr:colOff>
      <xdr:row>9</xdr:row>
      <xdr:rowOff>15850</xdr:rowOff>
    </xdr:from>
    <xdr:to>
      <xdr:col>9</xdr:col>
      <xdr:colOff>703613</xdr:colOff>
      <xdr:row>21</xdr:row>
      <xdr:rowOff>142850</xdr:rowOff>
    </xdr:to>
    <xdr:graphicFrame macro="">
      <xdr:nvGraphicFramePr>
        <xdr:cNvPr id="3" name="2 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25</xdr:row>
      <xdr:rowOff>42334</xdr:rowOff>
    </xdr:from>
    <xdr:to>
      <xdr:col>9</xdr:col>
      <xdr:colOff>687917</xdr:colOff>
      <xdr:row>38</xdr:row>
      <xdr:rowOff>10584</xdr:rowOff>
    </xdr:to>
    <xdr:graphicFrame macro="">
      <xdr:nvGraphicFramePr>
        <xdr:cNvPr id="5" name="4 Gráfico">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179916</xdr:colOff>
      <xdr:row>0</xdr:row>
      <xdr:rowOff>42335</xdr:rowOff>
    </xdr:from>
    <xdr:to>
      <xdr:col>1</xdr:col>
      <xdr:colOff>350539</xdr:colOff>
      <xdr:row>2</xdr:row>
      <xdr:rowOff>169335</xdr:rowOff>
    </xdr:to>
    <xdr:pic>
      <xdr:nvPicPr>
        <xdr:cNvPr id="6" name="Imagen 5" descr="D:\Desktop\ARCHIVOS\Logo_Biosteel-001.jpg">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9916" y="42335"/>
          <a:ext cx="994833" cy="508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952501</xdr:colOff>
      <xdr:row>9</xdr:row>
      <xdr:rowOff>52917</xdr:rowOff>
    </xdr:from>
    <xdr:to>
      <xdr:col>9</xdr:col>
      <xdr:colOff>635001</xdr:colOff>
      <xdr:row>21</xdr:row>
      <xdr:rowOff>179917</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63499</xdr:colOff>
      <xdr:row>25</xdr:row>
      <xdr:rowOff>63500</xdr:rowOff>
    </xdr:from>
    <xdr:to>
      <xdr:col>9</xdr:col>
      <xdr:colOff>719666</xdr:colOff>
      <xdr:row>38</xdr:row>
      <xdr:rowOff>0</xdr:rowOff>
    </xdr:to>
    <xdr:graphicFrame macro="">
      <xdr:nvGraphicFramePr>
        <xdr:cNvPr id="6" name="5 Gráfico">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349250</xdr:colOff>
      <xdr:row>0</xdr:row>
      <xdr:rowOff>0</xdr:rowOff>
    </xdr:from>
    <xdr:to>
      <xdr:col>1</xdr:col>
      <xdr:colOff>476250</xdr:colOff>
      <xdr:row>2</xdr:row>
      <xdr:rowOff>105833</xdr:rowOff>
    </xdr:to>
    <xdr:pic>
      <xdr:nvPicPr>
        <xdr:cNvPr id="5" name="Imagen 4" descr="D:\Desktop\ARCHIVOS\Logo_Biosteel-001.jp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250" y="0"/>
          <a:ext cx="941917" cy="48683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84667</xdr:colOff>
      <xdr:row>9</xdr:row>
      <xdr:rowOff>43391</xdr:rowOff>
    </xdr:from>
    <xdr:to>
      <xdr:col>9</xdr:col>
      <xdr:colOff>740834</xdr:colOff>
      <xdr:row>21</xdr:row>
      <xdr:rowOff>162982</xdr:rowOff>
    </xdr:to>
    <xdr:graphicFrame macro="">
      <xdr:nvGraphicFramePr>
        <xdr:cNvPr id="3" name="2 Gráfico">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25</xdr:row>
      <xdr:rowOff>32808</xdr:rowOff>
    </xdr:from>
    <xdr:to>
      <xdr:col>9</xdr:col>
      <xdr:colOff>687917</xdr:colOff>
      <xdr:row>37</xdr:row>
      <xdr:rowOff>152399</xdr:rowOff>
    </xdr:to>
    <xdr:graphicFrame macro="">
      <xdr:nvGraphicFramePr>
        <xdr:cNvPr id="5" name="4 Gráfico">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444500</xdr:colOff>
      <xdr:row>0</xdr:row>
      <xdr:rowOff>21167</xdr:rowOff>
    </xdr:from>
    <xdr:to>
      <xdr:col>1</xdr:col>
      <xdr:colOff>571500</xdr:colOff>
      <xdr:row>2</xdr:row>
      <xdr:rowOff>127000</xdr:rowOff>
    </xdr:to>
    <xdr:pic>
      <xdr:nvPicPr>
        <xdr:cNvPr id="6" name="Imagen 5" descr="D:\Desktop\ARCHIVOS\Logo_Biosteel-001.jpg">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4500" y="21167"/>
          <a:ext cx="941917" cy="486833"/>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31750</xdr:colOff>
      <xdr:row>9</xdr:row>
      <xdr:rowOff>32808</xdr:rowOff>
    </xdr:from>
    <xdr:to>
      <xdr:col>9</xdr:col>
      <xdr:colOff>687917</xdr:colOff>
      <xdr:row>21</xdr:row>
      <xdr:rowOff>152399</xdr:rowOff>
    </xdr:to>
    <xdr:graphicFrame macro="">
      <xdr:nvGraphicFramePr>
        <xdr:cNvPr id="2" name="1 Gráfico">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317500</xdr:colOff>
      <xdr:row>0</xdr:row>
      <xdr:rowOff>10583</xdr:rowOff>
    </xdr:from>
    <xdr:to>
      <xdr:col>1</xdr:col>
      <xdr:colOff>444500</xdr:colOff>
      <xdr:row>2</xdr:row>
      <xdr:rowOff>116416</xdr:rowOff>
    </xdr:to>
    <xdr:pic>
      <xdr:nvPicPr>
        <xdr:cNvPr id="4" name="Imagen 3" descr="D:\Desktop\ARCHIVOS\Logo_Biosteel-001.jpg">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500" y="10583"/>
          <a:ext cx="941917" cy="486833"/>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730250</xdr:colOff>
      <xdr:row>21</xdr:row>
      <xdr:rowOff>169334</xdr:rowOff>
    </xdr:to>
    <xdr:graphicFrame macro="">
      <xdr:nvGraphicFramePr>
        <xdr:cNvPr id="2" name="1 Gráfico">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31751</xdr:colOff>
      <xdr:row>25</xdr:row>
      <xdr:rowOff>31750</xdr:rowOff>
    </xdr:from>
    <xdr:to>
      <xdr:col>9</xdr:col>
      <xdr:colOff>751418</xdr:colOff>
      <xdr:row>37</xdr:row>
      <xdr:rowOff>169333</xdr:rowOff>
    </xdr:to>
    <xdr:graphicFrame macro="">
      <xdr:nvGraphicFramePr>
        <xdr:cNvPr id="3" name="2 Gráfico">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52916</xdr:colOff>
      <xdr:row>54</xdr:row>
      <xdr:rowOff>42334</xdr:rowOff>
    </xdr:from>
    <xdr:to>
      <xdr:col>9</xdr:col>
      <xdr:colOff>719667</xdr:colOff>
      <xdr:row>69</xdr:row>
      <xdr:rowOff>84668</xdr:rowOff>
    </xdr:to>
    <xdr:graphicFrame macro="">
      <xdr:nvGraphicFramePr>
        <xdr:cNvPr id="7" name="6 Gráfico">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42333</xdr:colOff>
      <xdr:row>73</xdr:row>
      <xdr:rowOff>63500</xdr:rowOff>
    </xdr:from>
    <xdr:to>
      <xdr:col>9</xdr:col>
      <xdr:colOff>730249</xdr:colOff>
      <xdr:row>86</xdr:row>
      <xdr:rowOff>0</xdr:rowOff>
    </xdr:to>
    <xdr:graphicFrame macro="">
      <xdr:nvGraphicFramePr>
        <xdr:cNvPr id="14" name="5 Gráfico">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42333</xdr:colOff>
      <xdr:row>89</xdr:row>
      <xdr:rowOff>63500</xdr:rowOff>
    </xdr:from>
    <xdr:to>
      <xdr:col>9</xdr:col>
      <xdr:colOff>730249</xdr:colOff>
      <xdr:row>102</xdr:row>
      <xdr:rowOff>0</xdr:rowOff>
    </xdr:to>
    <xdr:graphicFrame macro="">
      <xdr:nvGraphicFramePr>
        <xdr:cNvPr id="15" name="5 Gráfico">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412749</xdr:colOff>
      <xdr:row>0</xdr:row>
      <xdr:rowOff>42334</xdr:rowOff>
    </xdr:from>
    <xdr:to>
      <xdr:col>1</xdr:col>
      <xdr:colOff>677332</xdr:colOff>
      <xdr:row>2</xdr:row>
      <xdr:rowOff>127001</xdr:rowOff>
    </xdr:to>
    <xdr:pic>
      <xdr:nvPicPr>
        <xdr:cNvPr id="8" name="Imagen 7" descr="D:\Desktop\ARCHIVOS\Logo_Biosteel-001.jpg">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12749" y="42334"/>
          <a:ext cx="1079500" cy="465667"/>
        </a:xfrm>
        <a:prstGeom prst="rect">
          <a:avLst/>
        </a:prstGeom>
        <a:noFill/>
        <a:ln>
          <a:noFill/>
        </a:ln>
      </xdr:spPr>
    </xdr:pic>
    <xdr:clientData/>
  </xdr:twoCellAnchor>
  <xdr:twoCellAnchor>
    <xdr:from>
      <xdr:col>4</xdr:col>
      <xdr:colOff>42333</xdr:colOff>
      <xdr:row>104</xdr:row>
      <xdr:rowOff>63500</xdr:rowOff>
    </xdr:from>
    <xdr:to>
      <xdr:col>9</xdr:col>
      <xdr:colOff>730249</xdr:colOff>
      <xdr:row>117</xdr:row>
      <xdr:rowOff>0</xdr:rowOff>
    </xdr:to>
    <xdr:graphicFrame macro="">
      <xdr:nvGraphicFramePr>
        <xdr:cNvPr id="9" name="5 Gráfico">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698501</xdr:colOff>
      <xdr:row>21</xdr:row>
      <xdr:rowOff>169334</xdr:rowOff>
    </xdr:to>
    <xdr:graphicFrame macro="">
      <xdr:nvGraphicFramePr>
        <xdr:cNvPr id="2" name="1 Gráfico">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370417</xdr:colOff>
      <xdr:row>0</xdr:row>
      <xdr:rowOff>0</xdr:rowOff>
    </xdr:from>
    <xdr:to>
      <xdr:col>1</xdr:col>
      <xdr:colOff>497417</xdr:colOff>
      <xdr:row>2</xdr:row>
      <xdr:rowOff>105833</xdr:rowOff>
    </xdr:to>
    <xdr:pic>
      <xdr:nvPicPr>
        <xdr:cNvPr id="5" name="Imagen 4" descr="D:\Desktop\ARCHIVOS\Logo_Biosteel-001.jpg">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417" y="0"/>
          <a:ext cx="941917" cy="486833"/>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9</xdr:row>
      <xdr:rowOff>52917</xdr:rowOff>
    </xdr:from>
    <xdr:to>
      <xdr:col>9</xdr:col>
      <xdr:colOff>698500</xdr:colOff>
      <xdr:row>22</xdr:row>
      <xdr:rowOff>10584</xdr:rowOff>
    </xdr:to>
    <xdr:graphicFrame macro="">
      <xdr:nvGraphicFramePr>
        <xdr:cNvPr id="6" name="5 Gráfico">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0</xdr:row>
      <xdr:rowOff>42333</xdr:rowOff>
    </xdr:from>
    <xdr:to>
      <xdr:col>1</xdr:col>
      <xdr:colOff>508000</xdr:colOff>
      <xdr:row>2</xdr:row>
      <xdr:rowOff>148166</xdr:rowOff>
    </xdr:to>
    <xdr:pic>
      <xdr:nvPicPr>
        <xdr:cNvPr id="4" name="Imagen 3" descr="D:\Desktop\ARCHIVOS\Logo_Biosteel-001.jpg">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42333"/>
          <a:ext cx="941917" cy="486833"/>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63500</xdr:colOff>
      <xdr:row>9</xdr:row>
      <xdr:rowOff>52917</xdr:rowOff>
    </xdr:from>
    <xdr:to>
      <xdr:col>9</xdr:col>
      <xdr:colOff>698500</xdr:colOff>
      <xdr:row>22</xdr:row>
      <xdr:rowOff>10584</xdr:rowOff>
    </xdr:to>
    <xdr:graphicFrame macro="">
      <xdr:nvGraphicFramePr>
        <xdr:cNvPr id="3" name="2 Gráfico">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254000</xdr:colOff>
      <xdr:row>0</xdr:row>
      <xdr:rowOff>21167</xdr:rowOff>
    </xdr:from>
    <xdr:to>
      <xdr:col>1</xdr:col>
      <xdr:colOff>412750</xdr:colOff>
      <xdr:row>2</xdr:row>
      <xdr:rowOff>137583</xdr:rowOff>
    </xdr:to>
    <xdr:pic>
      <xdr:nvPicPr>
        <xdr:cNvPr id="4" name="Imagen 3" descr="D:\Desktop\ARCHIVOS\Logo_Biosteel-001.jpg">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4000" y="21167"/>
          <a:ext cx="973667" cy="497416"/>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107157</xdr:colOff>
      <xdr:row>0</xdr:row>
      <xdr:rowOff>119062</xdr:rowOff>
    </xdr:from>
    <xdr:to>
      <xdr:col>2</xdr:col>
      <xdr:colOff>357188</xdr:colOff>
      <xdr:row>0</xdr:row>
      <xdr:rowOff>678656</xdr:rowOff>
    </xdr:to>
    <xdr:pic>
      <xdr:nvPicPr>
        <xdr:cNvPr id="2" name="Imagen 1" descr="D:\Desktop\ARCHIVOS\Logo_Biosteel-001.jpg">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1938" y="119062"/>
          <a:ext cx="1190625" cy="559594"/>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8"/>
  <sheetViews>
    <sheetView topLeftCell="I15" zoomScale="80" zoomScaleNormal="80" workbookViewId="0">
      <selection activeCell="M22" sqref="A22:XFD22"/>
    </sheetView>
  </sheetViews>
  <sheetFormatPr baseColWidth="10" defaultRowHeight="15"/>
  <cols>
    <col min="1" max="1" width="2.28515625" style="1" bestFit="1" customWidth="1"/>
    <col min="2" max="2" width="20.28515625" style="1" bestFit="1" customWidth="1"/>
    <col min="3" max="3" width="15.140625" style="1" customWidth="1"/>
    <col min="4" max="6" width="11.42578125" style="1"/>
    <col min="7" max="7" width="13.85546875" style="1" customWidth="1"/>
    <col min="8" max="8" width="75.140625" style="1" customWidth="1"/>
    <col min="9" max="9" width="19.140625" style="1" bestFit="1" customWidth="1"/>
    <col min="10" max="10" width="21.28515625" style="1" bestFit="1" customWidth="1"/>
    <col min="11" max="11" width="21.42578125" style="1" bestFit="1" customWidth="1"/>
    <col min="12" max="12" width="21" style="1" bestFit="1" customWidth="1"/>
    <col min="13" max="13" width="21.5703125" style="1" bestFit="1" customWidth="1"/>
    <col min="14" max="14" width="33" style="1" bestFit="1" customWidth="1"/>
    <col min="15" max="15" width="14.5703125" style="1" bestFit="1" customWidth="1"/>
    <col min="16" max="16" width="12.42578125" style="1" bestFit="1" customWidth="1"/>
    <col min="17" max="17" width="18" style="1" bestFit="1" customWidth="1"/>
    <col min="18" max="18" width="14.5703125" style="1" bestFit="1" customWidth="1"/>
    <col min="19" max="19" width="13" style="1" bestFit="1" customWidth="1"/>
    <col min="20" max="20" width="14.5703125" bestFit="1" customWidth="1"/>
    <col min="21" max="25" width="9.140625" bestFit="1" customWidth="1"/>
    <col min="26" max="26" width="12.42578125" bestFit="1" customWidth="1"/>
    <col min="27" max="27" width="9.85546875" bestFit="1" customWidth="1"/>
    <col min="28" max="28" width="12.28515625" bestFit="1" customWidth="1"/>
    <col min="29" max="29" width="11.28515625" bestFit="1" customWidth="1"/>
  </cols>
  <sheetData>
    <row r="1" spans="1:29">
      <c r="A1" s="161" t="s">
        <v>159</v>
      </c>
      <c r="B1" s="161"/>
      <c r="C1" s="161"/>
      <c r="D1" s="161"/>
      <c r="E1" s="161"/>
      <c r="F1" s="161"/>
      <c r="G1" s="161"/>
      <c r="H1" s="161"/>
      <c r="I1" s="161"/>
      <c r="J1" s="161"/>
      <c r="K1" s="161"/>
      <c r="L1" s="161"/>
      <c r="M1" s="161"/>
      <c r="N1" s="161"/>
      <c r="O1" s="161"/>
      <c r="P1" s="161"/>
      <c r="Q1" s="161"/>
      <c r="R1" s="85"/>
      <c r="S1" s="85"/>
      <c r="T1" s="86"/>
      <c r="U1" s="86"/>
      <c r="V1" s="86"/>
      <c r="W1" s="86"/>
      <c r="X1" s="86"/>
      <c r="Y1" s="86"/>
      <c r="Z1" s="86"/>
      <c r="AA1" s="86"/>
      <c r="AB1" s="86"/>
      <c r="AC1" s="86"/>
    </row>
    <row r="2" spans="1:29">
      <c r="A2" s="161"/>
      <c r="B2" s="161"/>
      <c r="C2" s="161"/>
      <c r="D2" s="161"/>
      <c r="E2" s="161"/>
      <c r="F2" s="161"/>
      <c r="G2" s="161"/>
      <c r="H2" s="161"/>
      <c r="I2" s="161"/>
      <c r="J2" s="161"/>
      <c r="K2" s="161"/>
      <c r="L2" s="161"/>
      <c r="M2" s="161"/>
      <c r="N2" s="161"/>
      <c r="O2" s="161"/>
      <c r="P2" s="161"/>
      <c r="Q2" s="161"/>
      <c r="R2" s="85"/>
      <c r="S2" s="85"/>
      <c r="T2" s="86"/>
      <c r="U2" s="86"/>
      <c r="V2" s="86"/>
      <c r="W2" s="86"/>
      <c r="X2" s="86"/>
      <c r="Y2" s="86"/>
      <c r="Z2" s="86"/>
      <c r="AA2" s="86"/>
      <c r="AB2" s="86"/>
      <c r="AC2" s="86"/>
    </row>
    <row r="3" spans="1:29">
      <c r="A3" s="161"/>
      <c r="B3" s="161"/>
      <c r="C3" s="161"/>
      <c r="D3" s="161"/>
      <c r="E3" s="161"/>
      <c r="F3" s="161"/>
      <c r="G3" s="161"/>
      <c r="H3" s="161"/>
      <c r="I3" s="161"/>
      <c r="J3" s="161"/>
      <c r="K3" s="161"/>
      <c r="L3" s="161"/>
      <c r="M3" s="161"/>
      <c r="N3" s="161"/>
      <c r="O3" s="161"/>
      <c r="P3" s="161"/>
      <c r="Q3" s="161"/>
      <c r="R3" s="85"/>
      <c r="S3" s="85"/>
      <c r="T3" s="86"/>
      <c r="U3" s="86"/>
      <c r="V3" s="86"/>
      <c r="W3" s="86"/>
      <c r="X3" s="86"/>
      <c r="Y3" s="86"/>
      <c r="Z3" s="86"/>
      <c r="AA3" s="86"/>
      <c r="AB3" s="86"/>
      <c r="AC3" s="86"/>
    </row>
    <row r="4" spans="1:29">
      <c r="A4" s="159" t="s">
        <v>0</v>
      </c>
      <c r="B4" s="159"/>
      <c r="C4" s="162" t="s">
        <v>194</v>
      </c>
      <c r="D4" s="162"/>
      <c r="E4" s="162"/>
      <c r="F4" s="162"/>
      <c r="G4" s="162"/>
      <c r="H4" s="162"/>
      <c r="I4" s="162"/>
      <c r="J4" s="162"/>
      <c r="K4" s="162"/>
      <c r="L4" s="162"/>
      <c r="M4" s="162"/>
      <c r="N4" s="162"/>
      <c r="O4" s="162"/>
      <c r="P4" s="162"/>
      <c r="Q4" s="162"/>
      <c r="R4" s="85"/>
      <c r="S4" s="85"/>
      <c r="T4" s="86"/>
      <c r="U4" s="86"/>
      <c r="V4" s="86"/>
      <c r="W4" s="86"/>
      <c r="X4" s="86"/>
      <c r="Y4" s="86"/>
      <c r="Z4" s="86"/>
      <c r="AA4" s="86"/>
      <c r="AB4" s="86"/>
      <c r="AC4" s="86"/>
    </row>
    <row r="5" spans="1:29">
      <c r="A5" s="159"/>
      <c r="B5" s="159"/>
      <c r="C5" s="162"/>
      <c r="D5" s="162"/>
      <c r="E5" s="162"/>
      <c r="F5" s="162"/>
      <c r="G5" s="162"/>
      <c r="H5" s="162"/>
      <c r="I5" s="162"/>
      <c r="J5" s="162"/>
      <c r="K5" s="162"/>
      <c r="L5" s="162"/>
      <c r="M5" s="162"/>
      <c r="N5" s="162"/>
      <c r="O5" s="162"/>
      <c r="P5" s="162"/>
      <c r="Q5" s="162"/>
      <c r="R5" s="85"/>
      <c r="S5" s="85"/>
      <c r="T5" s="86"/>
      <c r="U5" s="86"/>
      <c r="V5" s="86"/>
      <c r="W5" s="86"/>
      <c r="X5" s="86"/>
      <c r="Y5" s="86"/>
      <c r="Z5" s="86"/>
      <c r="AA5" s="86"/>
      <c r="AB5" s="86"/>
      <c r="AC5" s="86"/>
    </row>
    <row r="6" spans="1:29">
      <c r="A6" s="159"/>
      <c r="B6" s="159"/>
      <c r="C6" s="162"/>
      <c r="D6" s="162"/>
      <c r="E6" s="162"/>
      <c r="F6" s="162"/>
      <c r="G6" s="162"/>
      <c r="H6" s="162"/>
      <c r="I6" s="162"/>
      <c r="J6" s="162"/>
      <c r="K6" s="162"/>
      <c r="L6" s="162"/>
      <c r="M6" s="162"/>
      <c r="N6" s="162"/>
      <c r="O6" s="162"/>
      <c r="P6" s="162"/>
      <c r="Q6" s="162"/>
      <c r="R6" s="85"/>
      <c r="S6" s="85"/>
      <c r="T6" s="86"/>
      <c r="U6" s="86"/>
      <c r="V6" s="86"/>
      <c r="W6" s="86"/>
      <c r="X6" s="86"/>
      <c r="Y6" s="86"/>
      <c r="Z6" s="86"/>
      <c r="AA6" s="86"/>
      <c r="AB6" s="86"/>
      <c r="AC6" s="86"/>
    </row>
    <row r="7" spans="1:29">
      <c r="A7" s="159"/>
      <c r="B7" s="159"/>
      <c r="C7" s="162"/>
      <c r="D7" s="162"/>
      <c r="E7" s="162"/>
      <c r="F7" s="162"/>
      <c r="G7" s="162"/>
      <c r="H7" s="162"/>
      <c r="I7" s="162"/>
      <c r="J7" s="162"/>
      <c r="K7" s="162"/>
      <c r="L7" s="162"/>
      <c r="M7" s="162"/>
      <c r="N7" s="162"/>
      <c r="O7" s="162"/>
      <c r="P7" s="162"/>
      <c r="Q7" s="162"/>
      <c r="R7" s="85"/>
      <c r="S7" s="85"/>
      <c r="T7" s="86"/>
      <c r="U7" s="86"/>
      <c r="V7" s="86"/>
      <c r="W7" s="86"/>
      <c r="X7" s="86"/>
      <c r="Y7" s="86"/>
      <c r="Z7" s="86"/>
      <c r="AA7" s="86"/>
      <c r="AB7" s="86"/>
      <c r="AC7" s="86"/>
    </row>
    <row r="8" spans="1:29">
      <c r="A8" s="159"/>
      <c r="B8" s="159"/>
      <c r="C8" s="162"/>
      <c r="D8" s="162"/>
      <c r="E8" s="162"/>
      <c r="F8" s="162"/>
      <c r="G8" s="162"/>
      <c r="H8" s="162"/>
      <c r="I8" s="162"/>
      <c r="J8" s="162"/>
      <c r="K8" s="162"/>
      <c r="L8" s="162"/>
      <c r="M8" s="162"/>
      <c r="N8" s="162"/>
      <c r="O8" s="162"/>
      <c r="P8" s="162"/>
      <c r="Q8" s="162"/>
      <c r="R8" s="85"/>
      <c r="S8" s="85"/>
      <c r="T8" s="86"/>
      <c r="U8" s="86"/>
      <c r="V8" s="86"/>
      <c r="W8" s="86"/>
      <c r="X8" s="86"/>
      <c r="Y8" s="86"/>
      <c r="Z8" s="86"/>
      <c r="AA8" s="86"/>
      <c r="AB8" s="86"/>
      <c r="AC8" s="86"/>
    </row>
    <row r="9" spans="1:29" ht="30">
      <c r="A9" s="163" t="s">
        <v>1</v>
      </c>
      <c r="B9" s="164"/>
      <c r="C9" s="163" t="s">
        <v>2</v>
      </c>
      <c r="D9" s="165"/>
      <c r="E9" s="165"/>
      <c r="F9" s="165"/>
      <c r="G9" s="164"/>
      <c r="H9" s="100" t="s">
        <v>210</v>
      </c>
      <c r="I9" s="7" t="s">
        <v>28</v>
      </c>
      <c r="J9" s="7" t="s">
        <v>29</v>
      </c>
      <c r="K9" s="8" t="s">
        <v>30</v>
      </c>
      <c r="L9" s="8" t="s">
        <v>31</v>
      </c>
      <c r="M9" s="2" t="s">
        <v>3</v>
      </c>
      <c r="N9" s="2" t="s">
        <v>4</v>
      </c>
      <c r="O9" s="2" t="s">
        <v>5</v>
      </c>
      <c r="P9" s="2" t="s">
        <v>6</v>
      </c>
      <c r="Q9" s="3" t="s">
        <v>7</v>
      </c>
      <c r="R9" s="81" t="s">
        <v>164</v>
      </c>
      <c r="S9" s="81" t="s">
        <v>165</v>
      </c>
      <c r="T9" s="81" t="s">
        <v>166</v>
      </c>
      <c r="U9" s="81" t="s">
        <v>167</v>
      </c>
      <c r="V9" s="81" t="s">
        <v>168</v>
      </c>
      <c r="W9" s="81" t="s">
        <v>169</v>
      </c>
      <c r="X9" s="81" t="s">
        <v>170</v>
      </c>
      <c r="Y9" s="81" t="s">
        <v>171</v>
      </c>
      <c r="Z9" s="81" t="s">
        <v>172</v>
      </c>
      <c r="AA9" s="81" t="s">
        <v>173</v>
      </c>
      <c r="AB9" s="81" t="s">
        <v>174</v>
      </c>
      <c r="AC9" s="81" t="s">
        <v>175</v>
      </c>
    </row>
    <row r="10" spans="1:29" ht="45">
      <c r="A10" s="156">
        <v>1</v>
      </c>
      <c r="B10" s="150" t="s">
        <v>32</v>
      </c>
      <c r="C10" s="144" t="s">
        <v>25</v>
      </c>
      <c r="D10" s="145"/>
      <c r="E10" s="145"/>
      <c r="F10" s="145"/>
      <c r="G10" s="146"/>
      <c r="H10" s="137" t="s">
        <v>211</v>
      </c>
      <c r="I10" s="137" t="s">
        <v>33</v>
      </c>
      <c r="J10" s="137" t="s">
        <v>207</v>
      </c>
      <c r="K10" s="137" t="s">
        <v>95</v>
      </c>
      <c r="L10" s="137" t="s">
        <v>46</v>
      </c>
      <c r="M10" s="14" t="s">
        <v>49</v>
      </c>
      <c r="N10" s="10" t="s">
        <v>82</v>
      </c>
      <c r="O10" s="15" t="s">
        <v>10</v>
      </c>
      <c r="P10" s="15" t="s">
        <v>8</v>
      </c>
      <c r="Q10" s="10" t="s">
        <v>48</v>
      </c>
      <c r="R10" s="56">
        <f>'1'!D11</f>
        <v>0.95593869731800762</v>
      </c>
      <c r="S10" s="56">
        <f>'1'!D12</f>
        <v>0.98396793587174347</v>
      </c>
      <c r="T10" s="56">
        <f>'1'!D13</f>
        <v>0.98529411764705888</v>
      </c>
      <c r="U10" s="56">
        <f>'1'!D14</f>
        <v>0.9671848013816926</v>
      </c>
      <c r="V10" s="56">
        <f>'1'!D15</f>
        <v>0.92130518234165071</v>
      </c>
      <c r="W10" s="56" t="e">
        <f>'1'!D16</f>
        <v>#DIV/0!</v>
      </c>
      <c r="X10" s="56" t="e">
        <f>'1'!D17</f>
        <v>#DIV/0!</v>
      </c>
      <c r="Y10" s="56" t="e">
        <f>'1'!D18</f>
        <v>#DIV/0!</v>
      </c>
      <c r="Z10" s="56" t="e">
        <f>'1'!D19</f>
        <v>#DIV/0!</v>
      </c>
      <c r="AA10" s="56" t="e">
        <f>'1'!D20</f>
        <v>#DIV/0!</v>
      </c>
      <c r="AB10" s="56" t="e">
        <f>'1'!D21</f>
        <v>#DIV/0!</v>
      </c>
      <c r="AC10" s="56" t="e">
        <f>'1'!D22</f>
        <v>#DIV/0!</v>
      </c>
    </row>
    <row r="11" spans="1:29" ht="60">
      <c r="A11" s="157"/>
      <c r="B11" s="151"/>
      <c r="C11" s="147"/>
      <c r="D11" s="148"/>
      <c r="E11" s="148"/>
      <c r="F11" s="148"/>
      <c r="G11" s="149"/>
      <c r="H11" s="138"/>
      <c r="I11" s="138"/>
      <c r="J11" s="138"/>
      <c r="K11" s="138"/>
      <c r="L11" s="138"/>
      <c r="M11" s="14" t="s">
        <v>93</v>
      </c>
      <c r="N11" s="10" t="s">
        <v>89</v>
      </c>
      <c r="O11" s="16">
        <v>0</v>
      </c>
      <c r="P11" s="15" t="s">
        <v>8</v>
      </c>
      <c r="Q11" s="10" t="s">
        <v>96</v>
      </c>
      <c r="R11" s="56">
        <f>'1'!D27</f>
        <v>0.6</v>
      </c>
      <c r="S11" s="56">
        <f>'1'!D28</f>
        <v>0</v>
      </c>
      <c r="T11" s="56" t="e">
        <f>'1'!D29</f>
        <v>#DIV/0!</v>
      </c>
      <c r="U11" s="56" t="e">
        <f>'1'!D30</f>
        <v>#DIV/0!</v>
      </c>
      <c r="V11" s="56" t="e">
        <f>'1'!D31</f>
        <v>#DIV/0!</v>
      </c>
      <c r="W11" s="56" t="e">
        <f>'1'!D32</f>
        <v>#DIV/0!</v>
      </c>
      <c r="X11" s="56" t="e">
        <f>'1'!D33</f>
        <v>#DIV/0!</v>
      </c>
      <c r="Y11" s="56" t="e">
        <f>'1'!D34</f>
        <v>#DIV/0!</v>
      </c>
      <c r="Z11" s="56" t="e">
        <f>'1'!D35</f>
        <v>#DIV/0!</v>
      </c>
      <c r="AA11" s="56" t="e">
        <f>'1'!D36</f>
        <v>#DIV/0!</v>
      </c>
      <c r="AB11" s="56" t="e">
        <f>'1'!D37</f>
        <v>#DIV/0!</v>
      </c>
      <c r="AC11" s="56" t="e">
        <f>'1'!D38</f>
        <v>#DIV/0!</v>
      </c>
    </row>
    <row r="12" spans="1:29" ht="45">
      <c r="A12" s="160">
        <v>2</v>
      </c>
      <c r="B12" s="159" t="s">
        <v>16</v>
      </c>
      <c r="C12" s="139" t="s">
        <v>19</v>
      </c>
      <c r="D12" s="139"/>
      <c r="E12" s="139"/>
      <c r="F12" s="139"/>
      <c r="G12" s="139"/>
      <c r="H12" s="137" t="s">
        <v>212</v>
      </c>
      <c r="I12" s="139" t="s">
        <v>34</v>
      </c>
      <c r="J12" s="139" t="s">
        <v>38</v>
      </c>
      <c r="K12" s="139" t="s">
        <v>43</v>
      </c>
      <c r="L12" s="139" t="s">
        <v>46</v>
      </c>
      <c r="M12" s="14" t="s">
        <v>203</v>
      </c>
      <c r="N12" s="44" t="s">
        <v>204</v>
      </c>
      <c r="O12" s="16">
        <v>1</v>
      </c>
      <c r="P12" s="15" t="s">
        <v>8</v>
      </c>
      <c r="Q12" s="44" t="s">
        <v>205</v>
      </c>
      <c r="R12" s="56" t="e">
        <f>'2'!D27</f>
        <v>#DIV/0!</v>
      </c>
      <c r="S12" s="56" t="e">
        <f>'2'!D28</f>
        <v>#DIV/0!</v>
      </c>
      <c r="T12" s="56">
        <f>'2'!D29</f>
        <v>0.5</v>
      </c>
      <c r="U12" s="56" t="e">
        <f>'2'!D30</f>
        <v>#DIV/0!</v>
      </c>
      <c r="V12" s="56" t="e">
        <f>'2'!D31</f>
        <v>#DIV/0!</v>
      </c>
      <c r="W12" s="56" t="e">
        <f>'2'!D32</f>
        <v>#DIV/0!</v>
      </c>
      <c r="X12" s="56" t="e">
        <f>'2'!D33</f>
        <v>#DIV/0!</v>
      </c>
      <c r="Y12" s="56" t="e">
        <f>'2'!D34</f>
        <v>#DIV/0!</v>
      </c>
      <c r="Z12" s="56" t="e">
        <f>'2'!D35</f>
        <v>#DIV/0!</v>
      </c>
      <c r="AA12" s="56" t="e">
        <f>'2'!D36</f>
        <v>#DIV/0!</v>
      </c>
      <c r="AB12" s="56" t="e">
        <f>'2'!D37</f>
        <v>#DIV/0!</v>
      </c>
      <c r="AC12" s="56" t="e">
        <f>'2'!D38</f>
        <v>#DIV/0!</v>
      </c>
    </row>
    <row r="13" spans="1:29" ht="60">
      <c r="A13" s="160"/>
      <c r="B13" s="159"/>
      <c r="C13" s="139"/>
      <c r="D13" s="139"/>
      <c r="E13" s="139"/>
      <c r="F13" s="139"/>
      <c r="G13" s="139"/>
      <c r="H13" s="138"/>
      <c r="I13" s="139"/>
      <c r="J13" s="139"/>
      <c r="K13" s="139"/>
      <c r="L13" s="139"/>
      <c r="M13" s="14" t="s">
        <v>140</v>
      </c>
      <c r="N13" s="10" t="s">
        <v>52</v>
      </c>
      <c r="O13" s="17">
        <v>4.5</v>
      </c>
      <c r="P13" s="15" t="s">
        <v>8</v>
      </c>
      <c r="Q13" s="10" t="s">
        <v>9</v>
      </c>
      <c r="R13" s="88">
        <f>('2'!B11+'2'!C11+'2'!D11)/3</f>
        <v>4.7333333333333334</v>
      </c>
      <c r="S13" s="88">
        <f>('2'!B12+'2'!C12+'2'!D12)/3</f>
        <v>4.8</v>
      </c>
      <c r="T13" s="88">
        <f>('2'!B13+'2'!C13+'2'!D13)/3</f>
        <v>4.7</v>
      </c>
      <c r="U13" s="88">
        <f>('2'!B14+'2'!C14+'2'!D14)/3</f>
        <v>4.6333333333333337</v>
      </c>
      <c r="V13" s="88">
        <f>('2'!B15+'2'!C15+'2'!D15)/3</f>
        <v>4.8</v>
      </c>
      <c r="W13" s="88">
        <f>('2'!B16+'2'!C16+'2'!D16)/3</f>
        <v>0</v>
      </c>
      <c r="X13" s="88">
        <f>('2'!B17+'2'!C17+'2'!D17)/3</f>
        <v>0</v>
      </c>
      <c r="Y13" s="88">
        <f>('2'!B18+'2'!C18+'2'!D18)/3</f>
        <v>0</v>
      </c>
      <c r="Z13" s="88">
        <f>('2'!B19+'2'!C19+'2'!D19)/3</f>
        <v>0</v>
      </c>
      <c r="AA13" s="88">
        <f>('2'!B20+'2'!C20+'2'!D20)/3</f>
        <v>0</v>
      </c>
      <c r="AB13" s="88">
        <f>('2'!B21+'2'!C21+'2'!D21)/3</f>
        <v>0</v>
      </c>
      <c r="AC13" s="88">
        <f>('2'!B22+'2'!C22+'2'!D22)/3</f>
        <v>0</v>
      </c>
    </row>
    <row r="14" spans="1:29" ht="60">
      <c r="A14" s="156">
        <v>3</v>
      </c>
      <c r="B14" s="150" t="s">
        <v>17</v>
      </c>
      <c r="C14" s="144" t="s">
        <v>18</v>
      </c>
      <c r="D14" s="145"/>
      <c r="E14" s="145"/>
      <c r="F14" s="145"/>
      <c r="G14" s="146"/>
      <c r="H14" s="137" t="s">
        <v>213</v>
      </c>
      <c r="I14" s="137" t="s">
        <v>142</v>
      </c>
      <c r="J14" s="137" t="s">
        <v>206</v>
      </c>
      <c r="K14" s="137" t="s">
        <v>143</v>
      </c>
      <c r="L14" s="137" t="s">
        <v>46</v>
      </c>
      <c r="M14" s="14" t="s">
        <v>144</v>
      </c>
      <c r="N14" s="57" t="s">
        <v>145</v>
      </c>
      <c r="O14" s="64">
        <v>1</v>
      </c>
      <c r="P14" s="15" t="s">
        <v>11</v>
      </c>
      <c r="Q14" s="57" t="s">
        <v>146</v>
      </c>
      <c r="R14" s="5" t="s">
        <v>162</v>
      </c>
      <c r="S14" s="5" t="s">
        <v>162</v>
      </c>
      <c r="T14" s="56" t="str">
        <f>'3'!D27</f>
        <v>N/A</v>
      </c>
      <c r="U14" s="89" t="s">
        <v>162</v>
      </c>
      <c r="V14" s="89" t="s">
        <v>162</v>
      </c>
      <c r="W14" s="90" t="str">
        <f>'3'!D30</f>
        <v>N/A</v>
      </c>
      <c r="X14" s="89" t="s">
        <v>162</v>
      </c>
      <c r="Y14" s="89" t="s">
        <v>162</v>
      </c>
      <c r="Z14" s="90" t="str">
        <f>'3'!D33</f>
        <v>N/A</v>
      </c>
      <c r="AA14" s="89" t="s">
        <v>162</v>
      </c>
      <c r="AB14" s="89" t="s">
        <v>162</v>
      </c>
      <c r="AC14" s="90" t="str">
        <f>'3'!D36</f>
        <v>N/A</v>
      </c>
    </row>
    <row r="15" spans="1:29" ht="45">
      <c r="A15" s="158"/>
      <c r="B15" s="152"/>
      <c r="C15" s="153"/>
      <c r="D15" s="154"/>
      <c r="E15" s="154"/>
      <c r="F15" s="154"/>
      <c r="G15" s="155"/>
      <c r="H15" s="138"/>
      <c r="I15" s="138"/>
      <c r="J15" s="138"/>
      <c r="K15" s="138"/>
      <c r="L15" s="138"/>
      <c r="M15" s="14" t="s">
        <v>50</v>
      </c>
      <c r="N15" s="10" t="s">
        <v>51</v>
      </c>
      <c r="O15" s="16">
        <v>1</v>
      </c>
      <c r="P15" s="15" t="s">
        <v>8</v>
      </c>
      <c r="Q15" s="10" t="s">
        <v>48</v>
      </c>
      <c r="R15" s="56">
        <f>'3'!D11</f>
        <v>1</v>
      </c>
      <c r="S15" s="56">
        <f>'3'!D12</f>
        <v>1</v>
      </c>
      <c r="T15" s="56">
        <f>'3'!D13</f>
        <v>1</v>
      </c>
      <c r="U15" s="56">
        <f>'3'!D14</f>
        <v>1</v>
      </c>
      <c r="V15" s="56">
        <f>'3'!D15</f>
        <v>1</v>
      </c>
      <c r="W15" s="56" t="e">
        <f>'3'!D16</f>
        <v>#DIV/0!</v>
      </c>
      <c r="X15" s="56" t="e">
        <f>'3'!D17</f>
        <v>#DIV/0!</v>
      </c>
      <c r="Y15" s="56" t="e">
        <f>'3'!D18</f>
        <v>#DIV/0!</v>
      </c>
      <c r="Z15" s="56" t="e">
        <f>'3'!D19</f>
        <v>#DIV/0!</v>
      </c>
      <c r="AA15" s="56" t="e">
        <f>'3'!D20</f>
        <v>#DIV/0!</v>
      </c>
      <c r="AB15" s="56" t="e">
        <f>'3'!D21</f>
        <v>#DIV/0!</v>
      </c>
      <c r="AC15" s="56" t="e">
        <f>'3'!D22</f>
        <v>#DIV/0!</v>
      </c>
    </row>
    <row r="16" spans="1:29" ht="75">
      <c r="A16" s="2">
        <v>4</v>
      </c>
      <c r="B16" s="3" t="s">
        <v>20</v>
      </c>
      <c r="C16" s="141" t="s">
        <v>26</v>
      </c>
      <c r="D16" s="142"/>
      <c r="E16" s="142"/>
      <c r="F16" s="142"/>
      <c r="G16" s="143"/>
      <c r="H16" s="101" t="s">
        <v>214</v>
      </c>
      <c r="I16" s="4" t="s">
        <v>35</v>
      </c>
      <c r="J16" s="11" t="s">
        <v>42</v>
      </c>
      <c r="K16" s="13" t="s">
        <v>44</v>
      </c>
      <c r="L16" s="10" t="s">
        <v>46</v>
      </c>
      <c r="M16" s="19" t="s">
        <v>97</v>
      </c>
      <c r="N16" s="9" t="s">
        <v>99</v>
      </c>
      <c r="O16" s="5" t="s">
        <v>10</v>
      </c>
      <c r="P16" s="5" t="s">
        <v>11</v>
      </c>
      <c r="Q16" s="4" t="s">
        <v>12</v>
      </c>
      <c r="R16" s="5" t="s">
        <v>162</v>
      </c>
      <c r="S16" s="5" t="s">
        <v>162</v>
      </c>
      <c r="T16" s="56" t="e">
        <f>'4'!D11</f>
        <v>#DIV/0!</v>
      </c>
      <c r="U16" s="89" t="s">
        <v>162</v>
      </c>
      <c r="V16" s="89" t="s">
        <v>162</v>
      </c>
      <c r="W16" s="90" t="e">
        <f>'4'!D14</f>
        <v>#DIV/0!</v>
      </c>
      <c r="X16" s="89" t="s">
        <v>162</v>
      </c>
      <c r="Y16" s="89" t="s">
        <v>162</v>
      </c>
      <c r="Z16" s="90" t="e">
        <f>'4'!D17</f>
        <v>#DIV/0!</v>
      </c>
      <c r="AA16" s="89" t="s">
        <v>162</v>
      </c>
      <c r="AB16" s="89" t="s">
        <v>162</v>
      </c>
      <c r="AC16" s="90" t="e">
        <f>'4'!D20</f>
        <v>#DIV/0!</v>
      </c>
    </row>
    <row r="17" spans="1:29" ht="45">
      <c r="A17" s="156">
        <v>5</v>
      </c>
      <c r="B17" s="150" t="s">
        <v>21</v>
      </c>
      <c r="C17" s="144" t="s">
        <v>107</v>
      </c>
      <c r="D17" s="145"/>
      <c r="E17" s="145"/>
      <c r="F17" s="145"/>
      <c r="G17" s="146"/>
      <c r="H17" s="166" t="s">
        <v>215</v>
      </c>
      <c r="I17" s="137" t="s">
        <v>137</v>
      </c>
      <c r="J17" s="137" t="s">
        <v>136</v>
      </c>
      <c r="K17" s="137" t="s">
        <v>45</v>
      </c>
      <c r="L17" s="137" t="s">
        <v>46</v>
      </c>
      <c r="M17" s="18" t="s">
        <v>59</v>
      </c>
      <c r="N17" s="4" t="s">
        <v>58</v>
      </c>
      <c r="O17" s="87" t="s">
        <v>10</v>
      </c>
      <c r="P17" s="5" t="s">
        <v>8</v>
      </c>
      <c r="Q17" s="4" t="s">
        <v>60</v>
      </c>
      <c r="R17" s="56">
        <f>'5'!D11</f>
        <v>1.6614282674773182</v>
      </c>
      <c r="S17" s="56">
        <f>'5'!D12</f>
        <v>1.5156151773504505</v>
      </c>
      <c r="T17" s="56">
        <f>'5'!D13</f>
        <v>1.3305287939673585</v>
      </c>
      <c r="U17" s="56">
        <f>'5'!D14</f>
        <v>1.0975338014380327</v>
      </c>
      <c r="V17" s="56">
        <f>'5'!D15</f>
        <v>1.2982828276006475</v>
      </c>
      <c r="W17" s="56" t="e">
        <f>'5'!D16</f>
        <v>#DIV/0!</v>
      </c>
      <c r="X17" s="56" t="e">
        <f>'5'!D17</f>
        <v>#DIV/0!</v>
      </c>
      <c r="Y17" s="56" t="e">
        <f>'5'!D18</f>
        <v>#DIV/0!</v>
      </c>
      <c r="Z17" s="56" t="e">
        <f>'5'!D19</f>
        <v>#DIV/0!</v>
      </c>
      <c r="AA17" s="56" t="e">
        <f>'5'!D20</f>
        <v>#DIV/0!</v>
      </c>
      <c r="AB17" s="56" t="e">
        <f>'5'!D21</f>
        <v>#DIV/0!</v>
      </c>
      <c r="AC17" s="56" t="e">
        <f>'5'!D22</f>
        <v>#DIV/0!</v>
      </c>
    </row>
    <row r="18" spans="1:29" ht="60">
      <c r="A18" s="157"/>
      <c r="B18" s="151"/>
      <c r="C18" s="147"/>
      <c r="D18" s="148"/>
      <c r="E18" s="148"/>
      <c r="F18" s="148"/>
      <c r="G18" s="149"/>
      <c r="H18" s="166"/>
      <c r="I18" s="166"/>
      <c r="J18" s="166"/>
      <c r="K18" s="166"/>
      <c r="L18" s="166"/>
      <c r="M18" s="73" t="s">
        <v>155</v>
      </c>
      <c r="N18" s="65" t="s">
        <v>150</v>
      </c>
      <c r="O18" s="72">
        <v>1000000000</v>
      </c>
      <c r="P18" s="5" t="s">
        <v>8</v>
      </c>
      <c r="Q18" s="20" t="s">
        <v>61</v>
      </c>
      <c r="R18" s="72">
        <f>'5'!E27</f>
        <v>1362326279.48</v>
      </c>
      <c r="S18" s="72">
        <f>'5'!E28</f>
        <v>1629905233.0699999</v>
      </c>
      <c r="T18" s="72">
        <f>'5'!E29</f>
        <v>1295846761.8199997</v>
      </c>
      <c r="U18" s="72">
        <f>'5'!E30</f>
        <v>1985899877</v>
      </c>
      <c r="V18" s="72">
        <f>'5'!E31</f>
        <v>1600336330</v>
      </c>
      <c r="W18" s="72">
        <f>'5'!E32</f>
        <v>0</v>
      </c>
      <c r="X18" s="72">
        <f>'5'!E33</f>
        <v>0</v>
      </c>
      <c r="Y18" s="72">
        <f>'5'!E34</f>
        <v>0</v>
      </c>
      <c r="Z18" s="72">
        <f>'5'!E35</f>
        <v>0</v>
      </c>
      <c r="AA18" s="72">
        <f>'5'!E36</f>
        <v>0</v>
      </c>
      <c r="AB18" s="72">
        <f>'5'!E37</f>
        <v>0</v>
      </c>
      <c r="AC18" s="72">
        <f>'5'!E38</f>
        <v>0</v>
      </c>
    </row>
    <row r="19" spans="1:29" ht="30">
      <c r="A19" s="157"/>
      <c r="B19" s="151"/>
      <c r="C19" s="147"/>
      <c r="D19" s="148"/>
      <c r="E19" s="148"/>
      <c r="F19" s="148"/>
      <c r="G19" s="149"/>
      <c r="H19" s="166"/>
      <c r="I19" s="166"/>
      <c r="J19" s="166"/>
      <c r="K19" s="166"/>
      <c r="L19" s="166"/>
      <c r="M19" s="43" t="s">
        <v>131</v>
      </c>
      <c r="N19" s="42" t="s">
        <v>134</v>
      </c>
      <c r="O19" s="56">
        <v>0.9</v>
      </c>
      <c r="P19" s="5" t="s">
        <v>8</v>
      </c>
      <c r="Q19" s="42" t="s">
        <v>133</v>
      </c>
      <c r="R19" s="56">
        <f>'5'!E43</f>
        <v>0.994824825999167</v>
      </c>
      <c r="S19" s="56">
        <f>'5'!E44</f>
        <v>1.0582777663223986</v>
      </c>
      <c r="T19" s="56">
        <f>'5'!E45</f>
        <v>0.76504881006402137</v>
      </c>
      <c r="U19" s="56">
        <f>'5'!E46</f>
        <v>1.2019298833685341</v>
      </c>
      <c r="V19" s="56">
        <f>'5'!E47</f>
        <v>1.0034117534884468</v>
      </c>
      <c r="W19" s="56" t="e">
        <f>'5'!E48</f>
        <v>#DIV/0!</v>
      </c>
      <c r="X19" s="56" t="e">
        <f>'5'!E49</f>
        <v>#DIV/0!</v>
      </c>
      <c r="Y19" s="56" t="e">
        <f>'5'!E50</f>
        <v>#DIV/0!</v>
      </c>
      <c r="Z19" s="56" t="e">
        <f>'5'!E51</f>
        <v>#DIV/0!</v>
      </c>
      <c r="AA19" s="56" t="e">
        <f>'5'!E52</f>
        <v>#DIV/0!</v>
      </c>
      <c r="AB19" s="56" t="e">
        <f>'5'!E53</f>
        <v>#DIV/0!</v>
      </c>
      <c r="AC19" s="56" t="e">
        <f>'5'!E54</f>
        <v>#DIV/0!</v>
      </c>
    </row>
    <row r="20" spans="1:29" ht="30">
      <c r="A20" s="157"/>
      <c r="B20" s="151"/>
      <c r="C20" s="147"/>
      <c r="D20" s="148"/>
      <c r="E20" s="148"/>
      <c r="F20" s="148"/>
      <c r="G20" s="149"/>
      <c r="H20" s="166"/>
      <c r="I20" s="166"/>
      <c r="J20" s="166"/>
      <c r="K20" s="166"/>
      <c r="L20" s="166"/>
      <c r="M20" s="43" t="s">
        <v>132</v>
      </c>
      <c r="N20" s="42" t="s">
        <v>135</v>
      </c>
      <c r="O20" s="56">
        <v>0.95</v>
      </c>
      <c r="P20" s="5" t="s">
        <v>8</v>
      </c>
      <c r="Q20" s="42" t="s">
        <v>133</v>
      </c>
      <c r="R20" s="56">
        <f>'5'!F43</f>
        <v>1.0568157580464883</v>
      </c>
      <c r="S20" s="56">
        <f>'5'!F44</f>
        <v>0.98748076989160416</v>
      </c>
      <c r="T20" s="56">
        <f>'5'!F45</f>
        <v>0.95391619249622583</v>
      </c>
      <c r="U20" s="56">
        <f>'5'!F46</f>
        <v>1.0018322887396613</v>
      </c>
      <c r="V20" s="56">
        <f>'5'!F47</f>
        <v>1.0499855491938941</v>
      </c>
      <c r="W20" s="56" t="e">
        <f>'5'!F48</f>
        <v>#DIV/0!</v>
      </c>
      <c r="X20" s="56" t="e">
        <f>'5'!F49</f>
        <v>#DIV/0!</v>
      </c>
      <c r="Y20" s="56" t="e">
        <f>'5'!F50</f>
        <v>#DIV/0!</v>
      </c>
      <c r="Z20" s="56" t="e">
        <f>'5'!F51</f>
        <v>#DIV/0!</v>
      </c>
      <c r="AA20" s="56" t="e">
        <f>'5'!F52</f>
        <v>#DIV/0!</v>
      </c>
      <c r="AB20" s="56" t="e">
        <f>'5'!F53</f>
        <v>#DIV/0!</v>
      </c>
      <c r="AC20" s="56" t="e">
        <f>'5'!F54</f>
        <v>#DIV/0!</v>
      </c>
    </row>
    <row r="21" spans="1:29" ht="30">
      <c r="A21" s="157"/>
      <c r="B21" s="151"/>
      <c r="C21" s="147"/>
      <c r="D21" s="148"/>
      <c r="E21" s="148"/>
      <c r="F21" s="148"/>
      <c r="G21" s="149"/>
      <c r="H21" s="166"/>
      <c r="I21" s="166"/>
      <c r="J21" s="166"/>
      <c r="K21" s="166"/>
      <c r="L21" s="166"/>
      <c r="M21" s="14" t="s">
        <v>181</v>
      </c>
      <c r="N21" s="82" t="s">
        <v>177</v>
      </c>
      <c r="O21" s="56" t="s">
        <v>180</v>
      </c>
      <c r="P21" s="5" t="s">
        <v>8</v>
      </c>
      <c r="Q21" s="82" t="s">
        <v>178</v>
      </c>
      <c r="R21" s="56">
        <f>'5'!D75</f>
        <v>9.0157776108189328E-3</v>
      </c>
      <c r="S21" s="56">
        <f>'5'!D76</f>
        <v>2.0895522388059702E-2</v>
      </c>
      <c r="T21" s="56">
        <f>'5'!D77</f>
        <v>1.1054421768707483E-2</v>
      </c>
      <c r="U21" s="56">
        <f>'5'!D78</f>
        <v>2.068519715578539E-2</v>
      </c>
      <c r="V21" s="56">
        <f>'5'!D79</f>
        <v>1.4437689969604863E-2</v>
      </c>
      <c r="W21" s="56" t="e">
        <f>'5'!D80</f>
        <v>#DIV/0!</v>
      </c>
      <c r="X21" s="56" t="e">
        <f>'5'!D81</f>
        <v>#DIV/0!</v>
      </c>
      <c r="Y21" s="56" t="e">
        <f>'5'!D82</f>
        <v>#DIV/0!</v>
      </c>
      <c r="Z21" s="56" t="e">
        <f>'5'!D83</f>
        <v>#DIV/0!</v>
      </c>
      <c r="AA21" s="56" t="e">
        <f>'5'!D84</f>
        <v>#DIV/0!</v>
      </c>
      <c r="AB21" s="56" t="e">
        <f>'5'!D85</f>
        <v>#DIV/0!</v>
      </c>
      <c r="AC21" s="56" t="e">
        <f>'5'!D86</f>
        <v>#DIV/0!</v>
      </c>
    </row>
    <row r="22" spans="1:29" ht="30">
      <c r="A22" s="158"/>
      <c r="B22" s="152"/>
      <c r="C22" s="153"/>
      <c r="D22" s="154"/>
      <c r="E22" s="154"/>
      <c r="F22" s="154"/>
      <c r="G22" s="155"/>
      <c r="H22" s="166"/>
      <c r="I22" s="138"/>
      <c r="J22" s="138"/>
      <c r="K22" s="138"/>
      <c r="L22" s="138"/>
      <c r="M22" s="14" t="s">
        <v>182</v>
      </c>
      <c r="N22" s="82" t="s">
        <v>179</v>
      </c>
      <c r="O22" s="56" t="s">
        <v>189</v>
      </c>
      <c r="P22" s="5" t="s">
        <v>8</v>
      </c>
      <c r="Q22" s="82" t="s">
        <v>186</v>
      </c>
      <c r="R22" s="56">
        <f>'5'!D91</f>
        <v>0</v>
      </c>
      <c r="S22" s="56">
        <f>'5'!D92</f>
        <v>0</v>
      </c>
      <c r="T22" s="56">
        <f>'5'!D93</f>
        <v>0</v>
      </c>
      <c r="U22" s="56">
        <f>'5'!D94</f>
        <v>0</v>
      </c>
      <c r="V22" s="56">
        <f>'5'!D95</f>
        <v>0</v>
      </c>
      <c r="W22" s="56" t="e">
        <f>'5'!D96</f>
        <v>#DIV/0!</v>
      </c>
      <c r="X22" s="56" t="e">
        <f>'5'!D97</f>
        <v>#DIV/0!</v>
      </c>
      <c r="Y22" s="56" t="e">
        <f>'5'!D98</f>
        <v>#DIV/0!</v>
      </c>
      <c r="Z22" s="56" t="e">
        <f>'5'!D99</f>
        <v>#DIV/0!</v>
      </c>
      <c r="AA22" s="56" t="e">
        <f>'5'!D100</f>
        <v>#DIV/0!</v>
      </c>
      <c r="AB22" s="56" t="e">
        <f>'5'!D101</f>
        <v>#DIV/0!</v>
      </c>
      <c r="AC22" s="56" t="e">
        <f>'5'!D102</f>
        <v>#DIV/0!</v>
      </c>
    </row>
    <row r="23" spans="1:29" ht="60">
      <c r="A23" s="2">
        <v>6</v>
      </c>
      <c r="B23" s="3" t="s">
        <v>22</v>
      </c>
      <c r="C23" s="140" t="s">
        <v>112</v>
      </c>
      <c r="D23" s="140"/>
      <c r="E23" s="140"/>
      <c r="F23" s="140"/>
      <c r="G23" s="140"/>
      <c r="H23" s="101" t="s">
        <v>216</v>
      </c>
      <c r="I23" s="4" t="s">
        <v>36</v>
      </c>
      <c r="J23" s="12" t="s">
        <v>41</v>
      </c>
      <c r="K23" s="4" t="s">
        <v>44</v>
      </c>
      <c r="L23" s="4" t="s">
        <v>46</v>
      </c>
      <c r="M23" s="18" t="s">
        <v>13</v>
      </c>
      <c r="N23" s="4" t="s">
        <v>14</v>
      </c>
      <c r="O23" s="5" t="s">
        <v>10</v>
      </c>
      <c r="P23" s="5" t="s">
        <v>8</v>
      </c>
      <c r="Q23" s="4" t="s">
        <v>15</v>
      </c>
      <c r="R23" s="56">
        <f>'6'!D11</f>
        <v>0</v>
      </c>
      <c r="S23" s="56">
        <f>'6'!D12</f>
        <v>0.75</v>
      </c>
      <c r="T23" s="56">
        <f>'6'!D13</f>
        <v>0.8</v>
      </c>
      <c r="U23" s="56">
        <f>'6'!D14</f>
        <v>0.5</v>
      </c>
      <c r="V23" s="56" t="e">
        <f>'6'!D15</f>
        <v>#DIV/0!</v>
      </c>
      <c r="W23" s="56" t="e">
        <f>'6'!D16</f>
        <v>#DIV/0!</v>
      </c>
      <c r="X23" s="56" t="e">
        <f>'6'!D17</f>
        <v>#DIV/0!</v>
      </c>
      <c r="Y23" s="56" t="e">
        <f>'6'!D18</f>
        <v>#DIV/0!</v>
      </c>
      <c r="Z23" s="56" t="e">
        <f>'6'!D19</f>
        <v>#DIV/0!</v>
      </c>
      <c r="AA23" s="56" t="e">
        <f>'6'!D20</f>
        <v>#DIV/0!</v>
      </c>
      <c r="AB23" s="56" t="e">
        <f>'6'!D21</f>
        <v>#DIV/0!</v>
      </c>
      <c r="AC23" s="56" t="e">
        <f>'6'!D22</f>
        <v>#DIV/0!</v>
      </c>
    </row>
    <row r="24" spans="1:29" ht="60">
      <c r="A24" s="2">
        <v>7</v>
      </c>
      <c r="B24" s="3" t="s">
        <v>23</v>
      </c>
      <c r="C24" s="140" t="s">
        <v>117</v>
      </c>
      <c r="D24" s="140"/>
      <c r="E24" s="140"/>
      <c r="F24" s="140"/>
      <c r="G24" s="140"/>
      <c r="H24" s="101" t="s">
        <v>217</v>
      </c>
      <c r="I24" s="4" t="s">
        <v>39</v>
      </c>
      <c r="J24" s="12" t="s">
        <v>40</v>
      </c>
      <c r="K24" s="4" t="s">
        <v>44</v>
      </c>
      <c r="L24" s="4" t="s">
        <v>46</v>
      </c>
      <c r="M24" s="18" t="s">
        <v>55</v>
      </c>
      <c r="N24" s="10" t="s">
        <v>52</v>
      </c>
      <c r="O24" s="5" t="s">
        <v>53</v>
      </c>
      <c r="P24" s="5" t="s">
        <v>8</v>
      </c>
      <c r="Q24" s="4" t="s">
        <v>54</v>
      </c>
      <c r="R24" s="91">
        <f>'7'!D11</f>
        <v>99.875</v>
      </c>
      <c r="S24" s="91">
        <f>'7'!D12</f>
        <v>97.277777777777771</v>
      </c>
      <c r="T24" s="91">
        <f>'7'!D13</f>
        <v>97.35</v>
      </c>
      <c r="U24" s="91">
        <f>'7'!D14</f>
        <v>97.45</v>
      </c>
      <c r="V24" s="91">
        <f>'7'!D15</f>
        <v>97.9</v>
      </c>
      <c r="W24" s="91" t="e">
        <f>'7'!D16</f>
        <v>#DIV/0!</v>
      </c>
      <c r="X24" s="91" t="e">
        <f>'7'!D17</f>
        <v>#DIV/0!</v>
      </c>
      <c r="Y24" s="91" t="e">
        <f>'7'!D18</f>
        <v>#DIV/0!</v>
      </c>
      <c r="Z24" s="91" t="e">
        <f>'7'!D19</f>
        <v>#DIV/0!</v>
      </c>
      <c r="AA24" s="91" t="e">
        <f>'7'!D20</f>
        <v>#DIV/0!</v>
      </c>
      <c r="AB24" s="91" t="e">
        <f>'7'!D21</f>
        <v>#DIV/0!</v>
      </c>
      <c r="AC24" s="91" t="e">
        <f>'7'!D22</f>
        <v>#DIV/0!</v>
      </c>
    </row>
    <row r="25" spans="1:29" ht="75">
      <c r="A25" s="2">
        <v>8</v>
      </c>
      <c r="B25" s="3" t="s">
        <v>24</v>
      </c>
      <c r="C25" s="140" t="s">
        <v>27</v>
      </c>
      <c r="D25" s="140"/>
      <c r="E25" s="140"/>
      <c r="F25" s="140"/>
      <c r="G25" s="140"/>
      <c r="H25" s="101" t="s">
        <v>218</v>
      </c>
      <c r="I25" s="4" t="s">
        <v>37</v>
      </c>
      <c r="J25" s="12" t="s">
        <v>38</v>
      </c>
      <c r="K25" s="4" t="s">
        <v>47</v>
      </c>
      <c r="L25" s="4" t="s">
        <v>46</v>
      </c>
      <c r="M25" s="18" t="s">
        <v>56</v>
      </c>
      <c r="N25" s="10" t="s">
        <v>52</v>
      </c>
      <c r="O25" s="5" t="s">
        <v>161</v>
      </c>
      <c r="P25" s="5" t="s">
        <v>141</v>
      </c>
      <c r="Q25" s="4" t="s">
        <v>57</v>
      </c>
      <c r="R25" s="91" t="s">
        <v>162</v>
      </c>
      <c r="S25" s="91" t="s">
        <v>162</v>
      </c>
      <c r="T25" s="91" t="s">
        <v>162</v>
      </c>
      <c r="U25" s="91" t="s">
        <v>162</v>
      </c>
      <c r="V25" s="91" t="s">
        <v>162</v>
      </c>
      <c r="W25" s="92">
        <f>'8'!D11</f>
        <v>0</v>
      </c>
      <c r="X25" s="91" t="s">
        <v>162</v>
      </c>
      <c r="Y25" s="91" t="s">
        <v>162</v>
      </c>
      <c r="Z25" s="91" t="s">
        <v>162</v>
      </c>
      <c r="AA25" s="91" t="s">
        <v>162</v>
      </c>
      <c r="AB25" s="91" t="s">
        <v>162</v>
      </c>
      <c r="AC25" s="91">
        <f>'8'!D17</f>
        <v>0</v>
      </c>
    </row>
    <row r="26" spans="1:29">
      <c r="S26" s="6"/>
    </row>
    <row r="27" spans="1:29">
      <c r="S27" s="6"/>
    </row>
    <row r="28" spans="1:29">
      <c r="S28" s="6"/>
    </row>
  </sheetData>
  <mergeCells count="41">
    <mergeCell ref="H17:H22"/>
    <mergeCell ref="H14:H15"/>
    <mergeCell ref="I17:I22"/>
    <mergeCell ref="J17:J22"/>
    <mergeCell ref="K17:K22"/>
    <mergeCell ref="L17:L22"/>
    <mergeCell ref="K14:K15"/>
    <mergeCell ref="L14:L15"/>
    <mergeCell ref="I14:I15"/>
    <mergeCell ref="J14:J15"/>
    <mergeCell ref="A1:Q3"/>
    <mergeCell ref="A4:B8"/>
    <mergeCell ref="C4:Q8"/>
    <mergeCell ref="A9:B9"/>
    <mergeCell ref="C9:G9"/>
    <mergeCell ref="B17:B22"/>
    <mergeCell ref="C17:G22"/>
    <mergeCell ref="A17:A22"/>
    <mergeCell ref="B10:B11"/>
    <mergeCell ref="A10:A11"/>
    <mergeCell ref="B12:B13"/>
    <mergeCell ref="A12:A13"/>
    <mergeCell ref="B14:B15"/>
    <mergeCell ref="A14:A15"/>
    <mergeCell ref="C14:G15"/>
    <mergeCell ref="C24:G24"/>
    <mergeCell ref="C25:G25"/>
    <mergeCell ref="C16:G16"/>
    <mergeCell ref="C23:G23"/>
    <mergeCell ref="C10:G11"/>
    <mergeCell ref="I10:I11"/>
    <mergeCell ref="J10:J11"/>
    <mergeCell ref="K10:K11"/>
    <mergeCell ref="L10:L11"/>
    <mergeCell ref="C12:G13"/>
    <mergeCell ref="I12:I13"/>
    <mergeCell ref="J12:J13"/>
    <mergeCell ref="K12:K13"/>
    <mergeCell ref="L12:L13"/>
    <mergeCell ref="H10:H11"/>
    <mergeCell ref="H12:H13"/>
  </mergeCells>
  <pageMargins left="0.7" right="0.7" top="0.75" bottom="0.75" header="0.3" footer="0.3"/>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1"/>
  <sheetViews>
    <sheetView zoomScale="82" zoomScaleNormal="82" workbookViewId="0">
      <selection activeCell="L20" sqref="L20"/>
    </sheetView>
  </sheetViews>
  <sheetFormatPr baseColWidth="10" defaultRowHeight="15"/>
  <cols>
    <col min="1" max="1" width="12.42578125" customWidth="1"/>
    <col min="2" max="2" width="14.42578125" customWidth="1"/>
    <col min="3" max="5" width="14.5703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127</v>
      </c>
      <c r="J3" s="177"/>
      <c r="N3" s="167"/>
      <c r="O3" s="167"/>
      <c r="P3" s="167"/>
      <c r="Q3" s="167"/>
      <c r="R3" s="167"/>
      <c r="S3" s="167"/>
    </row>
    <row r="4" spans="1:19" ht="15" customHeight="1">
      <c r="A4" s="180" t="s">
        <v>209</v>
      </c>
      <c r="B4" s="181"/>
      <c r="C4" s="184" t="s">
        <v>25</v>
      </c>
      <c r="D4" s="185"/>
      <c r="E4" s="185"/>
      <c r="F4" s="185"/>
      <c r="G4" s="185"/>
      <c r="H4" s="185"/>
      <c r="I4" s="185"/>
      <c r="J4" s="186"/>
      <c r="N4" s="30"/>
      <c r="O4" s="30"/>
      <c r="P4" s="30"/>
      <c r="Q4" s="30"/>
      <c r="R4" s="30"/>
      <c r="S4" s="30"/>
    </row>
    <row r="5" spans="1:19">
      <c r="A5" s="182"/>
      <c r="B5" s="183"/>
      <c r="C5" s="187"/>
      <c r="D5" s="188"/>
      <c r="E5" s="188"/>
      <c r="F5" s="188"/>
      <c r="G5" s="188"/>
      <c r="H5" s="188"/>
      <c r="I5" s="188"/>
      <c r="J5" s="189"/>
      <c r="N5" s="30"/>
      <c r="O5" s="30"/>
      <c r="P5" s="30"/>
      <c r="Q5" s="30"/>
      <c r="R5" s="30"/>
      <c r="S5" s="30"/>
    </row>
    <row r="6" spans="1:19" ht="30.75" customHeight="1">
      <c r="A6" s="178" t="s">
        <v>210</v>
      </c>
      <c r="B6" s="179"/>
      <c r="C6" s="190" t="s">
        <v>211</v>
      </c>
      <c r="D6" s="191"/>
      <c r="E6" s="191"/>
      <c r="F6" s="191"/>
      <c r="G6" s="191"/>
      <c r="H6" s="191"/>
      <c r="I6" s="191"/>
      <c r="J6" s="192"/>
      <c r="N6" s="30"/>
      <c r="O6" s="30"/>
      <c r="P6" s="30"/>
      <c r="Q6" s="30"/>
      <c r="R6" s="30"/>
      <c r="S6" s="30"/>
    </row>
    <row r="7" spans="1:19">
      <c r="A7" s="26"/>
      <c r="B7" s="27"/>
      <c r="C7" s="26"/>
      <c r="D7" s="27"/>
      <c r="E7" s="26"/>
      <c r="F7" s="27"/>
      <c r="G7" s="26"/>
      <c r="H7" s="27"/>
      <c r="I7" s="26"/>
      <c r="J7" s="27"/>
      <c r="N7" s="30"/>
      <c r="O7" s="30"/>
      <c r="P7" s="30"/>
      <c r="Q7" s="30"/>
      <c r="R7" s="30"/>
      <c r="S7" s="30"/>
    </row>
    <row r="8" spans="1:19" ht="15" customHeight="1">
      <c r="A8" s="116" t="s">
        <v>3</v>
      </c>
      <c r="B8" s="168" t="s">
        <v>49</v>
      </c>
      <c r="C8" s="168"/>
      <c r="D8" s="168"/>
      <c r="E8" s="168"/>
      <c r="F8" s="168"/>
      <c r="G8" s="168"/>
      <c r="H8" s="168"/>
      <c r="I8" s="168"/>
      <c r="J8" s="169"/>
    </row>
    <row r="9" spans="1:19">
      <c r="A9" s="104" t="s">
        <v>63</v>
      </c>
      <c r="B9" s="170" t="s">
        <v>80</v>
      </c>
      <c r="C9" s="170"/>
      <c r="D9" s="170"/>
      <c r="E9" s="170"/>
      <c r="F9" s="170"/>
      <c r="G9" s="170"/>
      <c r="H9" s="170"/>
      <c r="I9" s="170"/>
      <c r="J9" s="171"/>
    </row>
    <row r="10" spans="1:19" ht="58.5" customHeight="1">
      <c r="A10" s="107" t="s">
        <v>65</v>
      </c>
      <c r="B10" s="106" t="s">
        <v>78</v>
      </c>
      <c r="C10" s="106" t="s">
        <v>220</v>
      </c>
      <c r="D10" s="106" t="s">
        <v>64</v>
      </c>
      <c r="E10" s="193"/>
      <c r="F10" s="193"/>
      <c r="G10" s="193"/>
      <c r="H10" s="193"/>
      <c r="I10" s="193"/>
      <c r="J10" s="194"/>
      <c r="K10" s="115"/>
      <c r="L10" s="105"/>
      <c r="M10" s="105"/>
      <c r="N10" s="105"/>
      <c r="O10" s="105"/>
    </row>
    <row r="11" spans="1:19">
      <c r="A11" s="24" t="s">
        <v>66</v>
      </c>
      <c r="B11" s="23">
        <v>499</v>
      </c>
      <c r="C11" s="23">
        <v>522</v>
      </c>
      <c r="D11" s="25">
        <f>B11/C11</f>
        <v>0.95593869731800762</v>
      </c>
      <c r="E11" s="113"/>
      <c r="F11" s="113"/>
      <c r="G11" s="113"/>
      <c r="H11" s="113"/>
      <c r="I11" s="113"/>
      <c r="J11" s="114"/>
    </row>
    <row r="12" spans="1:19">
      <c r="A12" s="24" t="s">
        <v>67</v>
      </c>
      <c r="B12" s="23">
        <v>491</v>
      </c>
      <c r="C12" s="23">
        <v>499</v>
      </c>
      <c r="D12" s="25">
        <f t="shared" ref="D12:D22" si="0">B12/C12</f>
        <v>0.98396793587174347</v>
      </c>
      <c r="E12" s="113"/>
      <c r="F12" s="113"/>
      <c r="G12" s="113"/>
      <c r="H12" s="113"/>
      <c r="I12" s="113"/>
      <c r="J12" s="114"/>
    </row>
    <row r="13" spans="1:19">
      <c r="A13" s="24" t="s">
        <v>68</v>
      </c>
      <c r="B13" s="23">
        <v>469</v>
      </c>
      <c r="C13" s="23">
        <v>476</v>
      </c>
      <c r="D13" s="25">
        <f t="shared" si="0"/>
        <v>0.98529411764705888</v>
      </c>
      <c r="E13" s="113"/>
      <c r="F13" s="113"/>
      <c r="G13" s="113"/>
      <c r="H13" s="113"/>
      <c r="I13" s="113"/>
      <c r="J13" s="114"/>
    </row>
    <row r="14" spans="1:19">
      <c r="A14" s="24" t="s">
        <v>69</v>
      </c>
      <c r="B14" s="23">
        <v>560</v>
      </c>
      <c r="C14" s="23">
        <v>579</v>
      </c>
      <c r="D14" s="25">
        <f t="shared" si="0"/>
        <v>0.9671848013816926</v>
      </c>
      <c r="E14" s="113"/>
      <c r="F14" s="113"/>
      <c r="G14" s="113"/>
      <c r="H14" s="113"/>
      <c r="I14" s="113"/>
      <c r="J14" s="114"/>
    </row>
    <row r="15" spans="1:19">
      <c r="A15" s="24" t="s">
        <v>70</v>
      </c>
      <c r="B15" s="23">
        <v>480</v>
      </c>
      <c r="C15" s="23">
        <v>521</v>
      </c>
      <c r="D15" s="25">
        <f t="shared" si="0"/>
        <v>0.92130518234165071</v>
      </c>
      <c r="E15" s="113"/>
      <c r="F15" s="113"/>
      <c r="G15" s="113"/>
      <c r="H15" s="113"/>
      <c r="I15" s="113"/>
      <c r="J15" s="114"/>
      <c r="L15" t="s">
        <v>208</v>
      </c>
    </row>
    <row r="16" spans="1:19">
      <c r="A16" s="24" t="s">
        <v>71</v>
      </c>
      <c r="B16" s="23"/>
      <c r="C16" s="23"/>
      <c r="D16" s="25" t="e">
        <f t="shared" si="0"/>
        <v>#DIV/0!</v>
      </c>
      <c r="E16" s="113"/>
      <c r="F16" s="113"/>
      <c r="G16" s="113"/>
      <c r="H16" s="113"/>
      <c r="I16" s="113"/>
      <c r="J16" s="114"/>
    </row>
    <row r="17" spans="1:10">
      <c r="A17" s="24" t="s">
        <v>72</v>
      </c>
      <c r="B17" s="23"/>
      <c r="C17" s="23"/>
      <c r="D17" s="25" t="e">
        <f t="shared" si="0"/>
        <v>#DIV/0!</v>
      </c>
      <c r="E17" s="113"/>
      <c r="F17" s="113"/>
      <c r="G17" s="113"/>
      <c r="H17" s="113"/>
      <c r="I17" s="113"/>
      <c r="J17" s="114"/>
    </row>
    <row r="18" spans="1:10">
      <c r="A18" s="24" t="s">
        <v>73</v>
      </c>
      <c r="B18" s="23"/>
      <c r="C18" s="23"/>
      <c r="D18" s="25" t="e">
        <f t="shared" si="0"/>
        <v>#DIV/0!</v>
      </c>
      <c r="E18" s="113"/>
      <c r="F18" s="113"/>
      <c r="G18" s="113"/>
      <c r="H18" s="113"/>
      <c r="I18" s="113"/>
      <c r="J18" s="114"/>
    </row>
    <row r="19" spans="1:10">
      <c r="A19" s="24" t="s">
        <v>74</v>
      </c>
      <c r="B19" s="23"/>
      <c r="C19" s="23"/>
      <c r="D19" s="25" t="e">
        <f t="shared" si="0"/>
        <v>#DIV/0!</v>
      </c>
      <c r="E19" s="113"/>
      <c r="F19" s="113"/>
      <c r="G19" s="113"/>
      <c r="H19" s="113"/>
      <c r="I19" s="113"/>
      <c r="J19" s="114"/>
    </row>
    <row r="20" spans="1:10">
      <c r="A20" s="24" t="s">
        <v>75</v>
      </c>
      <c r="B20" s="23"/>
      <c r="C20" s="23"/>
      <c r="D20" s="25" t="e">
        <f t="shared" si="0"/>
        <v>#DIV/0!</v>
      </c>
      <c r="E20" s="113"/>
      <c r="F20" s="113"/>
      <c r="G20" s="113"/>
      <c r="H20" s="113"/>
      <c r="I20" s="113"/>
      <c r="J20" s="114"/>
    </row>
    <row r="21" spans="1:10">
      <c r="A21" s="24" t="s">
        <v>76</v>
      </c>
      <c r="B21" s="23"/>
      <c r="C21" s="23"/>
      <c r="D21" s="25" t="e">
        <f t="shared" si="0"/>
        <v>#DIV/0!</v>
      </c>
      <c r="E21" s="113"/>
      <c r="F21" s="113"/>
      <c r="G21" s="113"/>
      <c r="H21" s="113"/>
      <c r="I21" s="113"/>
      <c r="J21" s="114"/>
    </row>
    <row r="22" spans="1:10">
      <c r="A22" s="24" t="s">
        <v>77</v>
      </c>
      <c r="B22" s="23"/>
      <c r="C22" s="23"/>
      <c r="D22" s="25" t="e">
        <f t="shared" si="0"/>
        <v>#DIV/0!</v>
      </c>
      <c r="E22" s="117"/>
      <c r="F22" s="117"/>
      <c r="G22" s="117"/>
      <c r="H22" s="117"/>
      <c r="I22" s="117"/>
      <c r="J22" s="118"/>
    </row>
    <row r="23" spans="1:10">
      <c r="A23" s="175"/>
      <c r="B23" s="175"/>
      <c r="C23" s="175"/>
      <c r="D23" s="175"/>
      <c r="E23" s="175"/>
      <c r="F23" s="175"/>
      <c r="G23" s="175"/>
      <c r="H23" s="175"/>
      <c r="I23" s="175"/>
      <c r="J23" s="175"/>
    </row>
    <row r="24" spans="1:10">
      <c r="A24" s="31" t="s">
        <v>3</v>
      </c>
      <c r="B24" s="172" t="s">
        <v>92</v>
      </c>
      <c r="C24" s="172"/>
      <c r="D24" s="172"/>
      <c r="E24" s="172"/>
      <c r="F24" s="172"/>
      <c r="G24" s="172"/>
      <c r="H24" s="172"/>
      <c r="I24" s="172"/>
      <c r="J24" s="172"/>
    </row>
    <row r="25" spans="1:10">
      <c r="A25" s="31" t="s">
        <v>63</v>
      </c>
      <c r="B25" s="173" t="s">
        <v>89</v>
      </c>
      <c r="C25" s="173"/>
      <c r="D25" s="173"/>
      <c r="E25" s="174"/>
      <c r="F25" s="174"/>
      <c r="G25" s="174"/>
      <c r="H25" s="174"/>
      <c r="I25" s="174"/>
      <c r="J25" s="174"/>
    </row>
    <row r="26" spans="1:10" ht="90">
      <c r="A26" s="2" t="s">
        <v>65</v>
      </c>
      <c r="B26" s="3" t="s">
        <v>91</v>
      </c>
      <c r="C26" s="3" t="s">
        <v>90</v>
      </c>
      <c r="D26" s="3" t="s">
        <v>94</v>
      </c>
      <c r="E26" s="30"/>
      <c r="F26" s="30"/>
      <c r="G26" s="30"/>
      <c r="H26" s="30"/>
      <c r="I26" s="30"/>
      <c r="J26" s="33"/>
    </row>
    <row r="27" spans="1:10">
      <c r="A27" s="24" t="s">
        <v>66</v>
      </c>
      <c r="B27" s="23">
        <v>3</v>
      </c>
      <c r="C27" s="23">
        <v>5</v>
      </c>
      <c r="D27" s="25">
        <f t="shared" ref="D27:D38" si="1">B27/C27</f>
        <v>0.6</v>
      </c>
      <c r="E27" s="30"/>
      <c r="F27" s="30"/>
      <c r="G27" s="30"/>
      <c r="H27" s="30"/>
      <c r="I27" s="30"/>
      <c r="J27" s="33"/>
    </row>
    <row r="28" spans="1:10">
      <c r="A28" s="24" t="s">
        <v>67</v>
      </c>
      <c r="B28" s="23">
        <v>0</v>
      </c>
      <c r="C28" s="23">
        <v>69</v>
      </c>
      <c r="D28" s="25">
        <f t="shared" si="1"/>
        <v>0</v>
      </c>
      <c r="E28" s="30"/>
      <c r="F28" s="30"/>
      <c r="G28" s="30"/>
      <c r="H28" s="30"/>
      <c r="I28" s="30"/>
      <c r="J28" s="33"/>
    </row>
    <row r="29" spans="1:10">
      <c r="A29" s="24" t="s">
        <v>68</v>
      </c>
      <c r="B29" s="23"/>
      <c r="C29" s="23"/>
      <c r="D29" s="25" t="e">
        <f t="shared" si="1"/>
        <v>#DIV/0!</v>
      </c>
      <c r="E29" s="30"/>
      <c r="F29" s="30"/>
      <c r="G29" s="30"/>
      <c r="H29" s="30"/>
      <c r="I29" s="30"/>
      <c r="J29" s="33"/>
    </row>
    <row r="30" spans="1:10">
      <c r="A30" s="24" t="s">
        <v>69</v>
      </c>
      <c r="B30" s="23"/>
      <c r="C30" s="23"/>
      <c r="D30" s="25" t="e">
        <f t="shared" si="1"/>
        <v>#DIV/0!</v>
      </c>
      <c r="E30" s="30"/>
      <c r="F30" s="30"/>
      <c r="G30" s="30"/>
      <c r="H30" s="30"/>
      <c r="I30" s="30"/>
      <c r="J30" s="33"/>
    </row>
    <row r="31" spans="1:10">
      <c r="A31" s="24" t="s">
        <v>70</v>
      </c>
      <c r="B31" s="23"/>
      <c r="C31" s="23"/>
      <c r="D31" s="25" t="e">
        <f t="shared" si="1"/>
        <v>#DIV/0!</v>
      </c>
      <c r="E31" s="30"/>
      <c r="F31" s="30"/>
      <c r="G31" s="30"/>
      <c r="H31" s="30"/>
      <c r="I31" s="30"/>
      <c r="J31" s="33"/>
    </row>
    <row r="32" spans="1:10">
      <c r="A32" s="24" t="s">
        <v>71</v>
      </c>
      <c r="B32" s="23"/>
      <c r="C32" s="23"/>
      <c r="D32" s="25" t="e">
        <f t="shared" si="1"/>
        <v>#DIV/0!</v>
      </c>
      <c r="E32" s="30"/>
      <c r="F32" s="30"/>
      <c r="G32" s="30"/>
      <c r="H32" s="30"/>
      <c r="I32" s="30"/>
      <c r="J32" s="33"/>
    </row>
    <row r="33" spans="1:10">
      <c r="A33" s="24" t="s">
        <v>72</v>
      </c>
      <c r="B33" s="23"/>
      <c r="C33" s="23"/>
      <c r="D33" s="25" t="e">
        <f t="shared" si="1"/>
        <v>#DIV/0!</v>
      </c>
      <c r="E33" s="30"/>
      <c r="F33" s="30"/>
      <c r="G33" s="30"/>
      <c r="H33" s="30"/>
      <c r="I33" s="30"/>
      <c r="J33" s="33"/>
    </row>
    <row r="34" spans="1:10">
      <c r="A34" s="24" t="s">
        <v>73</v>
      </c>
      <c r="B34" s="23"/>
      <c r="C34" s="23"/>
      <c r="D34" s="25" t="e">
        <f t="shared" si="1"/>
        <v>#DIV/0!</v>
      </c>
      <c r="E34" s="30"/>
      <c r="F34" s="30"/>
      <c r="G34" s="30"/>
      <c r="H34" s="30"/>
      <c r="I34" s="30"/>
      <c r="J34" s="33"/>
    </row>
    <row r="35" spans="1:10">
      <c r="A35" s="24" t="s">
        <v>74</v>
      </c>
      <c r="B35" s="23"/>
      <c r="C35" s="23"/>
      <c r="D35" s="25" t="e">
        <f t="shared" si="1"/>
        <v>#DIV/0!</v>
      </c>
      <c r="E35" s="30"/>
      <c r="F35" s="30"/>
      <c r="G35" s="30"/>
      <c r="H35" s="30"/>
      <c r="I35" s="30"/>
      <c r="J35" s="33"/>
    </row>
    <row r="36" spans="1:10">
      <c r="A36" s="24" t="s">
        <v>75</v>
      </c>
      <c r="B36" s="23"/>
      <c r="C36" s="23"/>
      <c r="D36" s="25" t="e">
        <f t="shared" si="1"/>
        <v>#DIV/0!</v>
      </c>
      <c r="E36" s="30"/>
      <c r="F36" s="30"/>
      <c r="G36" s="30"/>
      <c r="H36" s="30"/>
      <c r="I36" s="30"/>
      <c r="J36" s="33"/>
    </row>
    <row r="37" spans="1:10">
      <c r="A37" s="24" t="s">
        <v>76</v>
      </c>
      <c r="B37" s="23"/>
      <c r="C37" s="23"/>
      <c r="D37" s="25" t="e">
        <f t="shared" si="1"/>
        <v>#DIV/0!</v>
      </c>
      <c r="E37" s="30"/>
      <c r="F37" s="30"/>
      <c r="G37" s="30"/>
      <c r="H37" s="30"/>
      <c r="I37" s="30"/>
      <c r="J37" s="33"/>
    </row>
    <row r="38" spans="1:10">
      <c r="A38" s="24" t="s">
        <v>77</v>
      </c>
      <c r="B38" s="23"/>
      <c r="C38" s="23"/>
      <c r="D38" s="25" t="e">
        <f t="shared" si="1"/>
        <v>#DIV/0!</v>
      </c>
      <c r="E38" s="30"/>
      <c r="F38" s="30"/>
      <c r="G38" s="30"/>
      <c r="H38" s="30"/>
      <c r="I38" s="30"/>
      <c r="J38" s="33"/>
    </row>
    <row r="39" spans="1:10">
      <c r="A39" s="21"/>
      <c r="B39" s="30"/>
      <c r="C39" s="30"/>
      <c r="D39" s="30"/>
      <c r="E39" s="30"/>
      <c r="F39" s="30"/>
      <c r="G39" s="30"/>
      <c r="H39" s="30"/>
      <c r="I39" s="30"/>
      <c r="J39" s="33"/>
    </row>
    <row r="40" spans="1:10" ht="15.75">
      <c r="A40" s="34" t="s">
        <v>191</v>
      </c>
      <c r="B40" s="32"/>
      <c r="C40" s="30"/>
      <c r="D40" s="30"/>
      <c r="E40" s="30"/>
      <c r="F40" s="30"/>
      <c r="G40" s="30"/>
      <c r="H40" s="30"/>
      <c r="I40" s="30"/>
      <c r="J40" s="33"/>
    </row>
    <row r="41" spans="1:10">
      <c r="A41" s="22"/>
      <c r="B41" s="35"/>
      <c r="C41" s="35"/>
      <c r="D41" s="35"/>
      <c r="E41" s="35"/>
      <c r="F41" s="35"/>
      <c r="G41" s="35"/>
      <c r="H41" s="35"/>
      <c r="I41" s="35"/>
      <c r="J41" s="36"/>
    </row>
  </sheetData>
  <mergeCells count="16">
    <mergeCell ref="N3:S3"/>
    <mergeCell ref="B8:J8"/>
    <mergeCell ref="B9:J9"/>
    <mergeCell ref="B24:J24"/>
    <mergeCell ref="B25:J25"/>
    <mergeCell ref="A23:J23"/>
    <mergeCell ref="A1:B3"/>
    <mergeCell ref="C1:H3"/>
    <mergeCell ref="I1:J1"/>
    <mergeCell ref="I2:J2"/>
    <mergeCell ref="I3:J3"/>
    <mergeCell ref="A6:B6"/>
    <mergeCell ref="A4:B5"/>
    <mergeCell ref="C4:J5"/>
    <mergeCell ref="C6:J6"/>
    <mergeCell ref="E10:J10"/>
  </mergeCell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2"/>
  <sheetViews>
    <sheetView topLeftCell="A7" zoomScale="90" zoomScaleNormal="90" workbookViewId="0">
      <selection activeCell="E15" sqref="E15"/>
    </sheetView>
  </sheetViews>
  <sheetFormatPr baseColWidth="10" defaultRowHeight="15"/>
  <cols>
    <col min="1" max="1" width="12.28515625" customWidth="1"/>
    <col min="2" max="5" width="14.5703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126</v>
      </c>
      <c r="J3" s="177"/>
      <c r="N3" s="167"/>
      <c r="O3" s="167"/>
      <c r="P3" s="167"/>
      <c r="Q3" s="167"/>
      <c r="R3" s="167"/>
      <c r="S3" s="167"/>
    </row>
    <row r="4" spans="1:19" ht="15" customHeight="1">
      <c r="A4" s="199" t="s">
        <v>62</v>
      </c>
      <c r="B4" s="199"/>
      <c r="C4" s="200" t="s">
        <v>19</v>
      </c>
      <c r="D4" s="200"/>
      <c r="E4" s="200"/>
      <c r="F4" s="200"/>
      <c r="G4" s="200"/>
      <c r="H4" s="200"/>
      <c r="I4" s="200"/>
      <c r="J4" s="200"/>
      <c r="N4" s="30"/>
      <c r="O4" s="30"/>
      <c r="P4" s="30"/>
      <c r="Q4" s="30"/>
      <c r="R4" s="30"/>
      <c r="S4" s="30"/>
    </row>
    <row r="5" spans="1:19">
      <c r="A5" s="199"/>
      <c r="B5" s="199"/>
      <c r="C5" s="200"/>
      <c r="D5" s="200"/>
      <c r="E5" s="200"/>
      <c r="F5" s="200"/>
      <c r="G5" s="200"/>
      <c r="H5" s="200"/>
      <c r="I5" s="200"/>
      <c r="J5" s="200"/>
      <c r="N5" s="30"/>
      <c r="O5" s="30"/>
      <c r="P5" s="30"/>
      <c r="Q5" s="30"/>
      <c r="R5" s="30"/>
      <c r="S5" s="30"/>
    </row>
    <row r="6" spans="1:19" ht="50.25" customHeight="1">
      <c r="A6" s="199" t="s">
        <v>210</v>
      </c>
      <c r="B6" s="199"/>
      <c r="C6" s="195" t="s">
        <v>212</v>
      </c>
      <c r="D6" s="196"/>
      <c r="E6" s="196"/>
      <c r="F6" s="196"/>
      <c r="G6" s="196"/>
      <c r="H6" s="196"/>
      <c r="I6" s="196"/>
      <c r="J6" s="197"/>
      <c r="N6" s="30"/>
      <c r="O6" s="30"/>
      <c r="P6" s="30"/>
      <c r="Q6" s="30"/>
      <c r="R6" s="30"/>
      <c r="S6" s="30"/>
    </row>
    <row r="7" spans="1:19">
      <c r="A7" s="26"/>
      <c r="B7" s="27"/>
      <c r="C7" s="27"/>
      <c r="D7" s="27"/>
      <c r="E7" s="27"/>
      <c r="F7" s="27"/>
      <c r="G7" s="27"/>
      <c r="H7" s="27"/>
      <c r="I7" s="27"/>
      <c r="J7" s="27"/>
      <c r="N7" s="30"/>
      <c r="O7" s="30"/>
      <c r="P7" s="30"/>
      <c r="Q7" s="30"/>
      <c r="R7" s="30"/>
      <c r="S7" s="30"/>
    </row>
    <row r="8" spans="1:19" ht="15" customHeight="1">
      <c r="A8" s="31" t="s">
        <v>3</v>
      </c>
      <c r="B8" s="172" t="s">
        <v>140</v>
      </c>
      <c r="C8" s="172"/>
      <c r="D8" s="172"/>
      <c r="E8" s="172"/>
      <c r="F8" s="172"/>
      <c r="G8" s="172"/>
      <c r="H8" s="172"/>
      <c r="I8" s="172"/>
      <c r="J8" s="172"/>
    </row>
    <row r="9" spans="1:19">
      <c r="A9" s="31" t="s">
        <v>63</v>
      </c>
      <c r="B9" s="174" t="s">
        <v>87</v>
      </c>
      <c r="C9" s="174"/>
      <c r="D9" s="174"/>
      <c r="E9" s="174"/>
      <c r="F9" s="174"/>
      <c r="G9" s="174"/>
      <c r="H9" s="174"/>
      <c r="I9" s="174"/>
      <c r="J9" s="174"/>
    </row>
    <row r="10" spans="1:19" ht="58.5" customHeight="1">
      <c r="A10" s="2" t="s">
        <v>65</v>
      </c>
      <c r="B10" s="3" t="s">
        <v>272</v>
      </c>
      <c r="C10" s="3" t="s">
        <v>271</v>
      </c>
      <c r="D10" s="3" t="s">
        <v>270</v>
      </c>
      <c r="E10" s="30"/>
      <c r="F10" s="30"/>
      <c r="G10" s="30"/>
      <c r="H10" s="30"/>
      <c r="I10" s="30"/>
      <c r="J10" s="33"/>
    </row>
    <row r="11" spans="1:19">
      <c r="A11" s="24" t="s">
        <v>66</v>
      </c>
      <c r="B11" s="58">
        <v>4.9000000000000004</v>
      </c>
      <c r="C11" s="58">
        <v>4.5</v>
      </c>
      <c r="D11" s="58">
        <v>4.8</v>
      </c>
      <c r="E11" s="30"/>
      <c r="F11" s="30"/>
      <c r="G11" s="30"/>
      <c r="H11" s="30"/>
      <c r="I11" s="30"/>
      <c r="J11" s="33"/>
    </row>
    <row r="12" spans="1:19">
      <c r="A12" s="24" t="s">
        <v>67</v>
      </c>
      <c r="B12" s="58">
        <v>4.8</v>
      </c>
      <c r="C12" s="58">
        <v>4.7</v>
      </c>
      <c r="D12" s="58">
        <v>4.9000000000000004</v>
      </c>
      <c r="E12" s="30"/>
      <c r="F12" s="30"/>
      <c r="G12" s="30"/>
      <c r="H12" s="30"/>
      <c r="I12" s="30"/>
      <c r="J12" s="33"/>
    </row>
    <row r="13" spans="1:19">
      <c r="A13" s="24" t="s">
        <v>68</v>
      </c>
      <c r="B13" s="58">
        <v>4.8</v>
      </c>
      <c r="C13" s="58">
        <v>4.4000000000000004</v>
      </c>
      <c r="D13" s="58">
        <v>4.9000000000000004</v>
      </c>
      <c r="E13" s="30"/>
      <c r="F13" s="30"/>
      <c r="G13" s="30"/>
      <c r="H13" s="30"/>
      <c r="I13" s="30"/>
      <c r="J13" s="33"/>
    </row>
    <row r="14" spans="1:19">
      <c r="A14" s="24" t="s">
        <v>69</v>
      </c>
      <c r="B14" s="58">
        <v>4.7</v>
      </c>
      <c r="C14" s="58">
        <v>4.5999999999999996</v>
      </c>
      <c r="D14" s="58">
        <v>4.5999999999999996</v>
      </c>
      <c r="E14" s="30"/>
      <c r="F14" s="30"/>
      <c r="G14" s="30"/>
      <c r="H14" s="30"/>
      <c r="I14" s="30"/>
      <c r="J14" s="33"/>
    </row>
    <row r="15" spans="1:19">
      <c r="A15" s="24" t="s">
        <v>70</v>
      </c>
      <c r="B15" s="58">
        <v>4.8</v>
      </c>
      <c r="C15" s="58">
        <v>4.7</v>
      </c>
      <c r="D15" s="58">
        <v>4.9000000000000004</v>
      </c>
      <c r="E15" s="30"/>
      <c r="F15" s="30"/>
      <c r="G15" s="30"/>
      <c r="H15" s="30"/>
      <c r="I15" s="30"/>
      <c r="J15" s="33"/>
    </row>
    <row r="16" spans="1:19">
      <c r="A16" s="24" t="s">
        <v>71</v>
      </c>
      <c r="B16" s="58"/>
      <c r="C16" s="58"/>
      <c r="D16" s="58"/>
      <c r="E16" s="30"/>
      <c r="F16" s="30"/>
      <c r="G16" s="30"/>
      <c r="H16" s="30"/>
      <c r="I16" s="30"/>
      <c r="J16" s="33"/>
    </row>
    <row r="17" spans="1:10">
      <c r="A17" s="24" t="s">
        <v>72</v>
      </c>
      <c r="B17" s="58"/>
      <c r="C17" s="58"/>
      <c r="D17" s="58"/>
      <c r="E17" s="30"/>
      <c r="F17" s="30"/>
      <c r="G17" s="30"/>
      <c r="H17" s="30"/>
      <c r="I17" s="30"/>
      <c r="J17" s="33"/>
    </row>
    <row r="18" spans="1:10">
      <c r="A18" s="24" t="s">
        <v>73</v>
      </c>
      <c r="B18" s="58"/>
      <c r="C18" s="58"/>
      <c r="D18" s="58"/>
      <c r="E18" s="30"/>
      <c r="F18" s="30"/>
      <c r="G18" s="30"/>
      <c r="H18" s="30"/>
      <c r="I18" s="30"/>
      <c r="J18" s="33"/>
    </row>
    <row r="19" spans="1:10">
      <c r="A19" s="24" t="s">
        <v>74</v>
      </c>
      <c r="B19" s="58"/>
      <c r="C19" s="58"/>
      <c r="D19" s="58"/>
      <c r="E19" s="30"/>
      <c r="F19" s="30"/>
      <c r="G19" s="30"/>
      <c r="H19" s="30"/>
      <c r="I19" s="30"/>
      <c r="J19" s="33"/>
    </row>
    <row r="20" spans="1:10">
      <c r="A20" s="24" t="s">
        <v>75</v>
      </c>
      <c r="B20" s="58"/>
      <c r="C20" s="58"/>
      <c r="D20" s="58"/>
      <c r="E20" s="30"/>
      <c r="F20" s="30"/>
      <c r="G20" s="30"/>
      <c r="H20" s="30"/>
      <c r="I20" s="30"/>
      <c r="J20" s="33"/>
    </row>
    <row r="21" spans="1:10">
      <c r="A21" s="24" t="s">
        <v>76</v>
      </c>
      <c r="B21" s="58"/>
      <c r="C21" s="58"/>
      <c r="D21" s="58"/>
      <c r="E21" s="30"/>
      <c r="F21" s="30"/>
      <c r="G21" s="30"/>
      <c r="H21" s="30"/>
      <c r="I21" s="30"/>
      <c r="J21" s="33"/>
    </row>
    <row r="22" spans="1:10">
      <c r="A22" s="29" t="s">
        <v>77</v>
      </c>
      <c r="B22" s="58"/>
      <c r="C22" s="58"/>
      <c r="D22" s="58"/>
      <c r="E22" s="30"/>
      <c r="F22" s="30"/>
      <c r="G22" s="30"/>
      <c r="H22" s="30"/>
      <c r="I22" s="30"/>
      <c r="J22" s="33"/>
    </row>
    <row r="23" spans="1:10">
      <c r="A23" s="198"/>
      <c r="B23" s="198"/>
      <c r="C23" s="198"/>
      <c r="D23" s="198"/>
      <c r="E23" s="198"/>
      <c r="F23" s="198"/>
      <c r="G23" s="198"/>
      <c r="H23" s="198"/>
      <c r="I23" s="198"/>
      <c r="J23" s="198"/>
    </row>
    <row r="24" spans="1:10">
      <c r="A24" s="31" t="s">
        <v>3</v>
      </c>
      <c r="B24" s="172" t="s">
        <v>198</v>
      </c>
      <c r="C24" s="172"/>
      <c r="D24" s="172"/>
      <c r="E24" s="172"/>
      <c r="F24" s="172"/>
      <c r="G24" s="172"/>
      <c r="H24" s="172"/>
      <c r="I24" s="172"/>
      <c r="J24" s="172"/>
    </row>
    <row r="25" spans="1:10">
      <c r="A25" s="31" t="s">
        <v>63</v>
      </c>
      <c r="B25" s="174" t="s">
        <v>199</v>
      </c>
      <c r="C25" s="174"/>
      <c r="D25" s="174"/>
      <c r="E25" s="174"/>
      <c r="F25" s="174"/>
      <c r="G25" s="174"/>
      <c r="H25" s="174"/>
      <c r="I25" s="174"/>
      <c r="J25" s="174"/>
    </row>
    <row r="26" spans="1:10" ht="75">
      <c r="A26" s="2" t="s">
        <v>65</v>
      </c>
      <c r="B26" s="3" t="s">
        <v>200</v>
      </c>
      <c r="C26" s="3" t="s">
        <v>201</v>
      </c>
      <c r="D26" s="3" t="s">
        <v>202</v>
      </c>
      <c r="E26" s="30"/>
      <c r="F26" s="30"/>
      <c r="G26" s="30"/>
      <c r="H26" s="30"/>
      <c r="I26" s="30"/>
      <c r="J26" s="33"/>
    </row>
    <row r="27" spans="1:10">
      <c r="A27" s="24" t="s">
        <v>66</v>
      </c>
      <c r="B27" s="61">
        <v>0</v>
      </c>
      <c r="C27" s="61">
        <v>0</v>
      </c>
      <c r="D27" s="25" t="e">
        <f t="shared" ref="D27:D38" si="0">C27/B27</f>
        <v>#DIV/0!</v>
      </c>
      <c r="E27" s="30"/>
      <c r="F27" s="30"/>
      <c r="G27" s="30"/>
      <c r="H27" s="30"/>
      <c r="I27" s="30"/>
      <c r="J27" s="33"/>
    </row>
    <row r="28" spans="1:10">
      <c r="A28" s="24" t="s">
        <v>67</v>
      </c>
      <c r="B28" s="61">
        <v>0</v>
      </c>
      <c r="C28" s="61">
        <v>0</v>
      </c>
      <c r="D28" s="25" t="e">
        <f t="shared" si="0"/>
        <v>#DIV/0!</v>
      </c>
      <c r="E28" s="30"/>
      <c r="F28" s="30"/>
      <c r="G28" s="30"/>
      <c r="H28" s="30"/>
      <c r="I28" s="30"/>
      <c r="J28" s="33"/>
    </row>
    <row r="29" spans="1:10">
      <c r="A29" s="24" t="s">
        <v>68</v>
      </c>
      <c r="B29" s="61">
        <v>2</v>
      </c>
      <c r="C29" s="61">
        <v>1</v>
      </c>
      <c r="D29" s="25">
        <f t="shared" si="0"/>
        <v>0.5</v>
      </c>
      <c r="E29" s="30"/>
      <c r="F29" s="30"/>
      <c r="G29" s="30"/>
      <c r="H29" s="30"/>
      <c r="I29" s="30"/>
      <c r="J29" s="33"/>
    </row>
    <row r="30" spans="1:10">
      <c r="A30" s="24" t="s">
        <v>69</v>
      </c>
      <c r="B30" s="61">
        <v>0</v>
      </c>
      <c r="C30" s="61">
        <v>0</v>
      </c>
      <c r="D30" s="25" t="e">
        <f t="shared" si="0"/>
        <v>#DIV/0!</v>
      </c>
      <c r="E30" s="30"/>
      <c r="F30" s="30"/>
      <c r="G30" s="30"/>
      <c r="H30" s="30"/>
      <c r="I30" s="30"/>
      <c r="J30" s="33"/>
    </row>
    <row r="31" spans="1:10">
      <c r="A31" s="24" t="s">
        <v>70</v>
      </c>
      <c r="B31" s="61">
        <v>0</v>
      </c>
      <c r="C31" s="61">
        <v>0</v>
      </c>
      <c r="D31" s="25" t="e">
        <f t="shared" si="0"/>
        <v>#DIV/0!</v>
      </c>
      <c r="E31" s="30"/>
      <c r="F31" s="30"/>
      <c r="G31" s="30"/>
      <c r="H31" s="30"/>
      <c r="I31" s="30"/>
      <c r="J31" s="33"/>
    </row>
    <row r="32" spans="1:10">
      <c r="A32" s="24" t="s">
        <v>71</v>
      </c>
      <c r="B32" s="61"/>
      <c r="C32" s="61"/>
      <c r="D32" s="25" t="e">
        <f t="shared" si="0"/>
        <v>#DIV/0!</v>
      </c>
      <c r="E32" s="30"/>
      <c r="F32" s="30"/>
      <c r="G32" s="30"/>
      <c r="H32" s="30"/>
      <c r="I32" s="30"/>
      <c r="J32" s="33"/>
    </row>
    <row r="33" spans="1:10">
      <c r="A33" s="24" t="s">
        <v>72</v>
      </c>
      <c r="B33" s="61"/>
      <c r="C33" s="61"/>
      <c r="D33" s="25" t="e">
        <f t="shared" si="0"/>
        <v>#DIV/0!</v>
      </c>
      <c r="E33" s="30"/>
      <c r="F33" s="30"/>
      <c r="G33" s="30"/>
      <c r="H33" s="30"/>
      <c r="I33" s="30"/>
      <c r="J33" s="33"/>
    </row>
    <row r="34" spans="1:10">
      <c r="A34" s="24" t="s">
        <v>73</v>
      </c>
      <c r="B34" s="61"/>
      <c r="C34" s="61"/>
      <c r="D34" s="25" t="e">
        <f t="shared" si="0"/>
        <v>#DIV/0!</v>
      </c>
      <c r="E34" s="30"/>
      <c r="F34" s="30"/>
      <c r="G34" s="30"/>
      <c r="H34" s="30"/>
      <c r="I34" s="30"/>
      <c r="J34" s="33"/>
    </row>
    <row r="35" spans="1:10">
      <c r="A35" s="24" t="s">
        <v>74</v>
      </c>
      <c r="B35" s="61"/>
      <c r="C35" s="61"/>
      <c r="D35" s="25" t="e">
        <f t="shared" si="0"/>
        <v>#DIV/0!</v>
      </c>
      <c r="E35" s="30"/>
      <c r="F35" s="30"/>
      <c r="G35" s="30"/>
      <c r="H35" s="30"/>
      <c r="I35" s="30"/>
      <c r="J35" s="33"/>
    </row>
    <row r="36" spans="1:10">
      <c r="A36" s="24" t="s">
        <v>75</v>
      </c>
      <c r="B36" s="61"/>
      <c r="C36" s="61"/>
      <c r="D36" s="25" t="e">
        <f t="shared" si="0"/>
        <v>#DIV/0!</v>
      </c>
      <c r="E36" s="30"/>
      <c r="F36" s="30"/>
      <c r="G36" s="30"/>
      <c r="H36" s="30"/>
      <c r="I36" s="30"/>
      <c r="J36" s="33"/>
    </row>
    <row r="37" spans="1:10">
      <c r="A37" s="24" t="s">
        <v>76</v>
      </c>
      <c r="B37" s="61"/>
      <c r="C37" s="61"/>
      <c r="D37" s="25" t="e">
        <f t="shared" si="0"/>
        <v>#DIV/0!</v>
      </c>
      <c r="E37" s="30"/>
      <c r="F37" s="30"/>
      <c r="G37" s="30"/>
      <c r="H37" s="30"/>
      <c r="I37" s="30"/>
      <c r="J37" s="33"/>
    </row>
    <row r="38" spans="1:10">
      <c r="A38" s="24" t="s">
        <v>77</v>
      </c>
      <c r="B38" s="61"/>
      <c r="C38" s="61"/>
      <c r="D38" s="25" t="e">
        <f t="shared" si="0"/>
        <v>#DIV/0!</v>
      </c>
      <c r="E38" s="30"/>
      <c r="F38" s="30"/>
      <c r="G38" s="30"/>
      <c r="H38" s="30"/>
      <c r="I38" s="30"/>
      <c r="J38" s="33"/>
    </row>
    <row r="39" spans="1:10">
      <c r="A39" s="49"/>
      <c r="B39" s="62"/>
      <c r="C39" s="62"/>
      <c r="D39" s="63"/>
      <c r="E39" s="30"/>
      <c r="F39" s="30"/>
      <c r="G39" s="30"/>
      <c r="H39" s="30"/>
      <c r="I39" s="30"/>
      <c r="J39" s="33"/>
    </row>
    <row r="40" spans="1:10">
      <c r="A40" s="49"/>
      <c r="B40" s="62"/>
      <c r="C40" s="62"/>
      <c r="D40" s="63"/>
      <c r="E40" s="30"/>
      <c r="F40" s="30"/>
      <c r="G40" s="30"/>
      <c r="H40" s="30"/>
      <c r="I40" s="30"/>
      <c r="J40" s="33"/>
    </row>
    <row r="41" spans="1:10" ht="15.75">
      <c r="A41" s="34" t="s">
        <v>106</v>
      </c>
      <c r="B41" s="32"/>
      <c r="C41" s="30"/>
      <c r="D41" s="30"/>
      <c r="E41" s="30"/>
      <c r="F41" s="30"/>
      <c r="G41" s="30"/>
      <c r="H41" s="30"/>
      <c r="I41" s="30"/>
      <c r="J41" s="33"/>
    </row>
    <row r="42" spans="1:10">
      <c r="A42" s="22"/>
      <c r="B42" s="35"/>
      <c r="C42" s="35"/>
      <c r="D42" s="35"/>
      <c r="E42" s="35"/>
      <c r="F42" s="35"/>
      <c r="G42" s="35"/>
      <c r="H42" s="35"/>
      <c r="I42" s="35"/>
      <c r="J42" s="36"/>
    </row>
  </sheetData>
  <mergeCells count="15">
    <mergeCell ref="C6:J6"/>
    <mergeCell ref="B24:J24"/>
    <mergeCell ref="B25:J25"/>
    <mergeCell ref="A23:J23"/>
    <mergeCell ref="N3:S3"/>
    <mergeCell ref="B8:J8"/>
    <mergeCell ref="B9:J9"/>
    <mergeCell ref="A1:B3"/>
    <mergeCell ref="C1:H3"/>
    <mergeCell ref="I1:J1"/>
    <mergeCell ref="I2:J2"/>
    <mergeCell ref="I3:J3"/>
    <mergeCell ref="A4:B5"/>
    <mergeCell ref="C4:J5"/>
    <mergeCell ref="A6:B6"/>
  </mergeCell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1"/>
  <sheetViews>
    <sheetView zoomScale="90" zoomScaleNormal="90" workbookViewId="0">
      <selection activeCell="N43" sqref="N43"/>
    </sheetView>
  </sheetViews>
  <sheetFormatPr baseColWidth="10" defaultRowHeight="15"/>
  <cols>
    <col min="1" max="1" width="12.28515625" customWidth="1"/>
    <col min="2" max="5" width="14.5703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125</v>
      </c>
      <c r="J3" s="177"/>
      <c r="N3" s="167"/>
      <c r="O3" s="167"/>
      <c r="P3" s="167"/>
      <c r="Q3" s="167"/>
      <c r="R3" s="167"/>
      <c r="S3" s="167"/>
    </row>
    <row r="4" spans="1:19" ht="15" customHeight="1">
      <c r="A4" s="199" t="s">
        <v>62</v>
      </c>
      <c r="B4" s="199"/>
      <c r="C4" s="200" t="s">
        <v>18</v>
      </c>
      <c r="D4" s="200"/>
      <c r="E4" s="200"/>
      <c r="F4" s="200"/>
      <c r="G4" s="200"/>
      <c r="H4" s="200"/>
      <c r="I4" s="200"/>
      <c r="J4" s="200"/>
      <c r="N4" s="30"/>
      <c r="O4" s="30"/>
      <c r="P4" s="30"/>
      <c r="Q4" s="30"/>
      <c r="R4" s="30"/>
      <c r="S4" s="30"/>
    </row>
    <row r="5" spans="1:19">
      <c r="A5" s="199"/>
      <c r="B5" s="199"/>
      <c r="C5" s="200"/>
      <c r="D5" s="200"/>
      <c r="E5" s="200"/>
      <c r="F5" s="200"/>
      <c r="G5" s="200"/>
      <c r="H5" s="200"/>
      <c r="I5" s="200"/>
      <c r="J5" s="200"/>
      <c r="N5" s="30"/>
      <c r="O5" s="30"/>
      <c r="P5" s="30"/>
      <c r="Q5" s="30"/>
      <c r="R5" s="30"/>
      <c r="S5" s="30"/>
    </row>
    <row r="6" spans="1:19" ht="46.5" customHeight="1">
      <c r="A6" s="207" t="s">
        <v>210</v>
      </c>
      <c r="B6" s="207"/>
      <c r="C6" s="195" t="s">
        <v>213</v>
      </c>
      <c r="D6" s="196"/>
      <c r="E6" s="196"/>
      <c r="F6" s="196"/>
      <c r="G6" s="196"/>
      <c r="H6" s="196"/>
      <c r="I6" s="196"/>
      <c r="J6" s="197"/>
      <c r="N6" s="30"/>
      <c r="O6" s="30"/>
      <c r="P6" s="30"/>
      <c r="Q6" s="30"/>
      <c r="R6" s="30"/>
      <c r="S6" s="30"/>
    </row>
    <row r="7" spans="1:19">
      <c r="A7" s="26"/>
      <c r="B7" s="27"/>
      <c r="C7" s="27"/>
      <c r="D7" s="27"/>
      <c r="E7" s="27"/>
      <c r="F7" s="27"/>
      <c r="G7" s="27"/>
      <c r="H7" s="27"/>
      <c r="I7" s="27"/>
      <c r="J7" s="27"/>
      <c r="N7" s="30"/>
      <c r="O7" s="30"/>
      <c r="P7" s="30"/>
      <c r="Q7" s="30"/>
      <c r="R7" s="30"/>
      <c r="S7" s="30"/>
    </row>
    <row r="8" spans="1:19" ht="15" customHeight="1">
      <c r="A8" s="31" t="s">
        <v>3</v>
      </c>
      <c r="B8" s="201" t="s">
        <v>79</v>
      </c>
      <c r="C8" s="202"/>
      <c r="D8" s="202"/>
      <c r="E8" s="202"/>
      <c r="F8" s="202"/>
      <c r="G8" s="202"/>
      <c r="H8" s="202"/>
      <c r="I8" s="202"/>
      <c r="J8" s="203"/>
    </row>
    <row r="9" spans="1:19" ht="15" customHeight="1">
      <c r="A9" s="31" t="s">
        <v>63</v>
      </c>
      <c r="B9" s="204" t="s">
        <v>193</v>
      </c>
      <c r="C9" s="205"/>
      <c r="D9" s="205"/>
      <c r="E9" s="205"/>
      <c r="F9" s="205"/>
      <c r="G9" s="205"/>
      <c r="H9" s="205"/>
      <c r="I9" s="205"/>
      <c r="J9" s="206"/>
    </row>
    <row r="10" spans="1:19" ht="58.5" customHeight="1">
      <c r="A10" s="2" t="s">
        <v>65</v>
      </c>
      <c r="B10" s="3" t="s">
        <v>83</v>
      </c>
      <c r="C10" s="3" t="s">
        <v>81</v>
      </c>
      <c r="D10" s="3" t="s">
        <v>149</v>
      </c>
      <c r="E10" s="30"/>
      <c r="F10" s="30"/>
      <c r="G10" s="30"/>
      <c r="H10" s="30"/>
      <c r="I10" s="30"/>
      <c r="J10" s="33"/>
    </row>
    <row r="11" spans="1:19">
      <c r="A11" s="24" t="s">
        <v>66</v>
      </c>
      <c r="B11" s="23">
        <v>117</v>
      </c>
      <c r="C11" s="23">
        <v>117</v>
      </c>
      <c r="D11" s="25">
        <f>B11/C11</f>
        <v>1</v>
      </c>
      <c r="E11" s="30"/>
      <c r="F11" s="30"/>
      <c r="G11" s="30"/>
      <c r="H11" s="30"/>
      <c r="I11" s="30"/>
      <c r="J11" s="33"/>
    </row>
    <row r="12" spans="1:19">
      <c r="A12" s="24" t="s">
        <v>67</v>
      </c>
      <c r="B12" s="23">
        <v>105</v>
      </c>
      <c r="C12" s="23">
        <v>105</v>
      </c>
      <c r="D12" s="25">
        <f t="shared" ref="D12:D22" si="0">B12/C12</f>
        <v>1</v>
      </c>
      <c r="E12" s="30"/>
      <c r="F12" s="30"/>
      <c r="G12" s="30"/>
      <c r="H12" s="30"/>
      <c r="I12" s="30"/>
      <c r="J12" s="33"/>
    </row>
    <row r="13" spans="1:19">
      <c r="A13" s="24" t="s">
        <v>68</v>
      </c>
      <c r="B13" s="23">
        <v>123</v>
      </c>
      <c r="C13" s="23">
        <v>123</v>
      </c>
      <c r="D13" s="25">
        <f t="shared" si="0"/>
        <v>1</v>
      </c>
      <c r="E13" s="30"/>
      <c r="F13" s="30"/>
      <c r="G13" s="30"/>
      <c r="H13" s="30"/>
      <c r="I13" s="30"/>
      <c r="J13" s="33"/>
    </row>
    <row r="14" spans="1:19">
      <c r="A14" s="24" t="s">
        <v>69</v>
      </c>
      <c r="B14" s="23">
        <v>120</v>
      </c>
      <c r="C14" s="23">
        <v>120</v>
      </c>
      <c r="D14" s="25">
        <f t="shared" si="0"/>
        <v>1</v>
      </c>
      <c r="E14" s="30"/>
      <c r="F14" s="30"/>
      <c r="G14" s="30"/>
      <c r="H14" s="30"/>
      <c r="I14" s="30"/>
      <c r="J14" s="33"/>
    </row>
    <row r="15" spans="1:19">
      <c r="A15" s="24" t="s">
        <v>70</v>
      </c>
      <c r="B15" s="23">
        <v>118</v>
      </c>
      <c r="C15" s="23">
        <v>118</v>
      </c>
      <c r="D15" s="25">
        <f t="shared" si="0"/>
        <v>1</v>
      </c>
      <c r="E15" s="30"/>
      <c r="F15" s="30"/>
      <c r="G15" s="30"/>
      <c r="H15" s="30"/>
      <c r="I15" s="30"/>
      <c r="J15" s="33"/>
    </row>
    <row r="16" spans="1:19">
      <c r="A16" s="24" t="s">
        <v>71</v>
      </c>
      <c r="B16" s="23"/>
      <c r="C16" s="23"/>
      <c r="D16" s="25" t="e">
        <f t="shared" si="0"/>
        <v>#DIV/0!</v>
      </c>
      <c r="E16" s="30"/>
      <c r="F16" s="30"/>
      <c r="G16" s="30"/>
      <c r="H16" s="30"/>
      <c r="I16" s="30"/>
      <c r="J16" s="33"/>
    </row>
    <row r="17" spans="1:10">
      <c r="A17" s="24" t="s">
        <v>72</v>
      </c>
      <c r="B17" s="23"/>
      <c r="C17" s="23"/>
      <c r="D17" s="25" t="e">
        <f t="shared" si="0"/>
        <v>#DIV/0!</v>
      </c>
      <c r="E17" s="30"/>
      <c r="F17" s="30"/>
      <c r="G17" s="30"/>
      <c r="H17" s="30"/>
      <c r="I17" s="30"/>
      <c r="J17" s="33"/>
    </row>
    <row r="18" spans="1:10">
      <c r="A18" s="24" t="s">
        <v>73</v>
      </c>
      <c r="B18" s="23"/>
      <c r="C18" s="23"/>
      <c r="D18" s="25" t="e">
        <f t="shared" si="0"/>
        <v>#DIV/0!</v>
      </c>
      <c r="E18" s="30"/>
      <c r="F18" s="30"/>
      <c r="G18" s="30"/>
      <c r="H18" s="30"/>
      <c r="I18" s="30"/>
      <c r="J18" s="33"/>
    </row>
    <row r="19" spans="1:10">
      <c r="A19" s="24" t="s">
        <v>74</v>
      </c>
      <c r="B19" s="23"/>
      <c r="C19" s="23"/>
      <c r="D19" s="25" t="e">
        <f t="shared" si="0"/>
        <v>#DIV/0!</v>
      </c>
      <c r="E19" s="30"/>
      <c r="F19" s="30"/>
      <c r="G19" s="30"/>
      <c r="H19" s="30"/>
      <c r="I19" s="30"/>
      <c r="J19" s="33"/>
    </row>
    <row r="20" spans="1:10">
      <c r="A20" s="24" t="s">
        <v>75</v>
      </c>
      <c r="B20" s="23"/>
      <c r="C20" s="23"/>
      <c r="D20" s="25" t="e">
        <f t="shared" si="0"/>
        <v>#DIV/0!</v>
      </c>
      <c r="E20" s="30"/>
      <c r="F20" s="30"/>
      <c r="G20" s="30"/>
      <c r="H20" s="30"/>
      <c r="I20" s="30"/>
      <c r="J20" s="33"/>
    </row>
    <row r="21" spans="1:10">
      <c r="A21" s="24" t="s">
        <v>76</v>
      </c>
      <c r="B21" s="23"/>
      <c r="C21" s="23"/>
      <c r="D21" s="25" t="e">
        <f t="shared" si="0"/>
        <v>#DIV/0!</v>
      </c>
      <c r="E21" s="30"/>
      <c r="F21" s="30"/>
      <c r="G21" s="30"/>
      <c r="H21" s="30"/>
      <c r="I21" s="30"/>
      <c r="J21" s="33"/>
    </row>
    <row r="22" spans="1:10">
      <c r="A22" s="24" t="s">
        <v>77</v>
      </c>
      <c r="B22" s="23"/>
      <c r="C22" s="23"/>
      <c r="D22" s="25" t="e">
        <f t="shared" si="0"/>
        <v>#DIV/0!</v>
      </c>
      <c r="E22" s="30"/>
      <c r="F22" s="30"/>
      <c r="G22" s="30"/>
      <c r="H22" s="30"/>
      <c r="I22" s="30"/>
      <c r="J22" s="33"/>
    </row>
    <row r="23" spans="1:10">
      <c r="A23" s="26"/>
      <c r="B23" s="27"/>
      <c r="C23" s="27"/>
      <c r="D23" s="27"/>
      <c r="E23" s="27"/>
      <c r="F23" s="27"/>
      <c r="G23" s="28"/>
      <c r="H23" s="28"/>
      <c r="I23" s="28"/>
      <c r="J23" s="28"/>
    </row>
    <row r="24" spans="1:10">
      <c r="A24" s="31" t="s">
        <v>3</v>
      </c>
      <c r="B24" s="201" t="s">
        <v>190</v>
      </c>
      <c r="C24" s="202"/>
      <c r="D24" s="202"/>
      <c r="E24" s="202"/>
      <c r="F24" s="202"/>
      <c r="G24" s="202"/>
      <c r="H24" s="202"/>
      <c r="I24" s="202"/>
      <c r="J24" s="203"/>
    </row>
    <row r="25" spans="1:10">
      <c r="A25" s="31" t="s">
        <v>63</v>
      </c>
      <c r="B25" s="204" t="s">
        <v>163</v>
      </c>
      <c r="C25" s="205"/>
      <c r="D25" s="205"/>
      <c r="E25" s="205"/>
      <c r="F25" s="205"/>
      <c r="G25" s="205"/>
      <c r="H25" s="205"/>
      <c r="I25" s="205"/>
      <c r="J25" s="206"/>
    </row>
    <row r="26" spans="1:10" ht="60">
      <c r="A26" s="59" t="s">
        <v>65</v>
      </c>
      <c r="B26" s="60" t="s">
        <v>147</v>
      </c>
      <c r="C26" s="60" t="s">
        <v>148</v>
      </c>
      <c r="D26" s="60" t="s">
        <v>149</v>
      </c>
      <c r="E26" s="30"/>
      <c r="F26" s="30"/>
      <c r="G26" s="30"/>
      <c r="H26" s="30"/>
      <c r="I26" s="30"/>
      <c r="J26" s="33"/>
    </row>
    <row r="27" spans="1:10">
      <c r="A27" s="208" t="s">
        <v>101</v>
      </c>
      <c r="B27" s="211">
        <v>0</v>
      </c>
      <c r="C27" s="211">
        <v>0</v>
      </c>
      <c r="D27" s="214" t="s">
        <v>162</v>
      </c>
      <c r="E27" s="30"/>
      <c r="F27" s="30"/>
      <c r="G27" s="30"/>
      <c r="H27" s="30"/>
      <c r="I27" s="30"/>
      <c r="J27" s="33"/>
    </row>
    <row r="28" spans="1:10">
      <c r="A28" s="209"/>
      <c r="B28" s="212"/>
      <c r="C28" s="212"/>
      <c r="D28" s="215"/>
      <c r="E28" s="30"/>
      <c r="F28" s="30"/>
      <c r="G28" s="30"/>
      <c r="H28" s="30"/>
      <c r="I28" s="30"/>
      <c r="J28" s="33"/>
    </row>
    <row r="29" spans="1:10">
      <c r="A29" s="210"/>
      <c r="B29" s="213"/>
      <c r="C29" s="213"/>
      <c r="D29" s="216"/>
      <c r="E29" s="30"/>
      <c r="F29" s="30"/>
      <c r="G29" s="30"/>
      <c r="H29" s="30"/>
      <c r="I29" s="30"/>
      <c r="J29" s="33"/>
    </row>
    <row r="30" spans="1:10">
      <c r="A30" s="208" t="s">
        <v>102</v>
      </c>
      <c r="B30" s="211"/>
      <c r="C30" s="211"/>
      <c r="D30" s="214" t="s">
        <v>162</v>
      </c>
      <c r="E30" s="30"/>
      <c r="F30" s="30"/>
      <c r="G30" s="30"/>
      <c r="H30" s="30"/>
      <c r="I30" s="30"/>
      <c r="J30" s="33"/>
    </row>
    <row r="31" spans="1:10">
      <c r="A31" s="209"/>
      <c r="B31" s="212"/>
      <c r="C31" s="212"/>
      <c r="D31" s="215"/>
      <c r="E31" s="30"/>
      <c r="F31" s="30"/>
      <c r="G31" s="30"/>
      <c r="H31" s="30"/>
      <c r="I31" s="30"/>
      <c r="J31" s="33"/>
    </row>
    <row r="32" spans="1:10">
      <c r="A32" s="210"/>
      <c r="B32" s="213"/>
      <c r="C32" s="213"/>
      <c r="D32" s="216"/>
      <c r="E32" s="30"/>
      <c r="F32" s="30"/>
      <c r="G32" s="30"/>
      <c r="H32" s="30"/>
      <c r="I32" s="30"/>
      <c r="J32" s="33"/>
    </row>
    <row r="33" spans="1:10">
      <c r="A33" s="208" t="s">
        <v>103</v>
      </c>
      <c r="B33" s="211"/>
      <c r="C33" s="211"/>
      <c r="D33" s="214" t="s">
        <v>162</v>
      </c>
      <c r="E33" s="30"/>
      <c r="F33" s="30"/>
      <c r="G33" s="30"/>
      <c r="H33" s="30"/>
      <c r="I33" s="30"/>
      <c r="J33" s="33"/>
    </row>
    <row r="34" spans="1:10">
      <c r="A34" s="209"/>
      <c r="B34" s="212"/>
      <c r="C34" s="212"/>
      <c r="D34" s="215"/>
      <c r="E34" s="30"/>
      <c r="F34" s="30"/>
      <c r="G34" s="30"/>
      <c r="H34" s="30"/>
      <c r="I34" s="30"/>
      <c r="J34" s="33"/>
    </row>
    <row r="35" spans="1:10">
      <c r="A35" s="210"/>
      <c r="B35" s="213"/>
      <c r="C35" s="213"/>
      <c r="D35" s="216"/>
      <c r="E35" s="30"/>
      <c r="F35" s="30"/>
      <c r="G35" s="30"/>
      <c r="H35" s="30"/>
      <c r="I35" s="30"/>
      <c r="J35" s="33"/>
    </row>
    <row r="36" spans="1:10">
      <c r="A36" s="208" t="s">
        <v>104</v>
      </c>
      <c r="B36" s="211"/>
      <c r="C36" s="211"/>
      <c r="D36" s="214" t="s">
        <v>162</v>
      </c>
      <c r="E36" s="30"/>
      <c r="F36" s="30"/>
      <c r="G36" s="30"/>
      <c r="H36" s="30"/>
      <c r="I36" s="30"/>
      <c r="J36" s="33"/>
    </row>
    <row r="37" spans="1:10">
      <c r="A37" s="209"/>
      <c r="B37" s="212"/>
      <c r="C37" s="212"/>
      <c r="D37" s="215"/>
      <c r="E37" s="30"/>
      <c r="F37" s="30"/>
      <c r="G37" s="30"/>
      <c r="H37" s="30"/>
      <c r="I37" s="30"/>
      <c r="J37" s="33"/>
    </row>
    <row r="38" spans="1:10">
      <c r="A38" s="210"/>
      <c r="B38" s="213"/>
      <c r="C38" s="213"/>
      <c r="D38" s="216"/>
      <c r="E38" s="30"/>
      <c r="F38" s="30"/>
      <c r="G38" s="30"/>
      <c r="H38" s="30"/>
      <c r="I38" s="30"/>
      <c r="J38" s="33"/>
    </row>
    <row r="39" spans="1:10">
      <c r="E39" s="30"/>
      <c r="F39" s="30"/>
      <c r="G39" s="30"/>
      <c r="H39" s="30"/>
      <c r="I39" s="30"/>
      <c r="J39" s="33"/>
    </row>
    <row r="40" spans="1:10" ht="15.75">
      <c r="A40" s="34" t="s">
        <v>192</v>
      </c>
      <c r="B40" s="32"/>
      <c r="C40" s="30"/>
      <c r="D40" s="30"/>
      <c r="E40" s="30"/>
      <c r="F40" s="30"/>
      <c r="G40" s="30"/>
      <c r="H40" s="30"/>
      <c r="I40" s="30"/>
      <c r="J40" s="33"/>
    </row>
    <row r="41" spans="1:10">
      <c r="A41" s="22"/>
      <c r="B41" s="35"/>
      <c r="C41" s="35"/>
      <c r="D41" s="35"/>
      <c r="E41" s="35"/>
      <c r="F41" s="35"/>
      <c r="G41" s="35"/>
      <c r="H41" s="35"/>
      <c r="I41" s="35"/>
      <c r="J41" s="36"/>
    </row>
  </sheetData>
  <mergeCells count="30">
    <mergeCell ref="A33:A35"/>
    <mergeCell ref="B33:B35"/>
    <mergeCell ref="C33:C35"/>
    <mergeCell ref="D33:D35"/>
    <mergeCell ref="A36:A38"/>
    <mergeCell ref="B36:B38"/>
    <mergeCell ref="C36:C38"/>
    <mergeCell ref="D36:D38"/>
    <mergeCell ref="A27:A29"/>
    <mergeCell ref="B27:B29"/>
    <mergeCell ref="C27:C29"/>
    <mergeCell ref="D27:D29"/>
    <mergeCell ref="A30:A32"/>
    <mergeCell ref="B30:B32"/>
    <mergeCell ref="C30:C32"/>
    <mergeCell ref="D30:D32"/>
    <mergeCell ref="B24:J24"/>
    <mergeCell ref="B25:J25"/>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6"/>
  <sheetViews>
    <sheetView topLeftCell="A7" zoomScale="90" zoomScaleNormal="90" workbookViewId="0">
      <selection activeCell="C14" sqref="C14:C16"/>
    </sheetView>
  </sheetViews>
  <sheetFormatPr baseColWidth="10" defaultRowHeight="15"/>
  <cols>
    <col min="1" max="1" width="12.28515625" customWidth="1"/>
    <col min="2" max="5" width="14.5703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124</v>
      </c>
      <c r="J3" s="177"/>
      <c r="N3" s="167"/>
      <c r="O3" s="167"/>
      <c r="P3" s="167"/>
      <c r="Q3" s="167"/>
      <c r="R3" s="167"/>
      <c r="S3" s="167"/>
    </row>
    <row r="4" spans="1:19" ht="15" customHeight="1">
      <c r="A4" s="199" t="s">
        <v>62</v>
      </c>
      <c r="B4" s="199"/>
      <c r="C4" s="174" t="s">
        <v>26</v>
      </c>
      <c r="D4" s="174"/>
      <c r="E4" s="174"/>
      <c r="F4" s="174"/>
      <c r="G4" s="174"/>
      <c r="H4" s="174"/>
      <c r="I4" s="174"/>
      <c r="J4" s="174"/>
      <c r="N4" s="30"/>
      <c r="O4" s="30"/>
      <c r="P4" s="30"/>
      <c r="Q4" s="30"/>
      <c r="R4" s="30"/>
      <c r="S4" s="30"/>
    </row>
    <row r="5" spans="1:19">
      <c r="A5" s="199"/>
      <c r="B5" s="199"/>
      <c r="C5" s="174"/>
      <c r="D5" s="174"/>
      <c r="E5" s="174"/>
      <c r="F5" s="174"/>
      <c r="G5" s="174"/>
      <c r="H5" s="174"/>
      <c r="I5" s="174"/>
      <c r="J5" s="174"/>
      <c r="N5" s="30"/>
      <c r="O5" s="30"/>
      <c r="P5" s="30"/>
      <c r="Q5" s="30"/>
      <c r="R5" s="30"/>
      <c r="S5" s="30"/>
    </row>
    <row r="6" spans="1:19" ht="30.75" customHeight="1">
      <c r="A6" s="199" t="s">
        <v>210</v>
      </c>
      <c r="B6" s="199"/>
      <c r="C6" s="200" t="s">
        <v>214</v>
      </c>
      <c r="D6" s="200"/>
      <c r="E6" s="200"/>
      <c r="F6" s="200"/>
      <c r="G6" s="200"/>
      <c r="H6" s="200"/>
      <c r="I6" s="200"/>
      <c r="J6" s="200"/>
      <c r="N6" s="30"/>
      <c r="O6" s="30"/>
      <c r="P6" s="30"/>
      <c r="Q6" s="30"/>
      <c r="R6" s="30"/>
      <c r="S6" s="30"/>
    </row>
    <row r="7" spans="1:19">
      <c r="A7" s="26"/>
      <c r="B7" s="27"/>
      <c r="C7" s="27"/>
      <c r="D7" s="27"/>
      <c r="E7" s="27"/>
      <c r="F7" s="27"/>
      <c r="G7" s="28"/>
      <c r="H7" s="28"/>
      <c r="I7" s="28"/>
      <c r="J7" s="28"/>
      <c r="N7" s="30"/>
      <c r="O7" s="30"/>
      <c r="P7" s="30"/>
      <c r="Q7" s="30"/>
      <c r="R7" s="30"/>
      <c r="S7" s="30"/>
    </row>
    <row r="8" spans="1:19" ht="15" customHeight="1">
      <c r="A8" s="31" t="s">
        <v>3</v>
      </c>
      <c r="B8" s="201" t="s">
        <v>97</v>
      </c>
      <c r="C8" s="202"/>
      <c r="D8" s="202"/>
      <c r="E8" s="202"/>
      <c r="F8" s="202"/>
      <c r="G8" s="202"/>
      <c r="H8" s="202"/>
      <c r="I8" s="202"/>
      <c r="J8" s="203"/>
    </row>
    <row r="9" spans="1:19" ht="15" customHeight="1">
      <c r="A9" s="31" t="s">
        <v>63</v>
      </c>
      <c r="B9" s="204" t="s">
        <v>99</v>
      </c>
      <c r="C9" s="205"/>
      <c r="D9" s="205"/>
      <c r="E9" s="205"/>
      <c r="F9" s="205"/>
      <c r="G9" s="205"/>
      <c r="H9" s="205"/>
      <c r="I9" s="205"/>
      <c r="J9" s="206"/>
    </row>
    <row r="10" spans="1:19" ht="58.5" customHeight="1">
      <c r="A10" s="2" t="s">
        <v>65</v>
      </c>
      <c r="B10" s="3" t="s">
        <v>100</v>
      </c>
      <c r="C10" s="3" t="s">
        <v>98</v>
      </c>
      <c r="D10" s="3" t="s">
        <v>149</v>
      </c>
      <c r="E10" s="30"/>
      <c r="F10" s="30"/>
      <c r="G10" s="30"/>
      <c r="H10" s="30"/>
      <c r="I10" s="30"/>
      <c r="J10" s="33"/>
    </row>
    <row r="11" spans="1:19">
      <c r="A11" s="208" t="s">
        <v>101</v>
      </c>
      <c r="B11" s="211"/>
      <c r="C11" s="211"/>
      <c r="D11" s="214" t="e">
        <f>B11/C11</f>
        <v>#DIV/0!</v>
      </c>
      <c r="E11" s="30"/>
      <c r="F11" s="30"/>
      <c r="G11" s="30"/>
      <c r="H11" s="30"/>
      <c r="I11" s="30"/>
      <c r="J11" s="33"/>
    </row>
    <row r="12" spans="1:19">
      <c r="A12" s="209"/>
      <c r="B12" s="212"/>
      <c r="C12" s="212"/>
      <c r="D12" s="215"/>
      <c r="E12" s="30"/>
      <c r="F12" s="30"/>
      <c r="G12" s="30"/>
      <c r="H12" s="30"/>
      <c r="I12" s="30"/>
      <c r="J12" s="33"/>
    </row>
    <row r="13" spans="1:19">
      <c r="A13" s="210"/>
      <c r="B13" s="213"/>
      <c r="C13" s="213"/>
      <c r="D13" s="216"/>
      <c r="E13" s="30"/>
      <c r="F13" s="30"/>
      <c r="G13" s="30"/>
      <c r="H13" s="30"/>
      <c r="I13" s="30"/>
      <c r="J13" s="33"/>
    </row>
    <row r="14" spans="1:19">
      <c r="A14" s="208" t="s">
        <v>102</v>
      </c>
      <c r="B14" s="211"/>
      <c r="C14" s="211"/>
      <c r="D14" s="214" t="e">
        <f t="shared" ref="D14" si="0">B14/C14</f>
        <v>#DIV/0!</v>
      </c>
      <c r="E14" s="30"/>
      <c r="F14" s="30"/>
      <c r="G14" s="30"/>
      <c r="H14" s="30"/>
      <c r="I14" s="30"/>
      <c r="J14" s="33"/>
    </row>
    <row r="15" spans="1:19">
      <c r="A15" s="209"/>
      <c r="B15" s="212"/>
      <c r="C15" s="212"/>
      <c r="D15" s="215"/>
      <c r="E15" s="30"/>
      <c r="F15" s="30"/>
      <c r="G15" s="30"/>
      <c r="H15" s="30"/>
      <c r="I15" s="30"/>
      <c r="J15" s="33"/>
    </row>
    <row r="16" spans="1:19">
      <c r="A16" s="210"/>
      <c r="B16" s="213"/>
      <c r="C16" s="213"/>
      <c r="D16" s="216"/>
      <c r="E16" s="30"/>
      <c r="F16" s="30"/>
      <c r="G16" s="30"/>
      <c r="H16" s="30"/>
      <c r="I16" s="30"/>
      <c r="J16" s="33"/>
    </row>
    <row r="17" spans="1:10">
      <c r="A17" s="208" t="s">
        <v>103</v>
      </c>
      <c r="B17" s="211"/>
      <c r="C17" s="211"/>
      <c r="D17" s="214" t="e">
        <f t="shared" ref="D17" si="1">B17/C17</f>
        <v>#DIV/0!</v>
      </c>
      <c r="E17" s="30"/>
      <c r="F17" s="30"/>
      <c r="G17" s="30"/>
      <c r="H17" s="30"/>
      <c r="I17" s="30"/>
      <c r="J17" s="33"/>
    </row>
    <row r="18" spans="1:10">
      <c r="A18" s="209"/>
      <c r="B18" s="212"/>
      <c r="C18" s="212"/>
      <c r="D18" s="215"/>
      <c r="E18" s="30"/>
      <c r="F18" s="30"/>
      <c r="G18" s="30"/>
      <c r="H18" s="30"/>
      <c r="I18" s="30"/>
      <c r="J18" s="33"/>
    </row>
    <row r="19" spans="1:10">
      <c r="A19" s="210"/>
      <c r="B19" s="213"/>
      <c r="C19" s="213"/>
      <c r="D19" s="216"/>
      <c r="E19" s="30"/>
      <c r="F19" s="30"/>
      <c r="G19" s="30"/>
      <c r="H19" s="30"/>
      <c r="I19" s="30"/>
      <c r="J19" s="33"/>
    </row>
    <row r="20" spans="1:10">
      <c r="A20" s="208" t="s">
        <v>104</v>
      </c>
      <c r="B20" s="211"/>
      <c r="C20" s="211"/>
      <c r="D20" s="214" t="e">
        <f t="shared" ref="D20" si="2">B20/C20</f>
        <v>#DIV/0!</v>
      </c>
      <c r="E20" s="30"/>
      <c r="F20" s="30"/>
      <c r="G20" s="30"/>
      <c r="H20" s="30"/>
      <c r="I20" s="30"/>
      <c r="J20" s="33"/>
    </row>
    <row r="21" spans="1:10">
      <c r="A21" s="209"/>
      <c r="B21" s="212"/>
      <c r="C21" s="212"/>
      <c r="D21" s="215"/>
      <c r="E21" s="30"/>
      <c r="F21" s="30"/>
      <c r="G21" s="30"/>
      <c r="H21" s="30"/>
      <c r="I21" s="30"/>
      <c r="J21" s="33"/>
    </row>
    <row r="22" spans="1:10">
      <c r="A22" s="210"/>
      <c r="B22" s="213"/>
      <c r="C22" s="213"/>
      <c r="D22" s="216"/>
      <c r="E22" s="30"/>
      <c r="F22" s="30"/>
      <c r="G22" s="30"/>
      <c r="H22" s="30"/>
      <c r="I22" s="30"/>
      <c r="J22" s="33"/>
    </row>
    <row r="23" spans="1:10">
      <c r="E23" s="30"/>
      <c r="F23" s="30"/>
      <c r="G23" s="30"/>
      <c r="H23" s="30"/>
      <c r="I23" s="30"/>
      <c r="J23" s="33"/>
    </row>
    <row r="24" spans="1:10">
      <c r="A24" s="21"/>
      <c r="B24" s="30"/>
      <c r="C24" s="30"/>
      <c r="D24" s="30"/>
      <c r="E24" s="30"/>
      <c r="F24" s="30"/>
      <c r="G24" s="30"/>
      <c r="H24" s="30"/>
      <c r="I24" s="30"/>
      <c r="J24" s="33"/>
    </row>
    <row r="25" spans="1:10" ht="15.75">
      <c r="A25" s="34" t="s">
        <v>105</v>
      </c>
      <c r="B25" s="32"/>
      <c r="C25" s="30"/>
      <c r="D25" s="30"/>
      <c r="E25" s="30"/>
      <c r="F25" s="30"/>
      <c r="G25" s="30"/>
      <c r="H25" s="30"/>
      <c r="I25" s="30"/>
      <c r="J25" s="33"/>
    </row>
    <row r="26" spans="1:10">
      <c r="A26" s="22"/>
      <c r="B26" s="35"/>
      <c r="C26" s="35"/>
      <c r="D26" s="35"/>
      <c r="E26" s="35"/>
      <c r="F26" s="35"/>
      <c r="G26" s="35"/>
      <c r="H26" s="35"/>
      <c r="I26" s="35"/>
      <c r="J26" s="36"/>
    </row>
  </sheetData>
  <sheetProtection algorithmName="SHA-512" hashValue="L/T4OcnTzEXOazHP10oVKoDWSTDEGChgwx/BtGQ9Vr8Pchgps+Po0TzLnCiK62peXPy4TX1JlQ5w6hgjqCYp9Q==" saltValue="MnF75hvwoMYZITijiraiRA==" spinCount="100000" sheet="1" objects="1" scenarios="1"/>
  <mergeCells count="28">
    <mergeCell ref="B20:B22"/>
    <mergeCell ref="C20:C22"/>
    <mergeCell ref="D20:D22"/>
    <mergeCell ref="A11:A13"/>
    <mergeCell ref="A14:A16"/>
    <mergeCell ref="A17:A19"/>
    <mergeCell ref="A20:A22"/>
    <mergeCell ref="B14:B16"/>
    <mergeCell ref="C14:C16"/>
    <mergeCell ref="D14:D16"/>
    <mergeCell ref="B17:B19"/>
    <mergeCell ref="C17:C19"/>
    <mergeCell ref="D17:D19"/>
    <mergeCell ref="B8:J8"/>
    <mergeCell ref="B9:J9"/>
    <mergeCell ref="B11:B13"/>
    <mergeCell ref="C11:C13"/>
    <mergeCell ref="D11:D13"/>
    <mergeCell ref="A4:B5"/>
    <mergeCell ref="C4:J5"/>
    <mergeCell ref="A6:B6"/>
    <mergeCell ref="C6:J6"/>
    <mergeCell ref="N3:S3"/>
    <mergeCell ref="A1:B3"/>
    <mergeCell ref="C1:H3"/>
    <mergeCell ref="I1:J1"/>
    <mergeCell ref="I2:J2"/>
    <mergeCell ref="I3:J3"/>
  </mergeCells>
  <pageMargins left="0.7" right="0.7" top="0.75" bottom="0.75" header="0.3" footer="0.3"/>
  <pageSetup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21"/>
  <sheetViews>
    <sheetView topLeftCell="A84" zoomScale="90" zoomScaleNormal="90" workbookViewId="0">
      <selection activeCell="B103" sqref="B103:J103"/>
    </sheetView>
  </sheetViews>
  <sheetFormatPr baseColWidth="10" defaultRowHeight="15"/>
  <cols>
    <col min="1" max="1" width="12.28515625" customWidth="1"/>
    <col min="2" max="2" width="19.85546875" bestFit="1" customWidth="1"/>
    <col min="3" max="3" width="20.140625" bestFit="1" customWidth="1"/>
    <col min="4" max="4" width="18.28515625" bestFit="1" customWidth="1"/>
    <col min="5" max="5" width="15.85546875" customWidth="1"/>
    <col min="6" max="6" width="14" customWidth="1"/>
    <col min="7" max="8" width="14.28515625" customWidth="1"/>
    <col min="9" max="10" width="12.140625" customWidth="1"/>
    <col min="11" max="11" width="8.85546875" customWidth="1"/>
    <col min="12" max="12" width="9.7109375" customWidth="1"/>
    <col min="13" max="13" width="9" customWidth="1"/>
    <col min="14" max="14" width="8" customWidth="1"/>
    <col min="15" max="16" width="7.28515625" customWidth="1"/>
    <col min="17" max="17" width="7" customWidth="1"/>
    <col min="18" max="18" width="6.7109375" customWidth="1"/>
    <col min="19" max="19" width="4.140625" customWidth="1"/>
    <col min="20" max="20" width="4.7109375" customWidth="1"/>
    <col min="21" max="21" width="5.42578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123</v>
      </c>
      <c r="J3" s="177"/>
      <c r="N3" s="167"/>
      <c r="O3" s="167"/>
      <c r="P3" s="167"/>
      <c r="Q3" s="167"/>
      <c r="R3" s="167"/>
      <c r="S3" s="167"/>
    </row>
    <row r="4" spans="1:19" ht="15" customHeight="1">
      <c r="A4" s="199" t="s">
        <v>62</v>
      </c>
      <c r="B4" s="199"/>
      <c r="C4" s="200" t="s">
        <v>107</v>
      </c>
      <c r="D4" s="200"/>
      <c r="E4" s="200"/>
      <c r="F4" s="200"/>
      <c r="G4" s="200"/>
      <c r="H4" s="200"/>
      <c r="I4" s="200"/>
      <c r="J4" s="200"/>
      <c r="N4" s="30"/>
      <c r="O4" s="30"/>
      <c r="P4" s="30"/>
      <c r="Q4" s="30"/>
      <c r="R4" s="30"/>
      <c r="S4" s="30"/>
    </row>
    <row r="5" spans="1:19">
      <c r="A5" s="199"/>
      <c r="B5" s="199"/>
      <c r="C5" s="200"/>
      <c r="D5" s="200"/>
      <c r="E5" s="200"/>
      <c r="F5" s="200"/>
      <c r="G5" s="200"/>
      <c r="H5" s="200"/>
      <c r="I5" s="200"/>
      <c r="J5" s="200"/>
      <c r="N5" s="30"/>
      <c r="O5" s="30"/>
      <c r="P5" s="30"/>
      <c r="Q5" s="30"/>
      <c r="R5" s="30"/>
      <c r="S5" s="30"/>
    </row>
    <row r="6" spans="1:19" ht="32.25" customHeight="1">
      <c r="A6" s="199" t="s">
        <v>210</v>
      </c>
      <c r="B6" s="199"/>
      <c r="C6" s="200" t="s">
        <v>215</v>
      </c>
      <c r="D6" s="200"/>
      <c r="E6" s="200"/>
      <c r="F6" s="200"/>
      <c r="G6" s="200"/>
      <c r="H6" s="200"/>
      <c r="I6" s="200"/>
      <c r="J6" s="200"/>
      <c r="N6" s="30"/>
      <c r="O6" s="30"/>
      <c r="P6" s="30"/>
      <c r="Q6" s="30"/>
      <c r="R6" s="30"/>
      <c r="S6" s="30"/>
    </row>
    <row r="7" spans="1:19">
      <c r="A7" s="74"/>
      <c r="B7" s="27"/>
      <c r="C7" s="27"/>
      <c r="D7" s="27"/>
      <c r="E7" s="27"/>
      <c r="F7" s="27"/>
      <c r="G7" s="75"/>
      <c r="H7" s="75"/>
      <c r="I7" s="75"/>
      <c r="J7" s="76"/>
      <c r="N7" s="30"/>
      <c r="O7" s="30"/>
      <c r="P7" s="30"/>
      <c r="Q7" s="30"/>
      <c r="R7" s="30"/>
      <c r="S7" s="30"/>
    </row>
    <row r="8" spans="1:19" ht="15" customHeight="1">
      <c r="A8" s="31" t="s">
        <v>3</v>
      </c>
      <c r="B8" s="172" t="s">
        <v>108</v>
      </c>
      <c r="C8" s="172"/>
      <c r="D8" s="172"/>
      <c r="E8" s="172"/>
      <c r="F8" s="172"/>
      <c r="G8" s="172"/>
      <c r="H8" s="172"/>
      <c r="I8" s="172"/>
      <c r="J8" s="172"/>
    </row>
    <row r="9" spans="1:19">
      <c r="A9" s="31" t="s">
        <v>63</v>
      </c>
      <c r="B9" s="174" t="s">
        <v>58</v>
      </c>
      <c r="C9" s="174"/>
      <c r="D9" s="174"/>
      <c r="E9" s="174"/>
      <c r="F9" s="174"/>
      <c r="G9" s="174"/>
      <c r="H9" s="174"/>
      <c r="I9" s="174"/>
      <c r="J9" s="174"/>
    </row>
    <row r="10" spans="1:19" ht="58.5" customHeight="1">
      <c r="A10" s="68" t="s">
        <v>65</v>
      </c>
      <c r="B10" s="67" t="s">
        <v>109</v>
      </c>
      <c r="C10" s="67" t="s">
        <v>110</v>
      </c>
      <c r="D10" s="67" t="s">
        <v>111</v>
      </c>
      <c r="E10" s="30"/>
      <c r="F10" s="30"/>
      <c r="G10" s="30"/>
      <c r="H10" s="30"/>
      <c r="I10" s="30"/>
      <c r="J10" s="33"/>
    </row>
    <row r="11" spans="1:19">
      <c r="A11" s="24" t="s">
        <v>66</v>
      </c>
      <c r="B11" s="96">
        <v>2542931725.0500002</v>
      </c>
      <c r="C11" s="96">
        <v>1530569676</v>
      </c>
      <c r="D11" s="25">
        <f>B11/C11</f>
        <v>1.6614282674773182</v>
      </c>
      <c r="E11" s="30"/>
      <c r="F11" s="30"/>
      <c r="G11" s="30"/>
      <c r="H11" s="30"/>
      <c r="I11" s="30"/>
      <c r="J11" s="33"/>
    </row>
    <row r="12" spans="1:19">
      <c r="A12" s="24" t="s">
        <v>67</v>
      </c>
      <c r="B12" s="96">
        <v>2013264677.5699999</v>
      </c>
      <c r="C12" s="96">
        <v>1328348190</v>
      </c>
      <c r="D12" s="25">
        <f>B12/C12</f>
        <v>1.5156151773504505</v>
      </c>
      <c r="E12" s="30"/>
      <c r="F12" s="30"/>
      <c r="G12" s="30"/>
      <c r="H12" s="30"/>
      <c r="I12" s="30"/>
      <c r="J12" s="33"/>
    </row>
    <row r="13" spans="1:19">
      <c r="A13" s="24" t="s">
        <v>68</v>
      </c>
      <c r="B13" s="96">
        <v>1852132005.48</v>
      </c>
      <c r="C13" s="96">
        <v>1392027000</v>
      </c>
      <c r="D13" s="25">
        <f>B13/C13</f>
        <v>1.3305287939673585</v>
      </c>
      <c r="E13" s="30"/>
      <c r="F13" s="30"/>
      <c r="G13" s="30"/>
      <c r="H13" s="30"/>
      <c r="I13" s="30"/>
      <c r="J13" s="33"/>
    </row>
    <row r="14" spans="1:19">
      <c r="A14" s="24" t="s">
        <v>69</v>
      </c>
      <c r="B14" s="96">
        <v>1516821347</v>
      </c>
      <c r="C14" s="96">
        <v>1382027000</v>
      </c>
      <c r="D14" s="25">
        <f t="shared" ref="D14:D22" si="0">B14/C14</f>
        <v>1.0975338014380327</v>
      </c>
      <c r="E14" s="30"/>
      <c r="F14" s="30"/>
      <c r="G14" s="30"/>
      <c r="H14" s="30"/>
      <c r="I14" s="30"/>
      <c r="J14" s="33"/>
    </row>
    <row r="15" spans="1:19">
      <c r="A15" s="24" t="s">
        <v>70</v>
      </c>
      <c r="B15" s="96">
        <v>2533285826</v>
      </c>
      <c r="C15" s="96">
        <v>1951258826</v>
      </c>
      <c r="D15" s="25">
        <f t="shared" si="0"/>
        <v>1.2982828276006475</v>
      </c>
      <c r="E15" s="30"/>
      <c r="F15" s="30"/>
      <c r="G15" s="30"/>
      <c r="H15" s="30"/>
      <c r="I15" s="30"/>
      <c r="J15" s="33"/>
    </row>
    <row r="16" spans="1:19">
      <c r="A16" s="24" t="s">
        <v>71</v>
      </c>
      <c r="B16" s="129"/>
      <c r="C16" s="129"/>
      <c r="D16" s="25" t="e">
        <f t="shared" si="0"/>
        <v>#DIV/0!</v>
      </c>
      <c r="E16" s="30"/>
      <c r="F16" s="30"/>
      <c r="G16" s="30"/>
      <c r="H16" s="30"/>
      <c r="I16" s="30"/>
      <c r="J16" s="33"/>
    </row>
    <row r="17" spans="1:10">
      <c r="A17" s="24" t="s">
        <v>72</v>
      </c>
      <c r="B17" s="129"/>
      <c r="C17" s="129"/>
      <c r="D17" s="25" t="e">
        <f t="shared" si="0"/>
        <v>#DIV/0!</v>
      </c>
      <c r="E17" s="30"/>
      <c r="F17" s="30"/>
      <c r="G17" s="30"/>
      <c r="H17" s="30"/>
      <c r="I17" s="30"/>
      <c r="J17" s="33"/>
    </row>
    <row r="18" spans="1:10">
      <c r="A18" s="24" t="s">
        <v>73</v>
      </c>
      <c r="B18" s="129"/>
      <c r="C18" s="129"/>
      <c r="D18" s="25" t="e">
        <f t="shared" si="0"/>
        <v>#DIV/0!</v>
      </c>
      <c r="E18" s="30"/>
      <c r="F18" s="30"/>
      <c r="G18" s="30"/>
      <c r="H18" s="30"/>
      <c r="I18" s="30"/>
      <c r="J18" s="33"/>
    </row>
    <row r="19" spans="1:10">
      <c r="A19" s="24" t="s">
        <v>74</v>
      </c>
      <c r="B19" s="96"/>
      <c r="C19" s="96"/>
      <c r="D19" s="25" t="e">
        <f t="shared" si="0"/>
        <v>#DIV/0!</v>
      </c>
      <c r="E19" s="30"/>
      <c r="F19" s="30"/>
      <c r="G19" s="30"/>
      <c r="H19" s="30"/>
      <c r="I19" s="30"/>
      <c r="J19" s="33"/>
    </row>
    <row r="20" spans="1:10">
      <c r="A20" s="24" t="s">
        <v>75</v>
      </c>
      <c r="B20" s="96"/>
      <c r="C20" s="96"/>
      <c r="D20" s="25" t="e">
        <f t="shared" si="0"/>
        <v>#DIV/0!</v>
      </c>
      <c r="E20" s="30"/>
      <c r="F20" s="30"/>
      <c r="G20" s="30"/>
      <c r="H20" s="30"/>
      <c r="I20" s="30"/>
      <c r="J20" s="33"/>
    </row>
    <row r="21" spans="1:10">
      <c r="A21" s="24" t="s">
        <v>76</v>
      </c>
      <c r="B21" s="96"/>
      <c r="C21" s="96"/>
      <c r="D21" s="25" t="e">
        <f t="shared" si="0"/>
        <v>#DIV/0!</v>
      </c>
      <c r="E21" s="30"/>
      <c r="F21" s="30"/>
      <c r="G21" s="30"/>
      <c r="H21" s="30"/>
      <c r="I21" s="30"/>
      <c r="J21" s="33"/>
    </row>
    <row r="22" spans="1:10">
      <c r="A22" s="29" t="s">
        <v>77</v>
      </c>
      <c r="B22" s="96"/>
      <c r="C22" s="96"/>
      <c r="D22" s="25" t="e">
        <f t="shared" si="0"/>
        <v>#DIV/0!</v>
      </c>
      <c r="E22" s="30"/>
      <c r="F22" s="30"/>
      <c r="G22" s="30"/>
      <c r="H22" s="30"/>
      <c r="I22" s="30"/>
      <c r="J22" s="33"/>
    </row>
    <row r="23" spans="1:10">
      <c r="A23" s="198"/>
      <c r="B23" s="198"/>
      <c r="C23" s="198"/>
      <c r="D23" s="198"/>
      <c r="E23" s="198"/>
      <c r="F23" s="198"/>
      <c r="G23" s="198"/>
      <c r="H23" s="198"/>
      <c r="I23" s="198"/>
      <c r="J23" s="198"/>
    </row>
    <row r="24" spans="1:10">
      <c r="A24" s="31" t="s">
        <v>3</v>
      </c>
      <c r="B24" s="172" t="s">
        <v>155</v>
      </c>
      <c r="C24" s="172"/>
      <c r="D24" s="172"/>
      <c r="E24" s="172"/>
      <c r="F24" s="172"/>
      <c r="G24" s="172"/>
      <c r="H24" s="172"/>
      <c r="I24" s="172"/>
      <c r="J24" s="172"/>
    </row>
    <row r="25" spans="1:10">
      <c r="A25" s="31" t="s">
        <v>63</v>
      </c>
      <c r="B25" s="173" t="s">
        <v>150</v>
      </c>
      <c r="C25" s="173"/>
      <c r="D25" s="173"/>
      <c r="E25" s="174"/>
      <c r="F25" s="174"/>
      <c r="G25" s="174"/>
      <c r="H25" s="174"/>
      <c r="I25" s="174"/>
      <c r="J25" s="174"/>
    </row>
    <row r="26" spans="1:10" ht="30">
      <c r="A26" s="68" t="s">
        <v>65</v>
      </c>
      <c r="B26" s="94" t="s">
        <v>151</v>
      </c>
      <c r="C26" s="94" t="s">
        <v>152</v>
      </c>
      <c r="D26" s="66" t="s">
        <v>153</v>
      </c>
      <c r="E26" s="71" t="s">
        <v>154</v>
      </c>
      <c r="F26" s="30"/>
      <c r="G26" s="30"/>
      <c r="H26" s="30"/>
      <c r="I26" s="30"/>
      <c r="J26" s="33"/>
    </row>
    <row r="27" spans="1:10">
      <c r="A27" s="24" t="s">
        <v>66</v>
      </c>
      <c r="B27" s="95">
        <v>2882988682</v>
      </c>
      <c r="C27" s="95">
        <v>372812235.33000004</v>
      </c>
      <c r="D27" s="95">
        <v>1147850167.1900001</v>
      </c>
      <c r="E27" s="70">
        <f>B27-C27-D27</f>
        <v>1362326279.48</v>
      </c>
      <c r="F27" s="30"/>
      <c r="G27" s="30"/>
      <c r="H27" s="30"/>
      <c r="I27" s="30"/>
      <c r="J27" s="33"/>
    </row>
    <row r="28" spans="1:10">
      <c r="A28" s="24" t="s">
        <v>67</v>
      </c>
      <c r="B28" s="95">
        <v>3059505887</v>
      </c>
      <c r="C28" s="95">
        <v>281249102.48000002</v>
      </c>
      <c r="D28" s="95">
        <v>1148351551.45</v>
      </c>
      <c r="E28" s="70">
        <f t="shared" ref="E28:E32" si="1">B28-C28-D28</f>
        <v>1629905233.0699999</v>
      </c>
      <c r="F28" s="30"/>
      <c r="G28" s="30"/>
      <c r="H28" s="30"/>
      <c r="I28" s="30"/>
      <c r="J28" s="33"/>
    </row>
    <row r="29" spans="1:10">
      <c r="A29" s="24" t="s">
        <v>68</v>
      </c>
      <c r="B29" s="69">
        <v>2626896812</v>
      </c>
      <c r="C29" s="69">
        <v>332476052.97000003</v>
      </c>
      <c r="D29" s="69">
        <v>998573997.21000004</v>
      </c>
      <c r="E29" s="70">
        <f t="shared" si="1"/>
        <v>1295846761.8199997</v>
      </c>
      <c r="F29" s="30"/>
      <c r="G29" s="30"/>
      <c r="H29" s="30"/>
      <c r="I29" s="30"/>
      <c r="J29" s="33"/>
    </row>
    <row r="30" spans="1:10">
      <c r="A30" s="24" t="s">
        <v>69</v>
      </c>
      <c r="B30" s="69">
        <v>3679739696</v>
      </c>
      <c r="C30" s="69">
        <v>251924149</v>
      </c>
      <c r="D30" s="69">
        <v>1441915670</v>
      </c>
      <c r="E30" s="70">
        <f t="shared" si="1"/>
        <v>1985899877</v>
      </c>
      <c r="F30" s="30"/>
      <c r="G30" s="30"/>
      <c r="H30" s="30"/>
      <c r="I30" s="30"/>
      <c r="J30" s="33"/>
    </row>
    <row r="31" spans="1:10">
      <c r="A31" s="24" t="s">
        <v>70</v>
      </c>
      <c r="B31" s="69">
        <v>2953010536</v>
      </c>
      <c r="C31" s="69">
        <v>242818908</v>
      </c>
      <c r="D31" s="69">
        <v>1109855298</v>
      </c>
      <c r="E31" s="70">
        <f t="shared" si="1"/>
        <v>1600336330</v>
      </c>
      <c r="F31" s="30"/>
      <c r="G31" s="30"/>
      <c r="H31" s="30"/>
      <c r="I31" s="30"/>
      <c r="J31" s="33"/>
    </row>
    <row r="32" spans="1:10">
      <c r="A32" s="24" t="s">
        <v>71</v>
      </c>
      <c r="B32" s="69"/>
      <c r="C32" s="69"/>
      <c r="D32" s="69"/>
      <c r="E32" s="70">
        <f t="shared" si="1"/>
        <v>0</v>
      </c>
      <c r="F32" s="30"/>
      <c r="G32" s="30"/>
      <c r="H32" s="30"/>
      <c r="I32" s="30"/>
      <c r="J32" s="33"/>
    </row>
    <row r="33" spans="1:10">
      <c r="A33" s="24" t="s">
        <v>72</v>
      </c>
      <c r="B33" s="69"/>
      <c r="C33" s="69"/>
      <c r="D33" s="69"/>
      <c r="E33" s="70">
        <f>B33-C33-D33</f>
        <v>0</v>
      </c>
      <c r="F33" s="30"/>
      <c r="G33" s="30"/>
      <c r="H33" s="30"/>
      <c r="I33" s="30"/>
      <c r="J33" s="33"/>
    </row>
    <row r="34" spans="1:10">
      <c r="A34" s="24" t="s">
        <v>73</v>
      </c>
      <c r="B34" s="69"/>
      <c r="C34" s="69"/>
      <c r="D34" s="69"/>
      <c r="E34" s="70">
        <f t="shared" ref="E34:E38" si="2">B34-C34-D34</f>
        <v>0</v>
      </c>
      <c r="F34" s="30"/>
      <c r="G34" s="30"/>
      <c r="H34" s="30"/>
      <c r="I34" s="30"/>
      <c r="J34" s="33"/>
    </row>
    <row r="35" spans="1:10">
      <c r="A35" s="24" t="s">
        <v>74</v>
      </c>
      <c r="B35" s="69"/>
      <c r="C35" s="69"/>
      <c r="D35" s="69"/>
      <c r="E35" s="70">
        <f t="shared" si="2"/>
        <v>0</v>
      </c>
      <c r="F35" s="30"/>
      <c r="G35" s="30"/>
      <c r="H35" s="30"/>
      <c r="I35" s="30"/>
      <c r="J35" s="33"/>
    </row>
    <row r="36" spans="1:10">
      <c r="A36" s="24" t="s">
        <v>75</v>
      </c>
      <c r="B36" s="69"/>
      <c r="C36" s="69"/>
      <c r="D36" s="69"/>
      <c r="E36" s="70">
        <f t="shared" si="2"/>
        <v>0</v>
      </c>
      <c r="F36" s="30"/>
      <c r="G36" s="30"/>
      <c r="H36" s="30"/>
      <c r="I36" s="30"/>
      <c r="J36" s="33"/>
    </row>
    <row r="37" spans="1:10">
      <c r="A37" s="24" t="s">
        <v>76</v>
      </c>
      <c r="B37" s="69"/>
      <c r="C37" s="69"/>
      <c r="D37" s="69"/>
      <c r="E37" s="70">
        <f t="shared" si="2"/>
        <v>0</v>
      </c>
      <c r="F37" s="30"/>
      <c r="G37" s="30"/>
      <c r="H37" s="30"/>
      <c r="I37" s="30"/>
      <c r="J37" s="33"/>
    </row>
    <row r="38" spans="1:10">
      <c r="A38" s="24" t="s">
        <v>77</v>
      </c>
      <c r="B38" s="69"/>
      <c r="C38" s="69"/>
      <c r="D38" s="69"/>
      <c r="E38" s="70">
        <f t="shared" si="2"/>
        <v>0</v>
      </c>
      <c r="F38" s="30"/>
      <c r="G38" s="30"/>
      <c r="H38" s="30"/>
      <c r="I38" s="30"/>
      <c r="J38" s="33"/>
    </row>
    <row r="39" spans="1:10">
      <c r="A39" s="198"/>
      <c r="B39" s="198"/>
      <c r="C39" s="198"/>
      <c r="D39" s="198"/>
      <c r="E39" s="198"/>
      <c r="F39" s="198"/>
      <c r="G39" s="198"/>
      <c r="H39" s="198"/>
      <c r="I39" s="198"/>
      <c r="J39" s="198"/>
    </row>
    <row r="40" spans="1:10">
      <c r="A40" s="31" t="s">
        <v>3</v>
      </c>
      <c r="B40" s="220" t="s">
        <v>138</v>
      </c>
      <c r="C40" s="221"/>
      <c r="D40" s="221"/>
      <c r="E40" s="221"/>
      <c r="F40" s="221"/>
      <c r="G40" s="221"/>
      <c r="H40" s="221"/>
      <c r="I40" s="221"/>
      <c r="J40" s="222"/>
    </row>
    <row r="41" spans="1:10">
      <c r="A41" s="53" t="s">
        <v>63</v>
      </c>
      <c r="B41" s="173" t="s">
        <v>139</v>
      </c>
      <c r="C41" s="173"/>
      <c r="D41" s="173"/>
      <c r="E41" s="173"/>
      <c r="F41" s="173"/>
      <c r="G41" s="174"/>
      <c r="H41" s="174"/>
      <c r="I41" s="174"/>
      <c r="J41" s="174"/>
    </row>
    <row r="42" spans="1:10" ht="60">
      <c r="A42" s="68" t="s">
        <v>65</v>
      </c>
      <c r="B42" s="67" t="s">
        <v>128</v>
      </c>
      <c r="C42" s="67" t="s">
        <v>129</v>
      </c>
      <c r="D42" s="67" t="s">
        <v>130</v>
      </c>
      <c r="E42" s="67" t="s">
        <v>197</v>
      </c>
      <c r="F42" s="67" t="s">
        <v>196</v>
      </c>
      <c r="G42" s="46"/>
      <c r="H42" s="46"/>
      <c r="I42" s="46"/>
      <c r="J42" s="47"/>
    </row>
    <row r="43" spans="1:10">
      <c r="A43" s="24" t="s">
        <v>66</v>
      </c>
      <c r="B43" s="55">
        <v>4849084687</v>
      </c>
      <c r="C43" s="55">
        <v>4823989830</v>
      </c>
      <c r="D43" s="55">
        <v>5098068469</v>
      </c>
      <c r="E43" s="45">
        <f>C43/B43</f>
        <v>0.994824825999167</v>
      </c>
      <c r="F43" s="45">
        <f>D43/C43</f>
        <v>1.0568157580464883</v>
      </c>
      <c r="G43" s="46"/>
      <c r="H43" s="46"/>
      <c r="I43" s="46"/>
      <c r="J43" s="47"/>
    </row>
    <row r="44" spans="1:10">
      <c r="A44" s="24" t="s">
        <v>67</v>
      </c>
      <c r="B44" s="55">
        <v>4705984191</v>
      </c>
      <c r="C44" s="55">
        <v>4980238438</v>
      </c>
      <c r="D44" s="55">
        <v>4917889687</v>
      </c>
      <c r="E44" s="45">
        <f t="shared" ref="E44:E54" si="3">C44/B44</f>
        <v>1.0582777663223986</v>
      </c>
      <c r="F44" s="45">
        <f t="shared" ref="F44:F54" si="4">D44/C44</f>
        <v>0.98748076989160416</v>
      </c>
      <c r="G44" s="46"/>
      <c r="H44" s="46"/>
      <c r="I44" s="46"/>
      <c r="J44" s="47"/>
    </row>
    <row r="45" spans="1:10">
      <c r="A45" s="24" t="s">
        <v>68</v>
      </c>
      <c r="B45" s="55">
        <v>5665324161</v>
      </c>
      <c r="C45" s="55">
        <v>4334249508</v>
      </c>
      <c r="D45" s="55">
        <v>4134510788</v>
      </c>
      <c r="E45" s="45">
        <f t="shared" si="3"/>
        <v>0.76504881006402137</v>
      </c>
      <c r="F45" s="45">
        <f t="shared" si="4"/>
        <v>0.95391619249622583</v>
      </c>
      <c r="G45" s="46"/>
      <c r="H45" s="46"/>
      <c r="I45" s="46"/>
      <c r="J45" s="47"/>
    </row>
    <row r="46" spans="1:10">
      <c r="A46" s="24" t="s">
        <v>69</v>
      </c>
      <c r="B46" s="55">
        <v>4921076452</v>
      </c>
      <c r="C46" s="55">
        <v>5914788846</v>
      </c>
      <c r="D46" s="55">
        <v>5925626447</v>
      </c>
      <c r="E46" s="45">
        <f t="shared" si="3"/>
        <v>1.2019298833685341</v>
      </c>
      <c r="F46" s="45">
        <f t="shared" si="4"/>
        <v>1.0018322887396613</v>
      </c>
      <c r="G46" s="46"/>
      <c r="H46" s="46"/>
      <c r="I46" s="46"/>
      <c r="J46" s="47"/>
    </row>
    <row r="47" spans="1:10">
      <c r="A47" s="24" t="s">
        <v>70</v>
      </c>
      <c r="B47" s="55">
        <v>4786781359</v>
      </c>
      <c r="C47" s="55">
        <v>4803112677</v>
      </c>
      <c r="D47" s="55">
        <v>5043198902</v>
      </c>
      <c r="E47" s="45">
        <f t="shared" si="3"/>
        <v>1.0034117534884468</v>
      </c>
      <c r="F47" s="45">
        <f t="shared" si="4"/>
        <v>1.0499855491938941</v>
      </c>
      <c r="G47" s="46"/>
      <c r="H47" s="46"/>
      <c r="I47" s="46"/>
      <c r="J47" s="47"/>
    </row>
    <row r="48" spans="1:10">
      <c r="A48" s="24" t="s">
        <v>71</v>
      </c>
      <c r="B48" s="55"/>
      <c r="C48" s="55"/>
      <c r="D48" s="55"/>
      <c r="E48" s="45" t="e">
        <f t="shared" si="3"/>
        <v>#DIV/0!</v>
      </c>
      <c r="F48" s="45" t="e">
        <f t="shared" si="4"/>
        <v>#DIV/0!</v>
      </c>
      <c r="G48" s="46"/>
      <c r="H48" s="78"/>
      <c r="I48" s="46"/>
      <c r="J48" s="47"/>
    </row>
    <row r="49" spans="1:12">
      <c r="A49" s="24" t="s">
        <v>72</v>
      </c>
      <c r="B49" s="55"/>
      <c r="C49" s="55"/>
      <c r="D49" s="55"/>
      <c r="E49" s="45" t="e">
        <f t="shared" si="3"/>
        <v>#DIV/0!</v>
      </c>
      <c r="F49" s="45" t="e">
        <f t="shared" si="4"/>
        <v>#DIV/0!</v>
      </c>
      <c r="G49" s="46"/>
      <c r="H49" s="46"/>
      <c r="I49" s="46"/>
      <c r="J49" s="47"/>
      <c r="L49" s="77"/>
    </row>
    <row r="50" spans="1:12">
      <c r="A50" s="24" t="s">
        <v>73</v>
      </c>
      <c r="B50" s="55"/>
      <c r="C50" s="55"/>
      <c r="D50" s="55"/>
      <c r="E50" s="45" t="e">
        <f>C50/B50</f>
        <v>#DIV/0!</v>
      </c>
      <c r="F50" s="45" t="e">
        <f t="shared" si="4"/>
        <v>#DIV/0!</v>
      </c>
      <c r="G50" s="46"/>
      <c r="H50" s="46"/>
      <c r="I50" s="46"/>
      <c r="J50" s="47"/>
      <c r="L50" s="77"/>
    </row>
    <row r="51" spans="1:12">
      <c r="A51" s="24" t="s">
        <v>74</v>
      </c>
      <c r="B51" s="55"/>
      <c r="C51" s="55"/>
      <c r="D51" s="55"/>
      <c r="E51" s="45" t="e">
        <f t="shared" si="3"/>
        <v>#DIV/0!</v>
      </c>
      <c r="F51" s="45" t="e">
        <f t="shared" si="4"/>
        <v>#DIV/0!</v>
      </c>
      <c r="G51" s="46"/>
      <c r="H51" s="46"/>
      <c r="I51" s="46"/>
      <c r="J51" s="47"/>
    </row>
    <row r="52" spans="1:12">
      <c r="A52" s="24" t="s">
        <v>75</v>
      </c>
      <c r="B52" s="55"/>
      <c r="C52" s="123"/>
      <c r="D52" s="123"/>
      <c r="E52" s="45" t="e">
        <f t="shared" si="3"/>
        <v>#DIV/0!</v>
      </c>
      <c r="F52" s="45" t="e">
        <f t="shared" si="4"/>
        <v>#DIV/0!</v>
      </c>
      <c r="G52" s="46"/>
      <c r="H52" s="46"/>
      <c r="I52" s="46"/>
      <c r="J52" s="47"/>
    </row>
    <row r="53" spans="1:12">
      <c r="A53" s="24" t="s">
        <v>76</v>
      </c>
      <c r="B53" s="55"/>
      <c r="C53" s="54"/>
      <c r="D53" s="54"/>
      <c r="E53" s="45" t="e">
        <f t="shared" si="3"/>
        <v>#DIV/0!</v>
      </c>
      <c r="F53" s="45" t="e">
        <f t="shared" si="4"/>
        <v>#DIV/0!</v>
      </c>
      <c r="G53" s="46"/>
      <c r="H53" s="46"/>
      <c r="I53" s="46"/>
      <c r="J53" s="47"/>
    </row>
    <row r="54" spans="1:12">
      <c r="A54" s="24" t="s">
        <v>77</v>
      </c>
      <c r="B54" s="55"/>
      <c r="C54" s="54"/>
      <c r="D54" s="54"/>
      <c r="E54" s="45" t="e">
        <f t="shared" si="3"/>
        <v>#DIV/0!</v>
      </c>
      <c r="F54" s="45" t="e">
        <f t="shared" si="4"/>
        <v>#DIV/0!</v>
      </c>
      <c r="G54" s="30"/>
      <c r="H54" s="30"/>
      <c r="I54" s="30"/>
      <c r="J54" s="33"/>
    </row>
    <row r="55" spans="1:12">
      <c r="A55" s="49"/>
      <c r="B55" s="50"/>
      <c r="C55" s="51"/>
      <c r="D55" s="52"/>
      <c r="E55" s="48"/>
      <c r="F55" s="48"/>
      <c r="G55" s="30"/>
      <c r="H55" s="30"/>
      <c r="I55" s="30"/>
      <c r="J55" s="33"/>
    </row>
    <row r="56" spans="1:12">
      <c r="A56" s="49"/>
      <c r="B56" s="50"/>
      <c r="C56" s="51"/>
      <c r="D56" s="52"/>
      <c r="E56" s="48"/>
      <c r="F56" s="48"/>
      <c r="G56" s="30"/>
      <c r="H56" s="30"/>
      <c r="I56" s="30"/>
      <c r="J56" s="33"/>
    </row>
    <row r="57" spans="1:12">
      <c r="A57" s="49"/>
      <c r="B57" s="50"/>
      <c r="C57" s="51"/>
      <c r="D57" s="52"/>
      <c r="E57" s="48"/>
      <c r="F57" s="48"/>
      <c r="G57" s="30"/>
      <c r="H57" s="30"/>
      <c r="I57" s="30"/>
      <c r="J57" s="33"/>
    </row>
    <row r="58" spans="1:12">
      <c r="A58" s="49"/>
      <c r="B58" s="50"/>
      <c r="C58" s="51"/>
      <c r="D58" s="52"/>
      <c r="E58" s="48"/>
      <c r="F58" s="48"/>
      <c r="G58" s="30"/>
      <c r="H58" s="30"/>
      <c r="I58" s="30"/>
      <c r="J58" s="33"/>
    </row>
    <row r="59" spans="1:12">
      <c r="A59" s="49"/>
      <c r="B59" s="50"/>
      <c r="C59" s="51"/>
      <c r="D59" s="52"/>
      <c r="E59" s="48"/>
      <c r="F59" s="48"/>
      <c r="G59" s="30"/>
      <c r="H59" s="30"/>
      <c r="I59" s="30"/>
      <c r="J59" s="33"/>
    </row>
    <row r="60" spans="1:12">
      <c r="A60" s="49"/>
      <c r="B60" s="50"/>
      <c r="C60" s="51"/>
      <c r="D60" s="52"/>
      <c r="E60" s="48"/>
      <c r="F60" s="48"/>
      <c r="G60" s="30"/>
      <c r="H60" s="30"/>
      <c r="I60" s="30"/>
      <c r="J60" s="33"/>
    </row>
    <row r="61" spans="1:12">
      <c r="A61" s="49"/>
      <c r="B61" s="50"/>
      <c r="C61" s="51"/>
      <c r="D61" s="52"/>
      <c r="E61" s="48"/>
      <c r="F61" s="48"/>
      <c r="G61" s="30"/>
      <c r="H61" s="30"/>
      <c r="I61" s="30"/>
      <c r="J61" s="33"/>
    </row>
    <row r="62" spans="1:12">
      <c r="A62" s="49"/>
      <c r="B62" s="50"/>
      <c r="C62" s="51"/>
      <c r="D62" s="52"/>
      <c r="E62" s="48"/>
      <c r="F62" s="48"/>
      <c r="G62" s="30"/>
      <c r="H62" s="30"/>
      <c r="I62" s="30"/>
      <c r="J62" s="33"/>
    </row>
    <row r="63" spans="1:12">
      <c r="A63" s="49"/>
      <c r="B63" s="50"/>
      <c r="C63" s="51"/>
      <c r="D63" s="52"/>
      <c r="E63" s="48"/>
      <c r="F63" s="48"/>
      <c r="G63" s="30"/>
      <c r="H63" s="30"/>
      <c r="I63" s="30"/>
      <c r="J63" s="33"/>
    </row>
    <row r="64" spans="1:12">
      <c r="A64" s="49"/>
      <c r="B64" s="50"/>
      <c r="C64" s="51"/>
      <c r="D64" s="52"/>
      <c r="E64" s="48"/>
      <c r="F64" s="48"/>
      <c r="G64" s="30"/>
      <c r="H64" s="30"/>
      <c r="I64" s="30"/>
      <c r="J64" s="33"/>
    </row>
    <row r="65" spans="1:12">
      <c r="A65" s="49"/>
      <c r="B65" s="50"/>
      <c r="C65" s="51"/>
      <c r="D65" s="52"/>
      <c r="E65" s="48"/>
      <c r="F65" s="48"/>
      <c r="G65" s="30"/>
      <c r="H65" s="30"/>
      <c r="I65" s="30"/>
      <c r="J65" s="33"/>
    </row>
    <row r="66" spans="1:12">
      <c r="A66" s="49"/>
      <c r="B66" s="50"/>
      <c r="C66" s="51"/>
      <c r="D66" s="52"/>
      <c r="E66" s="48"/>
      <c r="F66" s="48"/>
      <c r="G66" s="30"/>
      <c r="H66" s="30"/>
      <c r="I66" s="30"/>
      <c r="J66" s="33"/>
    </row>
    <row r="67" spans="1:12">
      <c r="A67" s="49"/>
      <c r="B67" s="50"/>
      <c r="C67" s="51"/>
      <c r="D67" s="52"/>
      <c r="E67" s="48"/>
      <c r="F67" s="48"/>
      <c r="G67" s="30"/>
      <c r="H67" s="30"/>
      <c r="I67" s="30"/>
      <c r="J67" s="33"/>
    </row>
    <row r="68" spans="1:12">
      <c r="A68" s="49"/>
      <c r="B68" s="50"/>
      <c r="C68" s="51"/>
      <c r="D68" s="52"/>
      <c r="E68" s="48"/>
      <c r="F68" s="48"/>
      <c r="G68" s="30"/>
      <c r="H68" s="30"/>
      <c r="I68" s="30"/>
      <c r="J68" s="33"/>
    </row>
    <row r="69" spans="1:12">
      <c r="A69" s="49"/>
      <c r="B69" s="50"/>
      <c r="C69" s="51"/>
      <c r="D69" s="52"/>
      <c r="E69" s="48"/>
      <c r="F69" s="48"/>
      <c r="G69" s="30"/>
      <c r="H69" s="30"/>
      <c r="I69" s="30"/>
      <c r="J69" s="33"/>
    </row>
    <row r="70" spans="1:12">
      <c r="A70" s="49"/>
      <c r="B70" s="50"/>
      <c r="C70" s="51"/>
      <c r="D70" s="52"/>
      <c r="E70" s="48"/>
      <c r="F70" s="48"/>
      <c r="G70" s="30"/>
      <c r="H70" s="30"/>
      <c r="I70" s="30"/>
      <c r="J70" s="33"/>
    </row>
    <row r="71" spans="1:12">
      <c r="A71" s="217"/>
      <c r="B71" s="218"/>
      <c r="C71" s="218"/>
      <c r="D71" s="218"/>
      <c r="E71" s="218"/>
      <c r="F71" s="218"/>
      <c r="G71" s="218"/>
      <c r="H71" s="218"/>
      <c r="I71" s="218"/>
      <c r="J71" s="219"/>
    </row>
    <row r="72" spans="1:12">
      <c r="A72" s="31" t="s">
        <v>3</v>
      </c>
      <c r="B72" s="172" t="s">
        <v>181</v>
      </c>
      <c r="C72" s="172"/>
      <c r="D72" s="172"/>
      <c r="E72" s="172"/>
      <c r="F72" s="172"/>
      <c r="G72" s="172"/>
      <c r="H72" s="172"/>
      <c r="I72" s="172"/>
      <c r="J72" s="172"/>
    </row>
    <row r="73" spans="1:12">
      <c r="A73" s="31" t="s">
        <v>63</v>
      </c>
      <c r="B73" s="174" t="s">
        <v>177</v>
      </c>
      <c r="C73" s="174"/>
      <c r="D73" s="174"/>
      <c r="E73" s="174"/>
      <c r="F73" s="174"/>
      <c r="G73" s="174"/>
      <c r="H73" s="174"/>
      <c r="I73" s="174"/>
      <c r="J73" s="174"/>
    </row>
    <row r="74" spans="1:12" ht="45">
      <c r="A74" s="81" t="s">
        <v>65</v>
      </c>
      <c r="B74" s="80" t="s">
        <v>176</v>
      </c>
      <c r="C74" s="80" t="s">
        <v>183</v>
      </c>
      <c r="D74" s="80" t="s">
        <v>184</v>
      </c>
      <c r="E74" s="30"/>
      <c r="F74" s="30"/>
      <c r="G74" s="30"/>
      <c r="H74" s="30"/>
      <c r="I74" s="30"/>
      <c r="J74" s="33"/>
    </row>
    <row r="75" spans="1:12">
      <c r="A75" s="24" t="s">
        <v>66</v>
      </c>
      <c r="B75" s="69">
        <v>12</v>
      </c>
      <c r="C75" s="69">
        <v>1331</v>
      </c>
      <c r="D75" s="25">
        <f>B75/C75</f>
        <v>9.0157776108189328E-3</v>
      </c>
      <c r="E75" s="30"/>
      <c r="F75" s="30"/>
      <c r="G75" s="30"/>
      <c r="H75" s="30"/>
      <c r="I75" s="30"/>
      <c r="J75" s="33"/>
    </row>
    <row r="76" spans="1:12">
      <c r="A76" s="24" t="s">
        <v>67</v>
      </c>
      <c r="B76" s="69">
        <v>28</v>
      </c>
      <c r="C76" s="69">
        <v>1340</v>
      </c>
      <c r="D76" s="25">
        <f t="shared" ref="D76:D86" si="5">B76/C76</f>
        <v>2.0895522388059702E-2</v>
      </c>
      <c r="E76" s="30"/>
      <c r="F76" s="30"/>
      <c r="G76" s="30"/>
      <c r="H76" s="30"/>
      <c r="I76" s="30"/>
      <c r="J76" s="33"/>
    </row>
    <row r="77" spans="1:12">
      <c r="A77" s="24" t="s">
        <v>68</v>
      </c>
      <c r="B77" s="69">
        <v>13</v>
      </c>
      <c r="C77" s="69">
        <v>1176</v>
      </c>
      <c r="D77" s="25">
        <f>B77/C77</f>
        <v>1.1054421768707483E-2</v>
      </c>
      <c r="E77" s="30"/>
      <c r="F77" s="30"/>
      <c r="G77" s="30"/>
      <c r="H77" s="30"/>
      <c r="I77" s="30"/>
      <c r="J77" s="33"/>
    </row>
    <row r="78" spans="1:12">
      <c r="A78" s="24" t="s">
        <v>69</v>
      </c>
      <c r="B78" s="69">
        <v>32</v>
      </c>
      <c r="C78" s="69">
        <v>1547</v>
      </c>
      <c r="D78" s="25">
        <f t="shared" si="5"/>
        <v>2.068519715578539E-2</v>
      </c>
      <c r="E78" s="30"/>
      <c r="F78" s="30"/>
      <c r="G78" s="30"/>
      <c r="H78" s="30"/>
      <c r="I78" s="30"/>
      <c r="J78" s="33"/>
    </row>
    <row r="79" spans="1:12">
      <c r="A79" s="24" t="s">
        <v>70</v>
      </c>
      <c r="B79" s="69">
        <v>19</v>
      </c>
      <c r="C79" s="69">
        <v>1316</v>
      </c>
      <c r="D79" s="25">
        <f t="shared" si="5"/>
        <v>1.4437689969604863E-2</v>
      </c>
      <c r="E79" s="30"/>
      <c r="F79" s="30"/>
      <c r="G79" s="30"/>
      <c r="H79" s="30"/>
      <c r="I79" s="30"/>
      <c r="J79" s="33"/>
      <c r="L79" s="103"/>
    </row>
    <row r="80" spans="1:12">
      <c r="A80" s="24" t="s">
        <v>71</v>
      </c>
      <c r="B80" s="69"/>
      <c r="C80" s="69"/>
      <c r="D80" s="25" t="e">
        <f t="shared" si="5"/>
        <v>#DIV/0!</v>
      </c>
      <c r="E80" s="30"/>
      <c r="F80" s="30"/>
      <c r="G80" s="30"/>
      <c r="H80" s="30"/>
      <c r="I80" s="30"/>
      <c r="J80" s="33"/>
      <c r="L80" s="103"/>
    </row>
    <row r="81" spans="1:12">
      <c r="A81" s="24" t="s">
        <v>72</v>
      </c>
      <c r="B81" s="69"/>
      <c r="C81" s="69"/>
      <c r="D81" s="25" t="e">
        <f t="shared" si="5"/>
        <v>#DIV/0!</v>
      </c>
      <c r="E81" s="30"/>
      <c r="F81" s="30"/>
      <c r="G81" s="30"/>
      <c r="H81" s="30"/>
      <c r="I81" s="30"/>
      <c r="J81" s="33"/>
      <c r="L81" s="103"/>
    </row>
    <row r="82" spans="1:12">
      <c r="A82" s="24" t="s">
        <v>73</v>
      </c>
      <c r="B82" s="69"/>
      <c r="C82" s="69"/>
      <c r="D82" s="25" t="e">
        <f t="shared" si="5"/>
        <v>#DIV/0!</v>
      </c>
      <c r="E82" s="30"/>
      <c r="F82" s="30"/>
      <c r="G82" s="30"/>
      <c r="H82" s="30"/>
      <c r="I82" s="30"/>
      <c r="J82" s="33"/>
      <c r="L82" s="103"/>
    </row>
    <row r="83" spans="1:12">
      <c r="A83" s="24" t="s">
        <v>74</v>
      </c>
      <c r="B83" s="69"/>
      <c r="C83" s="69"/>
      <c r="D83" s="25" t="e">
        <f t="shared" si="5"/>
        <v>#DIV/0!</v>
      </c>
      <c r="E83" s="30"/>
      <c r="F83" s="30"/>
      <c r="G83" s="30"/>
      <c r="H83" s="30"/>
      <c r="I83" s="30"/>
      <c r="J83" s="33"/>
      <c r="L83" s="103"/>
    </row>
    <row r="84" spans="1:12">
      <c r="A84" s="24" t="s">
        <v>75</v>
      </c>
      <c r="B84" s="69"/>
      <c r="C84" s="69"/>
      <c r="D84" s="25" t="e">
        <f t="shared" si="5"/>
        <v>#DIV/0!</v>
      </c>
      <c r="E84" s="30"/>
      <c r="F84" s="30"/>
      <c r="G84" s="30"/>
      <c r="H84" s="30"/>
      <c r="I84" s="30"/>
      <c r="J84" s="33"/>
      <c r="L84" s="103"/>
    </row>
    <row r="85" spans="1:12">
      <c r="A85" s="24" t="s">
        <v>76</v>
      </c>
      <c r="B85" s="69"/>
      <c r="C85" s="69"/>
      <c r="D85" s="25" t="e">
        <f t="shared" si="5"/>
        <v>#DIV/0!</v>
      </c>
      <c r="E85" s="30"/>
      <c r="F85" s="30"/>
      <c r="G85" s="30"/>
      <c r="H85" s="30"/>
      <c r="I85" s="30"/>
      <c r="J85" s="33"/>
    </row>
    <row r="86" spans="1:12">
      <c r="A86" s="24" t="s">
        <v>77</v>
      </c>
      <c r="B86" s="69"/>
      <c r="C86" s="69"/>
      <c r="D86" s="25" t="e">
        <f t="shared" si="5"/>
        <v>#DIV/0!</v>
      </c>
      <c r="E86" s="30"/>
      <c r="F86" s="30"/>
      <c r="G86" s="30"/>
      <c r="H86" s="30"/>
      <c r="I86" s="30"/>
      <c r="J86" s="33"/>
    </row>
    <row r="87" spans="1:12">
      <c r="A87" s="217"/>
      <c r="B87" s="218"/>
      <c r="C87" s="218"/>
      <c r="D87" s="218"/>
      <c r="E87" s="218"/>
      <c r="F87" s="218"/>
      <c r="G87" s="218"/>
      <c r="H87" s="218"/>
      <c r="I87" s="218"/>
      <c r="J87" s="219"/>
    </row>
    <row r="88" spans="1:12">
      <c r="A88" s="31" t="s">
        <v>3</v>
      </c>
      <c r="B88" s="172" t="s">
        <v>182</v>
      </c>
      <c r="C88" s="172"/>
      <c r="D88" s="172"/>
      <c r="E88" s="172"/>
      <c r="F88" s="172"/>
      <c r="G88" s="172"/>
      <c r="H88" s="172"/>
      <c r="I88" s="172"/>
      <c r="J88" s="172"/>
    </row>
    <row r="89" spans="1:12">
      <c r="A89" s="31" t="s">
        <v>63</v>
      </c>
      <c r="B89" s="174" t="s">
        <v>185</v>
      </c>
      <c r="C89" s="174"/>
      <c r="D89" s="174"/>
      <c r="E89" s="174"/>
      <c r="F89" s="174"/>
      <c r="G89" s="174"/>
      <c r="H89" s="174"/>
      <c r="I89" s="174"/>
      <c r="J89" s="174"/>
    </row>
    <row r="90" spans="1:12" ht="45">
      <c r="A90" s="84" t="s">
        <v>65</v>
      </c>
      <c r="B90" s="83" t="s">
        <v>187</v>
      </c>
      <c r="C90" s="83" t="s">
        <v>183</v>
      </c>
      <c r="D90" s="83" t="s">
        <v>188</v>
      </c>
      <c r="E90" s="30"/>
      <c r="F90" s="30"/>
      <c r="G90" s="30"/>
      <c r="H90" s="30"/>
      <c r="I90" s="30"/>
      <c r="J90" s="33"/>
    </row>
    <row r="91" spans="1:12">
      <c r="A91" s="24" t="s">
        <v>66</v>
      </c>
      <c r="B91" s="232">
        <v>0</v>
      </c>
      <c r="C91" s="69">
        <v>1331</v>
      </c>
      <c r="D91" s="25">
        <f>B91/C91</f>
        <v>0</v>
      </c>
      <c r="E91" s="30"/>
      <c r="F91" s="30"/>
      <c r="G91" s="30"/>
      <c r="H91" s="30"/>
      <c r="I91" s="30"/>
      <c r="J91" s="33"/>
    </row>
    <row r="92" spans="1:12">
      <c r="A92" s="24" t="s">
        <v>67</v>
      </c>
      <c r="B92" s="232">
        <v>0</v>
      </c>
      <c r="C92" s="69">
        <v>1340</v>
      </c>
      <c r="D92" s="25">
        <f>B92/C92</f>
        <v>0</v>
      </c>
      <c r="E92" s="30"/>
      <c r="F92" s="30"/>
      <c r="G92" s="30"/>
      <c r="H92" s="30"/>
      <c r="I92" s="30"/>
      <c r="J92" s="33"/>
    </row>
    <row r="93" spans="1:12">
      <c r="A93" s="24" t="s">
        <v>68</v>
      </c>
      <c r="B93" s="232">
        <v>0</v>
      </c>
      <c r="C93" s="69">
        <v>1176</v>
      </c>
      <c r="D93" s="25">
        <f t="shared" ref="D93:D102" si="6">B93/C93</f>
        <v>0</v>
      </c>
      <c r="E93" s="30"/>
      <c r="F93" s="30"/>
      <c r="G93" s="30"/>
      <c r="H93" s="30"/>
      <c r="I93" s="30"/>
      <c r="J93" s="33"/>
    </row>
    <row r="94" spans="1:12">
      <c r="A94" s="24" t="s">
        <v>69</v>
      </c>
      <c r="B94" s="232">
        <v>0</v>
      </c>
      <c r="C94" s="69">
        <v>1547</v>
      </c>
      <c r="D94" s="25">
        <f t="shared" si="6"/>
        <v>0</v>
      </c>
      <c r="E94" s="30"/>
      <c r="F94" s="30"/>
      <c r="G94" s="30"/>
      <c r="H94" s="30"/>
      <c r="I94" s="30"/>
      <c r="J94" s="33"/>
    </row>
    <row r="95" spans="1:12">
      <c r="A95" s="24" t="s">
        <v>70</v>
      </c>
      <c r="B95" s="232">
        <v>0</v>
      </c>
      <c r="C95" s="69">
        <v>1316</v>
      </c>
      <c r="D95" s="25">
        <f t="shared" si="6"/>
        <v>0</v>
      </c>
      <c r="E95" s="30"/>
      <c r="F95" s="30"/>
      <c r="G95" s="30"/>
      <c r="H95" s="30"/>
      <c r="I95" s="30"/>
      <c r="J95" s="33"/>
    </row>
    <row r="96" spans="1:12">
      <c r="A96" s="24" t="s">
        <v>71</v>
      </c>
      <c r="B96" s="232"/>
      <c r="C96" s="69"/>
      <c r="D96" s="25" t="e">
        <f t="shared" si="6"/>
        <v>#DIV/0!</v>
      </c>
      <c r="E96" s="30"/>
      <c r="F96" s="30"/>
      <c r="G96" s="30"/>
      <c r="H96" s="30"/>
      <c r="I96" s="30"/>
      <c r="J96" s="33"/>
    </row>
    <row r="97" spans="1:10">
      <c r="A97" s="24" t="s">
        <v>72</v>
      </c>
      <c r="B97" s="232"/>
      <c r="C97" s="69"/>
      <c r="D97" s="25" t="e">
        <f t="shared" si="6"/>
        <v>#DIV/0!</v>
      </c>
      <c r="E97" s="30"/>
      <c r="F97" s="30"/>
      <c r="G97" s="30"/>
      <c r="H97" s="30"/>
      <c r="I97" s="30"/>
      <c r="J97" s="33"/>
    </row>
    <row r="98" spans="1:10">
      <c r="A98" s="24" t="s">
        <v>73</v>
      </c>
      <c r="B98" s="232"/>
      <c r="C98" s="69"/>
      <c r="D98" s="25" t="e">
        <f t="shared" si="6"/>
        <v>#DIV/0!</v>
      </c>
      <c r="E98" s="30"/>
      <c r="F98" s="30"/>
      <c r="G98" s="30"/>
      <c r="H98" s="30"/>
      <c r="I98" s="30"/>
      <c r="J98" s="33"/>
    </row>
    <row r="99" spans="1:10">
      <c r="A99" s="24" t="s">
        <v>74</v>
      </c>
      <c r="B99" s="232"/>
      <c r="C99" s="69"/>
      <c r="D99" s="25" t="e">
        <f t="shared" si="6"/>
        <v>#DIV/0!</v>
      </c>
      <c r="E99" s="30"/>
      <c r="F99" s="30"/>
      <c r="G99" s="30"/>
      <c r="H99" s="30"/>
      <c r="I99" s="30"/>
      <c r="J99" s="33"/>
    </row>
    <row r="100" spans="1:10">
      <c r="A100" s="24" t="s">
        <v>75</v>
      </c>
      <c r="B100" s="232"/>
      <c r="C100" s="69"/>
      <c r="D100" s="25" t="e">
        <f t="shared" si="6"/>
        <v>#DIV/0!</v>
      </c>
      <c r="E100" s="30"/>
      <c r="F100" s="30"/>
      <c r="G100" s="30"/>
      <c r="H100" s="30"/>
      <c r="I100" s="30"/>
      <c r="J100" s="33"/>
    </row>
    <row r="101" spans="1:10">
      <c r="A101" s="24" t="s">
        <v>76</v>
      </c>
      <c r="B101" s="232"/>
      <c r="C101" s="69"/>
      <c r="D101" s="25" t="e">
        <f t="shared" si="6"/>
        <v>#DIV/0!</v>
      </c>
      <c r="E101" s="30"/>
      <c r="F101" s="30"/>
      <c r="G101" s="30"/>
      <c r="H101" s="30"/>
      <c r="I101" s="30"/>
      <c r="J101" s="33"/>
    </row>
    <row r="102" spans="1:10">
      <c r="A102" s="24" t="s">
        <v>77</v>
      </c>
      <c r="B102" s="232"/>
      <c r="C102" s="69"/>
      <c r="D102" s="25" t="e">
        <f t="shared" si="6"/>
        <v>#DIV/0!</v>
      </c>
      <c r="E102" s="30"/>
      <c r="F102" s="30"/>
      <c r="G102" s="30"/>
      <c r="H102" s="30"/>
      <c r="I102" s="30"/>
      <c r="J102" s="33"/>
    </row>
    <row r="103" spans="1:10">
      <c r="A103" s="31" t="s">
        <v>3</v>
      </c>
      <c r="B103" s="172" t="s">
        <v>231</v>
      </c>
      <c r="C103" s="172"/>
      <c r="D103" s="172"/>
      <c r="E103" s="172"/>
      <c r="F103" s="172"/>
      <c r="G103" s="172"/>
      <c r="H103" s="172"/>
      <c r="I103" s="172"/>
      <c r="J103" s="172"/>
    </row>
    <row r="104" spans="1:10">
      <c r="A104" s="31" t="s">
        <v>63</v>
      </c>
      <c r="B104" s="174" t="s">
        <v>232</v>
      </c>
      <c r="C104" s="174"/>
      <c r="D104" s="174"/>
      <c r="E104" s="174"/>
      <c r="F104" s="174"/>
      <c r="G104" s="174"/>
      <c r="H104" s="174"/>
      <c r="I104" s="174"/>
      <c r="J104" s="174"/>
    </row>
    <row r="105" spans="1:10" ht="30">
      <c r="A105" s="122" t="s">
        <v>65</v>
      </c>
      <c r="B105" s="121" t="s">
        <v>233</v>
      </c>
      <c r="C105" s="121" t="s">
        <v>234</v>
      </c>
      <c r="D105" s="121" t="s">
        <v>235</v>
      </c>
      <c r="E105" s="30"/>
      <c r="F105" s="30"/>
      <c r="G105" s="30"/>
      <c r="H105" s="30"/>
      <c r="I105" s="30"/>
      <c r="J105" s="33"/>
    </row>
    <row r="106" spans="1:10">
      <c r="A106" s="24" t="s">
        <v>66</v>
      </c>
      <c r="B106" s="69"/>
      <c r="C106" s="69"/>
      <c r="D106" s="25" t="e">
        <f>B106/C106</f>
        <v>#DIV/0!</v>
      </c>
      <c r="E106" s="30"/>
      <c r="F106" s="30"/>
      <c r="G106" s="30"/>
      <c r="H106" s="30"/>
      <c r="I106" s="30"/>
      <c r="J106" s="33"/>
    </row>
    <row r="107" spans="1:10">
      <c r="A107" s="24" t="s">
        <v>67</v>
      </c>
      <c r="B107" s="69"/>
      <c r="C107" s="69"/>
      <c r="D107" s="25" t="e">
        <f t="shared" ref="D107:D117" si="7">B107/C107</f>
        <v>#DIV/0!</v>
      </c>
      <c r="E107" s="30"/>
      <c r="F107" s="30"/>
      <c r="G107" s="30"/>
      <c r="H107" s="30"/>
      <c r="I107" s="30"/>
      <c r="J107" s="33"/>
    </row>
    <row r="108" spans="1:10">
      <c r="A108" s="24" t="s">
        <v>68</v>
      </c>
      <c r="B108" s="69"/>
      <c r="C108" s="69"/>
      <c r="D108" s="25" t="e">
        <f t="shared" si="7"/>
        <v>#DIV/0!</v>
      </c>
      <c r="E108" s="30"/>
      <c r="F108" s="30"/>
      <c r="G108" s="30"/>
      <c r="H108" s="30"/>
      <c r="I108" s="30"/>
      <c r="J108" s="33"/>
    </row>
    <row r="109" spans="1:10">
      <c r="A109" s="24" t="s">
        <v>69</v>
      </c>
      <c r="B109" s="69"/>
      <c r="C109" s="69"/>
      <c r="D109" s="25" t="e">
        <f t="shared" si="7"/>
        <v>#DIV/0!</v>
      </c>
      <c r="E109" s="30"/>
      <c r="F109" s="30"/>
      <c r="G109" s="30"/>
      <c r="H109" s="30"/>
      <c r="I109" s="30"/>
      <c r="J109" s="33"/>
    </row>
    <row r="110" spans="1:10">
      <c r="A110" s="24" t="s">
        <v>70</v>
      </c>
      <c r="B110" s="69"/>
      <c r="C110" s="69"/>
      <c r="D110" s="25" t="e">
        <f t="shared" si="7"/>
        <v>#DIV/0!</v>
      </c>
      <c r="E110" s="30"/>
      <c r="F110" s="30"/>
      <c r="G110" s="30"/>
      <c r="H110" s="30"/>
      <c r="I110" s="30"/>
      <c r="J110" s="33"/>
    </row>
    <row r="111" spans="1:10">
      <c r="A111" s="24" t="s">
        <v>71</v>
      </c>
      <c r="B111" s="69"/>
      <c r="C111" s="69"/>
      <c r="D111" s="25" t="e">
        <f t="shared" si="7"/>
        <v>#DIV/0!</v>
      </c>
      <c r="E111" s="30"/>
      <c r="F111" s="30"/>
      <c r="G111" s="30"/>
      <c r="H111" s="30"/>
      <c r="I111" s="30"/>
      <c r="J111" s="33"/>
    </row>
    <row r="112" spans="1:10">
      <c r="A112" s="24" t="s">
        <v>72</v>
      </c>
      <c r="B112" s="69"/>
      <c r="C112" s="69"/>
      <c r="D112" s="25" t="e">
        <f t="shared" si="7"/>
        <v>#DIV/0!</v>
      </c>
      <c r="E112" s="30"/>
      <c r="F112" s="30"/>
      <c r="G112" s="30"/>
      <c r="H112" s="30"/>
      <c r="I112" s="30"/>
      <c r="J112" s="33"/>
    </row>
    <row r="113" spans="1:10">
      <c r="A113" s="24" t="s">
        <v>73</v>
      </c>
      <c r="B113" s="69"/>
      <c r="C113" s="69"/>
      <c r="D113" s="25" t="e">
        <f t="shared" si="7"/>
        <v>#DIV/0!</v>
      </c>
      <c r="E113" s="30"/>
      <c r="F113" s="30"/>
      <c r="G113" s="30"/>
      <c r="H113" s="30"/>
      <c r="I113" s="30"/>
      <c r="J113" s="33"/>
    </row>
    <row r="114" spans="1:10">
      <c r="A114" s="24" t="s">
        <v>74</v>
      </c>
      <c r="B114" s="69"/>
      <c r="C114" s="69"/>
      <c r="D114" s="25" t="e">
        <f t="shared" si="7"/>
        <v>#DIV/0!</v>
      </c>
      <c r="E114" s="30"/>
      <c r="F114" s="30"/>
      <c r="G114" s="30"/>
      <c r="H114" s="30"/>
      <c r="I114" s="30"/>
      <c r="J114" s="33"/>
    </row>
    <row r="115" spans="1:10">
      <c r="A115" s="24" t="s">
        <v>75</v>
      </c>
      <c r="B115" s="69"/>
      <c r="C115" s="69"/>
      <c r="D115" s="25" t="e">
        <f t="shared" si="7"/>
        <v>#DIV/0!</v>
      </c>
      <c r="E115" s="30"/>
      <c r="F115" s="30"/>
      <c r="G115" s="30"/>
      <c r="H115" s="30"/>
      <c r="I115" s="30"/>
      <c r="J115" s="33"/>
    </row>
    <row r="116" spans="1:10">
      <c r="A116" s="24" t="s">
        <v>76</v>
      </c>
      <c r="B116" s="69"/>
      <c r="C116" s="69"/>
      <c r="D116" s="25" t="e">
        <f t="shared" si="7"/>
        <v>#DIV/0!</v>
      </c>
      <c r="E116" s="30"/>
      <c r="F116" s="30"/>
      <c r="G116" s="30"/>
      <c r="H116" s="30"/>
      <c r="I116" s="30"/>
      <c r="J116" s="33"/>
    </row>
    <row r="117" spans="1:10">
      <c r="A117" s="24" t="s">
        <v>77</v>
      </c>
      <c r="B117" s="69"/>
      <c r="C117" s="69"/>
      <c r="D117" s="25" t="e">
        <f t="shared" si="7"/>
        <v>#DIV/0!</v>
      </c>
      <c r="E117" s="30"/>
      <c r="F117" s="30"/>
      <c r="G117" s="30"/>
      <c r="H117" s="30"/>
      <c r="I117" s="30"/>
      <c r="J117" s="33"/>
    </row>
    <row r="118" spans="1:10">
      <c r="A118" s="217"/>
      <c r="B118" s="218"/>
      <c r="C118" s="218"/>
      <c r="D118" s="218"/>
      <c r="E118" s="218"/>
      <c r="F118" s="218"/>
      <c r="G118" s="218"/>
      <c r="H118" s="218"/>
      <c r="I118" s="218"/>
      <c r="J118" s="219"/>
    </row>
    <row r="119" spans="1:10">
      <c r="A119" s="31" t="s">
        <v>3</v>
      </c>
      <c r="B119" s="172" t="s">
        <v>182</v>
      </c>
      <c r="C119" s="172"/>
      <c r="D119" s="172"/>
      <c r="E119" s="172"/>
      <c r="F119" s="172"/>
      <c r="G119" s="172"/>
      <c r="H119" s="172"/>
      <c r="I119" s="172"/>
      <c r="J119" s="172"/>
    </row>
    <row r="120" spans="1:10">
      <c r="A120" s="31" t="s">
        <v>63</v>
      </c>
      <c r="B120" s="174" t="s">
        <v>185</v>
      </c>
      <c r="C120" s="174"/>
      <c r="D120" s="174"/>
      <c r="E120" s="174"/>
      <c r="F120" s="174"/>
      <c r="G120" s="174"/>
      <c r="H120" s="174"/>
      <c r="I120" s="174"/>
      <c r="J120" s="174"/>
    </row>
    <row r="121" spans="1:10" ht="15.75">
      <c r="A121" s="93" t="s">
        <v>236</v>
      </c>
      <c r="B121" s="35"/>
      <c r="C121" s="35"/>
      <c r="D121" s="35"/>
      <c r="E121" s="35"/>
      <c r="F121" s="35"/>
      <c r="G121" s="35"/>
      <c r="H121" s="35"/>
      <c r="I121" s="35"/>
      <c r="J121" s="36"/>
    </row>
  </sheetData>
  <mergeCells count="29">
    <mergeCell ref="B103:J103"/>
    <mergeCell ref="B104:J104"/>
    <mergeCell ref="A118:J118"/>
    <mergeCell ref="B119:J119"/>
    <mergeCell ref="B120:J120"/>
    <mergeCell ref="B72:J72"/>
    <mergeCell ref="B73:J73"/>
    <mergeCell ref="A71:J71"/>
    <mergeCell ref="A4:B5"/>
    <mergeCell ref="C4:J5"/>
    <mergeCell ref="A6:B6"/>
    <mergeCell ref="C6:J6"/>
    <mergeCell ref="B9:J9"/>
    <mergeCell ref="A87:J87"/>
    <mergeCell ref="B88:J88"/>
    <mergeCell ref="B89:J89"/>
    <mergeCell ref="N3:S3"/>
    <mergeCell ref="A1:B3"/>
    <mergeCell ref="C1:H3"/>
    <mergeCell ref="I1:J1"/>
    <mergeCell ref="I2:J2"/>
    <mergeCell ref="I3:J3"/>
    <mergeCell ref="B40:J40"/>
    <mergeCell ref="B41:J41"/>
    <mergeCell ref="A39:J39"/>
    <mergeCell ref="B25:J25"/>
    <mergeCell ref="B8:J8"/>
    <mergeCell ref="A23:J23"/>
    <mergeCell ref="B24:J24"/>
  </mergeCells>
  <pageMargins left="0.7" right="0.7" top="0.75" bottom="0.75" header="0.3" footer="0.3"/>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5"/>
  <sheetViews>
    <sheetView topLeftCell="A7" zoomScale="90" zoomScaleNormal="90" workbookViewId="0">
      <selection activeCell="B16" sqref="B16"/>
    </sheetView>
  </sheetViews>
  <sheetFormatPr baseColWidth="10" defaultRowHeight="15"/>
  <cols>
    <col min="1" max="1" width="12.28515625" customWidth="1"/>
    <col min="2" max="5" width="14.5703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122</v>
      </c>
      <c r="J3" s="177"/>
      <c r="N3" s="167"/>
      <c r="O3" s="167"/>
      <c r="P3" s="167"/>
      <c r="Q3" s="167"/>
      <c r="R3" s="167"/>
      <c r="S3" s="167"/>
    </row>
    <row r="4" spans="1:19" ht="15" customHeight="1">
      <c r="A4" s="199" t="s">
        <v>62</v>
      </c>
      <c r="B4" s="199"/>
      <c r="C4" s="223" t="s">
        <v>113</v>
      </c>
      <c r="D4" s="223"/>
      <c r="E4" s="223"/>
      <c r="F4" s="223"/>
      <c r="G4" s="223"/>
      <c r="H4" s="223"/>
      <c r="I4" s="223"/>
      <c r="J4" s="223"/>
      <c r="N4" s="30"/>
      <c r="O4" s="30"/>
      <c r="P4" s="30"/>
      <c r="Q4" s="30"/>
      <c r="R4" s="30"/>
      <c r="S4" s="30"/>
    </row>
    <row r="5" spans="1:19">
      <c r="A5" s="199"/>
      <c r="B5" s="199"/>
      <c r="C5" s="223"/>
      <c r="D5" s="223"/>
      <c r="E5" s="223"/>
      <c r="F5" s="223"/>
      <c r="G5" s="223"/>
      <c r="H5" s="223"/>
      <c r="I5" s="223"/>
      <c r="J5" s="223"/>
      <c r="N5" s="30"/>
      <c r="O5" s="30"/>
      <c r="P5" s="30"/>
      <c r="Q5" s="30"/>
      <c r="R5" s="30"/>
      <c r="S5" s="30"/>
    </row>
    <row r="6" spans="1:19" ht="43.5" customHeight="1">
      <c r="A6" s="199" t="s">
        <v>210</v>
      </c>
      <c r="B6" s="199"/>
      <c r="C6" s="223" t="s">
        <v>216</v>
      </c>
      <c r="D6" s="223"/>
      <c r="E6" s="223"/>
      <c r="F6" s="223"/>
      <c r="G6" s="223"/>
      <c r="H6" s="223"/>
      <c r="I6" s="223"/>
      <c r="J6" s="223"/>
      <c r="N6" s="30"/>
      <c r="O6" s="30"/>
      <c r="P6" s="30"/>
      <c r="Q6" s="30"/>
      <c r="R6" s="30"/>
      <c r="S6" s="30"/>
    </row>
    <row r="7" spans="1:19">
      <c r="A7" s="26"/>
      <c r="B7" s="27"/>
      <c r="C7" s="27"/>
      <c r="D7" s="27"/>
      <c r="E7" s="27"/>
      <c r="F7" s="27"/>
      <c r="G7" s="28"/>
      <c r="H7" s="28"/>
      <c r="I7" s="28"/>
      <c r="J7" s="28"/>
      <c r="N7" s="30"/>
      <c r="O7" s="30"/>
      <c r="P7" s="30"/>
      <c r="Q7" s="30"/>
      <c r="R7" s="30"/>
      <c r="S7" s="30"/>
    </row>
    <row r="8" spans="1:19" ht="15" customHeight="1">
      <c r="A8" s="31" t="s">
        <v>3</v>
      </c>
      <c r="B8" s="172" t="s">
        <v>13</v>
      </c>
      <c r="C8" s="172"/>
      <c r="D8" s="172"/>
      <c r="E8" s="172"/>
      <c r="F8" s="172"/>
      <c r="G8" s="172"/>
      <c r="H8" s="172"/>
      <c r="I8" s="172"/>
      <c r="J8" s="172"/>
    </row>
    <row r="9" spans="1:19">
      <c r="A9" s="31" t="s">
        <v>63</v>
      </c>
      <c r="B9" s="174" t="s">
        <v>114</v>
      </c>
      <c r="C9" s="174"/>
      <c r="D9" s="174"/>
      <c r="E9" s="174"/>
      <c r="F9" s="174"/>
      <c r="G9" s="174"/>
      <c r="H9" s="174"/>
      <c r="I9" s="174"/>
      <c r="J9" s="174"/>
    </row>
    <row r="10" spans="1:19" ht="58.5" customHeight="1">
      <c r="A10" s="2" t="s">
        <v>65</v>
      </c>
      <c r="B10" s="3" t="s">
        <v>115</v>
      </c>
      <c r="C10" s="3" t="s">
        <v>116</v>
      </c>
      <c r="D10" s="3" t="s">
        <v>64</v>
      </c>
      <c r="E10" s="30"/>
      <c r="F10" s="30"/>
      <c r="G10" s="30"/>
      <c r="H10" s="30"/>
      <c r="I10" s="30"/>
      <c r="J10" s="33"/>
    </row>
    <row r="11" spans="1:19">
      <c r="A11" s="24" t="s">
        <v>66</v>
      </c>
      <c r="B11" s="23">
        <v>0</v>
      </c>
      <c r="C11" s="23">
        <v>1</v>
      </c>
      <c r="D11" s="25">
        <f>B11/C11</f>
        <v>0</v>
      </c>
      <c r="E11" s="30"/>
      <c r="F11" s="30"/>
      <c r="G11" s="30"/>
      <c r="H11" s="30"/>
      <c r="I11" s="30"/>
      <c r="J11" s="33"/>
    </row>
    <row r="12" spans="1:19">
      <c r="A12" s="24" t="s">
        <v>67</v>
      </c>
      <c r="B12" s="23">
        <v>3</v>
      </c>
      <c r="C12" s="23">
        <v>4</v>
      </c>
      <c r="D12" s="25">
        <f t="shared" ref="D12:D22" si="0">B12/C12</f>
        <v>0.75</v>
      </c>
      <c r="E12" s="30"/>
      <c r="F12" s="30"/>
      <c r="G12" s="30"/>
      <c r="H12" s="30"/>
      <c r="I12" s="30"/>
      <c r="J12" s="33"/>
    </row>
    <row r="13" spans="1:19">
      <c r="A13" s="24" t="s">
        <v>68</v>
      </c>
      <c r="B13" s="23">
        <v>4</v>
      </c>
      <c r="C13" s="23">
        <v>5</v>
      </c>
      <c r="D13" s="25">
        <f t="shared" si="0"/>
        <v>0.8</v>
      </c>
      <c r="E13" s="30"/>
      <c r="F13" s="30"/>
      <c r="G13" s="30"/>
      <c r="H13" s="30"/>
      <c r="I13" s="30"/>
      <c r="J13" s="33"/>
    </row>
    <row r="14" spans="1:19">
      <c r="A14" s="24" t="s">
        <v>69</v>
      </c>
      <c r="B14" s="23">
        <v>4</v>
      </c>
      <c r="C14" s="23">
        <v>8</v>
      </c>
      <c r="D14" s="25">
        <f t="shared" si="0"/>
        <v>0.5</v>
      </c>
      <c r="E14" s="30"/>
      <c r="F14" s="30"/>
      <c r="G14" s="30"/>
      <c r="H14" s="30"/>
      <c r="I14" s="30"/>
      <c r="J14" s="33"/>
    </row>
    <row r="15" spans="1:19">
      <c r="A15" s="24" t="s">
        <v>70</v>
      </c>
      <c r="B15" s="23"/>
      <c r="C15" s="23"/>
      <c r="D15" s="25" t="e">
        <f t="shared" si="0"/>
        <v>#DIV/0!</v>
      </c>
      <c r="E15" s="30"/>
      <c r="F15" s="30"/>
      <c r="G15" s="30"/>
      <c r="H15" s="30"/>
      <c r="I15" s="30"/>
      <c r="J15" s="33"/>
    </row>
    <row r="16" spans="1:19">
      <c r="A16" s="24" t="s">
        <v>71</v>
      </c>
      <c r="B16" s="23"/>
      <c r="C16" s="23"/>
      <c r="D16" s="25" t="e">
        <f t="shared" si="0"/>
        <v>#DIV/0!</v>
      </c>
      <c r="E16" s="30"/>
      <c r="F16" s="30"/>
      <c r="G16" s="30"/>
      <c r="H16" s="30"/>
      <c r="I16" s="30"/>
      <c r="J16" s="33"/>
    </row>
    <row r="17" spans="1:10">
      <c r="A17" s="24" t="s">
        <v>72</v>
      </c>
      <c r="B17" s="23"/>
      <c r="C17" s="23"/>
      <c r="D17" s="25" t="e">
        <f t="shared" si="0"/>
        <v>#DIV/0!</v>
      </c>
      <c r="E17" s="30"/>
      <c r="F17" s="30"/>
      <c r="G17" s="30"/>
      <c r="H17" s="30"/>
      <c r="I17" s="30"/>
      <c r="J17" s="33"/>
    </row>
    <row r="18" spans="1:10">
      <c r="A18" s="24" t="s">
        <v>73</v>
      </c>
      <c r="B18" s="23"/>
      <c r="C18" s="23"/>
      <c r="D18" s="25" t="e">
        <f t="shared" si="0"/>
        <v>#DIV/0!</v>
      </c>
      <c r="E18" s="30"/>
      <c r="F18" s="30"/>
      <c r="G18" s="30"/>
      <c r="H18" s="30"/>
      <c r="I18" s="30"/>
      <c r="J18" s="33"/>
    </row>
    <row r="19" spans="1:10">
      <c r="A19" s="24" t="s">
        <v>74</v>
      </c>
      <c r="B19" s="23"/>
      <c r="C19" s="23"/>
      <c r="D19" s="25" t="e">
        <f t="shared" si="0"/>
        <v>#DIV/0!</v>
      </c>
      <c r="E19" s="30"/>
      <c r="F19" s="30"/>
      <c r="G19" s="30"/>
      <c r="H19" s="30"/>
      <c r="I19" s="30"/>
      <c r="J19" s="33"/>
    </row>
    <row r="20" spans="1:10">
      <c r="A20" s="24" t="s">
        <v>75</v>
      </c>
      <c r="B20" s="130"/>
      <c r="C20" s="130"/>
      <c r="D20" s="25" t="e">
        <f t="shared" si="0"/>
        <v>#DIV/0!</v>
      </c>
      <c r="E20" s="30"/>
      <c r="F20" s="30"/>
      <c r="G20" s="30"/>
      <c r="H20" s="30"/>
      <c r="I20" s="30"/>
      <c r="J20" s="33"/>
    </row>
    <row r="21" spans="1:10">
      <c r="A21" s="24" t="s">
        <v>76</v>
      </c>
      <c r="B21" s="23"/>
      <c r="C21" s="23"/>
      <c r="D21" s="25" t="e">
        <f t="shared" si="0"/>
        <v>#DIV/0!</v>
      </c>
      <c r="E21" s="30"/>
      <c r="F21" s="30"/>
      <c r="G21" s="30"/>
      <c r="H21" s="30"/>
      <c r="I21" s="30"/>
      <c r="J21" s="33"/>
    </row>
    <row r="22" spans="1:10">
      <c r="A22" s="24" t="s">
        <v>77</v>
      </c>
      <c r="B22" s="23"/>
      <c r="C22" s="23"/>
      <c r="D22" s="25" t="e">
        <f t="shared" si="0"/>
        <v>#DIV/0!</v>
      </c>
      <c r="E22" s="30"/>
      <c r="F22" s="30"/>
      <c r="G22" s="30"/>
      <c r="H22" s="30"/>
      <c r="I22" s="30"/>
      <c r="J22" s="33"/>
    </row>
    <row r="23" spans="1:10">
      <c r="A23" s="21"/>
      <c r="B23" s="63">
        <f>SUM(B11:B22)/41</f>
        <v>0.26829268292682928</v>
      </c>
      <c r="C23" s="63">
        <f>SUM(C11:C22)/41</f>
        <v>0.43902439024390244</v>
      </c>
      <c r="D23" s="30"/>
      <c r="E23" s="30"/>
      <c r="F23" s="30"/>
      <c r="G23" s="30"/>
      <c r="H23" s="30"/>
      <c r="I23" s="30"/>
      <c r="J23" s="33"/>
    </row>
    <row r="24" spans="1:10" ht="15.75">
      <c r="A24" s="34" t="s">
        <v>219</v>
      </c>
      <c r="B24" s="32"/>
      <c r="C24" s="30"/>
      <c r="D24" s="30"/>
      <c r="E24" s="30"/>
      <c r="F24" s="30"/>
      <c r="G24" s="30"/>
      <c r="H24" s="30"/>
      <c r="I24" s="30"/>
      <c r="J24" s="33"/>
    </row>
    <row r="25" spans="1:10">
      <c r="A25" s="22"/>
      <c r="B25" s="35"/>
      <c r="C25" s="35"/>
      <c r="D25" s="35"/>
      <c r="E25" s="35"/>
      <c r="F25" s="35"/>
      <c r="G25" s="35"/>
      <c r="H25" s="35"/>
      <c r="I25" s="35"/>
      <c r="J25" s="36"/>
    </row>
  </sheetData>
  <sheetProtection algorithmName="SHA-512" hashValue="BQFGaUZAxRzIsOmADPtj+FU/iJZp3oI3+hzSbGnRSQMg6VrPHAfTyvG6BgKJ8KpBJVuntTftETmBkNm/XQ9Yiw==" saltValue="4EF7ysU6e0dDo3IriVTEnw==" spinCount="100000" sheet="1" objects="1" scenarios="1"/>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5"/>
  <sheetViews>
    <sheetView topLeftCell="A7" zoomScale="90" zoomScaleNormal="90" workbookViewId="0">
      <selection activeCell="N13" sqref="N13"/>
    </sheetView>
  </sheetViews>
  <sheetFormatPr baseColWidth="10" defaultRowHeight="15"/>
  <cols>
    <col min="1" max="1" width="12.28515625" customWidth="1"/>
    <col min="2" max="3" width="14.5703125" customWidth="1"/>
    <col min="4" max="4" width="14.5703125" style="41" customWidth="1"/>
    <col min="5" max="5" width="14.5703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121</v>
      </c>
      <c r="J3" s="177"/>
      <c r="N3" s="167"/>
      <c r="O3" s="167"/>
      <c r="P3" s="167"/>
      <c r="Q3" s="167"/>
      <c r="R3" s="167"/>
      <c r="S3" s="167"/>
    </row>
    <row r="4" spans="1:19" ht="15" customHeight="1">
      <c r="A4" s="199" t="s">
        <v>62</v>
      </c>
      <c r="B4" s="199"/>
      <c r="C4" s="223" t="s">
        <v>117</v>
      </c>
      <c r="D4" s="223"/>
      <c r="E4" s="223"/>
      <c r="F4" s="223"/>
      <c r="G4" s="223"/>
      <c r="H4" s="223"/>
      <c r="I4" s="223"/>
      <c r="J4" s="223"/>
      <c r="N4" s="30"/>
      <c r="O4" s="30"/>
      <c r="P4" s="30"/>
      <c r="Q4" s="30"/>
      <c r="R4" s="30"/>
      <c r="S4" s="30"/>
    </row>
    <row r="5" spans="1:19">
      <c r="A5" s="199"/>
      <c r="B5" s="199"/>
      <c r="C5" s="223"/>
      <c r="D5" s="223"/>
      <c r="E5" s="223"/>
      <c r="F5" s="223"/>
      <c r="G5" s="223"/>
      <c r="H5" s="223"/>
      <c r="I5" s="223"/>
      <c r="J5" s="223"/>
      <c r="N5" s="30"/>
      <c r="O5" s="30"/>
      <c r="P5" s="30"/>
      <c r="Q5" s="30"/>
      <c r="R5" s="30"/>
      <c r="S5" s="30"/>
    </row>
    <row r="6" spans="1:19" ht="31.5" customHeight="1">
      <c r="A6" s="199" t="s">
        <v>210</v>
      </c>
      <c r="B6" s="199"/>
      <c r="C6" s="185" t="s">
        <v>217</v>
      </c>
      <c r="D6" s="185"/>
      <c r="E6" s="185"/>
      <c r="F6" s="185"/>
      <c r="G6" s="185"/>
      <c r="H6" s="185"/>
      <c r="I6" s="185"/>
      <c r="J6" s="185"/>
      <c r="N6" s="30"/>
      <c r="O6" s="30"/>
      <c r="P6" s="30"/>
      <c r="Q6" s="30"/>
      <c r="R6" s="30"/>
      <c r="S6" s="30"/>
    </row>
    <row r="7" spans="1:19">
      <c r="A7" s="26"/>
      <c r="B7" s="27"/>
      <c r="C7" s="27"/>
      <c r="D7" s="37"/>
      <c r="E7" s="27"/>
      <c r="F7" s="27"/>
      <c r="G7" s="28"/>
      <c r="H7" s="28"/>
      <c r="I7" s="28"/>
      <c r="J7" s="28"/>
      <c r="N7" s="30"/>
      <c r="O7" s="30"/>
      <c r="P7" s="30"/>
      <c r="Q7" s="30"/>
      <c r="R7" s="30"/>
      <c r="S7" s="30"/>
    </row>
    <row r="8" spans="1:19" ht="15" customHeight="1">
      <c r="A8" s="31" t="s">
        <v>3</v>
      </c>
      <c r="B8" s="172" t="s">
        <v>55</v>
      </c>
      <c r="C8" s="172"/>
      <c r="D8" s="172"/>
      <c r="E8" s="172"/>
      <c r="F8" s="172"/>
      <c r="G8" s="172"/>
      <c r="H8" s="172"/>
      <c r="I8" s="172"/>
      <c r="J8" s="172"/>
    </row>
    <row r="9" spans="1:19">
      <c r="A9" s="31" t="s">
        <v>63</v>
      </c>
      <c r="B9" s="174" t="s">
        <v>52</v>
      </c>
      <c r="C9" s="174"/>
      <c r="D9" s="174"/>
      <c r="E9" s="174"/>
      <c r="F9" s="174"/>
      <c r="G9" s="174"/>
      <c r="H9" s="174"/>
      <c r="I9" s="174"/>
      <c r="J9" s="174"/>
    </row>
    <row r="10" spans="1:19" ht="58.5" customHeight="1">
      <c r="A10" s="2" t="s">
        <v>65</v>
      </c>
      <c r="B10" s="3" t="s">
        <v>86</v>
      </c>
      <c r="C10" s="3" t="s">
        <v>88</v>
      </c>
      <c r="D10" s="38" t="s">
        <v>118</v>
      </c>
      <c r="E10" s="30"/>
      <c r="F10" s="30"/>
      <c r="G10" s="30"/>
      <c r="H10" s="30"/>
      <c r="I10" s="30"/>
      <c r="J10" s="33"/>
    </row>
    <row r="11" spans="1:19">
      <c r="A11" s="24" t="s">
        <v>66</v>
      </c>
      <c r="B11" s="23">
        <v>1598</v>
      </c>
      <c r="C11" s="97">
        <v>16</v>
      </c>
      <c r="D11" s="79">
        <f>B11/C11</f>
        <v>99.875</v>
      </c>
      <c r="E11" s="30"/>
      <c r="F11" s="30"/>
      <c r="G11" s="30"/>
      <c r="H11" s="30"/>
      <c r="I11" s="30"/>
      <c r="J11" s="33"/>
    </row>
    <row r="12" spans="1:19">
      <c r="A12" s="24" t="s">
        <v>67</v>
      </c>
      <c r="B12" s="23">
        <v>1751</v>
      </c>
      <c r="C12" s="97">
        <v>18</v>
      </c>
      <c r="D12" s="79">
        <f t="shared" ref="D12:D22" si="0">B12/C12</f>
        <v>97.277777777777771</v>
      </c>
      <c r="E12" s="30"/>
      <c r="F12" s="30"/>
      <c r="G12" s="30"/>
      <c r="H12" s="30"/>
      <c r="I12" s="30"/>
      <c r="J12" s="33"/>
    </row>
    <row r="13" spans="1:19">
      <c r="A13" s="24" t="s">
        <v>68</v>
      </c>
      <c r="B13" s="23">
        <v>1947</v>
      </c>
      <c r="C13" s="98">
        <v>20</v>
      </c>
      <c r="D13" s="79">
        <f t="shared" si="0"/>
        <v>97.35</v>
      </c>
      <c r="E13" s="30"/>
      <c r="F13" s="30"/>
      <c r="G13" s="30"/>
      <c r="H13" s="30"/>
      <c r="I13" s="30"/>
      <c r="J13" s="33"/>
    </row>
    <row r="14" spans="1:19">
      <c r="A14" s="24" t="s">
        <v>69</v>
      </c>
      <c r="B14" s="23">
        <v>1949</v>
      </c>
      <c r="C14" s="99">
        <v>20</v>
      </c>
      <c r="D14" s="79">
        <f t="shared" si="0"/>
        <v>97.45</v>
      </c>
      <c r="E14" s="30"/>
      <c r="F14" s="30"/>
      <c r="G14" s="30"/>
      <c r="H14" s="30"/>
      <c r="I14" s="30"/>
      <c r="J14" s="33"/>
    </row>
    <row r="15" spans="1:19">
      <c r="A15" s="24" t="s">
        <v>70</v>
      </c>
      <c r="B15" s="23">
        <v>1958</v>
      </c>
      <c r="C15" s="102">
        <v>20</v>
      </c>
      <c r="D15" s="79">
        <f t="shared" si="0"/>
        <v>97.9</v>
      </c>
      <c r="E15" s="30"/>
      <c r="F15" s="30"/>
      <c r="G15" s="30"/>
      <c r="H15" s="30"/>
      <c r="I15" s="30"/>
      <c r="J15" s="33"/>
    </row>
    <row r="16" spans="1:19">
      <c r="A16" s="24" t="s">
        <v>71</v>
      </c>
      <c r="B16" s="23"/>
      <c r="C16" s="102"/>
      <c r="D16" s="79" t="e">
        <f t="shared" si="0"/>
        <v>#DIV/0!</v>
      </c>
      <c r="E16" s="30"/>
      <c r="F16" s="30"/>
      <c r="G16" s="30"/>
      <c r="H16" s="30"/>
      <c r="I16" s="30"/>
      <c r="J16" s="33"/>
    </row>
    <row r="17" spans="1:10">
      <c r="A17" s="24" t="s">
        <v>72</v>
      </c>
      <c r="B17" s="23"/>
      <c r="C17" s="124"/>
      <c r="D17" s="79" t="e">
        <f t="shared" si="0"/>
        <v>#DIV/0!</v>
      </c>
      <c r="E17" s="30"/>
      <c r="F17" s="30"/>
      <c r="G17" s="30"/>
      <c r="H17" s="30"/>
      <c r="I17" s="30"/>
      <c r="J17" s="33"/>
    </row>
    <row r="18" spans="1:10">
      <c r="A18" s="24" t="s">
        <v>73</v>
      </c>
      <c r="B18" s="23"/>
      <c r="C18" s="124"/>
      <c r="D18" s="79" t="e">
        <f t="shared" si="0"/>
        <v>#DIV/0!</v>
      </c>
      <c r="E18" s="30"/>
      <c r="F18" s="30"/>
      <c r="G18" s="30"/>
      <c r="H18" s="30"/>
      <c r="I18" s="30"/>
      <c r="J18" s="33"/>
    </row>
    <row r="19" spans="1:10">
      <c r="A19" s="24" t="s">
        <v>74</v>
      </c>
      <c r="B19" s="23"/>
      <c r="C19" s="124"/>
      <c r="D19" s="79" t="e">
        <f t="shared" si="0"/>
        <v>#DIV/0!</v>
      </c>
      <c r="E19" s="30"/>
      <c r="F19" s="30"/>
      <c r="G19" s="30"/>
      <c r="H19" s="30"/>
      <c r="I19" s="30"/>
      <c r="J19" s="33"/>
    </row>
    <row r="20" spans="1:10">
      <c r="A20" s="24" t="s">
        <v>75</v>
      </c>
      <c r="B20" s="23"/>
      <c r="C20" s="124"/>
      <c r="D20" s="79" t="e">
        <f t="shared" si="0"/>
        <v>#DIV/0!</v>
      </c>
      <c r="E20" s="30"/>
      <c r="F20" s="30"/>
      <c r="G20" s="30"/>
      <c r="H20" s="30"/>
      <c r="I20" s="30"/>
      <c r="J20" s="33"/>
    </row>
    <row r="21" spans="1:10">
      <c r="A21" s="24" t="s">
        <v>76</v>
      </c>
      <c r="B21" s="23"/>
      <c r="C21" s="124"/>
      <c r="D21" s="79" t="e">
        <f t="shared" si="0"/>
        <v>#DIV/0!</v>
      </c>
      <c r="E21" s="30"/>
      <c r="F21" s="30"/>
      <c r="G21" s="30"/>
      <c r="H21" s="30"/>
      <c r="I21" s="30"/>
      <c r="J21" s="33"/>
    </row>
    <row r="22" spans="1:10">
      <c r="A22" s="24" t="s">
        <v>77</v>
      </c>
      <c r="B22" s="23"/>
      <c r="C22" s="124"/>
      <c r="D22" s="79" t="e">
        <f t="shared" si="0"/>
        <v>#DIV/0!</v>
      </c>
      <c r="E22" s="30"/>
      <c r="F22" s="30"/>
      <c r="G22" s="30"/>
      <c r="H22" s="30"/>
      <c r="I22" s="30"/>
      <c r="J22" s="33"/>
    </row>
    <row r="23" spans="1:10">
      <c r="A23" s="21"/>
      <c r="B23" s="30"/>
      <c r="C23" s="30"/>
      <c r="D23" s="39"/>
      <c r="E23" s="30"/>
      <c r="F23" s="30"/>
      <c r="G23" s="30"/>
      <c r="H23" s="30"/>
      <c r="I23" s="30"/>
      <c r="J23" s="33"/>
    </row>
    <row r="24" spans="1:10" ht="15.75">
      <c r="A24" s="34" t="s">
        <v>119</v>
      </c>
      <c r="B24" s="32" t="s">
        <v>195</v>
      </c>
      <c r="C24" s="30"/>
      <c r="D24" s="39"/>
      <c r="E24" s="30"/>
      <c r="F24" s="30"/>
      <c r="G24" s="30"/>
      <c r="H24" s="30"/>
      <c r="I24" s="30"/>
      <c r="J24" s="33"/>
    </row>
    <row r="25" spans="1:10">
      <c r="A25" s="22"/>
      <c r="B25" s="35"/>
      <c r="C25" s="35"/>
      <c r="D25" s="40"/>
      <c r="E25" s="35"/>
      <c r="F25" s="35"/>
      <c r="G25" s="35"/>
      <c r="H25" s="35"/>
      <c r="I25" s="35"/>
      <c r="J25" s="36"/>
    </row>
  </sheetData>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5"/>
  <sheetViews>
    <sheetView topLeftCell="A7" zoomScale="90" zoomScaleNormal="90" workbookViewId="0">
      <selection activeCell="C37" sqref="C37"/>
    </sheetView>
  </sheetViews>
  <sheetFormatPr baseColWidth="10" defaultRowHeight="15"/>
  <cols>
    <col min="1" max="1" width="12.28515625" customWidth="1"/>
    <col min="2" max="3" width="14.5703125" customWidth="1"/>
    <col min="4" max="4" width="14.5703125" style="41" customWidth="1"/>
    <col min="5" max="5" width="14.5703125" customWidth="1"/>
  </cols>
  <sheetData>
    <row r="1" spans="1:19">
      <c r="A1" s="176"/>
      <c r="B1" s="176"/>
      <c r="C1" s="161" t="s">
        <v>84</v>
      </c>
      <c r="D1" s="161"/>
      <c r="E1" s="161"/>
      <c r="F1" s="161"/>
      <c r="G1" s="161"/>
      <c r="H1" s="161"/>
      <c r="I1" s="177" t="s">
        <v>156</v>
      </c>
      <c r="J1" s="177"/>
    </row>
    <row r="2" spans="1:19">
      <c r="A2" s="176"/>
      <c r="B2" s="176"/>
      <c r="C2" s="161"/>
      <c r="D2" s="161"/>
      <c r="E2" s="161"/>
      <c r="F2" s="161"/>
      <c r="G2" s="161"/>
      <c r="H2" s="161"/>
      <c r="I2" s="177" t="s">
        <v>85</v>
      </c>
      <c r="J2" s="177"/>
      <c r="N2" s="30"/>
      <c r="O2" s="30"/>
      <c r="P2" s="30"/>
      <c r="Q2" s="30"/>
      <c r="R2" s="30"/>
      <c r="S2" s="30"/>
    </row>
    <row r="3" spans="1:19">
      <c r="A3" s="176"/>
      <c r="B3" s="176"/>
      <c r="C3" s="161"/>
      <c r="D3" s="161"/>
      <c r="E3" s="161"/>
      <c r="F3" s="161"/>
      <c r="G3" s="161"/>
      <c r="H3" s="161"/>
      <c r="I3" s="177" t="s">
        <v>120</v>
      </c>
      <c r="J3" s="177"/>
      <c r="N3" s="167"/>
      <c r="O3" s="167"/>
      <c r="P3" s="167"/>
      <c r="Q3" s="167"/>
      <c r="R3" s="167"/>
      <c r="S3" s="167"/>
    </row>
    <row r="4" spans="1:19" ht="15" customHeight="1">
      <c r="A4" s="199" t="s">
        <v>62</v>
      </c>
      <c r="B4" s="199"/>
      <c r="C4" s="227" t="s">
        <v>27</v>
      </c>
      <c r="D4" s="227"/>
      <c r="E4" s="227"/>
      <c r="F4" s="227"/>
      <c r="G4" s="227"/>
      <c r="H4" s="227"/>
      <c r="I4" s="227"/>
      <c r="J4" s="227"/>
      <c r="N4" s="30"/>
      <c r="O4" s="30"/>
      <c r="P4" s="30"/>
      <c r="Q4" s="30"/>
      <c r="R4" s="30"/>
      <c r="S4" s="30"/>
    </row>
    <row r="5" spans="1:19">
      <c r="A5" s="199"/>
      <c r="B5" s="199"/>
      <c r="C5" s="227"/>
      <c r="D5" s="227"/>
      <c r="E5" s="227"/>
      <c r="F5" s="227"/>
      <c r="G5" s="227"/>
      <c r="H5" s="227"/>
      <c r="I5" s="227"/>
      <c r="J5" s="227"/>
      <c r="N5" s="30"/>
      <c r="O5" s="30"/>
      <c r="P5" s="30"/>
      <c r="Q5" s="30"/>
      <c r="R5" s="30"/>
      <c r="S5" s="30"/>
    </row>
    <row r="6" spans="1:19" ht="33" customHeight="1">
      <c r="A6" s="199" t="s">
        <v>210</v>
      </c>
      <c r="B6" s="199"/>
      <c r="C6" s="223" t="s">
        <v>218</v>
      </c>
      <c r="D6" s="223"/>
      <c r="E6" s="223"/>
      <c r="F6" s="223"/>
      <c r="G6" s="223"/>
      <c r="H6" s="223"/>
      <c r="I6" s="223"/>
      <c r="J6" s="223"/>
      <c r="N6" s="30"/>
      <c r="O6" s="30"/>
      <c r="P6" s="30"/>
      <c r="Q6" s="30"/>
      <c r="R6" s="30"/>
      <c r="S6" s="30"/>
    </row>
    <row r="7" spans="1:19">
      <c r="A7" s="26"/>
      <c r="B7" s="27"/>
      <c r="C7" s="27"/>
      <c r="D7" s="37"/>
      <c r="E7" s="27"/>
      <c r="F7" s="27"/>
      <c r="G7" s="28"/>
      <c r="H7" s="28"/>
      <c r="I7" s="28"/>
      <c r="J7" s="28"/>
      <c r="N7" s="30"/>
      <c r="O7" s="30"/>
      <c r="P7" s="30"/>
      <c r="Q7" s="30"/>
      <c r="R7" s="30"/>
      <c r="S7" s="30"/>
    </row>
    <row r="8" spans="1:19" ht="15" customHeight="1">
      <c r="A8" s="31" t="s">
        <v>3</v>
      </c>
      <c r="B8" s="172" t="s">
        <v>56</v>
      </c>
      <c r="C8" s="172"/>
      <c r="D8" s="172"/>
      <c r="E8" s="172"/>
      <c r="F8" s="172"/>
      <c r="G8" s="172"/>
      <c r="H8" s="172"/>
      <c r="I8" s="172"/>
      <c r="J8" s="172"/>
    </row>
    <row r="9" spans="1:19">
      <c r="A9" s="31" t="s">
        <v>63</v>
      </c>
      <c r="B9" s="174" t="s">
        <v>52</v>
      </c>
      <c r="C9" s="174"/>
      <c r="D9" s="174"/>
      <c r="E9" s="174"/>
      <c r="F9" s="174"/>
      <c r="G9" s="174"/>
      <c r="H9" s="174"/>
      <c r="I9" s="174"/>
      <c r="J9" s="174"/>
    </row>
    <row r="10" spans="1:19" ht="58.5" customHeight="1">
      <c r="A10" s="2" t="s">
        <v>65</v>
      </c>
      <c r="B10" s="3" t="s">
        <v>86</v>
      </c>
      <c r="C10" s="3" t="s">
        <v>88</v>
      </c>
      <c r="D10" s="38" t="s">
        <v>160</v>
      </c>
      <c r="E10" s="30"/>
      <c r="F10" s="30"/>
      <c r="G10" s="30"/>
      <c r="H10" s="30"/>
      <c r="I10" s="30"/>
      <c r="J10" s="33"/>
    </row>
    <row r="11" spans="1:19">
      <c r="A11" s="208" t="s">
        <v>157</v>
      </c>
      <c r="B11" s="211"/>
      <c r="C11" s="211"/>
      <c r="D11" s="224"/>
      <c r="E11" s="30"/>
      <c r="F11" s="30"/>
      <c r="G11" s="30"/>
      <c r="H11" s="30"/>
      <c r="I11" s="30"/>
      <c r="J11" s="33"/>
    </row>
    <row r="12" spans="1:19">
      <c r="A12" s="209"/>
      <c r="B12" s="212"/>
      <c r="C12" s="212"/>
      <c r="D12" s="225"/>
      <c r="E12" s="30"/>
      <c r="F12" s="30"/>
      <c r="G12" s="30"/>
      <c r="H12" s="30"/>
      <c r="I12" s="30"/>
      <c r="J12" s="33"/>
    </row>
    <row r="13" spans="1:19">
      <c r="A13" s="209"/>
      <c r="B13" s="212"/>
      <c r="C13" s="212"/>
      <c r="D13" s="225"/>
      <c r="E13" s="30"/>
      <c r="F13" s="30"/>
      <c r="G13" s="30"/>
      <c r="H13" s="30"/>
      <c r="I13" s="30"/>
      <c r="J13" s="33"/>
    </row>
    <row r="14" spans="1:19">
      <c r="A14" s="209"/>
      <c r="B14" s="212"/>
      <c r="C14" s="212"/>
      <c r="D14" s="225"/>
      <c r="E14" s="30"/>
      <c r="F14" s="30"/>
      <c r="G14" s="30"/>
      <c r="H14" s="30"/>
      <c r="I14" s="30"/>
      <c r="J14" s="33"/>
    </row>
    <row r="15" spans="1:19">
      <c r="A15" s="209"/>
      <c r="B15" s="212"/>
      <c r="C15" s="212"/>
      <c r="D15" s="225"/>
      <c r="E15" s="30"/>
      <c r="F15" s="30"/>
      <c r="G15" s="30"/>
      <c r="H15" s="30"/>
      <c r="I15" s="30"/>
      <c r="J15" s="33"/>
    </row>
    <row r="16" spans="1:19">
      <c r="A16" s="210"/>
      <c r="B16" s="213"/>
      <c r="C16" s="213"/>
      <c r="D16" s="226"/>
      <c r="E16" s="30"/>
      <c r="F16" s="30"/>
      <c r="G16" s="30"/>
      <c r="H16" s="30"/>
      <c r="I16" s="30"/>
      <c r="J16" s="33"/>
    </row>
    <row r="17" spans="1:10">
      <c r="A17" s="208" t="s">
        <v>158</v>
      </c>
      <c r="B17" s="211"/>
      <c r="C17" s="211"/>
      <c r="D17" s="224"/>
      <c r="E17" s="30"/>
      <c r="F17" s="30"/>
      <c r="G17" s="30"/>
      <c r="H17" s="30"/>
      <c r="I17" s="30"/>
      <c r="J17" s="33"/>
    </row>
    <row r="18" spans="1:10">
      <c r="A18" s="209"/>
      <c r="B18" s="212"/>
      <c r="C18" s="212"/>
      <c r="D18" s="225"/>
      <c r="E18" s="30"/>
      <c r="F18" s="30"/>
      <c r="G18" s="30"/>
      <c r="H18" s="30"/>
      <c r="I18" s="30"/>
      <c r="J18" s="33"/>
    </row>
    <row r="19" spans="1:10">
      <c r="A19" s="209"/>
      <c r="B19" s="212"/>
      <c r="C19" s="212"/>
      <c r="D19" s="225"/>
      <c r="E19" s="30"/>
      <c r="F19" s="30"/>
      <c r="G19" s="30"/>
      <c r="H19" s="30"/>
      <c r="I19" s="30"/>
      <c r="J19" s="33"/>
    </row>
    <row r="20" spans="1:10">
      <c r="A20" s="209"/>
      <c r="B20" s="212"/>
      <c r="C20" s="212"/>
      <c r="D20" s="225"/>
      <c r="E20" s="30"/>
      <c r="F20" s="30"/>
      <c r="G20" s="30"/>
      <c r="H20" s="30"/>
      <c r="I20" s="30"/>
      <c r="J20" s="33"/>
    </row>
    <row r="21" spans="1:10">
      <c r="A21" s="209"/>
      <c r="B21" s="212"/>
      <c r="C21" s="212"/>
      <c r="D21" s="225"/>
      <c r="E21" s="30"/>
      <c r="F21" s="30"/>
      <c r="G21" s="30"/>
      <c r="H21" s="30"/>
      <c r="I21" s="30"/>
      <c r="J21" s="33"/>
    </row>
    <row r="22" spans="1:10">
      <c r="A22" s="210"/>
      <c r="B22" s="213"/>
      <c r="C22" s="213"/>
      <c r="D22" s="226"/>
      <c r="E22" s="30"/>
      <c r="F22" s="30"/>
      <c r="G22" s="30"/>
      <c r="H22" s="30"/>
      <c r="I22" s="30"/>
      <c r="J22" s="33"/>
    </row>
    <row r="23" spans="1:10">
      <c r="A23" s="21"/>
      <c r="B23" s="30"/>
      <c r="C23" s="30"/>
      <c r="D23" s="39"/>
      <c r="E23" s="30"/>
      <c r="F23" s="30"/>
      <c r="G23" s="30"/>
      <c r="H23" s="30"/>
      <c r="I23" s="30"/>
      <c r="J23" s="33"/>
    </row>
    <row r="24" spans="1:10" ht="15.75">
      <c r="A24" s="34" t="s">
        <v>251</v>
      </c>
      <c r="B24" s="32"/>
      <c r="C24" s="30"/>
      <c r="D24" s="39"/>
      <c r="E24" s="30"/>
      <c r="F24" s="30"/>
      <c r="G24" s="30"/>
      <c r="H24" s="30"/>
      <c r="I24" s="30"/>
      <c r="J24" s="33"/>
    </row>
    <row r="25" spans="1:10">
      <c r="A25" s="22"/>
      <c r="B25" s="35"/>
      <c r="C25" s="35"/>
      <c r="D25" s="40"/>
      <c r="E25" s="35"/>
      <c r="F25" s="35"/>
      <c r="G25" s="35"/>
      <c r="H25" s="35"/>
      <c r="I25" s="35"/>
      <c r="J25" s="36"/>
    </row>
  </sheetData>
  <mergeCells count="20">
    <mergeCell ref="N3:S3"/>
    <mergeCell ref="B8:J8"/>
    <mergeCell ref="B9:J9"/>
    <mergeCell ref="A1:B3"/>
    <mergeCell ref="C1:H3"/>
    <mergeCell ref="I1:J1"/>
    <mergeCell ref="I2:J2"/>
    <mergeCell ref="I3:J3"/>
    <mergeCell ref="A4:B5"/>
    <mergeCell ref="C4:J5"/>
    <mergeCell ref="C6:J6"/>
    <mergeCell ref="A6:B6"/>
    <mergeCell ref="A11:A16"/>
    <mergeCell ref="B11:B16"/>
    <mergeCell ref="C11:C16"/>
    <mergeCell ref="D11:D16"/>
    <mergeCell ref="D17:D22"/>
    <mergeCell ref="A17:A22"/>
    <mergeCell ref="B17:B22"/>
    <mergeCell ref="C17:C22"/>
  </mergeCells>
  <pageMargins left="0.7" right="0.7" top="0.75" bottom="0.75" header="0.3" footer="0.3"/>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9"/>
  <sheetViews>
    <sheetView tabSelected="1" topLeftCell="A14" zoomScale="69" zoomScaleNormal="69" workbookViewId="0">
      <selection activeCell="H20" sqref="H20"/>
    </sheetView>
  </sheetViews>
  <sheetFormatPr baseColWidth="10" defaultRowHeight="15"/>
  <cols>
    <col min="1" max="1" width="2.28515625" bestFit="1" customWidth="1"/>
    <col min="2" max="2" width="14.140625" bestFit="1" customWidth="1"/>
    <col min="3" max="3" width="41.28515625" bestFit="1" customWidth="1"/>
    <col min="4" max="4" width="32.28515625" customWidth="1"/>
    <col min="5" max="5" width="37.42578125" customWidth="1"/>
    <col min="6" max="7" width="34.5703125" customWidth="1"/>
    <col min="8" max="8" width="30.140625" customWidth="1"/>
    <col min="9" max="10" width="29.5703125" customWidth="1"/>
    <col min="11" max="11" width="32.42578125" customWidth="1"/>
    <col min="12" max="12" width="30.140625" customWidth="1"/>
    <col min="13" max="13" width="29.140625" customWidth="1"/>
    <col min="14" max="14" width="32.140625" customWidth="1"/>
    <col min="15" max="15" width="31.7109375" customWidth="1"/>
  </cols>
  <sheetData>
    <row r="1" spans="1:16" ht="66" customHeight="1">
      <c r="A1" s="229" t="s">
        <v>222</v>
      </c>
      <c r="B1" s="230"/>
      <c r="C1" s="230"/>
      <c r="D1" s="230"/>
      <c r="E1" s="230"/>
      <c r="F1" s="230"/>
      <c r="G1" s="230"/>
      <c r="H1" s="230"/>
      <c r="I1" s="230"/>
      <c r="J1" s="230"/>
      <c r="K1" s="230"/>
      <c r="L1" s="230"/>
      <c r="M1" s="230"/>
      <c r="N1" s="230"/>
      <c r="O1" s="231"/>
    </row>
    <row r="2" spans="1:16" ht="38.25" customHeight="1">
      <c r="A2" s="212">
        <v>1</v>
      </c>
      <c r="B2" s="159" t="s">
        <v>29</v>
      </c>
      <c r="C2" s="120" t="s">
        <v>221</v>
      </c>
      <c r="D2" s="159" t="s">
        <v>164</v>
      </c>
      <c r="E2" s="159" t="s">
        <v>165</v>
      </c>
      <c r="F2" s="159" t="s">
        <v>166</v>
      </c>
      <c r="G2" s="159" t="s">
        <v>167</v>
      </c>
      <c r="H2" s="159" t="s">
        <v>168</v>
      </c>
      <c r="I2" s="159" t="s">
        <v>169</v>
      </c>
      <c r="J2" s="159" t="s">
        <v>170</v>
      </c>
      <c r="K2" s="159" t="s">
        <v>171</v>
      </c>
      <c r="L2" s="159" t="s">
        <v>172</v>
      </c>
      <c r="M2" s="159" t="s">
        <v>173</v>
      </c>
      <c r="N2" s="159" t="s">
        <v>174</v>
      </c>
      <c r="O2" s="159" t="s">
        <v>175</v>
      </c>
    </row>
    <row r="3" spans="1:16">
      <c r="A3" s="212"/>
      <c r="B3" s="159"/>
      <c r="C3" s="119" t="s">
        <v>3</v>
      </c>
      <c r="D3" s="159"/>
      <c r="E3" s="159"/>
      <c r="F3" s="159"/>
      <c r="G3" s="159"/>
      <c r="H3" s="159"/>
      <c r="I3" s="159"/>
      <c r="J3" s="159"/>
      <c r="K3" s="159"/>
      <c r="L3" s="159"/>
      <c r="M3" s="159"/>
      <c r="N3" s="159"/>
      <c r="O3" s="159"/>
    </row>
    <row r="4" spans="1:16" ht="69" customHeight="1">
      <c r="A4" s="212"/>
      <c r="B4" s="127" t="s">
        <v>223</v>
      </c>
      <c r="C4" s="128" t="s">
        <v>49</v>
      </c>
      <c r="D4" s="126" t="s">
        <v>240</v>
      </c>
      <c r="E4" s="126" t="s">
        <v>239</v>
      </c>
      <c r="F4" s="136" t="s">
        <v>264</v>
      </c>
      <c r="G4" s="136" t="s">
        <v>265</v>
      </c>
      <c r="H4" s="136" t="s">
        <v>281</v>
      </c>
      <c r="I4" s="109"/>
      <c r="J4" s="109"/>
      <c r="K4" s="109"/>
      <c r="L4" s="109"/>
      <c r="M4" s="109"/>
      <c r="N4" s="109"/>
      <c r="O4" s="109"/>
      <c r="P4" s="110"/>
    </row>
    <row r="5" spans="1:16" ht="59.25" customHeight="1">
      <c r="A5" s="213"/>
      <c r="B5" s="127" t="s">
        <v>223</v>
      </c>
      <c r="C5" s="108" t="s">
        <v>92</v>
      </c>
      <c r="D5" s="108"/>
      <c r="E5" s="108"/>
      <c r="F5" s="108"/>
      <c r="G5" s="108"/>
      <c r="H5" s="108"/>
      <c r="I5" s="108"/>
      <c r="J5" s="108"/>
      <c r="K5" s="108"/>
      <c r="L5" s="108"/>
      <c r="M5" s="108"/>
      <c r="N5" s="108"/>
      <c r="O5" s="108"/>
      <c r="P5" s="110"/>
    </row>
    <row r="6" spans="1:16" ht="93" customHeight="1">
      <c r="A6" s="228">
        <v>2</v>
      </c>
      <c r="B6" s="127" t="s">
        <v>224</v>
      </c>
      <c r="C6" s="108" t="s">
        <v>140</v>
      </c>
      <c r="D6" s="108" t="s">
        <v>258</v>
      </c>
      <c r="E6" s="108" t="s">
        <v>259</v>
      </c>
      <c r="F6" s="108" t="s">
        <v>260</v>
      </c>
      <c r="G6" s="108" t="s">
        <v>275</v>
      </c>
      <c r="H6" s="108" t="s">
        <v>276</v>
      </c>
      <c r="I6" s="108"/>
      <c r="J6" s="108"/>
      <c r="K6" s="108"/>
      <c r="L6" s="108"/>
      <c r="M6" s="108"/>
      <c r="N6" s="108"/>
      <c r="O6" s="108"/>
    </row>
    <row r="7" spans="1:16" ht="113.25" customHeight="1">
      <c r="A7" s="228"/>
      <c r="B7" s="127" t="s">
        <v>224</v>
      </c>
      <c r="C7" s="108" t="s">
        <v>198</v>
      </c>
      <c r="D7" s="108" t="s">
        <v>243</v>
      </c>
      <c r="E7" s="108" t="s">
        <v>244</v>
      </c>
      <c r="F7" s="108" t="s">
        <v>266</v>
      </c>
      <c r="G7" s="108" t="s">
        <v>274</v>
      </c>
      <c r="H7" s="109"/>
      <c r="I7" s="109"/>
      <c r="J7" s="109"/>
      <c r="K7" s="109"/>
      <c r="L7" s="109"/>
      <c r="M7" s="109"/>
      <c r="N7" s="109"/>
      <c r="O7" s="109"/>
    </row>
    <row r="8" spans="1:16" ht="78" customHeight="1">
      <c r="A8" s="228">
        <v>3</v>
      </c>
      <c r="B8" s="127" t="s">
        <v>223</v>
      </c>
      <c r="C8" s="108" t="s">
        <v>79</v>
      </c>
      <c r="D8" s="126" t="s">
        <v>241</v>
      </c>
      <c r="E8" s="126" t="s">
        <v>242</v>
      </c>
      <c r="F8" s="136" t="s">
        <v>261</v>
      </c>
      <c r="G8" s="136" t="s">
        <v>273</v>
      </c>
      <c r="H8" s="136" t="s">
        <v>282</v>
      </c>
      <c r="I8" s="109"/>
      <c r="J8" s="109"/>
      <c r="K8" s="109"/>
      <c r="L8" s="109"/>
      <c r="M8" s="109"/>
      <c r="N8" s="109"/>
      <c r="O8" s="109"/>
    </row>
    <row r="9" spans="1:16" ht="59.25" customHeight="1">
      <c r="A9" s="228"/>
      <c r="B9" s="127" t="s">
        <v>225</v>
      </c>
      <c r="C9" s="108" t="s">
        <v>190</v>
      </c>
      <c r="D9" s="233" t="s">
        <v>280</v>
      </c>
      <c r="E9" s="234"/>
      <c r="F9" s="235"/>
      <c r="G9" s="109"/>
      <c r="H9" s="109"/>
      <c r="I9" s="109"/>
      <c r="J9" s="109"/>
      <c r="K9" s="109"/>
      <c r="L9" s="109"/>
      <c r="M9" s="109"/>
      <c r="N9" s="109"/>
      <c r="O9" s="109"/>
    </row>
    <row r="10" spans="1:16" ht="59.25" customHeight="1">
      <c r="A10" s="111">
        <v>4</v>
      </c>
      <c r="B10" s="127" t="s">
        <v>226</v>
      </c>
      <c r="C10" s="108" t="s">
        <v>97</v>
      </c>
      <c r="D10" s="109"/>
      <c r="E10" s="109"/>
      <c r="F10" s="109"/>
      <c r="G10" s="109"/>
      <c r="H10" s="109"/>
      <c r="I10" s="109"/>
      <c r="J10" s="109"/>
      <c r="K10" s="109"/>
      <c r="L10" s="109"/>
      <c r="M10" s="109"/>
      <c r="N10" s="109"/>
      <c r="O10" s="109"/>
    </row>
    <row r="11" spans="1:16" ht="59.25" customHeight="1">
      <c r="A11" s="211">
        <v>5</v>
      </c>
      <c r="B11" s="127" t="s">
        <v>227</v>
      </c>
      <c r="C11" s="108" t="s">
        <v>108</v>
      </c>
      <c r="D11" s="136" t="s">
        <v>255</v>
      </c>
      <c r="E11" s="136" t="s">
        <v>256</v>
      </c>
      <c r="F11" s="136" t="s">
        <v>257</v>
      </c>
      <c r="G11" s="109"/>
      <c r="H11" s="109"/>
      <c r="I11" s="109"/>
      <c r="J11" s="109"/>
      <c r="K11" s="109"/>
      <c r="L11" s="109"/>
      <c r="M11" s="109"/>
      <c r="N11" s="109"/>
      <c r="O11" s="109"/>
    </row>
    <row r="12" spans="1:16" s="134" customFormat="1" ht="74.25" customHeight="1">
      <c r="A12" s="212"/>
      <c r="B12" s="131" t="s">
        <v>227</v>
      </c>
      <c r="C12" s="132" t="s">
        <v>155</v>
      </c>
      <c r="D12" s="133"/>
      <c r="E12" s="133"/>
      <c r="F12" s="133"/>
      <c r="G12" s="133"/>
      <c r="H12" s="133"/>
      <c r="I12" s="133"/>
      <c r="J12" s="133"/>
      <c r="K12" s="133"/>
      <c r="L12" s="133"/>
      <c r="M12" s="133"/>
      <c r="N12" s="133"/>
      <c r="O12" s="133"/>
    </row>
    <row r="13" spans="1:16" ht="126.75" customHeight="1">
      <c r="A13" s="212"/>
      <c r="B13" s="127" t="s">
        <v>228</v>
      </c>
      <c r="C13" s="108" t="s">
        <v>138</v>
      </c>
      <c r="D13" s="136" t="s">
        <v>249</v>
      </c>
      <c r="E13" s="136" t="s">
        <v>250</v>
      </c>
      <c r="F13" s="136" t="s">
        <v>252</v>
      </c>
      <c r="G13" s="136" t="s">
        <v>267</v>
      </c>
      <c r="H13" s="136" t="s">
        <v>277</v>
      </c>
      <c r="I13" s="109"/>
      <c r="J13" s="109"/>
      <c r="K13" s="109"/>
      <c r="L13" s="109"/>
      <c r="M13" s="109"/>
      <c r="N13" s="109"/>
      <c r="O13" s="109"/>
    </row>
    <row r="14" spans="1:16" ht="75.75" customHeight="1">
      <c r="A14" s="212"/>
      <c r="B14" s="127" t="s">
        <v>228</v>
      </c>
      <c r="C14" s="108" t="s">
        <v>181</v>
      </c>
      <c r="D14" s="136" t="s">
        <v>247</v>
      </c>
      <c r="E14" s="136" t="s">
        <v>248</v>
      </c>
      <c r="F14" s="136" t="s">
        <v>253</v>
      </c>
      <c r="G14" s="136" t="s">
        <v>268</v>
      </c>
      <c r="H14" s="136" t="s">
        <v>278</v>
      </c>
      <c r="I14" s="109"/>
      <c r="J14" s="109"/>
      <c r="K14" s="109"/>
      <c r="L14" s="109"/>
      <c r="M14" s="109"/>
      <c r="N14" s="109"/>
      <c r="O14" s="109"/>
    </row>
    <row r="15" spans="1:16" ht="59.25" customHeight="1">
      <c r="A15" s="213"/>
      <c r="B15" s="127" t="s">
        <v>228</v>
      </c>
      <c r="C15" s="108" t="s">
        <v>182</v>
      </c>
      <c r="D15" s="135" t="s">
        <v>245</v>
      </c>
      <c r="E15" s="135" t="s">
        <v>246</v>
      </c>
      <c r="F15" s="136" t="s">
        <v>254</v>
      </c>
      <c r="G15" s="136" t="s">
        <v>269</v>
      </c>
      <c r="H15" s="136" t="s">
        <v>279</v>
      </c>
      <c r="I15" s="108"/>
      <c r="J15" s="108"/>
      <c r="K15" s="108"/>
      <c r="L15" s="108"/>
      <c r="M15" s="108"/>
      <c r="N15" s="108"/>
      <c r="O15" s="108"/>
    </row>
    <row r="16" spans="1:16" ht="59.25" customHeight="1">
      <c r="A16" s="111">
        <v>6</v>
      </c>
      <c r="B16" s="127" t="s">
        <v>229</v>
      </c>
      <c r="C16" s="108" t="s">
        <v>13</v>
      </c>
      <c r="D16" s="108"/>
      <c r="E16" s="108"/>
      <c r="F16" s="108"/>
      <c r="G16" s="108"/>
      <c r="H16" s="108"/>
      <c r="I16" s="108"/>
      <c r="J16" s="108"/>
      <c r="K16" s="108"/>
      <c r="L16" s="108"/>
      <c r="M16" s="108"/>
      <c r="N16" s="108"/>
      <c r="O16" s="108"/>
    </row>
    <row r="17" spans="1:15" ht="90.75" customHeight="1">
      <c r="A17" s="111">
        <v>7</v>
      </c>
      <c r="B17" s="127" t="s">
        <v>223</v>
      </c>
      <c r="C17" s="108" t="s">
        <v>230</v>
      </c>
      <c r="D17" s="108" t="s">
        <v>237</v>
      </c>
      <c r="E17" s="108" t="s">
        <v>238</v>
      </c>
      <c r="F17" s="108" t="s">
        <v>262</v>
      </c>
      <c r="G17" s="108" t="s">
        <v>263</v>
      </c>
      <c r="H17" s="108" t="s">
        <v>283</v>
      </c>
      <c r="I17" s="108"/>
      <c r="J17" s="108"/>
      <c r="K17" s="108"/>
      <c r="L17" s="108"/>
      <c r="M17" s="108"/>
      <c r="N17" s="108"/>
      <c r="O17" s="108"/>
    </row>
    <row r="18" spans="1:15" ht="59.25" customHeight="1">
      <c r="A18" s="111">
        <v>8</v>
      </c>
      <c r="B18" s="125" t="s">
        <v>224</v>
      </c>
      <c r="C18" s="108" t="s">
        <v>56</v>
      </c>
      <c r="D18" s="108"/>
      <c r="E18" s="108"/>
      <c r="F18" s="108"/>
      <c r="G18" s="108"/>
      <c r="H18" s="108"/>
      <c r="I18" s="108"/>
      <c r="J18" s="108"/>
      <c r="K18" s="108"/>
      <c r="L18" s="108"/>
      <c r="M18" s="108"/>
      <c r="N18" s="108"/>
      <c r="O18" s="108"/>
    </row>
    <row r="19" spans="1:15">
      <c r="B19" s="112"/>
    </row>
  </sheetData>
  <mergeCells count="19">
    <mergeCell ref="F2:F3"/>
    <mergeCell ref="A1:O1"/>
    <mergeCell ref="D9:F9"/>
    <mergeCell ref="A11:A15"/>
    <mergeCell ref="A8:A9"/>
    <mergeCell ref="M2:M3"/>
    <mergeCell ref="N2:N3"/>
    <mergeCell ref="O2:O3"/>
    <mergeCell ref="A2:A5"/>
    <mergeCell ref="A6:A7"/>
    <mergeCell ref="B2:B3"/>
    <mergeCell ref="G2:G3"/>
    <mergeCell ref="H2:H3"/>
    <mergeCell ref="I2:I3"/>
    <mergeCell ref="J2:J3"/>
    <mergeCell ref="K2:K3"/>
    <mergeCell ref="L2:L3"/>
    <mergeCell ref="D2:D3"/>
    <mergeCell ref="E2:E3"/>
  </mergeCells>
  <pageMargins left="0" right="0" top="0.74803149606299213" bottom="0.74803149606299213" header="0.31496062992125984" footer="0.31496062992125984"/>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0B1FB3-C9E6-491F-AD53-65961FFA205A}"/>
</file>

<file path=customXml/itemProps2.xml><?xml version="1.0" encoding="utf-8"?>
<ds:datastoreItem xmlns:ds="http://schemas.openxmlformats.org/officeDocument/2006/customXml" ds:itemID="{D084CBBF-DB25-4F55-B494-1EB35F7BEEDE}"/>
</file>

<file path=customXml/itemProps3.xml><?xml version="1.0" encoding="utf-8"?>
<ds:datastoreItem xmlns:ds="http://schemas.openxmlformats.org/officeDocument/2006/customXml" ds:itemID="{FD940BCE-12E6-4641-8369-08DCC739D1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Usuario de red</cp:lastModifiedBy>
  <cp:lastPrinted>2017-07-27T21:30:49Z</cp:lastPrinted>
  <dcterms:created xsi:type="dcterms:W3CDTF">2015-06-02T22:21:33Z</dcterms:created>
  <dcterms:modified xsi:type="dcterms:W3CDTF">2018-06-25T16:08:24Z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57900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