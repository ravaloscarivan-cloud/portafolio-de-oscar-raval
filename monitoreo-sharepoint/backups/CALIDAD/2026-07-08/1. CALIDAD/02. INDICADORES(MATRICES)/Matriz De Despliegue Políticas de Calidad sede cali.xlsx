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9.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charts/colors1.xml" ContentType="application/vnd.ms-office.chartcolorstyle+xml"/>
  <Override PartName="/xl/charts/style1.xml" ContentType="application/vnd.ms-office.chartstyle+xml"/>
  <Override PartName="/xl/charts/chart16.xml" ContentType="application/vnd.openxmlformats-officedocument.drawingml.chart+xml"/>
  <Override PartName="/xl/charts/chart13.xml" ContentType="application/vnd.openxmlformats-officedocument.drawingml.chart+xml"/>
  <Override PartName="/xl/worksheets/sheet1.xml" ContentType="application/vnd.openxmlformats-officedocument.spreadsheetml.workshee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drawings/drawing8.xml" ContentType="application/vnd.openxmlformats-officedocument.drawing+xml"/>
  <Override PartName="/xl/charts/chart12.xml" ContentType="application/vnd.openxmlformats-officedocument.drawingml.chart+xml"/>
  <Override PartName="/xl/drawings/drawing6.xml" ContentType="application/vnd.openxmlformats-officedocument.drawing+xml"/>
  <Override PartName="/xl/charts/chart10.xml" ContentType="application/vnd.openxmlformats-officedocument.drawingml.char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1.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INF MENSUALES\1. CALIDAD\2. INDICADORES(MATRICES)\"/>
    </mc:Choice>
  </mc:AlternateContent>
  <bookViews>
    <workbookView xWindow="0" yWindow="0" windowWidth="20490" windowHeight="7755" activeTab="8"/>
  </bookViews>
  <sheets>
    <sheet name="MATRIZ" sheetId="1" r:id="rId1"/>
    <sheet name="1" sheetId="2" r:id="rId2"/>
    <sheet name="2" sheetId="3" r:id="rId3"/>
    <sheet name="3" sheetId="4" r:id="rId4"/>
    <sheet name="4" sheetId="5" state="hidden" r:id="rId5"/>
    <sheet name="5" sheetId="6" state="hidden" r:id="rId6"/>
    <sheet name="6" sheetId="7" r:id="rId7"/>
    <sheet name="7" sheetId="8" state="hidden" r:id="rId8"/>
    <sheet name="8" sheetId="9" r:id="rId9"/>
    <sheet name="ANALISIS" sheetId="10" r:id="rId10"/>
  </sheets>
  <calcPr calcId="15251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30" i="2" l="1"/>
  <c r="D23" i="3" l="1"/>
  <c r="D34" i="2" l="1"/>
  <c r="D35" i="2"/>
  <c r="D36" i="2"/>
  <c r="D37" i="2"/>
  <c r="D38" i="2"/>
  <c r="D39" i="2"/>
  <c r="D29" i="2"/>
  <c r="D31" i="2"/>
  <c r="D32" i="2"/>
  <c r="D33" i="2"/>
  <c r="D28" i="2"/>
  <c r="D14" i="9" l="1"/>
  <c r="D11" i="9"/>
  <c r="D16" i="2" l="1"/>
  <c r="D40" i="2" l="1"/>
  <c r="E54" i="6" l="1"/>
  <c r="U16" i="1" l="1"/>
  <c r="AD11" i="1"/>
  <c r="U11" i="1"/>
  <c r="V11" i="1"/>
  <c r="W11" i="1"/>
  <c r="X11" i="1"/>
  <c r="Y11" i="1"/>
  <c r="Z11" i="1"/>
  <c r="AA11" i="1"/>
  <c r="AB11" i="1"/>
  <c r="AC11" i="1"/>
  <c r="D91" i="6" l="1"/>
  <c r="D106" i="6" l="1"/>
  <c r="D76" i="6"/>
  <c r="E27" i="6" l="1"/>
  <c r="D77" i="6" l="1"/>
  <c r="D14" i="5" l="1"/>
  <c r="D17" i="5"/>
  <c r="D20" i="5"/>
  <c r="D92" i="6" l="1"/>
  <c r="E50" i="6"/>
  <c r="D117" i="6" l="1"/>
  <c r="D116" i="6"/>
  <c r="D115" i="6"/>
  <c r="D114" i="6"/>
  <c r="D113" i="6"/>
  <c r="D112" i="6"/>
  <c r="D111" i="6"/>
  <c r="D110" i="6"/>
  <c r="D109" i="6"/>
  <c r="D108" i="6"/>
  <c r="D107" i="6"/>
  <c r="E43" i="6" l="1"/>
  <c r="F43" i="6"/>
  <c r="E44" i="6"/>
  <c r="E45" i="6"/>
  <c r="E46" i="6"/>
  <c r="E47" i="6"/>
  <c r="D11" i="6"/>
  <c r="D94" i="6" l="1"/>
  <c r="D31" i="3" l="1"/>
  <c r="D28" i="3"/>
  <c r="S12" i="1" s="1"/>
  <c r="D29" i="3"/>
  <c r="D32" i="3"/>
  <c r="D33" i="3"/>
  <c r="E32" i="6" l="1"/>
  <c r="E31" i="6"/>
  <c r="E30" i="6"/>
  <c r="E29" i="6"/>
  <c r="E28" i="6"/>
  <c r="E33" i="6"/>
  <c r="D12" i="6"/>
  <c r="D13" i="6"/>
  <c r="D30" i="3" l="1"/>
  <c r="D40" i="3" s="1"/>
  <c r="D34" i="3"/>
  <c r="D35" i="3"/>
  <c r="D36" i="3"/>
  <c r="D37" i="3"/>
  <c r="D38" i="3"/>
  <c r="D39" i="3"/>
  <c r="D11" i="8"/>
  <c r="F44" i="6" l="1"/>
  <c r="F45" i="6"/>
  <c r="F46" i="6"/>
  <c r="F47" i="6"/>
  <c r="F48" i="6"/>
  <c r="F49" i="6"/>
  <c r="F50" i="6"/>
  <c r="F51" i="6"/>
  <c r="F52" i="6"/>
  <c r="F53" i="6"/>
  <c r="F54" i="6"/>
  <c r="E48" i="6"/>
  <c r="E49" i="6"/>
  <c r="E51" i="6"/>
  <c r="E52" i="6"/>
  <c r="E53" i="6"/>
  <c r="D102" i="6" l="1"/>
  <c r="AD22" i="1" s="1"/>
  <c r="D101" i="6"/>
  <c r="AC22" i="1" s="1"/>
  <c r="D100" i="6"/>
  <c r="AB22" i="1" s="1"/>
  <c r="D99" i="6"/>
  <c r="AA22" i="1" s="1"/>
  <c r="D98" i="6"/>
  <c r="Z22" i="1" s="1"/>
  <c r="D97" i="6"/>
  <c r="Y22" i="1" s="1"/>
  <c r="D96" i="6"/>
  <c r="X22" i="1" s="1"/>
  <c r="D95" i="6"/>
  <c r="W22" i="1" s="1"/>
  <c r="V22" i="1"/>
  <c r="D93" i="6"/>
  <c r="U22" i="1" s="1"/>
  <c r="T22" i="1"/>
  <c r="S22" i="1"/>
  <c r="D75" i="6"/>
  <c r="S21" i="1" s="1"/>
  <c r="T21" i="1"/>
  <c r="U21" i="1"/>
  <c r="D78" i="6"/>
  <c r="V21" i="1" s="1"/>
  <c r="D79" i="6"/>
  <c r="W21" i="1" s="1"/>
  <c r="D80" i="6"/>
  <c r="X21" i="1" s="1"/>
  <c r="D81" i="6"/>
  <c r="Y21" i="1" s="1"/>
  <c r="D82" i="6"/>
  <c r="Z21" i="1" s="1"/>
  <c r="D83" i="6"/>
  <c r="AA21" i="1" s="1"/>
  <c r="D84" i="6"/>
  <c r="AB21" i="1" s="1"/>
  <c r="D85" i="6"/>
  <c r="AC21" i="1" s="1"/>
  <c r="D86" i="6"/>
  <c r="AD21" i="1" s="1"/>
  <c r="X14" i="1" l="1"/>
  <c r="Y13" i="1"/>
  <c r="X13" i="1"/>
  <c r="W13" i="1"/>
  <c r="X12" i="1"/>
  <c r="W12" i="1"/>
  <c r="U12" i="1"/>
  <c r="T12" i="1"/>
  <c r="AA14" i="1" l="1"/>
  <c r="AD14" i="1"/>
  <c r="U14" i="1"/>
  <c r="V12" i="1"/>
  <c r="Y12" i="1"/>
  <c r="Z12" i="1"/>
  <c r="AA12" i="1"/>
  <c r="AB12" i="1"/>
  <c r="AC12" i="1"/>
  <c r="AD12" i="1"/>
  <c r="X25" i="1" l="1"/>
  <c r="AD25" i="1" l="1"/>
  <c r="D22" i="8"/>
  <c r="AD24" i="1" s="1"/>
  <c r="D21" i="8"/>
  <c r="AC24" i="1" s="1"/>
  <c r="D20" i="8"/>
  <c r="AB24" i="1" s="1"/>
  <c r="D19" i="8"/>
  <c r="AA24" i="1" s="1"/>
  <c r="D18" i="8"/>
  <c r="Z24" i="1" s="1"/>
  <c r="D17" i="8"/>
  <c r="Y24" i="1" s="1"/>
  <c r="D16" i="8"/>
  <c r="X24" i="1" s="1"/>
  <c r="D15" i="8"/>
  <c r="W24" i="1" s="1"/>
  <c r="D14" i="8"/>
  <c r="V24" i="1" s="1"/>
  <c r="D13" i="8"/>
  <c r="U24" i="1" s="1"/>
  <c r="D12" i="8"/>
  <c r="T24" i="1" s="1"/>
  <c r="S24" i="1"/>
  <c r="C23" i="7"/>
  <c r="B23" i="7"/>
  <c r="D22" i="7"/>
  <c r="AD23" i="1" s="1"/>
  <c r="D21" i="7"/>
  <c r="AC23" i="1" s="1"/>
  <c r="D20" i="7"/>
  <c r="AB23" i="1" s="1"/>
  <c r="D19" i="7"/>
  <c r="AA23" i="1" s="1"/>
  <c r="D18" i="7"/>
  <c r="Z23" i="1" s="1"/>
  <c r="D17" i="7"/>
  <c r="Y23" i="1" s="1"/>
  <c r="D16" i="7"/>
  <c r="X23" i="1" s="1"/>
  <c r="D15" i="7"/>
  <c r="W23" i="1" s="1"/>
  <c r="D14" i="7"/>
  <c r="V23" i="1" s="1"/>
  <c r="D13" i="7"/>
  <c r="U23" i="1" s="1"/>
  <c r="D12" i="7"/>
  <c r="T23" i="1" s="1"/>
  <c r="D11" i="7"/>
  <c r="S23" i="1" s="1"/>
  <c r="AD20" i="1"/>
  <c r="AD19" i="1"/>
  <c r="AC20" i="1"/>
  <c r="AC19" i="1"/>
  <c r="AB20" i="1"/>
  <c r="AB19" i="1"/>
  <c r="AA20" i="1"/>
  <c r="AA19" i="1"/>
  <c r="Z20" i="1"/>
  <c r="Z19" i="1"/>
  <c r="Y20" i="1"/>
  <c r="Y19" i="1"/>
  <c r="X20" i="1"/>
  <c r="X19" i="1"/>
  <c r="W20" i="1"/>
  <c r="W19" i="1"/>
  <c r="V20" i="1"/>
  <c r="V19" i="1"/>
  <c r="U20" i="1"/>
  <c r="U19" i="1"/>
  <c r="T20" i="1"/>
  <c r="T19" i="1"/>
  <c r="S20" i="1"/>
  <c r="S19" i="1"/>
  <c r="E38" i="6"/>
  <c r="AD18" i="1" s="1"/>
  <c r="E37" i="6"/>
  <c r="AC18" i="1" s="1"/>
  <c r="E36" i="6"/>
  <c r="AB18" i="1" s="1"/>
  <c r="E35" i="6"/>
  <c r="AA18" i="1" s="1"/>
  <c r="E34" i="6"/>
  <c r="Z18" i="1" s="1"/>
  <c r="Y18" i="1"/>
  <c r="X18" i="1"/>
  <c r="W18" i="1"/>
  <c r="V18" i="1"/>
  <c r="U18" i="1"/>
  <c r="T18" i="1"/>
  <c r="S18" i="1"/>
  <c r="D22" i="6"/>
  <c r="AD17" i="1" s="1"/>
  <c r="D21" i="6"/>
  <c r="AC17" i="1" s="1"/>
  <c r="D20" i="6"/>
  <c r="AB17" i="1" s="1"/>
  <c r="D19" i="6"/>
  <c r="AA17" i="1" s="1"/>
  <c r="D18" i="6"/>
  <c r="Z17" i="1" s="1"/>
  <c r="D17" i="6"/>
  <c r="Y17" i="1" s="1"/>
  <c r="D16" i="6"/>
  <c r="X17" i="1" s="1"/>
  <c r="D15" i="6"/>
  <c r="W17" i="1" s="1"/>
  <c r="D14" i="6"/>
  <c r="V17" i="1" s="1"/>
  <c r="U17" i="1"/>
  <c r="T17" i="1"/>
  <c r="S17" i="1"/>
  <c r="AD16" i="1"/>
  <c r="AA16" i="1"/>
  <c r="X16" i="1"/>
  <c r="D11" i="5"/>
  <c r="D22" i="4"/>
  <c r="AD15" i="1" s="1"/>
  <c r="D21" i="4"/>
  <c r="AC15" i="1" s="1"/>
  <c r="D20" i="4"/>
  <c r="AB15" i="1" s="1"/>
  <c r="D19" i="4"/>
  <c r="AA15" i="1" s="1"/>
  <c r="D18" i="4"/>
  <c r="Z15" i="1" s="1"/>
  <c r="D17" i="4"/>
  <c r="Y15" i="1" s="1"/>
  <c r="D16" i="4"/>
  <c r="X15" i="1" s="1"/>
  <c r="D15" i="4"/>
  <c r="W15" i="1" s="1"/>
  <c r="D14" i="4"/>
  <c r="V15" i="1" s="1"/>
  <c r="D13" i="4"/>
  <c r="U15" i="1" s="1"/>
  <c r="D12" i="4"/>
  <c r="T15" i="1" s="1"/>
  <c r="D11" i="4"/>
  <c r="AD13" i="1"/>
  <c r="AC13" i="1"/>
  <c r="AB13" i="1"/>
  <c r="AA13" i="1"/>
  <c r="Z13" i="1"/>
  <c r="T11" i="1"/>
  <c r="S11" i="1"/>
  <c r="D22" i="2"/>
  <c r="AD10" i="1" s="1"/>
  <c r="D21" i="2"/>
  <c r="AC10" i="1" s="1"/>
  <c r="D20" i="2"/>
  <c r="AB10" i="1" s="1"/>
  <c r="D19" i="2"/>
  <c r="AA10" i="1" s="1"/>
  <c r="D18" i="2"/>
  <c r="Z10" i="1" s="1"/>
  <c r="D17" i="2"/>
  <c r="Y10" i="1" s="1"/>
  <c r="X10" i="1"/>
  <c r="D15" i="2"/>
  <c r="W10" i="1" s="1"/>
  <c r="D14" i="2"/>
  <c r="V10" i="1" s="1"/>
  <c r="D13" i="2"/>
  <c r="U10" i="1" s="1"/>
  <c r="D12" i="2"/>
  <c r="T10" i="1" s="1"/>
  <c r="D11" i="2"/>
  <c r="S15" i="1" l="1"/>
  <c r="D23" i="4"/>
  <c r="S10" i="1"/>
  <c r="D23" i="2"/>
  <c r="S13" i="1"/>
  <c r="U13" i="1"/>
  <c r="V13" i="1"/>
  <c r="T13" i="1"/>
</calcChain>
</file>

<file path=xl/sharedStrings.xml><?xml version="1.0" encoding="utf-8"?>
<sst xmlns="http://schemas.openxmlformats.org/spreadsheetml/2006/main" count="633" uniqueCount="271">
  <si>
    <t>POLITICA DE  CALIDAD</t>
  </si>
  <si>
    <t>PREMISAS</t>
  </si>
  <si>
    <t>OBJETIVOS</t>
  </si>
  <si>
    <t>INDICADOR</t>
  </si>
  <si>
    <t>FORMULACIÓN</t>
  </si>
  <si>
    <t>META</t>
  </si>
  <si>
    <t>FRECUENCIA</t>
  </si>
  <si>
    <t>FUENTE DE DATOS</t>
  </si>
  <si>
    <t>Mensual</t>
  </si>
  <si>
    <t>Evaluación de seguimiento de asesorías quirúrgicas</t>
  </si>
  <si>
    <t>&gt;70%</t>
  </si>
  <si>
    <t>Trimestral</t>
  </si>
  <si>
    <t>Consolidado de acciones correctivas, preventivas y de mejora.</t>
  </si>
  <si>
    <t>Ejecución del programa de capacitación</t>
  </si>
  <si>
    <t>(Capacitaciones ejecutadas / Capacitaciones planeadas)*100%</t>
  </si>
  <si>
    <t>Cronograma de capacitación</t>
  </si>
  <si>
    <t xml:space="preserve">satisfacer las necesidades y expectativas de especialistas, instituciones del área de la salud y usuarios </t>
  </si>
  <si>
    <t>garantizando el cumplimiento de los requisitos legales exigibles,</t>
  </si>
  <si>
    <t>Garantizar a los clientes confiabilidad con el cumpliento del manual de requisitos de  Capacidad de Almacenamiento y/o Acondicionamiento para dispositivos médicos.</t>
  </si>
  <si>
    <t>Crear estrategías de buen servicio que permitan optimizar el manejo de procesos y recursos con el fin de establecer mecanismos para garantizar la satisfacción del cliente.</t>
  </si>
  <si>
    <t>el mejoramiento continuo de nuestros procesos</t>
  </si>
  <si>
    <t xml:space="preserve">optimización de nuestros  recursos </t>
  </si>
  <si>
    <t xml:space="preserve"> el desarrollo integral de nuestros colaboradores,</t>
  </si>
  <si>
    <t>la consolidación de alianzas estratégicas solidas con nuestros proveedores</t>
  </si>
  <si>
    <t>el fortalecimiento de las relaciones comerciales con los clientes.</t>
  </si>
  <si>
    <t>Respaldar los procesos de importación, comercialización y distribuición a los clientes mediante la recepción, acondicionamento, almacenamiento, manejo y suministro de dispositivo médicos acorde a las normas vigentes de sanidad.</t>
  </si>
  <si>
    <t>Planificar, ejecutar, verificar y retroalimentar el sistema de gestión  de calidad, a través de identificaciones de acciones correctivas, preventivas y de mejora continúa.</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</si>
  <si>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</si>
  <si>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PROCESO</t>
  </si>
  <si>
    <t>RESPONSABLE</t>
  </si>
  <si>
    <t>INVOLUCRADOS DEL PROCESO</t>
  </si>
  <si>
    <t>PERSONAL RELACIONADO</t>
  </si>
  <si>
    <t xml:space="preserve">Importación, comercialización y distribución </t>
  </si>
  <si>
    <t>Almacén Gerencia Administrativa</t>
  </si>
  <si>
    <t>Asistencia Técnica</t>
  </si>
  <si>
    <t>Gestión de Calidad</t>
  </si>
  <si>
    <t>Gestión Administrativa</t>
  </si>
  <si>
    <t>Asistencia Técnica, Almacén, Facturación</t>
  </si>
  <si>
    <t>Coordinador Asistencial</t>
  </si>
  <si>
    <t>Almacén, Gestión Administrativa</t>
  </si>
  <si>
    <t xml:space="preserve">Jefe de Almacén </t>
  </si>
  <si>
    <t>Gerente Administrativa</t>
  </si>
  <si>
    <t>Coordinador de Calidad</t>
  </si>
  <si>
    <t>Asesor Quirúrgico</t>
  </si>
  <si>
    <t>_</t>
  </si>
  <si>
    <t>Auxiliar de Contabilidad</t>
  </si>
  <si>
    <t>Todo el personal de Biosteel De Colombia S.A</t>
  </si>
  <si>
    <t>Auxiliar de Almacén, Asesor Quirúrgico, Auxiliar de Facturación, Auxiliar Administrativo</t>
  </si>
  <si>
    <t>Formato de Seguimiento a Proveedores</t>
  </si>
  <si>
    <t>% de Ordenes de Compra recibidas completas</t>
  </si>
  <si>
    <t>% de cumplimientos de especificaciones técnicas</t>
  </si>
  <si>
    <t>(No. De desviaciones encontradas/ No. De muestras verificadas) X 100</t>
  </si>
  <si>
    <t>Sumatoria del resultado de todas las evaluaciones/ El total de las evaluaciones.</t>
  </si>
  <si>
    <t>&gt;95</t>
  </si>
  <si>
    <t>Formato de Evaluación de Proveedores</t>
  </si>
  <si>
    <t>Evalución de Cumplimiento Proveedores</t>
  </si>
  <si>
    <t>Satisfacción del Cliente</t>
  </si>
  <si>
    <t>Formato de Satisfacción del Cliente</t>
  </si>
  <si>
    <t>Gasto real / Presupuesto</t>
  </si>
  <si>
    <t>% Cumplimiento de presupuesto</t>
  </si>
  <si>
    <t>Formato de Informe de Presupuestos</t>
  </si>
  <si>
    <t>Informes de cuentas por pagar y cuentas por cobrar</t>
  </si>
  <si>
    <t>OBJETIVO</t>
  </si>
  <si>
    <t>FORMULA</t>
  </si>
  <si>
    <t>% de Cumplimiento (&gt;70%)</t>
  </si>
  <si>
    <t>Meses</t>
  </si>
  <si>
    <t>Enero</t>
  </si>
  <si>
    <t>Febrero</t>
  </si>
  <si>
    <t>Marzo</t>
  </si>
  <si>
    <t>Abril</t>
  </si>
  <si>
    <t>Mayo</t>
  </si>
  <si>
    <t>Junio</t>
  </si>
  <si>
    <t>Julio</t>
  </si>
  <si>
    <t>Agosto</t>
  </si>
  <si>
    <t>Septiembre</t>
  </si>
  <si>
    <t>Octubre</t>
  </si>
  <si>
    <t>Noviembre</t>
  </si>
  <si>
    <t>Diciembre</t>
  </si>
  <si>
    <t>No. Ordenes de Compra recibidas Completas</t>
  </si>
  <si>
    <t xml:space="preserve"> % de cumplimientos de especificaciones técnicas</t>
  </si>
  <si>
    <t>(No. Ordenes de Compra recibidas completas/ No. Ordenes totales recibidas)</t>
  </si>
  <si>
    <t>No.  De muestras verificadas</t>
  </si>
  <si>
    <t>(No. Ordenes de Compra recibidas completas/ No. Ordenes recibidas) X 100</t>
  </si>
  <si>
    <t>No. De evaluaciones recibidas satisfactoriamente</t>
  </si>
  <si>
    <t>INDICADORES</t>
  </si>
  <si>
    <t>VERSION: 0</t>
  </si>
  <si>
    <t>Sumatoria del resultado de todas las evaluaciones</t>
  </si>
  <si>
    <t>Sumatoria del resultado de todas las evaluaciones/ El No. total de evaluaciones realizadas.</t>
  </si>
  <si>
    <t>No. total de evaluaciones realizadas.</t>
  </si>
  <si>
    <t>Número de Cirugías canceladas por falta de disponibilidad DM/ Número de Cirugías  programas con requerimientos de DM</t>
  </si>
  <si>
    <t xml:space="preserve">Número de Cirugías  programas con requerimientos de DM </t>
  </si>
  <si>
    <t>Número de Cirugías canceladas por falta de disponibilidad DM</t>
  </si>
  <si>
    <t xml:space="preserve"> % de incumplimiento de disponibilidad de dispositivos médicos</t>
  </si>
  <si>
    <t>Incumplimiento de disponibilidad de dispositivos médicos</t>
  </si>
  <si>
    <t>% Incumplimiento de disponibilidad de DM</t>
  </si>
  <si>
    <t>Formato de Ostesintesis Programas</t>
  </si>
  <si>
    <t>Cierre de planes de acción</t>
  </si>
  <si>
    <t>No.  Total de planes de Accion</t>
  </si>
  <si>
    <t>Planes de acción cerrados / No. Total de planes  de acción</t>
  </si>
  <si>
    <t>Planes de acción cerrados</t>
  </si>
  <si>
    <t>Enero - Marzo</t>
  </si>
  <si>
    <t>Abril - Junio</t>
  </si>
  <si>
    <t>Julio - Septiembre</t>
  </si>
  <si>
    <t>Octubre - Dicembre</t>
  </si>
  <si>
    <t>Responsable: Coordinador De Calidad</t>
  </si>
  <si>
    <t>Responsable: Coordinador Asistencial</t>
  </si>
  <si>
    <t>Consolidar un adecuado manejo financiero a traves de la contabilización adecuada, con el fin de generar confiabilidad entre los stakeholders de la compañía.</t>
  </si>
  <si>
    <t>Cumplimiento de presupuesto</t>
  </si>
  <si>
    <t xml:space="preserve">Gasto real </t>
  </si>
  <si>
    <t>Gasto presupuestado</t>
  </si>
  <si>
    <t>% de Cumplimiento (&gt;90%)</t>
  </si>
  <si>
    <r>
      <rPr>
        <sz val="11"/>
        <color rgb="FFFF0000"/>
        <rFont val="Calibri"/>
        <family val="2"/>
        <scheme val="minor"/>
      </rPr>
      <t xml:space="preserve">     </t>
    </r>
    <r>
      <rPr>
        <sz val="11"/>
        <color theme="1"/>
        <rFont val="Calibri"/>
        <family val="2"/>
        <scheme val="minor"/>
      </rPr>
      <t>Establecer programas de formación permanentes, los cuales permitirán disponer de un personal con mayor nivel de cualificación para desempeñar las actividades comprendidas en el Sistema de gestión.</t>
    </r>
  </si>
  <si>
    <t>Establecer programas de formación permanentes, los cuales permitirán disponer de un personal con mayor nivel de cualificación para desempeñar las actividades comprendidas en el Sistema de gestión</t>
  </si>
  <si>
    <t>Capacitaciones ejecutadas / Capacitaciones planeadas</t>
  </si>
  <si>
    <t xml:space="preserve">Capacitaciones ejecutadas </t>
  </si>
  <si>
    <t>Capacitaciones planeadas</t>
  </si>
  <si>
    <t>Expandir y consolidar la relacion con proveedores buscando nuevas opciones en el mercado, diseñando herramientas y concertando acuerdos para adquirir beneficio mutuo.</t>
  </si>
  <si>
    <t>Calificación (&gt;95)</t>
  </si>
  <si>
    <t>Responsable: Jefe De Almacén</t>
  </si>
  <si>
    <t>PAGINA: 8 DE 8</t>
  </si>
  <si>
    <t>PAGINA: 7 DE 8</t>
  </si>
  <si>
    <t>PAGINA: 6 DE 8</t>
  </si>
  <si>
    <t>PAGINA: 5 DE 8</t>
  </si>
  <si>
    <t>PAGINA: 4 DE 8</t>
  </si>
  <si>
    <t>PAGINA: 3 DE 8</t>
  </si>
  <si>
    <t>PAGINA: 2 DE 8</t>
  </si>
  <si>
    <t>PAGINA: 1 DE 8</t>
  </si>
  <si>
    <t>Total Ventas Mensual</t>
  </si>
  <si>
    <t>Total facturado mensual</t>
  </si>
  <si>
    <t>Total radicado</t>
  </si>
  <si>
    <t>% Cumplimiento Facturado</t>
  </si>
  <si>
    <t>% Cumplimiento Radicado</t>
  </si>
  <si>
    <t xml:space="preserve">Informes de Facturación </t>
  </si>
  <si>
    <t>Total ventas/ Total Facturado</t>
  </si>
  <si>
    <t>Total Facturado/ Total Radicado</t>
  </si>
  <si>
    <t>Líder de Contabilidad y Líder de Facturación</t>
  </si>
  <si>
    <t>Contabilidad Facturación</t>
  </si>
  <si>
    <t xml:space="preserve">% Cumplimiento de Facturación y Radicado
</t>
  </si>
  <si>
    <t>Total ventas/ Total Facturado                                                        Total Facturado/ Total Radicado</t>
  </si>
  <si>
    <t>Evaluaciones de Seguimiento</t>
  </si>
  <si>
    <t>Semestral</t>
  </si>
  <si>
    <t>Almacén, Asistencia Técnica</t>
  </si>
  <si>
    <t>Auxiliar de almacén, Asesor Quirúrgico</t>
  </si>
  <si>
    <t>Reportes de Tecnivigilancia</t>
  </si>
  <si>
    <t>No. De Reportes presentados/ No. De Reportes Notificacos al INVIMA</t>
  </si>
  <si>
    <t>Formato de Eventos o Incidentes Adversos</t>
  </si>
  <si>
    <t>No. De Reportes presentados</t>
  </si>
  <si>
    <t>No. De Reportes Notificacos al INVIMA</t>
  </si>
  <si>
    <t>% de Cumplimiento (100%)</t>
  </si>
  <si>
    <t xml:space="preserve">Ventas - Cuentas por pagar - Gastos </t>
  </si>
  <si>
    <t>Ingresos</t>
  </si>
  <si>
    <t>Gastos</t>
  </si>
  <si>
    <t>Costo</t>
  </si>
  <si>
    <t>Utilidad (&gt;1,000,000,000)</t>
  </si>
  <si>
    <t>Utilidad Mensual</t>
  </si>
  <si>
    <t>CODIGO: FOR-GC-011</t>
  </si>
  <si>
    <t>MATRIZ DE DESPLIEGUE DE POLÍTICA DE CALIDAD DE BIOSTEEL DE COLOMBIA</t>
  </si>
  <si>
    <t>Calificación (&gt;4.5)</t>
  </si>
  <si>
    <t>&gt;4.5</t>
  </si>
  <si>
    <t>N/A</t>
  </si>
  <si>
    <t xml:space="preserve">No. De Reportes Notificados al INVIMA / No. De Reportes Presentados * 100 </t>
  </si>
  <si>
    <t>ENERO</t>
  </si>
  <si>
    <t>FEBRERO</t>
  </si>
  <si>
    <t>MARZO</t>
  </si>
  <si>
    <t>ABRIL</t>
  </si>
  <si>
    <t>MAYO</t>
  </si>
  <si>
    <t>JUNIO</t>
  </si>
  <si>
    <t>JULIO</t>
  </si>
  <si>
    <t>AGOSTO</t>
  </si>
  <si>
    <t>SEPTIEMBRE</t>
  </si>
  <si>
    <t>OCTUBRE</t>
  </si>
  <si>
    <t>NOVIEMBRE</t>
  </si>
  <si>
    <t>DICIEMBRE</t>
  </si>
  <si>
    <t>Facturas Anuladas</t>
  </si>
  <si>
    <t>Facturas anuladas/ Facturas Generadas</t>
  </si>
  <si>
    <t>Cuadro de Control Facturas</t>
  </si>
  <si>
    <t>Facturas Glosadas por EPS/ Facturas Generadas a EPS</t>
  </si>
  <si>
    <t>&lt;5%</t>
  </si>
  <si>
    <t>% Facturas Anuladas</t>
  </si>
  <si>
    <t>% Facturas Glosadas por EPS</t>
  </si>
  <si>
    <t>Facturas Generadas</t>
  </si>
  <si>
    <t>% de Cumplimiento (&lt;5%)</t>
  </si>
  <si>
    <t>Facturas Glosadas/ Facturas Generadas a EPS</t>
  </si>
  <si>
    <t>Notificaciones de Glosas</t>
  </si>
  <si>
    <t>Facturas Glosadas</t>
  </si>
  <si>
    <t>% de Cumplimiento (&lt;30%)</t>
  </si>
  <si>
    <t>&lt;30%</t>
  </si>
  <si>
    <t>Reportes de Tecnovigilancia</t>
  </si>
  <si>
    <t>Responsable: Coordinador Logistico  y Coordinador Asistencial</t>
  </si>
  <si>
    <t>(No. De evaluaciones recibidas satisfactoriamente/ No. De muestras verificadas)</t>
  </si>
  <si>
    <t xml:space="preserve">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t>
  </si>
  <si>
    <t>Coordinador Logistico</t>
  </si>
  <si>
    <t>% de cumplimiento de radicado (&gt;95%)</t>
  </si>
  <si>
    <t>% de cumplimiento de facturación (&gt;90%)</t>
  </si>
  <si>
    <t>Atención a Quejas, Reclamos y/o Sugerencias</t>
  </si>
  <si>
    <t>No. Quejas, reclamosy/o sugerencias  atendidas / a No. De quejas, reclamos y/o Sugerencias presentados * 100</t>
  </si>
  <si>
    <t>Total de quejas, reclamos o sugerencias presentados</t>
  </si>
  <si>
    <t>Total de Quejas, Reclamos o sugerencias atendido</t>
  </si>
  <si>
    <t>Porcentaje de atención de Quejas, Reclamos o sugerencias</t>
  </si>
  <si>
    <t xml:space="preserve">Atención a Quejas, Reclamos y/o Sugerencias  </t>
  </si>
  <si>
    <t>No. Quejas, reclamos o sugerencias recibidos = a No. De quejas y reclamos atendidos</t>
  </si>
  <si>
    <t>Formato de quejas, reclamos o sugerencias</t>
  </si>
  <si>
    <t>Coordinador Logistico, Coordinador Asistencial</t>
  </si>
  <si>
    <t>Coordinador Logistico , Coordinador Asistencial, Gerente Administrativo</t>
  </si>
  <si>
    <t xml:space="preserve"> </t>
  </si>
  <si>
    <t>OBJETIVO GENERAL</t>
  </si>
  <si>
    <t>OBJETIVO ESPECIFICO</t>
  </si>
  <si>
    <t>Evaluar el cumplimiento de entrega de las ordenes de compra de dispositivos medicos mediante el informe mensual de compra.</t>
  </si>
  <si>
    <t>Analizar  a través de las evaluciones de seguimiento y atencion de quejas, reclamos y sugerencias el cumplimiento del servicio, las condiciones del material utilizado y la habilidad del soporte tecnico, con el fin de implementar estrategias de buen servicio para garantizar la satisfaccion del cliente.</t>
  </si>
  <si>
    <t>Verificar la calidad de los materiales de acuerdo a las especificaciones tecnicas del proveedor mediante el recibo a satisfaccion  de mercancia garantizando a los clientes  confiabilidad con el cumplimiento del manual de requisitos de capacidad de almacenamiento y/o acondicionamiento para dispositivos medicos</t>
  </si>
  <si>
    <t>Verificar el cierre de los planes de Accion generados con el fin de comprobar la eficacia del sistema de Gestion de calidad.</t>
  </si>
  <si>
    <t xml:space="preserve">Verificar el cumplimiento del presupuesto,conocer la utilidad generada y comparar lo vendido con lo radicado con el fin de conocer el estado financiero de la Organización. </t>
  </si>
  <si>
    <t>Verificar el cumplimiento y eficacia  del plan de formacion por medio de la evaluacion de capacitacion, la cual nos permita disponer de un personal con mayor nivel de cualificacion para desempeñar las actividades comprometidas en el sistema de gestion.</t>
  </si>
  <si>
    <t>Analizar el cumpliento de nuestros proveedores a traves de un seguimiento mensual para determinar el desempeño con la empresa y consolidar la relacion con el proveedor, creando acuerdos para adquirir beneficios mutuos.</t>
  </si>
  <si>
    <t>Conocer el grado de aceptacion de nuestros clientes mediante la encuesta de satisfaccion con la finalidad de fortalecer las relaciones comerciales, brindandoles credibilidad en la comercializacion de nuestros productos y la prestacion de un buen servicio.</t>
  </si>
  <si>
    <t xml:space="preserve">No. De ordenes de compra totales </t>
  </si>
  <si>
    <t>MESES</t>
  </si>
  <si>
    <t>Almacen
Coordinador Logistico</t>
  </si>
  <si>
    <t>Asistencia Tecnica
Coordinador Asistencial</t>
  </si>
  <si>
    <t>Gestion Humana
Lider de Gestión Humana</t>
  </si>
  <si>
    <t>% Cotizaciones Aprobadas/facturadas</t>
  </si>
  <si>
    <t>Cotizaciones Generadas/ Cotizaciones Facturadas</t>
  </si>
  <si>
    <t xml:space="preserve">Cotizaciones Generadas </t>
  </si>
  <si>
    <t>Cotizaciones Facturadas</t>
  </si>
  <si>
    <t>Responsable: Líder de Contabilidad, Líder de Facturación y Coordinador Logistico</t>
  </si>
  <si>
    <t>Habilidad Soporte Técnico (&gt;4.5)</t>
  </si>
  <si>
    <t>Condiciones del Material Utilizado (&gt;4.5)</t>
  </si>
  <si>
    <t>Cumplimiento del servicio (&gt;4.5)</t>
  </si>
  <si>
    <t>Auxiliar Logistico, Asesor Quirúrgico, Auxiliar Administrativo</t>
  </si>
  <si>
    <t>% de Cotizaciones facturadas (&gt;70%)</t>
  </si>
  <si>
    <t>ANALISIS DE INDICADORES 2019</t>
  </si>
  <si>
    <t>En el mes de Enero se cumplio el objetivo sin ningun tipo de inconvenientes</t>
  </si>
  <si>
    <t>En el mes de Febrero  se alcanzaron los objetivos propuestos en nuestros indicadores, cumpliendo con buenas condiciones del material, , teniendo buen servicio  y siendo oportunos en las asesorias quirurgicas.</t>
  </si>
  <si>
    <t>Sumatoria del resultado de todas las encuestas</t>
  </si>
  <si>
    <t>No. total de encuestas realizadas.</t>
  </si>
  <si>
    <t>Sumatoria del resultado de todas las encuestas/ El total de las encuestas.</t>
  </si>
  <si>
    <t>En el mes de Abril se cumplio el objetivo sin ningun tipo de inconvenientes</t>
  </si>
  <si>
    <t>En el mes de Enero de 2019 se cumplió con el indicador de cumplimiento de especificaciones tecnicas porque los dispositivos fueron recibidos en optimas condiciones.</t>
  </si>
  <si>
    <t>En el mes de Febrero de 2019 se cumplió con el indicador de cumplimiento de especificaciones tecnicas porque los dispositivos fueron recibidos en optimas condiciones.</t>
  </si>
  <si>
    <t>En el mes de Marzo de 2019 se cumplió con el indicador de cumplimiento de especificaciones tecnicas porque los dispositivos fueron recibidos en optimas condiciones.</t>
  </si>
  <si>
    <t>En el mes de Abril de 2019 se cumplió con el indicador de cumplimiento de especificaciones tecnicas porque los dispositivos fueron recibidos en optimas condiciones.</t>
  </si>
  <si>
    <t>En el mes de Mayo de 2019 se cumplió con el indicador de cumplimiento de especificaciones tecnicas porque los dispositivos fueron recibidos en optimas condiciones.</t>
  </si>
  <si>
    <t>En el mes de marzo se cumplio el objetivo a satisfaccion.</t>
  </si>
  <si>
    <t>Mes de mayo el objetivo fue cumplido dentro del promedio del indicdor.</t>
  </si>
  <si>
    <t>Primer trimestre</t>
  </si>
  <si>
    <t>Segundo trimestre</t>
  </si>
  <si>
    <t>Tercer trimestre</t>
  </si>
  <si>
    <t>Cuarto trimestre</t>
  </si>
  <si>
    <t>En el mes de Enero de 2019 se cumplio el objetivo de realizar  el 100% de las capacitaciones programadas las cuales fueron ejecutadas satisfactoriamente por cada proceso de nuestra empresa.</t>
  </si>
  <si>
    <t>En el mes de Febrero de 2019 se logro el cumplimiento de los objetivos propuestos  con un puntaje del 100% , asi mismo las capacitaciones fueron desarrolladas para Bienestar de los empleados de Biosteel de colombia S.A.</t>
  </si>
  <si>
    <t>En el mes de Marzo  se alcanzaron 100% de  los objetivos propuestos en nuestros indicadores, cumpliendo  asi con capacitaciones presenciales y virtuales.</t>
  </si>
  <si>
    <t>En el mes de Abril de 2019 se cumplió con el indicador de capacitaciones tenieno en cuenta las  especificaciones del facilitador  y la importancia de cada tema establecido.</t>
  </si>
  <si>
    <t>En el mes de Mayo  se alcanzaron 100% de  los objetivos propuestos en nuestros indicadores, en este mes se llevaron a cabo las capacitaciones según las necesidad  de cada proceso de Biosteel de colombia S.A.</t>
  </si>
  <si>
    <t>En el mes de Junio de 2019 se logro el objetivo  cumpliendo con el 100% de las  capacitaciones, Estableciendo asi  el sistema de gestion por competencias el cual permitio  desarrollar diferentes habilidades en el Equipo de trabajo de Biosteel de colombia S.A</t>
  </si>
  <si>
    <t xml:space="preserve">En el mes de Enero de 2019 se cumplió con el indicador de incumplimiento de disponibilidad de Dispositivos Medicos debido a que se cumplio con las fechas y tiempos de entregas de lo solicitado. </t>
  </si>
  <si>
    <t xml:space="preserve">En el mes de Febrero de 2019 se cumplió con el indicador de incumplimiento de disponibilidad de Dispositivos Medicos debido a que se cumplio con las fechas y tiempos de entregas de lo solicitado. </t>
  </si>
  <si>
    <t xml:space="preserve">En el mes de Marzo de 2019 se cumplió con el indicador de incumplimiento de disponibilidad de Dispositivos Medicos debido a que se cumplio con las fechas y tiempos de entregas de lo solicitado. </t>
  </si>
  <si>
    <t xml:space="preserve">En el mes de Abril de 2019 se cumplió con el indicador de incumplimiento de disponibilidad de Dispositivos Medicos debido a que se cumplio con las fechas y tiempos de entregas de lo solicitado. </t>
  </si>
  <si>
    <t xml:space="preserve">En el mes de Mayo de 2019 se cumplió con el indicador de incumplimiento de disponibilidad de Dispositivos Medicos debido a que se cumplio con las fechas y tiempos de entregas de lo solicitado. </t>
  </si>
  <si>
    <t xml:space="preserve">En el mes de Junio de 2019 se cumplió con el indicador de incumplimiento de disponibilidad de Dispositivos Medicos debido a que se cumplio con las fechas y tiempos de entregas de lo solicitado. </t>
  </si>
  <si>
    <t>En el mes de Junio de 2019 se cumplió con el indicador de cumplimiento de especificaciones tecnicas porque los dispositivos fueron recibidos en optimas condiciones.</t>
  </si>
  <si>
    <t>En el mes de Julio se llevo acabo las capacitaciones correspondientes a Bienestar Laboral y Gestion de la calidad, Creando espacios beneficiosos para los empleados de nuestra empresa.</t>
  </si>
  <si>
    <t>En el mes de junio, fue alcanzado el objetivo, con un excelente cumplimiento del servicio.</t>
  </si>
  <si>
    <t>En el mes de Julio de 2019 se cumplió con el indicador de cumplimiento de especificaciones tecnicas porque los dispositivos fueron recibidos en optimas condiciones.</t>
  </si>
  <si>
    <t xml:space="preserve">En el mes de Julio de 2019 se cumplió con el indicador de incumplimiento de disponibilidad de Dispositivos Medicos debido a que se cumplio con las fechas y tiempos de entregas de lo solicitado. </t>
  </si>
  <si>
    <t>En el mes de julio se sostuvo el promedio 4.9 en cuanto a cumplimiento de nuestros servicios, condiciones del material utilizado y habilidad del asesor quirurgico.</t>
  </si>
  <si>
    <t>APLICA PARA SEDE</t>
  </si>
  <si>
    <t>Formato de Recibido a satisfacción de DM</t>
  </si>
  <si>
    <t>Responsable: Coordinador  Asistencial</t>
  </si>
  <si>
    <t>Responsable:  Lider de Gestion Humana / coordinador asistencial valle</t>
  </si>
  <si>
    <t>Responsable: Coordinador de Calidad/ asistencial valle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</si>
</sst>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 #,##0_ ;_ * \-#,##0_ ;_ * &quot;-&quot;_ ;_ @_ "/>
    <numFmt numFmtId="165" formatCode="_ &quot;$&quot;\ * #,##0.00_ ;_ &quot;$&quot;\ * \-#,##0.00_ ;_ &quot;$&quot;\ * &quot;-&quot;??_ ;_ @_ "/>
    <numFmt numFmtId="166" formatCode="_ * #,##0.00_ ;_ * \-#,##0.00_ ;_ * &quot;-&quot;??_ ;_ @_ "/>
    <numFmt numFmtId="167" formatCode="0.0"/>
    <numFmt numFmtId="168" formatCode="_ * #,##0_ ;_ * \-#,##0_ ;_ * &quot;-&quot;??_ ;_ @_ "/>
    <numFmt numFmtId="169" formatCode="_-* #,##0.00\ _$_-;\-* #,##0.00\ _$_-;_-* &quot;-&quot;??\ _$_-;_-@_-"/>
    <numFmt numFmtId="170" formatCode="_-* #,##0_-;\-* #,##0_-;_-* &quot;-&quot;??_-;_-@_-"/>
  </numFmts>
  <fonts count="31">
    <font>
      <sz val="11"/>
      <color theme="1"/>
      <name val="Calibri"/>
      <family val="2"/>
      <scheme val="minor"/>
    </font>
    <font>
      <sz val="12"/>
      <color theme="1"/>
      <name val="Tahoma"/>
      <family val="2"/>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b/>
      <sz val="18"/>
      <color theme="1"/>
      <name val="Calibri"/>
      <family val="2"/>
      <scheme val="minor"/>
    </font>
    <font>
      <b/>
      <sz val="11"/>
      <color theme="1"/>
      <name val="Calibri"/>
      <family val="2"/>
      <scheme val="minor"/>
    </font>
    <font>
      <sz val="12"/>
      <color theme="1"/>
      <name val="Calibri"/>
      <family val="2"/>
      <scheme val="minor"/>
    </font>
    <font>
      <sz val="10"/>
      <name val="Calibri"/>
      <family val="2"/>
      <scheme val="minor"/>
    </font>
    <font>
      <b/>
      <sz val="18"/>
      <color theme="3"/>
      <name val="Cambria"/>
      <family val="2"/>
      <scheme val="major"/>
    </font>
    <font>
      <sz val="10"/>
      <name val="Verdana   "/>
    </font>
    <font>
      <sz val="10"/>
      <name val="Verdana"/>
      <family val="2"/>
    </font>
    <font>
      <sz val="10"/>
      <color indexed="8"/>
      <name val="MS Sans Serif"/>
      <family val="2"/>
    </font>
    <font>
      <sz val="11"/>
      <color theme="0"/>
      <name val="Calibri"/>
      <family val="2"/>
      <scheme val="minor"/>
    </font>
    <font>
      <sz val="11"/>
      <color rgb="FF006100"/>
      <name val="Calibri"/>
      <family val="2"/>
      <scheme val="minor"/>
    </font>
    <font>
      <b/>
      <sz val="11"/>
      <color rgb="FFFA7D0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0"/>
      <name val="Calibri"/>
      <family val="2"/>
      <scheme val="minor"/>
    </font>
    <font>
      <sz val="10"/>
      <color indexed="8"/>
      <name val="MS Sans Serif"/>
      <family val="2"/>
    </font>
    <font>
      <b/>
      <sz val="15.95"/>
      <color indexed="8"/>
      <name val="Times New Roman"/>
      <family val="1"/>
    </font>
    <font>
      <sz val="8"/>
      <color theme="1"/>
      <name val="Calibri"/>
      <family val="2"/>
      <scheme val="minor"/>
    </font>
    <font>
      <b/>
      <sz val="48"/>
      <color theme="0"/>
      <name val="Calibri"/>
      <family val="2"/>
      <scheme val="minor"/>
    </font>
  </fonts>
  <fills count="38">
    <fill>
      <patternFill patternType="none"/>
    </fill>
    <fill>
      <patternFill patternType="gray125"/>
    </fill>
    <fill>
      <patternFill patternType="solid">
        <fgColor theme="3" tint="-0.24997711111789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05">
    <xf numFmtId="0" fontId="0" fillId="0" borderId="0"/>
    <xf numFmtId="9"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0" fontId="10" fillId="0" borderId="0" applyNumberFormat="0" applyFill="0" applyBorder="0" applyAlignment="0" applyProtection="0"/>
    <xf numFmtId="0" fontId="1" fillId="0" borderId="0"/>
    <xf numFmtId="0" fontId="2" fillId="0" borderId="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10" borderId="19" applyNumberFormat="0" applyAlignment="0" applyProtection="0"/>
    <xf numFmtId="0" fontId="16" fillId="10" borderId="19" applyNumberFormat="0" applyAlignment="0" applyProtection="0"/>
    <xf numFmtId="0" fontId="16" fillId="10" borderId="19" applyNumberFormat="0" applyAlignment="0" applyProtection="0"/>
    <xf numFmtId="0" fontId="16" fillId="10" borderId="19" applyNumberFormat="0" applyAlignment="0" applyProtection="0"/>
    <xf numFmtId="0" fontId="3" fillId="11" borderId="22" applyNumberFormat="0" applyAlignment="0" applyProtection="0"/>
    <xf numFmtId="0" fontId="3" fillId="11" borderId="22" applyNumberFormat="0" applyAlignment="0" applyProtection="0"/>
    <xf numFmtId="0" fontId="3" fillId="11" borderId="22" applyNumberFormat="0" applyAlignment="0" applyProtection="0"/>
    <xf numFmtId="0" fontId="3" fillId="11" borderId="22" applyNumberFormat="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9" fillId="9" borderId="19" applyNumberFormat="0" applyAlignment="0" applyProtection="0"/>
    <xf numFmtId="0" fontId="19" fillId="9" borderId="19" applyNumberFormat="0" applyAlignment="0" applyProtection="0"/>
    <xf numFmtId="0" fontId="19" fillId="9" borderId="19" applyNumberFormat="0" applyAlignment="0" applyProtection="0"/>
    <xf numFmtId="0" fontId="19" fillId="9" borderId="19" applyNumberFormat="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13" fillId="0" borderId="0"/>
    <xf numFmtId="0" fontId="11" fillId="0" borderId="0"/>
    <xf numFmtId="0" fontId="11" fillId="0" borderId="0"/>
    <xf numFmtId="0" fontId="11" fillId="0" borderId="0"/>
    <xf numFmtId="0" fontId="13" fillId="0" borderId="0"/>
    <xf numFmtId="0" fontId="13" fillId="0" borderId="0"/>
    <xf numFmtId="0" fontId="11" fillId="0" borderId="0"/>
    <xf numFmtId="0" fontId="13" fillId="0" borderId="0"/>
    <xf numFmtId="0" fontId="13" fillId="0" borderId="0"/>
    <xf numFmtId="0" fontId="2" fillId="0" borderId="0"/>
    <xf numFmtId="0" fontId="11" fillId="0" borderId="0"/>
    <xf numFmtId="0" fontId="11" fillId="0" borderId="0"/>
    <xf numFmtId="0" fontId="11" fillId="0" borderId="0"/>
    <xf numFmtId="0" fontId="13" fillId="0" borderId="0"/>
    <xf numFmtId="0" fontId="12" fillId="0" borderId="0"/>
    <xf numFmtId="0" fontId="12" fillId="0" borderId="0"/>
    <xf numFmtId="0" fontId="13" fillId="0" borderId="0"/>
    <xf numFmtId="0" fontId="2" fillId="0" borderId="0"/>
    <xf numFmtId="0" fontId="2" fillId="0" borderId="0"/>
    <xf numFmtId="0" fontId="1" fillId="0" borderId="0"/>
    <xf numFmtId="0" fontId="13" fillId="0" borderId="0"/>
    <xf numFmtId="0" fontId="2" fillId="0" borderId="0"/>
    <xf numFmtId="0" fontId="2" fillId="12" borderId="23" applyNumberFormat="0" applyFont="0" applyAlignment="0" applyProtection="0"/>
    <xf numFmtId="0" fontId="2" fillId="12" borderId="23" applyNumberFormat="0" applyFont="0" applyAlignment="0" applyProtection="0"/>
    <xf numFmtId="0" fontId="2" fillId="12" borderId="23" applyNumberFormat="0" applyFont="0" applyAlignment="0" applyProtection="0"/>
    <xf numFmtId="0" fontId="2" fillId="12" borderId="23"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2" fillId="10" borderId="20" applyNumberFormat="0" applyAlignment="0" applyProtection="0"/>
    <xf numFmtId="0" fontId="22" fillId="10" borderId="20" applyNumberFormat="0" applyAlignment="0" applyProtection="0"/>
    <xf numFmtId="0" fontId="22" fillId="10" borderId="20" applyNumberFormat="0" applyAlignment="0" applyProtection="0"/>
    <xf numFmtId="0" fontId="22" fillId="10" borderId="20" applyNumberFormat="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16" applyNumberFormat="0" applyFill="0" applyAlignment="0" applyProtection="0"/>
    <xf numFmtId="0" fontId="24" fillId="0" borderId="16" applyNumberFormat="0" applyFill="0" applyAlignment="0" applyProtection="0"/>
    <xf numFmtId="0" fontId="24" fillId="0" borderId="16" applyNumberFormat="0" applyFill="0" applyAlignment="0" applyProtection="0"/>
    <xf numFmtId="0" fontId="24" fillId="0" borderId="16"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27" fillId="0" borderId="0"/>
    <xf numFmtId="169" fontId="28" fillId="0" borderId="0" applyFont="0" applyFill="0" applyBorder="0" applyAlignment="0" applyProtection="0"/>
    <xf numFmtId="0" fontId="13" fillId="0" borderId="0"/>
  </cellStyleXfs>
  <cellXfs count="244">
    <xf numFmtId="0" fontId="0" fillId="0" borderId="0" xfId="0"/>
    <xf numFmtId="0" fontId="0" fillId="0" borderId="0" xfId="0" applyFont="1"/>
    <xf numFmtId="0" fontId="3" fillId="2" borderId="12" xfId="0" applyFont="1" applyFill="1" applyBorder="1" applyAlignment="1">
      <alignment horizontal="center" vertical="center"/>
    </xf>
    <xf numFmtId="0" fontId="3" fillId="2" borderId="12"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2" xfId="0" applyFont="1" applyFill="1" applyBorder="1" applyAlignment="1">
      <alignment horizontal="center" vertical="center"/>
    </xf>
    <xf numFmtId="9" fontId="0" fillId="0" borderId="0" xfId="1" applyFont="1"/>
    <xf numFmtId="0" fontId="3" fillId="2" borderId="10" xfId="0" applyFont="1" applyFill="1" applyBorder="1" applyAlignment="1">
      <alignment horizontal="center" vertical="center"/>
    </xf>
    <xf numFmtId="0" fontId="3" fillId="2" borderId="10"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2" xfId="0" applyFont="1" applyFill="1" applyBorder="1" applyAlignment="1">
      <alignment horizontal="center" vertical="center"/>
    </xf>
    <xf numFmtId="9" fontId="5" fillId="3" borderId="12" xfId="0" applyNumberFormat="1" applyFont="1" applyFill="1" applyBorder="1" applyAlignment="1">
      <alignment horizontal="center" vertical="center"/>
    </xf>
    <xf numFmtId="167" fontId="5" fillId="3" borderId="12" xfId="0" applyNumberFormat="1" applyFont="1" applyFill="1" applyBorder="1" applyAlignment="1">
      <alignment horizontal="center" vertical="center"/>
    </xf>
    <xf numFmtId="0" fontId="0" fillId="3" borderId="10" xfId="0" applyFont="1" applyFill="1" applyBorder="1" applyAlignment="1">
      <alignment horizontal="center" vertical="center" wrapText="1"/>
    </xf>
    <xf numFmtId="0" fontId="0" fillId="3" borderId="0" xfId="0" applyFont="1" applyFill="1" applyAlignment="1">
      <alignment horizontal="center" vertical="center" wrapText="1"/>
    </xf>
    <xf numFmtId="0" fontId="0" fillId="3" borderId="12" xfId="0" applyFont="1" applyFill="1" applyBorder="1" applyAlignment="1">
      <alignment horizontal="center" vertical="center" wrapText="1"/>
    </xf>
    <xf numFmtId="0" fontId="0" fillId="0" borderId="4" xfId="0" applyBorder="1"/>
    <xf numFmtId="0" fontId="0" fillId="0" borderId="6" xfId="0" applyBorder="1"/>
    <xf numFmtId="0" fontId="0" fillId="0" borderId="12" xfId="0" applyBorder="1"/>
    <xf numFmtId="0" fontId="0" fillId="4" borderId="12" xfId="0" applyFill="1" applyBorder="1"/>
    <xf numFmtId="9" fontId="0" fillId="0" borderId="12" xfId="1" applyFont="1" applyBorder="1"/>
    <xf numFmtId="0" fontId="0" fillId="2" borderId="0" xfId="0" applyFill="1" applyBorder="1" applyAlignment="1">
      <alignment vertical="center"/>
    </xf>
    <xf numFmtId="0" fontId="0" fillId="2" borderId="0" xfId="0" applyFill="1" applyBorder="1" applyAlignment="1">
      <alignment horizontal="left" wrapText="1"/>
    </xf>
    <xf numFmtId="0" fontId="0" fillId="2" borderId="0" xfId="0" applyFill="1"/>
    <xf numFmtId="0" fontId="0" fillId="4" borderId="13" xfId="0" applyFill="1" applyBorder="1"/>
    <xf numFmtId="0" fontId="0" fillId="0" borderId="0" xfId="0" applyBorder="1"/>
    <xf numFmtId="0" fontId="7" fillId="0" borderId="12" xfId="0" applyFont="1" applyBorder="1" applyAlignment="1">
      <alignment vertical="center"/>
    </xf>
    <xf numFmtId="0" fontId="8" fillId="0" borderId="0" xfId="0" applyFont="1" applyFill="1" applyBorder="1"/>
    <xf numFmtId="0" fontId="0" fillId="0" borderId="5" xfId="0" applyBorder="1"/>
    <xf numFmtId="0" fontId="8" fillId="0" borderId="4" xfId="0" applyFont="1" applyFill="1" applyBorder="1"/>
    <xf numFmtId="0" fontId="0" fillId="0" borderId="8" xfId="0" applyBorder="1"/>
    <xf numFmtId="0" fontId="0" fillId="0" borderId="7" xfId="0" applyBorder="1"/>
    <xf numFmtId="2" fontId="0" fillId="2" borderId="0" xfId="0" applyNumberFormat="1" applyFill="1" applyBorder="1" applyAlignment="1">
      <alignment horizontal="left" wrapText="1"/>
    </xf>
    <xf numFmtId="2" fontId="3" fillId="2" borderId="12" xfId="0" applyNumberFormat="1" applyFont="1" applyFill="1" applyBorder="1" applyAlignment="1">
      <alignment horizontal="center" vertical="center" wrapText="1"/>
    </xf>
    <xf numFmtId="2" fontId="0" fillId="0" borderId="0" xfId="0" applyNumberFormat="1" applyBorder="1"/>
    <xf numFmtId="2" fontId="0" fillId="0" borderId="8" xfId="0" applyNumberFormat="1" applyBorder="1"/>
    <xf numFmtId="2" fontId="0" fillId="0" borderId="0" xfId="0" applyNumberFormat="1"/>
    <xf numFmtId="0" fontId="0"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9" fontId="0" fillId="0" borderId="12" xfId="1" applyFont="1" applyBorder="1" applyAlignment="1">
      <alignment horizontal="center"/>
    </xf>
    <xf numFmtId="0" fontId="0" fillId="0" borderId="0" xfId="0" applyBorder="1" applyAlignment="1">
      <alignment horizontal="center" vertical="center" wrapText="1"/>
    </xf>
    <xf numFmtId="0" fontId="0" fillId="0" borderId="5" xfId="0" applyBorder="1" applyAlignment="1">
      <alignment horizontal="center" vertical="center" wrapText="1"/>
    </xf>
    <xf numFmtId="9" fontId="0" fillId="0" borderId="0" xfId="1" applyFont="1" applyBorder="1" applyAlignment="1">
      <alignment horizontal="center"/>
    </xf>
    <xf numFmtId="0" fontId="0" fillId="0" borderId="4" xfId="0" applyFill="1" applyBorder="1"/>
    <xf numFmtId="165" fontId="0" fillId="0" borderId="0" xfId="2" applyFont="1" applyFill="1" applyBorder="1" applyAlignment="1">
      <alignment horizontal="right" vertical="center" wrapText="1"/>
    </xf>
    <xf numFmtId="9" fontId="7" fillId="0" borderId="0" xfId="1" applyFont="1" applyFill="1" applyBorder="1" applyAlignment="1">
      <alignment horizontal="center" vertical="center"/>
    </xf>
    <xf numFmtId="3" fontId="7" fillId="0" borderId="0" xfId="1" applyNumberFormat="1" applyFont="1" applyFill="1" applyBorder="1" applyAlignment="1">
      <alignment horizontal="center" vertical="center"/>
    </xf>
    <xf numFmtId="0" fontId="7" fillId="0" borderId="13" xfId="0" applyFont="1" applyBorder="1" applyAlignment="1">
      <alignment vertical="center"/>
    </xf>
    <xf numFmtId="164" fontId="0" fillId="0" borderId="12" xfId="2" applyNumberFormat="1" applyFont="1" applyFill="1" applyBorder="1" applyAlignment="1">
      <alignment horizontal="right" vertical="center" wrapText="1"/>
    </xf>
    <xf numFmtId="9" fontId="0" fillId="3" borderId="12" xfId="0" applyNumberFormat="1" applyFont="1" applyFill="1" applyBorder="1" applyAlignment="1">
      <alignment horizontal="center" vertical="center"/>
    </xf>
    <xf numFmtId="0" fontId="5" fillId="3" borderId="12" xfId="0" applyFont="1" applyFill="1" applyBorder="1" applyAlignment="1">
      <alignment horizontal="center" vertical="center" wrapText="1"/>
    </xf>
    <xf numFmtId="167" fontId="0" fillId="0" borderId="12" xfId="0" applyNumberFormat="1" applyBorder="1"/>
    <xf numFmtId="0" fontId="3" fillId="2" borderId="12" xfId="0" applyFont="1" applyFill="1" applyBorder="1" applyAlignment="1">
      <alignment horizontal="center" vertical="center"/>
    </xf>
    <xf numFmtId="0" fontId="3" fillId="2" borderId="12" xfId="0" applyFont="1" applyFill="1" applyBorder="1" applyAlignment="1">
      <alignment horizontal="center" vertical="center" wrapText="1"/>
    </xf>
    <xf numFmtId="1" fontId="0" fillId="0" borderId="12" xfId="0" applyNumberFormat="1" applyBorder="1" applyAlignment="1">
      <alignment horizontal="center"/>
    </xf>
    <xf numFmtId="1" fontId="0" fillId="0" borderId="0" xfId="0" applyNumberFormat="1" applyBorder="1" applyAlignment="1">
      <alignment horizontal="center"/>
    </xf>
    <xf numFmtId="9" fontId="0" fillId="0" borderId="0" xfId="1" applyFont="1" applyBorder="1"/>
    <xf numFmtId="9" fontId="5" fillId="3" borderId="12" xfId="1" applyFont="1" applyFill="1" applyBorder="1" applyAlignment="1">
      <alignment horizontal="center" vertical="center"/>
    </xf>
    <xf numFmtId="0" fontId="0" fillId="3"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168" fontId="0" fillId="0" borderId="12" xfId="3" applyNumberFormat="1" applyFont="1" applyBorder="1"/>
    <xf numFmtId="168" fontId="0" fillId="0" borderId="12" xfId="0" applyNumberFormat="1" applyBorder="1"/>
    <xf numFmtId="164" fontId="3" fillId="2" borderId="15" xfId="0" applyNumberFormat="1" applyFont="1" applyFill="1" applyBorder="1" applyAlignment="1">
      <alignment horizontal="center" vertical="center" wrapText="1"/>
    </xf>
    <xf numFmtId="164" fontId="0" fillId="3" borderId="12" xfId="0" applyNumberFormat="1" applyFont="1" applyFill="1" applyBorder="1" applyAlignment="1">
      <alignment horizontal="center" vertical="center"/>
    </xf>
    <xf numFmtId="0" fontId="5" fillId="3" borderId="0" xfId="0" applyFont="1" applyFill="1" applyAlignment="1">
      <alignment horizontal="center" vertical="center"/>
    </xf>
    <xf numFmtId="0" fontId="0" fillId="2" borderId="4" xfId="0" applyFill="1" applyBorder="1" applyAlignment="1">
      <alignment vertical="center"/>
    </xf>
    <xf numFmtId="0" fontId="0" fillId="2" borderId="0" xfId="0" applyFill="1" applyBorder="1"/>
    <xf numFmtId="0" fontId="0" fillId="2" borderId="5" xfId="0" applyFill="1" applyBorder="1"/>
    <xf numFmtId="165" fontId="0" fillId="0" borderId="0" xfId="0" applyNumberFormat="1"/>
    <xf numFmtId="164" fontId="0" fillId="0" borderId="0" xfId="0" applyNumberFormat="1" applyBorder="1" applyAlignment="1">
      <alignment horizontal="center" vertical="center" wrapText="1"/>
    </xf>
    <xf numFmtId="1" fontId="0" fillId="0" borderId="12" xfId="1" applyNumberFormat="1" applyFont="1" applyBorder="1" applyAlignment="1">
      <alignment horizont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0" fillId="5" borderId="0" xfId="0" applyFont="1" applyFill="1"/>
    <xf numFmtId="0" fontId="0" fillId="5" borderId="0" xfId="0" applyFill="1"/>
    <xf numFmtId="49" fontId="0" fillId="3" borderId="12" xfId="0" applyNumberFormat="1" applyFont="1" applyFill="1" applyBorder="1" applyAlignment="1">
      <alignment horizontal="center" vertical="center"/>
    </xf>
    <xf numFmtId="167" fontId="0" fillId="3" borderId="12" xfId="0" applyNumberFormat="1" applyFont="1" applyFill="1" applyBorder="1" applyAlignment="1">
      <alignment horizontal="center" vertical="center"/>
    </xf>
    <xf numFmtId="0" fontId="0" fillId="3" borderId="12" xfId="0" applyFill="1" applyBorder="1" applyAlignment="1">
      <alignment horizontal="center" vertical="center"/>
    </xf>
    <xf numFmtId="9" fontId="0" fillId="3" borderId="12" xfId="0" applyNumberFormat="1" applyFill="1" applyBorder="1" applyAlignment="1">
      <alignment horizontal="center" vertical="center"/>
    </xf>
    <xf numFmtId="1" fontId="0" fillId="3" borderId="12" xfId="0" applyNumberFormat="1" applyFont="1" applyFill="1" applyBorder="1" applyAlignment="1">
      <alignment horizontal="center" vertical="center"/>
    </xf>
    <xf numFmtId="167" fontId="0" fillId="3" borderId="12" xfId="2" applyNumberFormat="1" applyFont="1" applyFill="1" applyBorder="1" applyAlignment="1">
      <alignment horizontal="center" vertical="center"/>
    </xf>
    <xf numFmtId="0" fontId="8" fillId="0" borderId="6" xfId="0" applyFont="1" applyFill="1" applyBorder="1"/>
    <xf numFmtId="0" fontId="3" fillId="2" borderId="13" xfId="0" applyFont="1" applyFill="1" applyBorder="1" applyAlignment="1">
      <alignment horizontal="center" vertical="center" wrapText="1"/>
    </xf>
    <xf numFmtId="168" fontId="2" fillId="0" borderId="12" xfId="132" applyNumberFormat="1" applyFont="1" applyBorder="1" applyProtection="1">
      <protection locked="0"/>
    </xf>
    <xf numFmtId="168" fontId="26" fillId="0" borderId="12" xfId="132" applyNumberFormat="1" applyFont="1" applyBorder="1"/>
    <xf numFmtId="0" fontId="0" fillId="0" borderId="12" xfId="0" applyBorder="1" applyAlignment="1">
      <alignment horizontal="center"/>
    </xf>
    <xf numFmtId="0" fontId="0" fillId="0" borderId="12" xfId="0" applyBorder="1" applyAlignment="1">
      <alignment horizontal="center"/>
    </xf>
    <xf numFmtId="0" fontId="0" fillId="0" borderId="12" xfId="0" applyBorder="1" applyAlignment="1">
      <alignment horizontal="center"/>
    </xf>
    <xf numFmtId="0" fontId="3" fillId="2" borderId="10"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0" borderId="12" xfId="0" applyBorder="1" applyAlignment="1">
      <alignment horizontal="center"/>
    </xf>
    <xf numFmtId="168" fontId="0" fillId="0" borderId="0" xfId="0" applyNumberFormat="1"/>
    <xf numFmtId="0" fontId="7" fillId="0" borderId="4" xfId="0" applyFont="1" applyBorder="1" applyAlignment="1">
      <alignment vertical="center"/>
    </xf>
    <xf numFmtId="0" fontId="7" fillId="0" borderId="0" xfId="0" applyFont="1" applyAlignment="1">
      <alignment vertic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5" fillId="0" borderId="12" xfId="0" applyFont="1" applyFill="1" applyBorder="1" applyAlignment="1">
      <alignment vertical="center" wrapText="1"/>
    </xf>
    <xf numFmtId="0" fontId="29" fillId="0" borderId="0" xfId="0" applyFont="1"/>
    <xf numFmtId="0" fontId="0" fillId="0" borderId="12" xfId="0" applyBorder="1" applyAlignment="1">
      <alignment horizontal="center" vertical="center"/>
    </xf>
    <xf numFmtId="0" fontId="0" fillId="0" borderId="0" xfId="0" applyAlignment="1">
      <alignment horizontal="center" vertical="center"/>
    </xf>
    <xf numFmtId="0" fontId="0" fillId="5" borderId="0" xfId="0" applyFill="1" applyBorder="1"/>
    <xf numFmtId="0" fontId="0" fillId="5" borderId="5" xfId="0" applyFill="1" applyBorder="1"/>
    <xf numFmtId="0" fontId="7" fillId="0" borderId="0" xfId="0" applyFont="1" applyBorder="1" applyAlignment="1">
      <alignment vertical="center"/>
    </xf>
    <xf numFmtId="0" fontId="7" fillId="0" borderId="1" xfId="0" applyFont="1" applyBorder="1" applyAlignment="1">
      <alignment vertical="center"/>
    </xf>
    <xf numFmtId="0" fontId="0" fillId="5" borderId="8" xfId="0" applyFill="1" applyBorder="1"/>
    <xf numFmtId="0" fontId="0" fillId="5" borderId="7" xfId="0" applyFill="1" applyBorder="1"/>
    <xf numFmtId="0" fontId="3" fillId="2" borderId="12" xfId="0" applyFont="1" applyFill="1" applyBorder="1" applyAlignment="1">
      <alignment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164" fontId="2" fillId="0" borderId="12" xfId="2" applyNumberFormat="1" applyFont="1" applyFill="1" applyBorder="1" applyAlignment="1">
      <alignment horizontal="center" vertical="center"/>
    </xf>
    <xf numFmtId="0" fontId="0" fillId="0" borderId="12" xfId="0" applyBorder="1" applyAlignment="1">
      <alignment horizontal="center"/>
    </xf>
    <xf numFmtId="0" fontId="5" fillId="0" borderId="12" xfId="0" applyFont="1" applyFill="1" applyBorder="1" applyAlignment="1">
      <alignment horizontal="center" vertical="center" wrapText="1"/>
    </xf>
    <xf numFmtId="0" fontId="5" fillId="0" borderId="1" xfId="0" applyFont="1" applyFill="1" applyBorder="1" applyAlignment="1">
      <alignment horizontal="center" vertical="center" wrapText="1"/>
    </xf>
    <xf numFmtId="168" fontId="26" fillId="0" borderId="12" xfId="132" applyNumberFormat="1" applyFont="1" applyFill="1" applyBorder="1"/>
    <xf numFmtId="0" fontId="0" fillId="0" borderId="12" xfId="0" applyFill="1" applyBorder="1"/>
    <xf numFmtId="0" fontId="5" fillId="0" borderId="12" xfId="0" applyFont="1" applyFill="1" applyBorder="1" applyAlignment="1">
      <alignment vertical="center" wrapText="1"/>
    </xf>
    <xf numFmtId="0" fontId="9" fillId="0" borderId="12" xfId="0" applyFont="1" applyFill="1" applyBorder="1" applyAlignment="1">
      <alignment vertical="center" wrapText="1"/>
    </xf>
    <xf numFmtId="0" fontId="3" fillId="2" borderId="12" xfId="0" applyFont="1" applyFill="1" applyBorder="1" applyAlignment="1">
      <alignment horizontal="center" vertical="center" textRotation="45"/>
    </xf>
    <xf numFmtId="168" fontId="2" fillId="37" borderId="12" xfId="132" applyNumberFormat="1" applyFont="1" applyFill="1" applyBorder="1" applyProtection="1">
      <protection locked="0"/>
    </xf>
    <xf numFmtId="168" fontId="4" fillId="37" borderId="12" xfId="0" applyNumberFormat="1" applyFont="1" applyFill="1" applyBorder="1"/>
    <xf numFmtId="168" fontId="0" fillId="37" borderId="12" xfId="3" applyNumberFormat="1" applyFont="1" applyFill="1" applyBorder="1"/>
    <xf numFmtId="168" fontId="0" fillId="37" borderId="12" xfId="0" applyNumberFormat="1" applyFill="1" applyBorder="1"/>
    <xf numFmtId="170" fontId="0" fillId="0" borderId="12" xfId="3" applyNumberFormat="1" applyFont="1" applyBorder="1"/>
    <xf numFmtId="0" fontId="0" fillId="4" borderId="14" xfId="0" applyFill="1" applyBorder="1"/>
    <xf numFmtId="0" fontId="0" fillId="0" borderId="14" xfId="0" applyBorder="1"/>
    <xf numFmtId="9" fontId="0" fillId="0" borderId="14" xfId="1" applyFont="1" applyBorder="1"/>
    <xf numFmtId="9" fontId="0" fillId="0" borderId="0" xfId="0" applyNumberFormat="1" applyBorder="1"/>
    <xf numFmtId="0" fontId="0" fillId="4" borderId="0" xfId="0" applyFill="1" applyBorder="1"/>
    <xf numFmtId="0" fontId="5" fillId="0" borderId="9" xfId="0" applyFont="1" applyFill="1" applyBorder="1" applyAlignment="1">
      <alignment vertical="center" wrapText="1"/>
    </xf>
    <xf numFmtId="0" fontId="5" fillId="0" borderId="10" xfId="0" applyFont="1" applyFill="1" applyBorder="1" applyAlignment="1">
      <alignment vertical="center" wrapText="1"/>
    </xf>
    <xf numFmtId="0" fontId="0" fillId="0" borderId="12" xfId="0" applyBorder="1" applyAlignment="1">
      <alignment vertical="center" wrapText="1"/>
    </xf>
    <xf numFmtId="0" fontId="3"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0" fillId="0" borderId="12" xfId="0" applyBorder="1" applyAlignment="1">
      <alignment horizontal="center" vertical="center"/>
    </xf>
    <xf numFmtId="0" fontId="5" fillId="3" borderId="15"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6" fillId="0" borderId="12" xfId="0" applyFont="1" applyBorder="1" applyAlignment="1">
      <alignment horizontal="center" vertical="center"/>
    </xf>
    <xf numFmtId="0" fontId="3" fillId="2" borderId="12" xfId="0" applyFont="1" applyFill="1" applyBorder="1" applyAlignment="1">
      <alignment horizontal="center" vertical="center" wrapText="1"/>
    </xf>
    <xf numFmtId="0" fontId="9" fillId="3" borderId="12" xfId="0" applyFont="1" applyFill="1" applyBorder="1" applyAlignment="1">
      <alignment horizontal="left" vertical="center" wrapText="1"/>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11"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5" fillId="0" borderId="12"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2" borderId="14" xfId="0" applyFill="1" applyBorder="1" applyAlignment="1">
      <alignment horizontal="center"/>
    </xf>
    <xf numFmtId="0" fontId="0" fillId="0" borderId="12" xfId="0" applyBorder="1" applyAlignment="1">
      <alignment horizontal="center"/>
    </xf>
    <xf numFmtId="0" fontId="0" fillId="0" borderId="12" xfId="0" applyBorder="1" applyAlignment="1">
      <alignment horizontal="left"/>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0" fillId="0" borderId="1" xfId="0" applyBorder="1" applyAlignment="1">
      <alignment horizontal="left" wrapText="1"/>
    </xf>
    <xf numFmtId="0" fontId="0" fillId="0" borderId="3" xfId="0" applyBorder="1" applyAlignment="1">
      <alignment horizontal="left" wrapText="1"/>
    </xf>
    <xf numFmtId="0" fontId="0" fillId="0" borderId="2" xfId="0" applyBorder="1" applyAlignment="1">
      <alignment horizontal="left" wrapText="1"/>
    </xf>
    <xf numFmtId="0" fontId="0" fillId="0" borderId="6" xfId="0" applyBorder="1" applyAlignment="1">
      <alignment horizontal="left" wrapText="1"/>
    </xf>
    <xf numFmtId="0" fontId="0" fillId="0" borderId="8" xfId="0" applyBorder="1" applyAlignment="1">
      <alignment horizontal="left" wrapText="1"/>
    </xf>
    <xf numFmtId="0" fontId="0" fillId="0" borderId="7" xfId="0" applyBorder="1" applyAlignment="1">
      <alignment horizontal="left" wrapText="1"/>
    </xf>
    <xf numFmtId="0" fontId="5" fillId="0" borderId="1"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2" xfId="0" applyFont="1" applyFill="1" applyBorder="1" applyAlignment="1">
      <alignment horizontal="left" vertical="center" wrapText="1"/>
    </xf>
    <xf numFmtId="0" fontId="3" fillId="5" borderId="0"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0" fillId="0" borderId="9"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left" vertical="center" wrapText="1"/>
    </xf>
    <xf numFmtId="0" fontId="0" fillId="2" borderId="12" xfId="0" applyFill="1" applyBorder="1" applyAlignment="1">
      <alignment horizontal="center"/>
    </xf>
    <xf numFmtId="0" fontId="7" fillId="0" borderId="12" xfId="0" applyFont="1" applyBorder="1" applyAlignment="1">
      <alignment horizontal="center" vertical="center"/>
    </xf>
    <xf numFmtId="0" fontId="0" fillId="0" borderId="12" xfId="0" applyBorder="1" applyAlignment="1">
      <alignment horizontal="left" vertical="center" wrapText="1"/>
    </xf>
    <xf numFmtId="0" fontId="0" fillId="4" borderId="13"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4" xfId="0" applyFill="1" applyBorder="1" applyAlignment="1">
      <alignment horizontal="center" vertical="center" wrapText="1"/>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9" fontId="0" fillId="0" borderId="13" xfId="1" applyFont="1" applyBorder="1" applyAlignment="1">
      <alignment horizontal="center" vertical="center"/>
    </xf>
    <xf numFmtId="9" fontId="0" fillId="0" borderId="15" xfId="1" applyFont="1" applyBorder="1" applyAlignment="1">
      <alignment horizontal="center" vertical="center"/>
    </xf>
    <xf numFmtId="9" fontId="0" fillId="0" borderId="14" xfId="1" applyFont="1" applyBorder="1" applyAlignment="1">
      <alignment horizontal="center" vertical="center"/>
    </xf>
    <xf numFmtId="0" fontId="5" fillId="0" borderId="9"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7" fillId="0" borderId="3" xfId="0" applyFont="1" applyBorder="1" applyAlignment="1">
      <alignment horizontal="center" vertical="center"/>
    </xf>
    <xf numFmtId="0" fontId="0" fillId="2" borderId="9" xfId="0" applyFill="1" applyBorder="1" applyAlignment="1">
      <alignment horizontal="center"/>
    </xf>
    <xf numFmtId="0" fontId="0" fillId="2" borderId="11" xfId="0" applyFill="1" applyBorder="1" applyAlignment="1">
      <alignment horizontal="center"/>
    </xf>
    <xf numFmtId="0" fontId="0" fillId="2" borderId="10" xfId="0" applyFill="1" applyBorder="1" applyAlignment="1">
      <alignment horizontal="center"/>
    </xf>
    <xf numFmtId="0" fontId="5" fillId="0" borderId="9" xfId="0" applyFont="1" applyFill="1" applyBorder="1" applyAlignment="1">
      <alignment horizontal="center" vertical="top" wrapText="1"/>
    </xf>
    <xf numFmtId="0" fontId="5" fillId="0" borderId="11" xfId="0" applyFont="1" applyFill="1" applyBorder="1" applyAlignment="1">
      <alignment horizontal="center" vertical="top" wrapText="1"/>
    </xf>
    <xf numFmtId="0" fontId="5" fillId="0" borderId="10" xfId="0" applyFont="1" applyFill="1" applyBorder="1" applyAlignment="1">
      <alignment horizontal="center" vertical="top" wrapText="1"/>
    </xf>
    <xf numFmtId="0" fontId="0" fillId="0" borderId="12" xfId="0" applyBorder="1" applyAlignment="1">
      <alignment horizontal="left" wrapText="1"/>
    </xf>
    <xf numFmtId="0" fontId="0" fillId="4" borderId="12" xfId="0" applyFill="1" applyBorder="1" applyAlignment="1">
      <alignment horizontal="center" vertical="center" wrapText="1"/>
    </xf>
    <xf numFmtId="0" fontId="0" fillId="0" borderId="12" xfId="0" applyBorder="1" applyAlignment="1">
      <alignment horizontal="center" vertical="center"/>
    </xf>
    <xf numFmtId="2" fontId="0" fillId="0" borderId="12" xfId="1" applyNumberFormat="1" applyFont="1" applyBorder="1" applyAlignment="1">
      <alignment horizontal="center" vertical="center"/>
    </xf>
    <xf numFmtId="167" fontId="0" fillId="0" borderId="12" xfId="1" applyNumberFormat="1" applyFont="1" applyBorder="1" applyAlignment="1">
      <alignment horizontal="center" vertical="center"/>
    </xf>
    <xf numFmtId="2" fontId="0" fillId="0" borderId="13" xfId="1" applyNumberFormat="1" applyFont="1" applyBorder="1" applyAlignment="1">
      <alignment horizontal="center" vertical="center"/>
    </xf>
    <xf numFmtId="2" fontId="0" fillId="0" borderId="15" xfId="1" applyNumberFormat="1" applyFont="1" applyBorder="1" applyAlignment="1">
      <alignment horizontal="center" vertical="center"/>
    </xf>
    <xf numFmtId="0" fontId="0" fillId="0" borderId="12" xfId="0" applyBorder="1" applyAlignment="1">
      <alignment horizontal="center" wrapText="1"/>
    </xf>
    <xf numFmtId="0" fontId="30" fillId="2" borderId="1" xfId="0" applyFont="1" applyFill="1" applyBorder="1" applyAlignment="1">
      <alignment horizontal="center" vertical="center" wrapText="1"/>
    </xf>
    <xf numFmtId="0" fontId="30" fillId="2" borderId="3" xfId="0" applyFont="1" applyFill="1" applyBorder="1" applyAlignment="1">
      <alignment horizontal="center" vertical="center" wrapText="1"/>
    </xf>
    <xf numFmtId="0" fontId="30" fillId="2" borderId="2" xfId="0" applyFont="1" applyFill="1" applyBorder="1" applyAlignment="1">
      <alignment horizontal="center" vertical="center" wrapText="1"/>
    </xf>
  </cellXfs>
  <cellStyles count="205">
    <cellStyle name="20% - Énfasis1 2" xfId="8"/>
    <cellStyle name="20% - Énfasis1 3" xfId="9"/>
    <cellStyle name="20% - Énfasis1 4" xfId="10"/>
    <cellStyle name="20% - Énfasis1 5" xfId="7"/>
    <cellStyle name="20% - Énfasis2 2" xfId="12"/>
    <cellStyle name="20% - Énfasis2 3" xfId="13"/>
    <cellStyle name="20% - Énfasis2 4" xfId="14"/>
    <cellStyle name="20% - Énfasis2 5" xfId="11"/>
    <cellStyle name="20% - Énfasis3 2" xfId="16"/>
    <cellStyle name="20% - Énfasis3 3" xfId="17"/>
    <cellStyle name="20% - Énfasis3 4" xfId="18"/>
    <cellStyle name="20% - Énfasis3 5" xfId="15"/>
    <cellStyle name="20% - Énfasis4 2" xfId="20"/>
    <cellStyle name="20% - Énfasis4 3" xfId="21"/>
    <cellStyle name="20% - Énfasis4 4" xfId="22"/>
    <cellStyle name="20% - Énfasis4 5" xfId="19"/>
    <cellStyle name="20% - Énfasis5 2" xfId="24"/>
    <cellStyle name="20% - Énfasis5 3" xfId="25"/>
    <cellStyle name="20% - Énfasis5 4" xfId="26"/>
    <cellStyle name="20% - Énfasis5 5" xfId="23"/>
    <cellStyle name="20% - Énfasis6 2" xfId="28"/>
    <cellStyle name="20% - Énfasis6 3" xfId="29"/>
    <cellStyle name="20% - Énfasis6 4" xfId="30"/>
    <cellStyle name="20% - Énfasis6 5" xfId="27"/>
    <cellStyle name="40% - Énfasis1 2" xfId="32"/>
    <cellStyle name="40% - Énfasis1 3" xfId="33"/>
    <cellStyle name="40% - Énfasis1 4" xfId="34"/>
    <cellStyle name="40% - Énfasis1 5" xfId="31"/>
    <cellStyle name="40% - Énfasis2 2" xfId="36"/>
    <cellStyle name="40% - Énfasis2 3" xfId="37"/>
    <cellStyle name="40% - Énfasis2 4" xfId="38"/>
    <cellStyle name="40% - Énfasis2 5" xfId="35"/>
    <cellStyle name="40% - Énfasis3 2" xfId="40"/>
    <cellStyle name="40% - Énfasis3 3" xfId="41"/>
    <cellStyle name="40% - Énfasis3 4" xfId="42"/>
    <cellStyle name="40% - Énfasis3 5" xfId="39"/>
    <cellStyle name="40% - Énfasis4 2" xfId="44"/>
    <cellStyle name="40% - Énfasis4 3" xfId="45"/>
    <cellStyle name="40% - Énfasis4 4" xfId="46"/>
    <cellStyle name="40% - Énfasis4 5" xfId="43"/>
    <cellStyle name="40% - Énfasis5 2" xfId="48"/>
    <cellStyle name="40% - Énfasis5 3" xfId="49"/>
    <cellStyle name="40% - Énfasis5 4" xfId="50"/>
    <cellStyle name="40% - Énfasis5 5" xfId="47"/>
    <cellStyle name="40% - Énfasis6 2" xfId="52"/>
    <cellStyle name="40% - Énfasis6 3" xfId="53"/>
    <cellStyle name="40% - Énfasis6 4" xfId="54"/>
    <cellStyle name="40% - Énfasis6 5" xfId="51"/>
    <cellStyle name="60% - Énfasis1 2" xfId="56"/>
    <cellStyle name="60% - Énfasis1 3" xfId="57"/>
    <cellStyle name="60% - Énfasis1 4" xfId="58"/>
    <cellStyle name="60% - Énfasis1 5" xfId="55"/>
    <cellStyle name="60% - Énfasis2 2" xfId="60"/>
    <cellStyle name="60% - Énfasis2 3" xfId="61"/>
    <cellStyle name="60% - Énfasis2 4" xfId="62"/>
    <cellStyle name="60% - Énfasis2 5" xfId="59"/>
    <cellStyle name="60% - Énfasis3 2" xfId="64"/>
    <cellStyle name="60% - Énfasis3 3" xfId="65"/>
    <cellStyle name="60% - Énfasis3 4" xfId="66"/>
    <cellStyle name="60% - Énfasis3 5" xfId="63"/>
    <cellStyle name="60% - Énfasis4 2" xfId="68"/>
    <cellStyle name="60% - Énfasis4 3" xfId="69"/>
    <cellStyle name="60% - Énfasis4 4" xfId="70"/>
    <cellStyle name="60% - Énfasis4 5" xfId="67"/>
    <cellStyle name="60% - Énfasis5 2" xfId="72"/>
    <cellStyle name="60% - Énfasis5 3" xfId="73"/>
    <cellStyle name="60% - Énfasis5 4" xfId="74"/>
    <cellStyle name="60% - Énfasis5 5" xfId="71"/>
    <cellStyle name="60% - Énfasis6 2" xfId="76"/>
    <cellStyle name="60% - Énfasis6 3" xfId="77"/>
    <cellStyle name="60% - Énfasis6 4" xfId="78"/>
    <cellStyle name="60% - Énfasis6 5" xfId="75"/>
    <cellStyle name="Buena 2" xfId="80"/>
    <cellStyle name="Buena 3" xfId="81"/>
    <cellStyle name="Buena 4" xfId="82"/>
    <cellStyle name="Buena 5" xfId="79"/>
    <cellStyle name="Cálculo 2" xfId="84"/>
    <cellStyle name="Cálculo 3" xfId="85"/>
    <cellStyle name="Cálculo 4" xfId="86"/>
    <cellStyle name="Cálculo 5" xfId="83"/>
    <cellStyle name="Celda de comprobación 2" xfId="88"/>
    <cellStyle name="Celda de comprobación 3" xfId="89"/>
    <cellStyle name="Celda de comprobación 4" xfId="90"/>
    <cellStyle name="Celda de comprobación 5" xfId="87"/>
    <cellStyle name="Celda vinculada 2" xfId="92"/>
    <cellStyle name="Celda vinculada 3" xfId="93"/>
    <cellStyle name="Celda vinculada 4" xfId="94"/>
    <cellStyle name="Celda vinculada 5" xfId="91"/>
    <cellStyle name="Encabezado 4 2" xfId="96"/>
    <cellStyle name="Encabezado 4 3" xfId="97"/>
    <cellStyle name="Encabezado 4 4" xfId="98"/>
    <cellStyle name="Encabezado 4 5" xfId="95"/>
    <cellStyle name="Énfasis1 2" xfId="100"/>
    <cellStyle name="Énfasis1 3" xfId="101"/>
    <cellStyle name="Énfasis1 4" xfId="102"/>
    <cellStyle name="Énfasis1 5" xfId="99"/>
    <cellStyle name="Énfasis2 2" xfId="104"/>
    <cellStyle name="Énfasis2 3" xfId="105"/>
    <cellStyle name="Énfasis2 4" xfId="106"/>
    <cellStyle name="Énfasis2 5" xfId="103"/>
    <cellStyle name="Énfasis3 2" xfId="108"/>
    <cellStyle name="Énfasis3 3" xfId="109"/>
    <cellStyle name="Énfasis3 4" xfId="110"/>
    <cellStyle name="Énfasis3 5" xfId="107"/>
    <cellStyle name="Énfasis4 2" xfId="112"/>
    <cellStyle name="Énfasis4 3" xfId="113"/>
    <cellStyle name="Énfasis4 4" xfId="114"/>
    <cellStyle name="Énfasis4 5" xfId="111"/>
    <cellStyle name="Énfasis5 2" xfId="116"/>
    <cellStyle name="Énfasis5 3" xfId="117"/>
    <cellStyle name="Énfasis5 4" xfId="118"/>
    <cellStyle name="Énfasis5 5" xfId="115"/>
    <cellStyle name="Énfasis6 2" xfId="120"/>
    <cellStyle name="Énfasis6 3" xfId="121"/>
    <cellStyle name="Énfasis6 4" xfId="122"/>
    <cellStyle name="Énfasis6 5" xfId="119"/>
    <cellStyle name="Entrada 2" xfId="124"/>
    <cellStyle name="Entrada 3" xfId="125"/>
    <cellStyle name="Entrada 4" xfId="126"/>
    <cellStyle name="Entrada 5" xfId="123"/>
    <cellStyle name="Incorrecto 2" xfId="128"/>
    <cellStyle name="Incorrecto 3" xfId="129"/>
    <cellStyle name="Incorrecto 4" xfId="130"/>
    <cellStyle name="Incorrecto 5" xfId="127"/>
    <cellStyle name="Millares" xfId="3" builtinId="3"/>
    <cellStyle name="Millares 2" xfId="132"/>
    <cellStyle name="Millares 3" xfId="133"/>
    <cellStyle name="Millares 4" xfId="134"/>
    <cellStyle name="Millares 5" xfId="135"/>
    <cellStyle name="Millares 6" xfId="131"/>
    <cellStyle name="Millares 6 2" xfId="203"/>
    <cellStyle name="Moneda" xfId="2" builtinId="4"/>
    <cellStyle name="Moneda 2" xfId="137"/>
    <cellStyle name="Moneda 3" xfId="138"/>
    <cellStyle name="Moneda 4" xfId="139"/>
    <cellStyle name="Moneda 5" xfId="136"/>
    <cellStyle name="Neutral 2" xfId="141"/>
    <cellStyle name="Neutral 3" xfId="142"/>
    <cellStyle name="Neutral 4" xfId="143"/>
    <cellStyle name="Neutral 5" xfId="140"/>
    <cellStyle name="Normal" xfId="0" builtinId="0"/>
    <cellStyle name="Normal 10" xfId="144"/>
    <cellStyle name="Normal 10 2" xfId="202"/>
    <cellStyle name="Normal 10 2 2" xfId="204"/>
    <cellStyle name="Normal 11" xfId="6"/>
    <cellStyle name="Normal 12" xfId="5"/>
    <cellStyle name="Normal 2" xfId="145"/>
    <cellStyle name="Normal 2 2" xfId="146"/>
    <cellStyle name="Normal 2 2 2" xfId="147"/>
    <cellStyle name="Normal 2 2 3" xfId="148"/>
    <cellStyle name="Normal 2 3" xfId="149"/>
    <cellStyle name="Normal 2 4" xfId="150"/>
    <cellStyle name="Normal 2 5" xfId="151"/>
    <cellStyle name="Normal 2 5 2" xfId="152"/>
    <cellStyle name="Normal 2 6" xfId="153"/>
    <cellStyle name="Normal 2 7" xfId="154"/>
    <cellStyle name="Normal 3" xfId="155"/>
    <cellStyle name="Normal 3 2" xfId="156"/>
    <cellStyle name="Normal 3 3" xfId="157"/>
    <cellStyle name="Normal 4" xfId="158"/>
    <cellStyle name="Normal 5" xfId="159"/>
    <cellStyle name="Normal 6" xfId="160"/>
    <cellStyle name="Normal 6 2" xfId="161"/>
    <cellStyle name="Normal 7" xfId="162"/>
    <cellStyle name="Normal 8" xfId="163"/>
    <cellStyle name="Normal 8 2" xfId="164"/>
    <cellStyle name="Normal 9" xfId="165"/>
    <cellStyle name="Notas 2" xfId="167"/>
    <cellStyle name="Notas 3" xfId="168"/>
    <cellStyle name="Notas 4" xfId="169"/>
    <cellStyle name="Notas 5" xfId="166"/>
    <cellStyle name="Porcentaje" xfId="1" builtinId="5"/>
    <cellStyle name="Porcentaje 2" xfId="171"/>
    <cellStyle name="Porcentaje 3" xfId="172"/>
    <cellStyle name="Porcentaje 4" xfId="173"/>
    <cellStyle name="Porcentaje 5" xfId="170"/>
    <cellStyle name="Salida 2" xfId="175"/>
    <cellStyle name="Salida 3" xfId="176"/>
    <cellStyle name="Salida 4" xfId="177"/>
    <cellStyle name="Salida 5" xfId="174"/>
    <cellStyle name="Texto de advertencia 2" xfId="179"/>
    <cellStyle name="Texto de advertencia 3" xfId="180"/>
    <cellStyle name="Texto de advertencia 4" xfId="181"/>
    <cellStyle name="Texto de advertencia 5" xfId="178"/>
    <cellStyle name="Texto explicativo 2" xfId="183"/>
    <cellStyle name="Texto explicativo 3" xfId="184"/>
    <cellStyle name="Texto explicativo 4" xfId="185"/>
    <cellStyle name="Texto explicativo 5" xfId="182"/>
    <cellStyle name="Título" xfId="4" builtinId="15" customBuiltin="1"/>
    <cellStyle name="Título 1 2" xfId="187"/>
    <cellStyle name="Título 1 3" xfId="188"/>
    <cellStyle name="Título 1 4" xfId="189"/>
    <cellStyle name="Título 1 5" xfId="186"/>
    <cellStyle name="Título 2 2" xfId="191"/>
    <cellStyle name="Título 2 3" xfId="192"/>
    <cellStyle name="Título 2 4" xfId="193"/>
    <cellStyle name="Título 2 5" xfId="190"/>
    <cellStyle name="Título 3 2" xfId="195"/>
    <cellStyle name="Título 3 3" xfId="196"/>
    <cellStyle name="Título 3 4" xfId="197"/>
    <cellStyle name="Título 3 5" xfId="194"/>
    <cellStyle name="Total 2" xfId="199"/>
    <cellStyle name="Total 3" xfId="200"/>
    <cellStyle name="Total 4" xfId="201"/>
    <cellStyle name="Total 5" xfId="198"/>
  </cellStyles>
  <dxfs count="0"/>
  <tableStyles count="0" defaultTableStyle="TableStyleMedium2" defaultPivotStyle="PivotStyleLight16"/>
  <colors>
    <mruColors>
      <color rgb="FF00297A"/>
      <color rgb="FF002776"/>
      <color rgb="FF0013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Ordenes de Compra Recibidas Completas</a:t>
            </a:r>
          </a:p>
        </c:rich>
      </c:tx>
      <c:overlay val="0"/>
      <c:spPr>
        <a:noFill/>
        <a:ln>
          <a:noFill/>
        </a:ln>
        <a:effectLst/>
      </c:spPr>
    </c:title>
    <c:autoTitleDeleted val="0"/>
    <c:plotArea>
      <c:layout/>
      <c:lineChart>
        <c:grouping val="standard"/>
        <c:varyColors val="0"/>
        <c:ser>
          <c:idx val="0"/>
          <c:order val="0"/>
          <c:tx>
            <c:strRef>
              <c:f>'1'!$D$10</c:f>
              <c:strCache>
                <c:ptCount val="1"/>
                <c:pt idx="0">
                  <c:v>% de Cumplimiento (&gt;70%)</c:v>
                </c:pt>
              </c:strCache>
            </c:strRef>
          </c:tx>
          <c:spPr>
            <a:effectLst>
              <a:outerShdw blurRad="40000" dist="23000" dir="5400000" rotWithShape="0">
                <a:srgbClr val="000000">
                  <a:alpha val="35000"/>
                </a:srgbClr>
              </a:outerShdw>
            </a:effectLst>
          </c:spPr>
          <c:marker>
            <c:symbol val="none"/>
          </c:marker>
          <c:cat>
            <c:multiLvlStrRef>
              <c:f>'1'!$A$11:$A$22</c:f>
            </c:multiLvlStrRef>
          </c:cat>
          <c:val>
            <c:numRef>
              <c:f>'1'!$D$11:$D$22</c:f>
            </c:numRef>
          </c:val>
          <c:smooth val="0"/>
          <c:extLst xmlns:c16r2="http://schemas.microsoft.com/office/drawing/2015/06/chart">
            <c:ext xmlns:c16="http://schemas.microsoft.com/office/drawing/2014/chart" uri="{C3380CC4-5D6E-409C-BE32-E72D297353CC}">
              <c16:uniqueId val="{00000000-6F15-47AD-AC23-EC5F2E8AC9B0}"/>
            </c:ext>
          </c:extLst>
        </c:ser>
        <c:dLbls>
          <c:showLegendKey val="0"/>
          <c:showVal val="0"/>
          <c:showCatName val="0"/>
          <c:showSerName val="0"/>
          <c:showPercent val="0"/>
          <c:showBubbleSize val="0"/>
        </c:dLbls>
        <c:marker val="1"/>
        <c:smooth val="0"/>
        <c:axId val="195936592"/>
        <c:axId val="195201264"/>
      </c:lineChart>
      <c:catAx>
        <c:axId val="19593659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201264"/>
        <c:crosses val="autoZero"/>
        <c:auto val="1"/>
        <c:lblAlgn val="ctr"/>
        <c:lblOffset val="100"/>
        <c:noMultiLvlLbl val="0"/>
      </c:catAx>
      <c:valAx>
        <c:axId val="19520126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93659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Incumplimiento de disponibilidad de dispositivos médicos</a:t>
            </a:r>
          </a:p>
        </c:rich>
      </c:tx>
      <c:overlay val="0"/>
      <c:spPr>
        <a:noFill/>
        <a:ln>
          <a:noFill/>
        </a:ln>
        <a:effectLst/>
      </c:spPr>
    </c:title>
    <c:autoTitleDeleted val="0"/>
    <c:plotArea>
      <c:layout/>
      <c:lineChart>
        <c:grouping val="standard"/>
        <c:varyColors val="0"/>
        <c:ser>
          <c:idx val="0"/>
          <c:order val="0"/>
          <c:tx>
            <c:strRef>
              <c:f>'1'!$D$27</c:f>
              <c:strCache>
                <c:ptCount val="1"/>
                <c:pt idx="0">
                  <c:v>% Incumplimiento de disponibilidad de DM</c:v>
                </c:pt>
              </c:strCache>
            </c:strRef>
          </c:tx>
          <c:spPr>
            <a:effectLst>
              <a:outerShdw blurRad="40000" dist="23000" dir="5400000" rotWithShape="0">
                <a:srgbClr val="000000">
                  <a:alpha val="35000"/>
                </a:srgbClr>
              </a:outerShdw>
            </a:effectLst>
          </c:spPr>
          <c:marker>
            <c:symbol val="none"/>
          </c:marker>
          <c:cat>
            <c:strRef>
              <c:f>'1'!$A$28:$A$39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'1'!$D$28:$D$39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82A7-4728-AD2A-2A71D93CA65B}"/>
            </c:ext>
          </c:extLst>
        </c:ser>
        <c:dLbls>
          <c:showLegendKey val="0"/>
          <c:showVal val="0"/>
          <c:showCatName val="0"/>
          <c:showSerName val="0"/>
          <c:showPercent val="0"/>
          <c:showBubbleSize val="0"/>
        </c:dLbls>
        <c:smooth val="0"/>
        <c:axId val="195201656"/>
        <c:axId val="195198520"/>
      </c:lineChart>
      <c:catAx>
        <c:axId val="19520165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198520"/>
        <c:crosses val="autoZero"/>
        <c:auto val="1"/>
        <c:lblAlgn val="ctr"/>
        <c:lblOffset val="100"/>
        <c:noMultiLvlLbl val="0"/>
      </c:catAx>
      <c:valAx>
        <c:axId val="19519852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201656"/>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Evaluaciones de Seguimiento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215026701466294E-2"/>
          <c:y val="0.15890384239638294"/>
          <c:w val="0.8929207177767996"/>
          <c:h val="0.3886707973757933"/>
        </c:manualLayout>
      </c:layout>
      <c:bar3DChart>
        <c:barDir val="col"/>
        <c:grouping val="clustered"/>
        <c:varyColors val="0"/>
        <c:ser>
          <c:idx val="0"/>
          <c:order val="0"/>
          <c:tx>
            <c:strRef>
              <c:f>'2'!$B$10</c:f>
              <c:strCache>
                <c:ptCount val="1"/>
                <c:pt idx="0">
                  <c:v>Cumplimiento del servicio (&gt;4.5)</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'2'!$B$11:$B$22</c:f>
              <c:numCache>
                <c:formatCode>0.0</c:formatCode>
                <c:ptCount val="12"/>
              </c:numCache>
            </c:numRef>
          </c:val>
          <c:extLst xmlns:c16r2="http://schemas.microsoft.com/office/drawing/2015/06/chart">
            <c:ext xmlns:c16="http://schemas.microsoft.com/office/drawing/2014/chart" uri="{C3380CC4-5D6E-409C-BE32-E72D297353CC}">
              <c16:uniqueId val="{00000000-0B7B-4C2E-AF05-10603F7AAE64}"/>
            </c:ext>
          </c:extLst>
        </c:ser>
        <c:ser>
          <c:idx val="1"/>
          <c:order val="1"/>
          <c:tx>
            <c:strRef>
              <c:f>'2'!$C$10</c:f>
              <c:strCache>
                <c:ptCount val="1"/>
                <c:pt idx="0">
                  <c:v>Condiciones del Material Utilizado (&gt;4.5)</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'2'!$C$11:$C$22</c:f>
              <c:numCache>
                <c:formatCode>0.0</c:formatCode>
                <c:ptCount val="12"/>
              </c:numCache>
            </c:numRef>
          </c:val>
          <c:extLst xmlns:c16r2="http://schemas.microsoft.com/office/drawing/2015/06/chart">
            <c:ext xmlns:c16="http://schemas.microsoft.com/office/drawing/2014/chart" uri="{C3380CC4-5D6E-409C-BE32-E72D297353CC}">
              <c16:uniqueId val="{00000001-0B7B-4C2E-AF05-10603F7AAE64}"/>
            </c:ext>
          </c:extLst>
        </c:ser>
        <c:ser>
          <c:idx val="2"/>
          <c:order val="2"/>
          <c:tx>
            <c:strRef>
              <c:f>'2'!$D$10</c:f>
              <c:strCache>
                <c:ptCount val="1"/>
                <c:pt idx="0">
                  <c:v>Habilidad Soporte Técnico (&gt;4.5)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'2'!$D$11:$D$22</c:f>
              <c:numCache>
                <c:formatCode>0.0</c:formatCode>
                <c:ptCount val="12"/>
              </c:numCache>
            </c:numRef>
          </c:val>
          <c:extLst xmlns:c16r2="http://schemas.microsoft.com/office/drawing/2015/06/chart">
            <c:ext xmlns:c16="http://schemas.microsoft.com/office/drawing/2014/chart" uri="{C3380CC4-5D6E-409C-BE32-E72D297353CC}">
              <c16:uniqueId val="{00000002-0B7B-4C2E-AF05-10603F7AAE64}"/>
            </c:ext>
          </c:extLst>
        </c:ser>
        <c:dLbls>
          <c:showLegendKey val="0"/>
          <c:showVal val="0"/>
          <c:showCatName val="0"/>
          <c:showSerName val="0"/>
          <c:showPercent val="0"/>
          <c:showBubbleSize val="0"/>
        </c:dLbls>
        <c:gapWidth val="150"/>
        <c:shape val="box"/>
        <c:axId val="195199696"/>
        <c:axId val="195200480"/>
        <c:axId val="0"/>
      </c:bar3DChart>
      <c:catAx>
        <c:axId val="19519969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200480"/>
        <c:crosses val="autoZero"/>
        <c:auto val="1"/>
        <c:lblAlgn val="ctr"/>
        <c:lblOffset val="100"/>
        <c:noMultiLvlLbl val="0"/>
      </c:catAx>
      <c:valAx>
        <c:axId val="195200480"/>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199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Atención de Quejas,</a:t>
            </a:r>
            <a:r>
              <a:rPr lang="en-US" baseline="0"/>
              <a:t> </a:t>
            </a:r>
            <a:r>
              <a:rPr lang="en-US"/>
              <a:t>Reclamos y/o Sugerencias</a:t>
            </a:r>
          </a:p>
        </c:rich>
      </c:tx>
      <c:overlay val="0"/>
      <c:spPr>
        <a:noFill/>
        <a:ln>
          <a:noFill/>
        </a:ln>
        <a:effectLst/>
      </c:spPr>
    </c:title>
    <c:autoTitleDeleted val="0"/>
    <c:plotArea>
      <c:layout/>
      <c:lineChart>
        <c:grouping val="standard"/>
        <c:varyColors val="0"/>
        <c:ser>
          <c:idx val="0"/>
          <c:order val="0"/>
          <c:tx>
            <c:strRef>
              <c:f>'2'!$D$27</c:f>
              <c:strCache>
                <c:ptCount val="1"/>
                <c:pt idx="0">
                  <c:v>Porcentaje de atención de Quejas, Reclamos o sugerencias</c:v>
                </c:pt>
              </c:strCache>
            </c:strRef>
          </c:tx>
          <c:spPr>
            <a:effectLst>
              <a:outerShdw blurRad="40000" dist="23000" dir="5400000" rotWithShape="0">
                <a:srgbClr val="000000">
                  <a:alpha val="35000"/>
                </a:srgbClr>
              </a:outerShdw>
            </a:effectLst>
          </c:spPr>
          <c:marker>
            <c:symbol val="none"/>
          </c:marker>
          <c:cat>
            <c:multiLvlStrRef>
              <c:f>'2'!$A$28:$A$39</c:f>
            </c:multiLvlStrRef>
          </c:cat>
          <c:val>
            <c:numRef>
              <c:f>'2'!$D$28:$D$39</c:f>
            </c:numRef>
          </c:val>
          <c:smooth val="0"/>
          <c:extLst xmlns:c16r2="http://schemas.microsoft.com/office/drawing/2015/06/chart">
            <c:ext xmlns:c16="http://schemas.microsoft.com/office/drawing/2014/chart" uri="{C3380CC4-5D6E-409C-BE32-E72D297353CC}">
              <c16:uniqueId val="{00000000-A414-4539-9759-88A4264CAF88}"/>
            </c:ext>
          </c:extLst>
        </c:ser>
        <c:dLbls>
          <c:showLegendKey val="0"/>
          <c:showVal val="0"/>
          <c:showCatName val="0"/>
          <c:showSerName val="0"/>
          <c:showPercent val="0"/>
          <c:showBubbleSize val="0"/>
        </c:dLbls>
        <c:marker val="1"/>
        <c:smooth val="0"/>
        <c:axId val="195839560"/>
        <c:axId val="195842304"/>
      </c:lineChart>
      <c:catAx>
        <c:axId val="1958395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2304"/>
        <c:crosses val="autoZero"/>
        <c:auto val="1"/>
        <c:lblAlgn val="ctr"/>
        <c:lblOffset val="100"/>
        <c:noMultiLvlLbl val="0"/>
      </c:catAx>
      <c:valAx>
        <c:axId val="19584230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3956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Cumplimiento de Especificaciones Técnicas </a:t>
            </a:r>
          </a:p>
        </c:rich>
      </c:tx>
      <c:layout>
        <c:manualLayout>
          <c:xMode val="edge"/>
          <c:yMode val="edge"/>
          <c:x val="0.15446361595208721"/>
          <c:y val="3.8668111900035322E-2"/>
        </c:manualLayout>
      </c:layout>
      <c:overlay val="0"/>
      <c:spPr>
        <a:noFill/>
        <a:ln>
          <a:noFill/>
        </a:ln>
        <a:effectLst/>
      </c:spPr>
    </c:title>
    <c:autoTitleDeleted val="0"/>
    <c:plotArea>
      <c:layout/>
      <c:lineChart>
        <c:grouping val="standard"/>
        <c:varyColors val="0"/>
        <c:ser>
          <c:idx val="0"/>
          <c:order val="0"/>
          <c:tx>
            <c:strRef>
              <c:f>'3'!$D$10</c:f>
              <c:strCache>
                <c:ptCount val="1"/>
                <c:pt idx="0">
                  <c:v>% de Cumplimiento (100%)</c:v>
                </c:pt>
              </c:strCache>
            </c:strRef>
          </c:tx>
          <c:spPr>
            <a:effectLst>
              <a:outerShdw blurRad="40000" dist="23000" dir="5400000" rotWithShape="0">
                <a:srgbClr val="000000">
                  <a:alpha val="35000"/>
                </a:srgbClr>
              </a:outerShdw>
            </a:effectLst>
          </c:spPr>
          <c:marker>
            <c:symbol val="none"/>
          </c:marker>
          <c:cat>
            <c:strRef>
              <c:f>'3'!$A$11:$A$22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'3'!$D$11:$D$22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0E20-4D6B-B263-DE8D26369583}"/>
            </c:ext>
          </c:extLst>
        </c:ser>
        <c:dLbls>
          <c:showLegendKey val="0"/>
          <c:showVal val="0"/>
          <c:showCatName val="0"/>
          <c:showSerName val="0"/>
          <c:showPercent val="0"/>
          <c:showBubbleSize val="0"/>
        </c:dLbls>
        <c:smooth val="0"/>
        <c:axId val="195843088"/>
        <c:axId val="195844656"/>
      </c:lineChart>
      <c:catAx>
        <c:axId val="19584308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4656"/>
        <c:crosses val="autoZero"/>
        <c:auto val="1"/>
        <c:lblAlgn val="ctr"/>
        <c:lblOffset val="100"/>
        <c:noMultiLvlLbl val="0"/>
      </c:catAx>
      <c:valAx>
        <c:axId val="19584465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308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Reportes de Tecnovigilancia</a:t>
            </a:r>
          </a:p>
        </c:rich>
      </c:tx>
      <c:overlay val="0"/>
      <c:spPr>
        <a:noFill/>
        <a:ln>
          <a:noFill/>
        </a:ln>
        <a:effectLst/>
      </c:spPr>
    </c:title>
    <c:autoTitleDeleted val="0"/>
    <c:plotArea>
      <c:layout/>
      <c:lineChart>
        <c:grouping val="standard"/>
        <c:varyColors val="0"/>
        <c:ser>
          <c:idx val="0"/>
          <c:order val="0"/>
          <c:tx>
            <c:strRef>
              <c:f>'3'!$D$27</c:f>
              <c:strCache>
                <c:ptCount val="1"/>
                <c:pt idx="0">
                  <c:v>% de Cumplimiento (100%)</c:v>
                </c:pt>
              </c:strCache>
            </c:strRef>
          </c:tx>
          <c:spPr>
            <a:effectLst>
              <a:outerShdw blurRad="40000" dist="23000" dir="5400000" rotWithShape="0">
                <a:srgbClr val="000000">
                  <a:alpha val="35000"/>
                </a:srgbClr>
              </a:outerShdw>
            </a:effectLst>
          </c:spPr>
          <c:marker>
            <c:symbol val="none"/>
          </c:marker>
          <c:cat>
            <c:multiLvlStrRef>
              <c:f>'3'!$A$28:$A$39</c:f>
            </c:multiLvlStrRef>
          </c:cat>
          <c:val>
            <c:numRef>
              <c:f>'3'!$D$28:$D$39</c:f>
            </c:numRef>
          </c:val>
          <c:smooth val="0"/>
          <c:extLst xmlns:c16r2="http://schemas.microsoft.com/office/drawing/2015/06/chart">
            <c:ext xmlns:c16="http://schemas.microsoft.com/office/drawing/2014/chart" uri="{C3380CC4-5D6E-409C-BE32-E72D297353CC}">
              <c16:uniqueId val="{00000000-6F84-4BC4-AA89-7A9F18E32039}"/>
            </c:ext>
          </c:extLst>
        </c:ser>
        <c:dLbls>
          <c:showLegendKey val="0"/>
          <c:showVal val="0"/>
          <c:showCatName val="0"/>
          <c:showSerName val="0"/>
          <c:showPercent val="0"/>
          <c:showBubbleSize val="0"/>
        </c:dLbls>
        <c:marker val="1"/>
        <c:smooth val="0"/>
        <c:axId val="195841912"/>
        <c:axId val="195840736"/>
      </c:lineChart>
      <c:catAx>
        <c:axId val="19584191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0736"/>
        <c:crosses val="autoZero"/>
        <c:auto val="1"/>
        <c:lblAlgn val="ctr"/>
        <c:lblOffset val="100"/>
        <c:noMultiLvlLbl val="0"/>
      </c:catAx>
      <c:valAx>
        <c:axId val="19584073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191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Planes de Acción</a:t>
            </a:r>
          </a:p>
        </c:rich>
      </c:tx>
      <c:overlay val="0"/>
      <c:spPr>
        <a:noFill/>
        <a:ln>
          <a:noFill/>
        </a:ln>
        <a:effectLst/>
      </c:spPr>
    </c:title>
    <c:autoTitleDeleted val="0"/>
    <c:plotArea>
      <c:layout>
        <c:manualLayout>
          <c:layoutTarget val="inner"/>
          <c:xMode val="edge"/>
          <c:yMode val="edge"/>
          <c:x val="0.10358304405506152"/>
          <c:y val="0.24065487936103658"/>
          <c:w val="0.79828441285047891"/>
          <c:h val="0.63890865610044034"/>
        </c:manualLayout>
      </c:layout>
      <c:lineChart>
        <c:grouping val="standard"/>
        <c:varyColors val="0"/>
        <c:ser>
          <c:idx val="0"/>
          <c:order val="0"/>
          <c:tx>
            <c:strRef>
              <c:f>'4'!$D$10</c:f>
              <c:strCache>
                <c:ptCount val="1"/>
                <c:pt idx="0">
                  <c:v>% de Cumplimiento (100%)</c:v>
                </c:pt>
              </c:strCache>
            </c:strRef>
          </c:tx>
          <c:spPr>
            <a:effectLst>
              <a:outerShdw blurRad="40000" dist="23000" dir="5400000" rotWithShape="0">
                <a:srgbClr val="000000">
                  <a:alpha val="35000"/>
                </a:srgbClr>
              </a:outerShdw>
            </a:effectLst>
          </c:spPr>
          <c:marker>
            <c:symbol val="none"/>
          </c:marker>
          <c:cat>
            <c:strRef>
              <c:f>'4'!$A$11:$A$22</c:f>
              <c:strCache>
                <c:ptCount val="10"/>
                <c:pt idx="0">
                  <c:v>Enero - Marzo</c:v>
                </c:pt>
                <c:pt idx="3">
                  <c:v>Abril - Junio</c:v>
                </c:pt>
                <c:pt idx="6">
                  <c:v>Julio - Septiembre</c:v>
                </c:pt>
                <c:pt idx="9">
                  <c:v>Octubre - Dicembre</c:v>
                </c:pt>
              </c:strCache>
            </c:strRef>
          </c:cat>
          <c:val>
            <c:numRef>
              <c:f>'4'!$D$11:$D$22</c:f>
              <c:numCache>
                <c:formatCode>0%</c:formatCode>
                <c:ptCount val="12"/>
                <c:pt idx="0">
                  <c:v>1</c:v>
                </c:pt>
                <c:pt idx="3">
                  <c:v>0</c:v>
                </c:pt>
                <c:pt idx="6">
                  <c:v>0</c:v>
                </c:pt>
                <c:pt idx="9">
                  <c:v>0</c:v>
                </c:pt>
              </c:numCache>
            </c:numRef>
          </c:val>
          <c:smooth val="0"/>
          <c:extLst xmlns:c16r2="http://schemas.microsoft.com/office/drawing/2015/06/chart">
            <c:ext xmlns:c16="http://schemas.microsoft.com/office/drawing/2014/chart" uri="{C3380CC4-5D6E-409C-BE32-E72D297353CC}">
              <c16:uniqueId val="{00000003-241A-4AE8-B7AF-5ECE0928171F}"/>
            </c:ext>
          </c:extLst>
        </c:ser>
        <c:dLbls>
          <c:showLegendKey val="0"/>
          <c:showVal val="0"/>
          <c:showCatName val="0"/>
          <c:showSerName val="0"/>
          <c:showPercent val="0"/>
          <c:showBubbleSize val="0"/>
        </c:dLbls>
        <c:smooth val="0"/>
        <c:axId val="195843872"/>
        <c:axId val="195844264"/>
      </c:lineChart>
      <c:catAx>
        <c:axId val="19584387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4264"/>
        <c:crosses val="autoZero"/>
        <c:auto val="1"/>
        <c:lblAlgn val="ctr"/>
        <c:lblOffset val="100"/>
        <c:noMultiLvlLbl val="0"/>
      </c:catAx>
      <c:valAx>
        <c:axId val="19584426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387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Presupuesto</a:t>
            </a:r>
          </a:p>
        </c:rich>
      </c:tx>
      <c:overlay val="0"/>
      <c:spPr>
        <a:noFill/>
        <a:ln>
          <a:noFill/>
        </a:ln>
        <a:effectLst/>
      </c:spPr>
    </c:title>
    <c:autoTitleDeleted val="0"/>
    <c:plotArea>
      <c:layout/>
      <c:lineChart>
        <c:grouping val="standard"/>
        <c:varyColors val="0"/>
        <c:ser>
          <c:idx val="0"/>
          <c:order val="0"/>
          <c:tx>
            <c:strRef>
              <c:f>'5'!$D$10</c:f>
              <c:strCache>
                <c:ptCount val="1"/>
                <c:pt idx="0">
                  <c:v>% de Cumplimiento (&gt;90%)</c:v>
                </c:pt>
              </c:strCache>
            </c:strRef>
          </c:tx>
          <c:spPr>
            <a:effectLst>
              <a:outerShdw blurRad="40000" dist="23000" dir="5400000" rotWithShape="0">
                <a:srgbClr val="000000">
                  <a:alpha val="35000"/>
                </a:srgbClr>
              </a:outerShdw>
            </a:effectLst>
          </c:spPr>
          <c:marker>
            <c:symbol val="none"/>
          </c:marker>
          <c:cat>
            <c:strRef>
              <c:f>'5'!$A$11:$A$22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'5'!$D$11:$D$22</c:f>
              <c:numCache>
                <c:formatCode>0%</c:formatCode>
                <c:ptCount val="12"/>
                <c:pt idx="0">
                  <c:v>0.80313260290949806</c:v>
                </c:pt>
                <c:pt idx="1">
                  <c:v>1.0079417298068283</c:v>
                </c:pt>
                <c:pt idx="2">
                  <c:v>0.63526100262427188</c:v>
                </c:pt>
                <c:pt idx="3">
                  <c:v>0.59411331526248212</c:v>
                </c:pt>
                <c:pt idx="4">
                  <c:v>0.79877762997326163</c:v>
                </c:pt>
                <c:pt idx="5">
                  <c:v>0.8076492495884342</c:v>
                </c:pt>
                <c:pt idx="6">
                  <c:v>1.0608380059789428</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91E0-4DA0-8191-4C9F933E2F44}"/>
            </c:ext>
          </c:extLst>
        </c:ser>
        <c:dLbls>
          <c:showLegendKey val="0"/>
          <c:showVal val="0"/>
          <c:showCatName val="0"/>
          <c:showSerName val="0"/>
          <c:showPercent val="0"/>
          <c:showBubbleSize val="0"/>
        </c:dLbls>
        <c:smooth val="0"/>
        <c:axId val="195841128"/>
        <c:axId val="195845048"/>
      </c:lineChart>
      <c:catAx>
        <c:axId val="19584112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5048"/>
        <c:crosses val="autoZero"/>
        <c:auto val="1"/>
        <c:lblAlgn val="ctr"/>
        <c:lblOffset val="100"/>
        <c:noMultiLvlLbl val="0"/>
      </c:catAx>
      <c:valAx>
        <c:axId val="19584504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112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Utilidad Mensual</a:t>
            </a:r>
          </a:p>
        </c:rich>
      </c:tx>
      <c:overlay val="0"/>
      <c:spPr>
        <a:noFill/>
        <a:ln>
          <a:noFill/>
        </a:ln>
        <a:effectLst/>
      </c:spPr>
    </c:title>
    <c:autoTitleDeleted val="0"/>
    <c:plotArea>
      <c:layout/>
      <c:lineChart>
        <c:grouping val="standard"/>
        <c:varyColors val="0"/>
        <c:ser>
          <c:idx val="0"/>
          <c:order val="0"/>
          <c:tx>
            <c:strRef>
              <c:f>'5'!$E$26</c:f>
              <c:strCache>
                <c:ptCount val="1"/>
                <c:pt idx="0">
                  <c:v>Utilidad (&gt;1,000,000,000)</c:v>
                </c:pt>
              </c:strCache>
            </c:strRef>
          </c:tx>
          <c:spPr>
            <a:effectLst>
              <a:outerShdw blurRad="40000" dist="23000" dir="5400000" rotWithShape="0">
                <a:srgbClr val="000000">
                  <a:alpha val="35000"/>
                </a:srgbClr>
              </a:outerShdw>
            </a:effectLst>
          </c:spPr>
          <c:marker>
            <c:symbol val="none"/>
          </c:marker>
          <c:cat>
            <c:strRef>
              <c:f>'5'!$A$27:$A$38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'5'!$E$27:$E$38</c:f>
              <c:numCache>
                <c:formatCode>_ * #,##0_ ;_ * \-#,##0_ ;_ * "-"??_ ;_ @_ </c:formatCode>
                <c:ptCount val="12"/>
                <c:pt idx="0">
                  <c:v>1104550109</c:v>
                </c:pt>
                <c:pt idx="1">
                  <c:v>-28701327</c:v>
                </c:pt>
                <c:pt idx="2">
                  <c:v>48334645</c:v>
                </c:pt>
                <c:pt idx="3">
                  <c:v>1021648076</c:v>
                </c:pt>
                <c:pt idx="4">
                  <c:v>1133105517</c:v>
                </c:pt>
                <c:pt idx="5">
                  <c:v>912417506</c:v>
                </c:pt>
                <c:pt idx="6">
                  <c:v>1080261326</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1EA2-4284-8007-636B9C51C9C7}"/>
            </c:ext>
          </c:extLst>
        </c:ser>
        <c:dLbls>
          <c:showLegendKey val="0"/>
          <c:showVal val="0"/>
          <c:showCatName val="0"/>
          <c:showSerName val="0"/>
          <c:showPercent val="0"/>
          <c:showBubbleSize val="0"/>
        </c:dLbls>
        <c:smooth val="0"/>
        <c:axId val="195840344"/>
        <c:axId val="195841520"/>
      </c:lineChart>
      <c:catAx>
        <c:axId val="19584034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1520"/>
        <c:crosses val="autoZero"/>
        <c:auto val="1"/>
        <c:lblAlgn val="ctr"/>
        <c:lblOffset val="100"/>
        <c:noMultiLvlLbl val="0"/>
      </c:catAx>
      <c:valAx>
        <c:axId val="195841520"/>
        <c:scaling>
          <c:orientation val="minMax"/>
        </c:scaling>
        <c:delete val="0"/>
        <c:axPos val="l"/>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0344"/>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Cumplimiento de Facturación y Radicado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'5'!$E$42</c:f>
              <c:strCache>
                <c:ptCount val="1"/>
                <c:pt idx="0">
                  <c:v>% de cumplimiento de facturación (&gt;90%)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'5'!$A$43:$A$54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'5'!$E$43:$E$54</c:f>
              <c:numCache>
                <c:formatCode>0%</c:formatCode>
                <c:ptCount val="12"/>
                <c:pt idx="0">
                  <c:v>1.0387363639930953</c:v>
                </c:pt>
                <c:pt idx="1">
                  <c:v>0.9966228164791715</c:v>
                </c:pt>
                <c:pt idx="2">
                  <c:v>0.90064457791109376</c:v>
                </c:pt>
                <c:pt idx="3">
                  <c:v>1.039755577501289</c:v>
                </c:pt>
                <c:pt idx="4">
                  <c:v>1.0603782462307216</c:v>
                </c:pt>
                <c:pt idx="5">
                  <c:v>0.97567849753209146</c:v>
                </c:pt>
                <c:pt idx="6">
                  <c:v>1.0328525264540667</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622A-4CAD-ADAF-1C31F48234DC}"/>
            </c:ext>
          </c:extLst>
        </c:ser>
        <c:ser>
          <c:idx val="1"/>
          <c:order val="1"/>
          <c:tx>
            <c:strRef>
              <c:f>'5'!$F$42</c:f>
              <c:strCache>
                <c:ptCount val="1"/>
                <c:pt idx="0">
                  <c:v>% de cumplimiento de radicado (&gt;95%)</c:v>
                </c:pt>
              </c:strCache>
            </c:strRef>
          </c:tx>
          <c:spPr>
            <a:solidFill>
              <a:schemeClr val="tx2">
                <a:lumMod val="75000"/>
              </a:schemeClr>
            </a:solidFill>
            <a:ln>
              <a:noFill/>
            </a:ln>
            <a:effectLst>
              <a:outerShdw blurRad="40000" dist="23000" dir="5400000" rotWithShape="0">
                <a:srgbClr val="000000">
                  <a:alpha val="35000"/>
                </a:srgbClr>
              </a:outerShdw>
            </a:effectLst>
            <a:sp3d/>
          </c:spPr>
          <c:invertIfNegative val="0"/>
          <c:cat>
            <c:strRef>
              <c:f>'5'!$A$43:$A$54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'5'!$F$43:$F$54</c:f>
              <c:numCache>
                <c:formatCode>0%</c:formatCode>
                <c:ptCount val="12"/>
                <c:pt idx="0">
                  <c:v>1.0687428005442958</c:v>
                </c:pt>
                <c:pt idx="1">
                  <c:v>1</c:v>
                </c:pt>
                <c:pt idx="2">
                  <c:v>0.99999737292404745</c:v>
                </c:pt>
                <c:pt idx="3">
                  <c:v>1</c:v>
                </c:pt>
                <c:pt idx="4">
                  <c:v>1</c:v>
                </c:pt>
                <c:pt idx="5">
                  <c:v>1</c:v>
                </c:pt>
                <c:pt idx="6">
                  <c:v>1</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1-622A-4CAD-ADAF-1C31F48234DC}"/>
            </c:ext>
          </c:extLst>
        </c:ser>
        <c:dLbls>
          <c:showLegendKey val="0"/>
          <c:showVal val="0"/>
          <c:showCatName val="0"/>
          <c:showSerName val="0"/>
          <c:showPercent val="0"/>
          <c:showBubbleSize val="0"/>
        </c:dLbls>
        <c:gapWidth val="150"/>
        <c:shape val="box"/>
        <c:axId val="195846224"/>
        <c:axId val="195846616"/>
        <c:axId val="0"/>
      </c:bar3DChart>
      <c:catAx>
        <c:axId val="19584622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6616"/>
        <c:crosses val="autoZero"/>
        <c:auto val="1"/>
        <c:lblAlgn val="ctr"/>
        <c:lblOffset val="100"/>
        <c:noMultiLvlLbl val="0"/>
      </c:catAx>
      <c:valAx>
        <c:axId val="19584661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5846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a:t>
            </a:r>
            <a:r>
              <a:rPr lang="en-US"/>
              <a:t>Facturas Anuladas</a:t>
            </a:r>
          </a:p>
        </c:rich>
      </c:tx>
      <c:overlay val="0"/>
      <c:spPr>
        <a:noFill/>
        <a:ln>
          <a:noFill/>
        </a:ln>
        <a:effectLst/>
      </c:spPr>
    </c:title>
    <c:autoTitleDeleted val="0"/>
    <c:plotArea>
      <c:layout/>
      <c:lineChart>
        <c:grouping val="standard"/>
        <c:varyColors val="0"/>
        <c:ser>
          <c:idx val="0"/>
          <c:order val="0"/>
          <c:tx>
            <c:strRef>
              <c:f>'5'!$D$74</c:f>
              <c:strCache>
                <c:ptCount val="1"/>
                <c:pt idx="0">
                  <c:v>% de Cumplimiento (&lt;5%)</c:v>
                </c:pt>
              </c:strCache>
            </c:strRef>
          </c:tx>
          <c:spPr>
            <a:effectLst>
              <a:outerShdw blurRad="40000" dist="23000" dir="5400000" rotWithShape="0">
                <a:srgbClr val="000000">
                  <a:alpha val="35000"/>
                </a:srgbClr>
              </a:outerShdw>
            </a:effectLst>
          </c:spPr>
          <c:marker>
            <c:symbol val="none"/>
          </c:marker>
          <c:cat>
            <c:strRef>
              <c:f>'5'!$A$75:$A$86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'5'!$D$75:$D$86</c:f>
              <c:numCache>
                <c:formatCode>0%</c:formatCode>
                <c:ptCount val="12"/>
                <c:pt idx="0">
                  <c:v>1.2811867835468645E-2</c:v>
                </c:pt>
                <c:pt idx="1">
                  <c:v>7.462686567164179E-3</c:v>
                </c:pt>
                <c:pt idx="2">
                  <c:v>7.3909830007390983E-3</c:v>
                </c:pt>
                <c:pt idx="3">
                  <c:v>9.9933377748167886E-3</c:v>
                </c:pt>
                <c:pt idx="4">
                  <c:v>1.2613875262789068E-2</c:v>
                </c:pt>
                <c:pt idx="5">
                  <c:v>1.7241379310344827E-2</c:v>
                </c:pt>
                <c:pt idx="6">
                  <c:v>1.0323468685478321E-2</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7CEB-40F6-BC6A-4FF7983A306C}"/>
            </c:ext>
          </c:extLst>
        </c:ser>
        <c:dLbls>
          <c:showLegendKey val="0"/>
          <c:showVal val="0"/>
          <c:showCatName val="0"/>
          <c:showSerName val="0"/>
          <c:showPercent val="0"/>
          <c:showBubbleSize val="0"/>
        </c:dLbls>
        <c:smooth val="0"/>
        <c:axId val="197329896"/>
        <c:axId val="197329112"/>
      </c:lineChart>
      <c:catAx>
        <c:axId val="19732989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7329112"/>
        <c:crosses val="autoZero"/>
        <c:auto val="1"/>
        <c:lblAlgn val="ctr"/>
        <c:lblOffset val="100"/>
        <c:noMultiLvlLbl val="0"/>
      </c:catAx>
      <c:valAx>
        <c:axId val="197329112"/>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7329896"/>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Facturas Glosadas</a:t>
            </a:r>
            <a:r>
              <a:rPr lang="en-US" baseline="0"/>
              <a:t> por EPS</a:t>
            </a:r>
            <a:endParaRPr lang="en-US"/>
          </a:p>
        </c:rich>
      </c:tx>
      <c:overlay val="0"/>
      <c:spPr>
        <a:noFill/>
        <a:ln>
          <a:noFill/>
        </a:ln>
        <a:effectLst/>
      </c:spPr>
    </c:title>
    <c:autoTitleDeleted val="0"/>
    <c:plotArea>
      <c:layout/>
      <c:lineChart>
        <c:grouping val="standard"/>
        <c:varyColors val="0"/>
        <c:ser>
          <c:idx val="0"/>
          <c:order val="0"/>
          <c:tx>
            <c:strRef>
              <c:f>'5'!$D$90</c:f>
              <c:strCache>
                <c:ptCount val="1"/>
                <c:pt idx="0">
                  <c:v>% de Cumplimiento (&lt;30%)</c:v>
                </c:pt>
              </c:strCache>
            </c:strRef>
          </c:tx>
          <c:spPr>
            <a:effectLst>
              <a:outerShdw blurRad="40000" dist="23000" dir="5400000" rotWithShape="0">
                <a:srgbClr val="000000">
                  <a:alpha val="35000"/>
                </a:srgbClr>
              </a:outerShdw>
            </a:effectLst>
          </c:spPr>
          <c:marker>
            <c:symbol val="none"/>
          </c:marker>
          <c:cat>
            <c:strRef>
              <c:f>'5'!$A$91:$A$102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'5'!$D$91:$D$102</c:f>
              <c:numCache>
                <c:formatCode>0%</c:formatCode>
                <c:ptCount val="12"/>
                <c:pt idx="0">
                  <c:v>1.3486176668914363E-3</c:v>
                </c:pt>
                <c:pt idx="1">
                  <c:v>5.2238805970149255E-3</c:v>
                </c:pt>
                <c:pt idx="2">
                  <c:v>7.3909830007390983E-4</c:v>
                </c:pt>
                <c:pt idx="3">
                  <c:v>6.6622251832111927E-4</c:v>
                </c:pt>
                <c:pt idx="4">
                  <c:v>2.1023125437981782E-3</c:v>
                </c:pt>
                <c:pt idx="5">
                  <c:v>3.2840722495894909E-3</c:v>
                </c:pt>
                <c:pt idx="6">
                  <c:v>6.8823124569855469E-4</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38BC-4E6D-ACB4-09A7F509E40F}"/>
            </c:ext>
          </c:extLst>
        </c:ser>
        <c:dLbls>
          <c:showLegendKey val="0"/>
          <c:showVal val="0"/>
          <c:showCatName val="0"/>
          <c:showSerName val="0"/>
          <c:showPercent val="0"/>
          <c:showBubbleSize val="0"/>
        </c:dLbls>
        <c:smooth val="0"/>
        <c:axId val="197326368"/>
        <c:axId val="197327152"/>
      </c:lineChart>
      <c:catAx>
        <c:axId val="19732636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7327152"/>
        <c:crosses val="autoZero"/>
        <c:auto val="1"/>
        <c:lblAlgn val="ctr"/>
        <c:lblOffset val="100"/>
        <c:noMultiLvlLbl val="0"/>
      </c:catAx>
      <c:valAx>
        <c:axId val="197327152"/>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732636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Cotizaciones facturadas </a:t>
            </a:r>
            <a:endParaRPr lang="en-US"/>
          </a:p>
        </c:rich>
      </c:tx>
      <c:overlay val="0"/>
      <c:spPr>
        <a:noFill/>
        <a:ln>
          <a:noFill/>
        </a:ln>
        <a:effectLst/>
      </c:spPr>
    </c:title>
    <c:autoTitleDeleted val="0"/>
    <c:plotArea>
      <c:layout/>
      <c:lineChart>
        <c:grouping val="standard"/>
        <c:varyColors val="0"/>
        <c:ser>
          <c:idx val="0"/>
          <c:order val="0"/>
          <c:tx>
            <c:strRef>
              <c:f>'5'!$D$74</c:f>
              <c:strCache>
                <c:ptCount val="1"/>
                <c:pt idx="0">
                  <c:v>% de Cumplimiento (&lt;5%)</c:v>
                </c:pt>
              </c:strCache>
            </c:strRef>
          </c:tx>
          <c:spPr>
            <a:effectLst>
              <a:outerShdw blurRad="40000" dist="23000" dir="5400000" rotWithShape="0">
                <a:srgbClr val="000000">
                  <a:alpha val="35000"/>
                </a:srgbClr>
              </a:outerShdw>
            </a:effectLst>
          </c:spPr>
          <c:marker>
            <c:symbol val="none"/>
          </c:marker>
          <c:cat>
            <c:strRef>
              <c:f>'5'!$A$75:$A$86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'5'!$D$75:$D$86</c:f>
              <c:numCache>
                <c:formatCode>0%</c:formatCode>
                <c:ptCount val="12"/>
                <c:pt idx="0">
                  <c:v>1.2811867835468645E-2</c:v>
                </c:pt>
                <c:pt idx="1">
                  <c:v>7.462686567164179E-3</c:v>
                </c:pt>
                <c:pt idx="2">
                  <c:v>7.3909830007390983E-3</c:v>
                </c:pt>
                <c:pt idx="3">
                  <c:v>9.9933377748167886E-3</c:v>
                </c:pt>
                <c:pt idx="4">
                  <c:v>1.2613875262789068E-2</c:v>
                </c:pt>
                <c:pt idx="5">
                  <c:v>1.7241379310344827E-2</c:v>
                </c:pt>
                <c:pt idx="6">
                  <c:v>1.0323468685478321E-2</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7CEB-40F6-BC6A-4FF7983A306C}"/>
            </c:ext>
          </c:extLst>
        </c:ser>
        <c:dLbls>
          <c:showLegendKey val="0"/>
          <c:showVal val="0"/>
          <c:showCatName val="0"/>
          <c:showSerName val="0"/>
          <c:showPercent val="0"/>
          <c:showBubbleSize val="0"/>
        </c:dLbls>
        <c:smooth val="0"/>
        <c:axId val="197327936"/>
        <c:axId val="197331464"/>
      </c:lineChart>
      <c:catAx>
        <c:axId val="19732793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7331464"/>
        <c:crosses val="autoZero"/>
        <c:auto val="1"/>
        <c:lblAlgn val="ctr"/>
        <c:lblOffset val="100"/>
        <c:noMultiLvlLbl val="0"/>
      </c:catAx>
      <c:valAx>
        <c:axId val="197331464"/>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7327936"/>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Ejecución del Programa de Capacitación</a:t>
            </a:r>
          </a:p>
        </c:rich>
      </c:tx>
      <c:overlay val="0"/>
      <c:spPr>
        <a:noFill/>
        <a:ln>
          <a:noFill/>
        </a:ln>
        <a:effectLst/>
      </c:spPr>
    </c:title>
    <c:autoTitleDeleted val="0"/>
    <c:plotArea>
      <c:layout/>
      <c:lineChart>
        <c:grouping val="standard"/>
        <c:varyColors val="0"/>
        <c:ser>
          <c:idx val="0"/>
          <c:order val="0"/>
          <c:tx>
            <c:strRef>
              <c:f>'6'!$D$10</c:f>
              <c:strCache>
                <c:ptCount val="1"/>
                <c:pt idx="0">
                  <c:v>% de Cumplimiento (&gt;70%)</c:v>
                </c:pt>
              </c:strCache>
            </c:strRef>
          </c:tx>
          <c:spPr>
            <a:effectLst>
              <a:outerShdw blurRad="40000" dist="23000" dir="5400000" rotWithShape="0">
                <a:srgbClr val="000000">
                  <a:alpha val="35000"/>
                </a:srgbClr>
              </a:outerShdw>
            </a:effectLst>
          </c:spPr>
          <c:marker>
            <c:symbol val="none"/>
          </c:marker>
          <c:cat>
            <c:strRef>
              <c:f>'6'!$A$11:$A$22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'6'!$D$11:$D$22</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0ED1-4D89-A03A-20BD07AF26DF}"/>
            </c:ext>
          </c:extLst>
        </c:ser>
        <c:dLbls>
          <c:showLegendKey val="0"/>
          <c:showVal val="0"/>
          <c:showCatName val="0"/>
          <c:showSerName val="0"/>
          <c:showPercent val="0"/>
          <c:showBubbleSize val="0"/>
        </c:dLbls>
        <c:smooth val="0"/>
        <c:axId val="197325976"/>
        <c:axId val="197327544"/>
      </c:lineChart>
      <c:catAx>
        <c:axId val="19732597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7327544"/>
        <c:crosses val="autoZero"/>
        <c:auto val="1"/>
        <c:lblAlgn val="ctr"/>
        <c:lblOffset val="100"/>
        <c:noMultiLvlLbl val="0"/>
      </c:catAx>
      <c:valAx>
        <c:axId val="19732754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7325976"/>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Proveedores</a:t>
            </a:r>
          </a:p>
        </c:rich>
      </c:tx>
      <c:overlay val="0"/>
      <c:spPr>
        <a:noFill/>
        <a:ln>
          <a:noFill/>
        </a:ln>
        <a:effectLst/>
      </c:spPr>
    </c:title>
    <c:autoTitleDeleted val="0"/>
    <c:plotArea>
      <c:layout/>
      <c:lineChart>
        <c:grouping val="standard"/>
        <c:varyColors val="0"/>
        <c:ser>
          <c:idx val="2"/>
          <c:order val="0"/>
          <c:tx>
            <c:strRef>
              <c:f>'7'!$D$10</c:f>
              <c:strCache>
                <c:ptCount val="1"/>
                <c:pt idx="0">
                  <c:v>Calificación (&gt;95)</c:v>
                </c:pt>
              </c:strCache>
            </c:strRef>
          </c:tx>
          <c:spPr>
            <a:effectLst>
              <a:outerShdw blurRad="40000" dist="23000" dir="5400000" rotWithShape="0">
                <a:srgbClr val="000000">
                  <a:alpha val="35000"/>
                </a:srgbClr>
              </a:outerShdw>
            </a:effectLst>
          </c:spPr>
          <c:marker>
            <c:symbol val="none"/>
          </c:marker>
          <c:cat>
            <c:strRef>
              <c:f>'7'!$A$11:$A$22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'7'!$D$11:$D$22</c:f>
              <c:numCache>
                <c:formatCode>0</c:formatCode>
                <c:ptCount val="12"/>
                <c:pt idx="0">
                  <c:v>96.944444444444443</c:v>
                </c:pt>
                <c:pt idx="1">
                  <c:v>96.5</c:v>
                </c:pt>
                <c:pt idx="2">
                  <c:v>96.15</c:v>
                </c:pt>
                <c:pt idx="3">
                  <c:v>97.695652173913047</c:v>
                </c:pt>
                <c:pt idx="4">
                  <c:v>97.6</c:v>
                </c:pt>
                <c:pt idx="5">
                  <c:v>98.181818181818187</c:v>
                </c:pt>
                <c:pt idx="6">
                  <c:v>97.523809523809518</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CB57-47AB-B38C-70315533733B}"/>
            </c:ext>
          </c:extLst>
        </c:ser>
        <c:dLbls>
          <c:showLegendKey val="0"/>
          <c:showVal val="0"/>
          <c:showCatName val="0"/>
          <c:showSerName val="0"/>
          <c:showPercent val="0"/>
          <c:showBubbleSize val="0"/>
        </c:dLbls>
        <c:smooth val="0"/>
        <c:axId val="197332248"/>
        <c:axId val="197324800"/>
      </c:lineChart>
      <c:catAx>
        <c:axId val="1973322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7324800"/>
        <c:crosses val="autoZero"/>
        <c:auto val="1"/>
        <c:lblAlgn val="ctr"/>
        <c:lblOffset val="100"/>
        <c:noMultiLvlLbl val="0"/>
      </c:catAx>
      <c:valAx>
        <c:axId val="19732480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733224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s-CO"/>
              <a:t>Satisfacción</a:t>
            </a:r>
            <a:r>
              <a:rPr lang="es-CO" baseline="0"/>
              <a:t> del cliente</a:t>
            </a:r>
            <a:endParaRPr lang="es-CO"/>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s-CO"/>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'8'!$A$11:$A$22</c:f>
              <c:strCache>
                <c:ptCount val="10"/>
                <c:pt idx="0">
                  <c:v>Primer trimestre</c:v>
                </c:pt>
                <c:pt idx="3">
                  <c:v>Segundo trimestre</c:v>
                </c:pt>
                <c:pt idx="6">
                  <c:v>Tercer trimestre</c:v>
                </c:pt>
                <c:pt idx="9">
                  <c:v>Cuarto trimestre</c:v>
                </c:pt>
              </c:strCache>
            </c:strRef>
          </c:cat>
          <c:val>
            <c:numRef>
              <c:f>'8'!$D$11:$D$22</c:f>
              <c:numCache>
                <c:formatCode>0.00</c:formatCode>
                <c:ptCount val="12"/>
                <c:pt idx="0">
                  <c:v>0</c:v>
                </c:pt>
                <c:pt idx="3">
                  <c:v>0</c:v>
                </c:pt>
              </c:numCache>
            </c:numRef>
          </c:val>
          <c:extLst xmlns:c16r2="http://schemas.microsoft.com/office/drawing/2015/06/chart">
            <c:ext xmlns:c16="http://schemas.microsoft.com/office/drawing/2014/chart" uri="{C3380CC4-5D6E-409C-BE32-E72D297353CC}">
              <c16:uniqueId val="{00000000-E2EC-4A9E-9EF2-3A2110A09B0D}"/>
            </c:ext>
          </c:extLst>
        </c:ser>
        <c:dLbls>
          <c:dLblPos val="inEnd"/>
          <c:showLegendKey val="0"/>
          <c:showVal val="1"/>
          <c:showCatName val="0"/>
          <c:showSerName val="0"/>
          <c:showPercent val="0"/>
          <c:showBubbleSize val="0"/>
        </c:dLbls>
        <c:gapWidth val="41"/>
        <c:axId val="197325192"/>
        <c:axId val="197328328"/>
      </c:barChart>
      <c:catAx>
        <c:axId val="197325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s-CO"/>
          </a:p>
        </c:txPr>
        <c:crossAx val="197328328"/>
        <c:crosses val="autoZero"/>
        <c:auto val="1"/>
        <c:lblAlgn val="ctr"/>
        <c:lblOffset val="100"/>
        <c:noMultiLvlLbl val="0"/>
      </c:catAx>
      <c:valAx>
        <c:axId val="197328328"/>
        <c:scaling>
          <c:orientation val="minMax"/>
        </c:scaling>
        <c:delete val="1"/>
        <c:axPos val="l"/>
        <c:numFmt formatCode="0.00" sourceLinked="1"/>
        <c:majorTickMark val="none"/>
        <c:minorTickMark val="none"/>
        <c:tickLblPos val="nextTo"/>
        <c:crossAx val="19732519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2.jpeg"/><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42335</xdr:colOff>
      <xdr:row>9</xdr:row>
      <xdr:rowOff>15850</xdr:rowOff>
    </xdr:from>
    <xdr:to>
      <xdr:col>9</xdr:col>
      <xdr:colOff>703613</xdr:colOff>
      <xdr:row>21</xdr:row>
      <xdr:rowOff>142850</xdr:rowOff>
    </xdr:to>
    <xdr:graphicFrame macro="">
      <xdr:nvGraphicFramePr>
        <xdr:cNvPr id="3" name="2 Gráfico">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26</xdr:row>
      <xdr:rowOff>42334</xdr:rowOff>
    </xdr:from>
    <xdr:to>
      <xdr:col>9</xdr:col>
      <xdr:colOff>687917</xdr:colOff>
      <xdr:row>39</xdr:row>
      <xdr:rowOff>10584</xdr:rowOff>
    </xdr:to>
    <xdr:graphicFrame macro="">
      <xdr:nvGraphicFramePr>
        <xdr:cNvPr id="5" name="4 Gráfico">
          <a:extLst>
            <a:ext uri="{FF2B5EF4-FFF2-40B4-BE49-F238E27FC236}">
              <a16:creationId xmlns:a16="http://schemas.microsoft.com/office/drawing/2014/main" xmlns=""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179916</xdr:colOff>
      <xdr:row>0</xdr:row>
      <xdr:rowOff>42335</xdr:rowOff>
    </xdr:from>
    <xdr:to>
      <xdr:col>1</xdr:col>
      <xdr:colOff>350539</xdr:colOff>
      <xdr:row>2</xdr:row>
      <xdr:rowOff>169335</xdr:rowOff>
    </xdr:to>
    <xdr:pic>
      <xdr:nvPicPr>
        <xdr:cNvPr id="6" name="Imagen 5" descr="D:\Desktop\ARCHIVOS\Logo_Biosteel-001.jpg">
          <a:extLst>
            <a:ext uri="{FF2B5EF4-FFF2-40B4-BE49-F238E27FC236}">
              <a16:creationId xmlns:a16="http://schemas.microsoft.com/office/drawing/2014/main" xmlns="" id="{00000000-0008-0000-01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9916" y="42335"/>
          <a:ext cx="994833" cy="5080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952501</xdr:colOff>
      <xdr:row>9</xdr:row>
      <xdr:rowOff>52917</xdr:rowOff>
    </xdr:from>
    <xdr:to>
      <xdr:col>9</xdr:col>
      <xdr:colOff>635001</xdr:colOff>
      <xdr:row>21</xdr:row>
      <xdr:rowOff>179917</xdr:rowOff>
    </xdr:to>
    <xdr:graphicFrame macro="">
      <xdr:nvGraphicFramePr>
        <xdr:cNvPr id="2" name="1 Gráfico">
          <a:extLst>
            <a:ext uri="{FF2B5EF4-FFF2-40B4-BE49-F238E27FC236}">
              <a16:creationId xmlns:a16="http://schemas.microsoft.com/office/drawing/2014/main" xmlns=""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63499</xdr:colOff>
      <xdr:row>26</xdr:row>
      <xdr:rowOff>63500</xdr:rowOff>
    </xdr:from>
    <xdr:to>
      <xdr:col>9</xdr:col>
      <xdr:colOff>719666</xdr:colOff>
      <xdr:row>39</xdr:row>
      <xdr:rowOff>0</xdr:rowOff>
    </xdr:to>
    <xdr:graphicFrame macro="">
      <xdr:nvGraphicFramePr>
        <xdr:cNvPr id="6" name="5 Gráfico">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349250</xdr:colOff>
      <xdr:row>0</xdr:row>
      <xdr:rowOff>0</xdr:rowOff>
    </xdr:from>
    <xdr:to>
      <xdr:col>1</xdr:col>
      <xdr:colOff>476250</xdr:colOff>
      <xdr:row>2</xdr:row>
      <xdr:rowOff>105833</xdr:rowOff>
    </xdr:to>
    <xdr:pic>
      <xdr:nvPicPr>
        <xdr:cNvPr id="5" name="Imagen 4" descr="D:\Desktop\ARCHIVOS\Logo_Biosteel-001.jpg">
          <a:extLst>
            <a:ext uri="{FF2B5EF4-FFF2-40B4-BE49-F238E27FC236}">
              <a16:creationId xmlns:a16="http://schemas.microsoft.com/office/drawing/2014/main" xmlns="" id="{00000000-0008-0000-0200-000005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9250" y="0"/>
          <a:ext cx="941917" cy="486833"/>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84667</xdr:colOff>
      <xdr:row>9</xdr:row>
      <xdr:rowOff>43391</xdr:rowOff>
    </xdr:from>
    <xdr:to>
      <xdr:col>9</xdr:col>
      <xdr:colOff>740834</xdr:colOff>
      <xdr:row>21</xdr:row>
      <xdr:rowOff>162982</xdr:rowOff>
    </xdr:to>
    <xdr:graphicFrame macro="">
      <xdr:nvGraphicFramePr>
        <xdr:cNvPr id="3" name="2 Gráfico">
          <a:extLst>
            <a:ext uri="{FF2B5EF4-FFF2-40B4-BE49-F238E27FC236}">
              <a16:creationId xmlns:a16="http://schemas.microsoft.com/office/drawing/2014/main" xmlns=""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26</xdr:row>
      <xdr:rowOff>32808</xdr:rowOff>
    </xdr:from>
    <xdr:to>
      <xdr:col>9</xdr:col>
      <xdr:colOff>687917</xdr:colOff>
      <xdr:row>38</xdr:row>
      <xdr:rowOff>152399</xdr:rowOff>
    </xdr:to>
    <xdr:graphicFrame macro="">
      <xdr:nvGraphicFramePr>
        <xdr:cNvPr id="5" name="4 Gráfico">
          <a:extLst>
            <a:ext uri="{FF2B5EF4-FFF2-40B4-BE49-F238E27FC236}">
              <a16:creationId xmlns:a16="http://schemas.microsoft.com/office/drawing/2014/main" xmlns=""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444500</xdr:colOff>
      <xdr:row>0</xdr:row>
      <xdr:rowOff>21167</xdr:rowOff>
    </xdr:from>
    <xdr:to>
      <xdr:col>1</xdr:col>
      <xdr:colOff>571500</xdr:colOff>
      <xdr:row>2</xdr:row>
      <xdr:rowOff>127000</xdr:rowOff>
    </xdr:to>
    <xdr:pic>
      <xdr:nvPicPr>
        <xdr:cNvPr id="6" name="Imagen 5" descr="D:\Desktop\ARCHIVOS\Logo_Biosteel-001.jpg">
          <a:extLst>
            <a:ext uri="{FF2B5EF4-FFF2-40B4-BE49-F238E27FC236}">
              <a16:creationId xmlns:a16="http://schemas.microsoft.com/office/drawing/2014/main" xmlns="" id="{00000000-0008-0000-03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4500" y="21167"/>
          <a:ext cx="941917" cy="486833"/>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31750</xdr:colOff>
      <xdr:row>9</xdr:row>
      <xdr:rowOff>32808</xdr:rowOff>
    </xdr:from>
    <xdr:to>
      <xdr:col>9</xdr:col>
      <xdr:colOff>687917</xdr:colOff>
      <xdr:row>21</xdr:row>
      <xdr:rowOff>152399</xdr:rowOff>
    </xdr:to>
    <xdr:graphicFrame macro="">
      <xdr:nvGraphicFramePr>
        <xdr:cNvPr id="2" name="1 Gráfico">
          <a:extLst>
            <a:ext uri="{FF2B5EF4-FFF2-40B4-BE49-F238E27FC236}">
              <a16:creationId xmlns:a16="http://schemas.microsoft.com/office/drawing/2014/main" xmlns=""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317500</xdr:colOff>
      <xdr:row>0</xdr:row>
      <xdr:rowOff>10583</xdr:rowOff>
    </xdr:from>
    <xdr:to>
      <xdr:col>1</xdr:col>
      <xdr:colOff>444500</xdr:colOff>
      <xdr:row>2</xdr:row>
      <xdr:rowOff>116416</xdr:rowOff>
    </xdr:to>
    <xdr:pic>
      <xdr:nvPicPr>
        <xdr:cNvPr id="4" name="Imagen 3" descr="D:\Desktop\ARCHIVOS\Logo_Biosteel-001.jpg">
          <a:extLst>
            <a:ext uri="{FF2B5EF4-FFF2-40B4-BE49-F238E27FC236}">
              <a16:creationId xmlns:a16="http://schemas.microsoft.com/office/drawing/2014/main" xmlns="" id="{00000000-0008-0000-04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7500" y="10583"/>
          <a:ext cx="941917" cy="486833"/>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42334</xdr:colOff>
      <xdr:row>9</xdr:row>
      <xdr:rowOff>42334</xdr:rowOff>
    </xdr:from>
    <xdr:to>
      <xdr:col>9</xdr:col>
      <xdr:colOff>730250</xdr:colOff>
      <xdr:row>21</xdr:row>
      <xdr:rowOff>169334</xdr:rowOff>
    </xdr:to>
    <xdr:graphicFrame macro="">
      <xdr:nvGraphicFramePr>
        <xdr:cNvPr id="2" name="1 Gráfico">
          <a:extLst>
            <a:ext uri="{FF2B5EF4-FFF2-40B4-BE49-F238E27FC236}">
              <a16:creationId xmlns:a16="http://schemas.microsoft.com/office/drawing/2014/main" xmlns=""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31751</xdr:colOff>
      <xdr:row>25</xdr:row>
      <xdr:rowOff>31750</xdr:rowOff>
    </xdr:from>
    <xdr:to>
      <xdr:col>9</xdr:col>
      <xdr:colOff>751418</xdr:colOff>
      <xdr:row>37</xdr:row>
      <xdr:rowOff>169333</xdr:rowOff>
    </xdr:to>
    <xdr:graphicFrame macro="">
      <xdr:nvGraphicFramePr>
        <xdr:cNvPr id="3" name="2 Gráfico">
          <a:extLst>
            <a:ext uri="{FF2B5EF4-FFF2-40B4-BE49-F238E27FC236}">
              <a16:creationId xmlns:a16="http://schemas.microsoft.com/office/drawing/2014/main" xmlns=""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52915</xdr:colOff>
      <xdr:row>54</xdr:row>
      <xdr:rowOff>42334</xdr:rowOff>
    </xdr:from>
    <xdr:to>
      <xdr:col>9</xdr:col>
      <xdr:colOff>793749</xdr:colOff>
      <xdr:row>69</xdr:row>
      <xdr:rowOff>84668</xdr:rowOff>
    </xdr:to>
    <xdr:graphicFrame macro="">
      <xdr:nvGraphicFramePr>
        <xdr:cNvPr id="7" name="6 Gráfico">
          <a:extLst>
            <a:ext uri="{FF2B5EF4-FFF2-40B4-BE49-F238E27FC236}">
              <a16:creationId xmlns:a16="http://schemas.microsoft.com/office/drawing/2014/main" xmlns=""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42333</xdr:colOff>
      <xdr:row>73</xdr:row>
      <xdr:rowOff>63500</xdr:rowOff>
    </xdr:from>
    <xdr:to>
      <xdr:col>9</xdr:col>
      <xdr:colOff>793750</xdr:colOff>
      <xdr:row>86</xdr:row>
      <xdr:rowOff>0</xdr:rowOff>
    </xdr:to>
    <xdr:graphicFrame macro="">
      <xdr:nvGraphicFramePr>
        <xdr:cNvPr id="14" name="5 Gráfico">
          <a:extLst>
            <a:ext uri="{FF2B5EF4-FFF2-40B4-BE49-F238E27FC236}">
              <a16:creationId xmlns:a16="http://schemas.microsoft.com/office/drawing/2014/main" xmlns=""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42333</xdr:colOff>
      <xdr:row>89</xdr:row>
      <xdr:rowOff>63500</xdr:rowOff>
    </xdr:from>
    <xdr:to>
      <xdr:col>9</xdr:col>
      <xdr:colOff>730249</xdr:colOff>
      <xdr:row>102</xdr:row>
      <xdr:rowOff>0</xdr:rowOff>
    </xdr:to>
    <xdr:graphicFrame macro="">
      <xdr:nvGraphicFramePr>
        <xdr:cNvPr id="15" name="5 Gráfico">
          <a:extLst>
            <a:ext uri="{FF2B5EF4-FFF2-40B4-BE49-F238E27FC236}">
              <a16:creationId xmlns:a16="http://schemas.microsoft.com/office/drawing/2014/main" xmlns=""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412749</xdr:colOff>
      <xdr:row>0</xdr:row>
      <xdr:rowOff>42334</xdr:rowOff>
    </xdr:from>
    <xdr:to>
      <xdr:col>1</xdr:col>
      <xdr:colOff>677332</xdr:colOff>
      <xdr:row>2</xdr:row>
      <xdr:rowOff>127001</xdr:rowOff>
    </xdr:to>
    <xdr:pic>
      <xdr:nvPicPr>
        <xdr:cNvPr id="8" name="Imagen 7" descr="D:\Desktop\ARCHIVOS\Logo_Biosteel-001.jpg">
          <a:extLst>
            <a:ext uri="{FF2B5EF4-FFF2-40B4-BE49-F238E27FC236}">
              <a16:creationId xmlns:a16="http://schemas.microsoft.com/office/drawing/2014/main" xmlns="" id="{00000000-0008-0000-0500-000008000000}"/>
            </a:ext>
          </a:extLst>
        </xdr:cNvPr>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12749" y="42334"/>
          <a:ext cx="1079500" cy="465667"/>
        </a:xfrm>
        <a:prstGeom prst="rect">
          <a:avLst/>
        </a:prstGeom>
        <a:noFill/>
        <a:ln>
          <a:noFill/>
        </a:ln>
      </xdr:spPr>
    </xdr:pic>
    <xdr:clientData/>
  </xdr:twoCellAnchor>
  <xdr:twoCellAnchor>
    <xdr:from>
      <xdr:col>4</xdr:col>
      <xdr:colOff>42333</xdr:colOff>
      <xdr:row>104</xdr:row>
      <xdr:rowOff>63500</xdr:rowOff>
    </xdr:from>
    <xdr:to>
      <xdr:col>9</xdr:col>
      <xdr:colOff>730249</xdr:colOff>
      <xdr:row>117</xdr:row>
      <xdr:rowOff>0</xdr:rowOff>
    </xdr:to>
    <xdr:graphicFrame macro="">
      <xdr:nvGraphicFramePr>
        <xdr:cNvPr id="9" name="5 Gráfico">
          <a:extLst>
            <a:ext uri="{FF2B5EF4-FFF2-40B4-BE49-F238E27FC236}">
              <a16:creationId xmlns:a16="http://schemas.microsoft.com/office/drawing/2014/main" xmlns=""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42334</xdr:colOff>
      <xdr:row>9</xdr:row>
      <xdr:rowOff>42334</xdr:rowOff>
    </xdr:from>
    <xdr:to>
      <xdr:col>9</xdr:col>
      <xdr:colOff>698501</xdr:colOff>
      <xdr:row>21</xdr:row>
      <xdr:rowOff>169334</xdr:rowOff>
    </xdr:to>
    <xdr:graphicFrame macro="">
      <xdr:nvGraphicFramePr>
        <xdr:cNvPr id="2" name="1 Gráfico">
          <a:extLst>
            <a:ext uri="{FF2B5EF4-FFF2-40B4-BE49-F238E27FC236}">
              <a16:creationId xmlns:a16="http://schemas.microsoft.com/office/drawing/2014/main" xmlns=""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370417</xdr:colOff>
      <xdr:row>0</xdr:row>
      <xdr:rowOff>0</xdr:rowOff>
    </xdr:from>
    <xdr:to>
      <xdr:col>1</xdr:col>
      <xdr:colOff>497417</xdr:colOff>
      <xdr:row>2</xdr:row>
      <xdr:rowOff>105833</xdr:rowOff>
    </xdr:to>
    <xdr:pic>
      <xdr:nvPicPr>
        <xdr:cNvPr id="5" name="Imagen 4" descr="D:\Desktop\ARCHIVOS\Logo_Biosteel-001.jpg">
          <a:extLst>
            <a:ext uri="{FF2B5EF4-FFF2-40B4-BE49-F238E27FC236}">
              <a16:creationId xmlns:a16="http://schemas.microsoft.com/office/drawing/2014/main" xmlns="" id="{00000000-0008-0000-06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0417" y="0"/>
          <a:ext cx="941917" cy="486833"/>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63500</xdr:colOff>
      <xdr:row>9</xdr:row>
      <xdr:rowOff>52917</xdr:rowOff>
    </xdr:from>
    <xdr:to>
      <xdr:col>9</xdr:col>
      <xdr:colOff>698500</xdr:colOff>
      <xdr:row>22</xdr:row>
      <xdr:rowOff>10584</xdr:rowOff>
    </xdr:to>
    <xdr:graphicFrame macro="">
      <xdr:nvGraphicFramePr>
        <xdr:cNvPr id="6" name="5 Gráfico">
          <a:extLst>
            <a:ext uri="{FF2B5EF4-FFF2-40B4-BE49-F238E27FC236}">
              <a16:creationId xmlns:a16="http://schemas.microsoft.com/office/drawing/2014/main" xmlns=""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381000</xdr:colOff>
      <xdr:row>0</xdr:row>
      <xdr:rowOff>42333</xdr:rowOff>
    </xdr:from>
    <xdr:to>
      <xdr:col>1</xdr:col>
      <xdr:colOff>508000</xdr:colOff>
      <xdr:row>2</xdr:row>
      <xdr:rowOff>148166</xdr:rowOff>
    </xdr:to>
    <xdr:pic>
      <xdr:nvPicPr>
        <xdr:cNvPr id="4" name="Imagen 3" descr="D:\Desktop\ARCHIVOS\Logo_Biosteel-001.jpg">
          <a:extLst>
            <a:ext uri="{FF2B5EF4-FFF2-40B4-BE49-F238E27FC236}">
              <a16:creationId xmlns:a16="http://schemas.microsoft.com/office/drawing/2014/main" xmlns="" id="{00000000-0008-0000-07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0" y="42333"/>
          <a:ext cx="941917" cy="486833"/>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254000</xdr:colOff>
      <xdr:row>0</xdr:row>
      <xdr:rowOff>21167</xdr:rowOff>
    </xdr:from>
    <xdr:to>
      <xdr:col>1</xdr:col>
      <xdr:colOff>21167</xdr:colOff>
      <xdr:row>2</xdr:row>
      <xdr:rowOff>137583</xdr:rowOff>
    </xdr:to>
    <xdr:pic>
      <xdr:nvPicPr>
        <xdr:cNvPr id="4" name="Imagen 3" descr="D:\Desktop\ARCHIVOS\Logo_Biosteel-001.jpg">
          <a:extLst>
            <a:ext uri="{FF2B5EF4-FFF2-40B4-BE49-F238E27FC236}">
              <a16:creationId xmlns:a16="http://schemas.microsoft.com/office/drawing/2014/main" xmlns="" id="{00000000-0008-0000-08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 y="21167"/>
          <a:ext cx="973667" cy="497416"/>
        </a:xfrm>
        <a:prstGeom prst="rect">
          <a:avLst/>
        </a:prstGeom>
        <a:noFill/>
        <a:ln>
          <a:noFill/>
        </a:ln>
      </xdr:spPr>
    </xdr:pic>
    <xdr:clientData/>
  </xdr:twoCellAnchor>
  <xdr:twoCellAnchor>
    <xdr:from>
      <xdr:col>4</xdr:col>
      <xdr:colOff>42333</xdr:colOff>
      <xdr:row>9</xdr:row>
      <xdr:rowOff>20108</xdr:rowOff>
    </xdr:from>
    <xdr:to>
      <xdr:col>9</xdr:col>
      <xdr:colOff>698500</xdr:colOff>
      <xdr:row>22</xdr:row>
      <xdr:rowOff>21165</xdr:rowOff>
    </xdr:to>
    <xdr:graphicFrame macro="">
      <xdr:nvGraphicFramePr>
        <xdr:cNvPr id="5" name="Gráfico 4">
          <a:extLst>
            <a:ext uri="{FF2B5EF4-FFF2-40B4-BE49-F238E27FC236}">
              <a16:creationId xmlns:a16="http://schemas.microsoft.com/office/drawing/2014/main" xmlns=""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189983</xdr:colOff>
      <xdr:row>0</xdr:row>
      <xdr:rowOff>91453</xdr:rowOff>
    </xdr:from>
    <xdr:to>
      <xdr:col>2</xdr:col>
      <xdr:colOff>440014</xdr:colOff>
      <xdr:row>0</xdr:row>
      <xdr:rowOff>651047</xdr:rowOff>
    </xdr:to>
    <xdr:pic>
      <xdr:nvPicPr>
        <xdr:cNvPr id="2" name="Imagen 1" descr="D:\Desktop\ARCHIVOS\Logo_Biosteel-001.jpg">
          <a:extLst>
            <a:ext uri="{FF2B5EF4-FFF2-40B4-BE49-F238E27FC236}">
              <a16:creationId xmlns:a16="http://schemas.microsoft.com/office/drawing/2014/main" xmlns=""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831" y="91453"/>
          <a:ext cx="1188726" cy="559594"/>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topLeftCell="J7" zoomScale="80" zoomScaleNormal="80" workbookViewId="0">
      <selection activeCell="O29" sqref="O29"/>
    </sheetView>
  </sheetViews>
  <sheetFormatPr baseColWidth="10" defaultRowHeight="15"/>
  <cols>
    <col min="1" max="1" width="2.28515625" style="1" bestFit="1" customWidth="1"/>
    <col min="2" max="2" width="20.28515625" style="1" bestFit="1" customWidth="1"/>
    <col min="3" max="3" width="15.140625" style="1" customWidth="1"/>
    <col min="4" max="6" width="11.42578125" style="1"/>
    <col min="7" max="7" width="13.85546875" style="1" customWidth="1"/>
    <col min="8" max="8" width="75.140625" style="1" customWidth="1"/>
    <col min="9" max="9" width="19.140625" style="1" bestFit="1" customWidth="1"/>
    <col min="10" max="10" width="21.28515625" style="1" bestFit="1" customWidth="1"/>
    <col min="11" max="11" width="21.42578125" style="1" bestFit="1" customWidth="1"/>
    <col min="12" max="12" width="21" style="1" bestFit="1" customWidth="1"/>
    <col min="13" max="13" width="21.5703125" style="1" bestFit="1" customWidth="1"/>
    <col min="14" max="14" width="21.5703125" style="1" customWidth="1"/>
    <col min="15" max="15" width="33" style="1" bestFit="1" customWidth="1"/>
    <col min="16" max="16" width="14.5703125" style="1" bestFit="1" customWidth="1"/>
    <col min="17" max="17" width="12.42578125" style="1" bestFit="1" customWidth="1"/>
    <col min="18" max="18" width="18" style="1" bestFit="1" customWidth="1"/>
    <col min="19" max="20" width="14.5703125" style="1" bestFit="1" customWidth="1"/>
    <col min="21" max="21" width="14.5703125" bestFit="1" customWidth="1"/>
    <col min="22" max="26" width="9.140625" bestFit="1" customWidth="1"/>
    <col min="27" max="27" width="12.42578125" bestFit="1" customWidth="1"/>
    <col min="28" max="28" width="9.85546875" bestFit="1" customWidth="1"/>
    <col min="29" max="29" width="12.28515625" bestFit="1" customWidth="1"/>
    <col min="30" max="30" width="11.28515625" bestFit="1" customWidth="1"/>
  </cols>
  <sheetData>
    <row r="1" spans="1:30">
      <c r="A1" s="150" t="s">
        <v>156</v>
      </c>
      <c r="B1" s="150"/>
      <c r="C1" s="150"/>
      <c r="D1" s="150"/>
      <c r="E1" s="150"/>
      <c r="F1" s="150"/>
      <c r="G1" s="150"/>
      <c r="H1" s="150"/>
      <c r="I1" s="150"/>
      <c r="J1" s="150"/>
      <c r="K1" s="150"/>
      <c r="L1" s="150"/>
      <c r="M1" s="150"/>
      <c r="N1" s="150"/>
      <c r="O1" s="150"/>
      <c r="P1" s="150"/>
      <c r="Q1" s="150"/>
      <c r="R1" s="150"/>
      <c r="S1" s="84"/>
      <c r="T1" s="84"/>
      <c r="U1" s="85"/>
      <c r="V1" s="85"/>
      <c r="W1" s="85"/>
      <c r="X1" s="85"/>
      <c r="Y1" s="85"/>
      <c r="Z1" s="85"/>
      <c r="AA1" s="85"/>
      <c r="AB1" s="85"/>
      <c r="AC1" s="85"/>
      <c r="AD1" s="85"/>
    </row>
    <row r="2" spans="1:30">
      <c r="A2" s="150"/>
      <c r="B2" s="150"/>
      <c r="C2" s="150"/>
      <c r="D2" s="150"/>
      <c r="E2" s="150"/>
      <c r="F2" s="150"/>
      <c r="G2" s="150"/>
      <c r="H2" s="150"/>
      <c r="I2" s="150"/>
      <c r="J2" s="150"/>
      <c r="K2" s="150"/>
      <c r="L2" s="150"/>
      <c r="M2" s="150"/>
      <c r="N2" s="150"/>
      <c r="O2" s="150"/>
      <c r="P2" s="150"/>
      <c r="Q2" s="150"/>
      <c r="R2" s="150"/>
      <c r="S2" s="84"/>
      <c r="T2" s="84"/>
      <c r="U2" s="85"/>
      <c r="V2" s="85"/>
      <c r="W2" s="85"/>
      <c r="X2" s="85"/>
      <c r="Y2" s="85"/>
      <c r="Z2" s="85"/>
      <c r="AA2" s="85"/>
      <c r="AB2" s="85"/>
      <c r="AC2" s="85"/>
      <c r="AD2" s="85"/>
    </row>
    <row r="3" spans="1:30">
      <c r="A3" s="150"/>
      <c r="B3" s="150"/>
      <c r="C3" s="150"/>
      <c r="D3" s="150"/>
      <c r="E3" s="150"/>
      <c r="F3" s="150"/>
      <c r="G3" s="150"/>
      <c r="H3" s="150"/>
      <c r="I3" s="150"/>
      <c r="J3" s="150"/>
      <c r="K3" s="150"/>
      <c r="L3" s="150"/>
      <c r="M3" s="150"/>
      <c r="N3" s="150"/>
      <c r="O3" s="150"/>
      <c r="P3" s="150"/>
      <c r="Q3" s="150"/>
      <c r="R3" s="150"/>
      <c r="S3" s="84"/>
      <c r="T3" s="84"/>
      <c r="U3" s="85"/>
      <c r="V3" s="85"/>
      <c r="W3" s="85"/>
      <c r="X3" s="85"/>
      <c r="Y3" s="85"/>
      <c r="Z3" s="85"/>
      <c r="AA3" s="85"/>
      <c r="AB3" s="85"/>
      <c r="AC3" s="85"/>
      <c r="AD3" s="85"/>
    </row>
    <row r="4" spans="1:30">
      <c r="A4" s="151" t="s">
        <v>0</v>
      </c>
      <c r="B4" s="151"/>
      <c r="C4" s="152" t="s">
        <v>190</v>
      </c>
      <c r="D4" s="152"/>
      <c r="E4" s="152"/>
      <c r="F4" s="152"/>
      <c r="G4" s="152"/>
      <c r="H4" s="152"/>
      <c r="I4" s="152"/>
      <c r="J4" s="152"/>
      <c r="K4" s="152"/>
      <c r="L4" s="152"/>
      <c r="M4" s="152"/>
      <c r="N4" s="152"/>
      <c r="O4" s="152"/>
      <c r="P4" s="152"/>
      <c r="Q4" s="152"/>
      <c r="R4" s="152"/>
      <c r="S4" s="84"/>
      <c r="T4" s="84"/>
      <c r="U4" s="85"/>
      <c r="V4" s="85"/>
      <c r="W4" s="85"/>
      <c r="X4" s="85"/>
      <c r="Y4" s="85"/>
      <c r="Z4" s="85"/>
      <c r="AA4" s="85"/>
      <c r="AB4" s="85"/>
      <c r="AC4" s="85"/>
      <c r="AD4" s="85"/>
    </row>
    <row r="5" spans="1:30">
      <c r="A5" s="151"/>
      <c r="B5" s="151"/>
      <c r="C5" s="152"/>
      <c r="D5" s="152"/>
      <c r="E5" s="152"/>
      <c r="F5" s="152"/>
      <c r="G5" s="152"/>
      <c r="H5" s="152"/>
      <c r="I5" s="152"/>
      <c r="J5" s="152"/>
      <c r="K5" s="152"/>
      <c r="L5" s="152"/>
      <c r="M5" s="152"/>
      <c r="N5" s="152"/>
      <c r="O5" s="152"/>
      <c r="P5" s="152"/>
      <c r="Q5" s="152"/>
      <c r="R5" s="152"/>
      <c r="S5" s="84"/>
      <c r="T5" s="84"/>
      <c r="U5" s="85"/>
      <c r="V5" s="85"/>
      <c r="W5" s="85"/>
      <c r="X5" s="85"/>
      <c r="Y5" s="85"/>
      <c r="Z5" s="85"/>
      <c r="AA5" s="85"/>
      <c r="AB5" s="85"/>
      <c r="AC5" s="85"/>
      <c r="AD5" s="85"/>
    </row>
    <row r="6" spans="1:30">
      <c r="A6" s="151"/>
      <c r="B6" s="151"/>
      <c r="C6" s="152"/>
      <c r="D6" s="152"/>
      <c r="E6" s="152"/>
      <c r="F6" s="152"/>
      <c r="G6" s="152"/>
      <c r="H6" s="152"/>
      <c r="I6" s="152"/>
      <c r="J6" s="152"/>
      <c r="K6" s="152"/>
      <c r="L6" s="152"/>
      <c r="M6" s="152"/>
      <c r="N6" s="152"/>
      <c r="O6" s="152"/>
      <c r="P6" s="152"/>
      <c r="Q6" s="152"/>
      <c r="R6" s="152"/>
      <c r="S6" s="84"/>
      <c r="T6" s="84"/>
      <c r="U6" s="85"/>
      <c r="V6" s="85"/>
      <c r="W6" s="85"/>
      <c r="X6" s="85"/>
      <c r="Y6" s="85"/>
      <c r="Z6" s="85"/>
      <c r="AA6" s="85"/>
      <c r="AB6" s="85"/>
      <c r="AC6" s="85"/>
      <c r="AD6" s="85"/>
    </row>
    <row r="7" spans="1:30">
      <c r="A7" s="151"/>
      <c r="B7" s="151"/>
      <c r="C7" s="152"/>
      <c r="D7" s="152"/>
      <c r="E7" s="152"/>
      <c r="F7" s="152"/>
      <c r="G7" s="152"/>
      <c r="H7" s="152"/>
      <c r="I7" s="152"/>
      <c r="J7" s="152"/>
      <c r="K7" s="152"/>
      <c r="L7" s="152"/>
      <c r="M7" s="152"/>
      <c r="N7" s="152"/>
      <c r="O7" s="152"/>
      <c r="P7" s="152"/>
      <c r="Q7" s="152"/>
      <c r="R7" s="152"/>
      <c r="S7" s="84"/>
      <c r="T7" s="84"/>
      <c r="U7" s="85"/>
      <c r="V7" s="85"/>
      <c r="W7" s="85"/>
      <c r="X7" s="85"/>
      <c r="Y7" s="85"/>
      <c r="Z7" s="85"/>
      <c r="AA7" s="85"/>
      <c r="AB7" s="85"/>
      <c r="AC7" s="85"/>
      <c r="AD7" s="85"/>
    </row>
    <row r="8" spans="1:30">
      <c r="A8" s="151"/>
      <c r="B8" s="151"/>
      <c r="C8" s="152"/>
      <c r="D8" s="152"/>
      <c r="E8" s="152"/>
      <c r="F8" s="152"/>
      <c r="G8" s="152"/>
      <c r="H8" s="152"/>
      <c r="I8" s="152"/>
      <c r="J8" s="152"/>
      <c r="K8" s="152"/>
      <c r="L8" s="152"/>
      <c r="M8" s="152"/>
      <c r="N8" s="152"/>
      <c r="O8" s="152"/>
      <c r="P8" s="152"/>
      <c r="Q8" s="152"/>
      <c r="R8" s="152"/>
      <c r="S8" s="84"/>
      <c r="T8" s="84"/>
      <c r="U8" s="85"/>
      <c r="V8" s="85"/>
      <c r="W8" s="85"/>
      <c r="X8" s="85"/>
      <c r="Y8" s="85"/>
      <c r="Z8" s="85"/>
      <c r="AA8" s="85"/>
      <c r="AB8" s="85"/>
      <c r="AC8" s="85"/>
      <c r="AD8" s="85"/>
    </row>
    <row r="9" spans="1:30" ht="30">
      <c r="A9" s="153" t="s">
        <v>1</v>
      </c>
      <c r="B9" s="154"/>
      <c r="C9" s="153" t="s">
        <v>2</v>
      </c>
      <c r="D9" s="155"/>
      <c r="E9" s="155"/>
      <c r="F9" s="155"/>
      <c r="G9" s="154"/>
      <c r="H9" s="99" t="s">
        <v>206</v>
      </c>
      <c r="I9" s="7" t="s">
        <v>28</v>
      </c>
      <c r="J9" s="7" t="s">
        <v>29</v>
      </c>
      <c r="K9" s="8" t="s">
        <v>30</v>
      </c>
      <c r="L9" s="8" t="s">
        <v>31</v>
      </c>
      <c r="M9" s="2" t="s">
        <v>3</v>
      </c>
      <c r="N9" s="142" t="s">
        <v>266</v>
      </c>
      <c r="O9" s="2" t="s">
        <v>4</v>
      </c>
      <c r="P9" s="2" t="s">
        <v>5</v>
      </c>
      <c r="Q9" s="2" t="s">
        <v>6</v>
      </c>
      <c r="R9" s="3" t="s">
        <v>7</v>
      </c>
      <c r="S9" s="80" t="s">
        <v>161</v>
      </c>
      <c r="T9" s="80" t="s">
        <v>162</v>
      </c>
      <c r="U9" s="80" t="s">
        <v>163</v>
      </c>
      <c r="V9" s="80" t="s">
        <v>164</v>
      </c>
      <c r="W9" s="80" t="s">
        <v>165</v>
      </c>
      <c r="X9" s="80" t="s">
        <v>166</v>
      </c>
      <c r="Y9" s="80" t="s">
        <v>167</v>
      </c>
      <c r="Z9" s="80" t="s">
        <v>168</v>
      </c>
      <c r="AA9" s="80" t="s">
        <v>169</v>
      </c>
      <c r="AB9" s="80" t="s">
        <v>170</v>
      </c>
      <c r="AC9" s="80" t="s">
        <v>171</v>
      </c>
      <c r="AD9" s="80" t="s">
        <v>172</v>
      </c>
    </row>
    <row r="10" spans="1:30" ht="45">
      <c r="A10" s="168">
        <v>1</v>
      </c>
      <c r="B10" s="156" t="s">
        <v>32</v>
      </c>
      <c r="C10" s="159" t="s">
        <v>25</v>
      </c>
      <c r="D10" s="160"/>
      <c r="E10" s="160"/>
      <c r="F10" s="160"/>
      <c r="G10" s="161"/>
      <c r="H10" s="148" t="s">
        <v>207</v>
      </c>
      <c r="I10" s="148" t="s">
        <v>33</v>
      </c>
      <c r="J10" s="148" t="s">
        <v>203</v>
      </c>
      <c r="K10" s="148" t="s">
        <v>228</v>
      </c>
      <c r="L10" s="148" t="s">
        <v>46</v>
      </c>
      <c r="M10" s="14" t="s">
        <v>49</v>
      </c>
      <c r="N10" s="14" t="s">
        <v>159</v>
      </c>
      <c r="O10" s="10" t="s">
        <v>82</v>
      </c>
      <c r="P10" s="15" t="s">
        <v>10</v>
      </c>
      <c r="Q10" s="15" t="s">
        <v>8</v>
      </c>
      <c r="R10" s="10" t="s">
        <v>48</v>
      </c>
      <c r="S10" s="55">
        <f>'1'!D11</f>
        <v>0.9779874213836478</v>
      </c>
      <c r="T10" s="55">
        <f>'1'!D12</f>
        <v>0.9718875502008032</v>
      </c>
      <c r="U10" s="55">
        <f>'1'!D13</f>
        <v>0.98653846153846159</v>
      </c>
      <c r="V10" s="55">
        <f>'1'!D14</f>
        <v>0.94364161849710981</v>
      </c>
      <c r="W10" s="55">
        <f>'1'!D15</f>
        <v>0.98432055749128922</v>
      </c>
      <c r="X10" s="55">
        <f>'1'!D16</f>
        <v>0.93445378151260505</v>
      </c>
      <c r="Y10" s="55">
        <f>'1'!D17</f>
        <v>0.95924764890282133</v>
      </c>
      <c r="Z10" s="55" t="e">
        <f>'1'!D18</f>
        <v>#DIV/0!</v>
      </c>
      <c r="AA10" s="55" t="e">
        <f>'1'!D19</f>
        <v>#DIV/0!</v>
      </c>
      <c r="AB10" s="55" t="e">
        <f>'1'!D20</f>
        <v>#DIV/0!</v>
      </c>
      <c r="AC10" s="55" t="e">
        <f>'1'!D21</f>
        <v>#DIV/0!</v>
      </c>
      <c r="AD10" s="55" t="e">
        <f>'1'!D22</f>
        <v>#DIV/0!</v>
      </c>
    </row>
    <row r="11" spans="1:30" ht="60">
      <c r="A11" s="169"/>
      <c r="B11" s="157"/>
      <c r="C11" s="162"/>
      <c r="D11" s="163"/>
      <c r="E11" s="163"/>
      <c r="F11" s="163"/>
      <c r="G11" s="164"/>
      <c r="H11" s="149"/>
      <c r="I11" s="149"/>
      <c r="J11" s="149"/>
      <c r="K11" s="149"/>
      <c r="L11" s="149"/>
      <c r="M11" s="14" t="s">
        <v>93</v>
      </c>
      <c r="N11" s="14" t="s">
        <v>266</v>
      </c>
      <c r="O11" s="10" t="s">
        <v>89</v>
      </c>
      <c r="P11" s="16">
        <v>0.1</v>
      </c>
      <c r="Q11" s="15" t="s">
        <v>8</v>
      </c>
      <c r="R11" s="10" t="s">
        <v>95</v>
      </c>
      <c r="S11" s="55" t="e">
        <f>'1'!D28</f>
        <v>#DIV/0!</v>
      </c>
      <c r="T11" s="55" t="e">
        <f>'1'!D29</f>
        <v>#DIV/0!</v>
      </c>
      <c r="U11" s="55">
        <f>'1'!E29</f>
        <v>0</v>
      </c>
      <c r="V11" s="55">
        <f>'1'!F29</f>
        <v>0</v>
      </c>
      <c r="W11" s="55">
        <f>'1'!G29</f>
        <v>0</v>
      </c>
      <c r="X11" s="55">
        <f>'1'!H29</f>
        <v>0</v>
      </c>
      <c r="Y11" s="55">
        <f>'1'!I29</f>
        <v>0</v>
      </c>
      <c r="Z11" s="55">
        <f>'1'!J29</f>
        <v>0</v>
      </c>
      <c r="AA11" s="55">
        <f>'1'!K29</f>
        <v>0</v>
      </c>
      <c r="AB11" s="55">
        <f>'1'!L29</f>
        <v>0</v>
      </c>
      <c r="AC11" s="55">
        <f>'1'!M29</f>
        <v>0</v>
      </c>
      <c r="AD11" s="55">
        <f>'1'!N29</f>
        <v>0</v>
      </c>
    </row>
    <row r="12" spans="1:30" ht="45">
      <c r="A12" s="171">
        <v>2</v>
      </c>
      <c r="B12" s="151" t="s">
        <v>16</v>
      </c>
      <c r="C12" s="176" t="s">
        <v>19</v>
      </c>
      <c r="D12" s="176"/>
      <c r="E12" s="176"/>
      <c r="F12" s="176"/>
      <c r="G12" s="176"/>
      <c r="H12" s="148" t="s">
        <v>208</v>
      </c>
      <c r="I12" s="176" t="s">
        <v>34</v>
      </c>
      <c r="J12" s="176" t="s">
        <v>38</v>
      </c>
      <c r="K12" s="176" t="s">
        <v>43</v>
      </c>
      <c r="L12" s="176" t="s">
        <v>46</v>
      </c>
      <c r="M12" s="14" t="s">
        <v>199</v>
      </c>
      <c r="N12" s="14" t="s">
        <v>159</v>
      </c>
      <c r="O12" s="44" t="s">
        <v>200</v>
      </c>
      <c r="P12" s="16">
        <v>1</v>
      </c>
      <c r="Q12" s="15" t="s">
        <v>8</v>
      </c>
      <c r="R12" s="44" t="s">
        <v>201</v>
      </c>
      <c r="S12" s="55" t="e">
        <f>'2'!D28</f>
        <v>#DIV/0!</v>
      </c>
      <c r="T12" s="55">
        <f>'2'!D29</f>
        <v>1</v>
      </c>
      <c r="U12" s="55">
        <f>'2'!D30</f>
        <v>1</v>
      </c>
      <c r="V12" s="55" t="e">
        <f>'2'!D31</f>
        <v>#DIV/0!</v>
      </c>
      <c r="W12" s="55" t="e">
        <f>'2'!D32</f>
        <v>#DIV/0!</v>
      </c>
      <c r="X12" s="55" t="e">
        <f>'2'!D33</f>
        <v>#DIV/0!</v>
      </c>
      <c r="Y12" s="55" t="e">
        <f>'2'!D34</f>
        <v>#DIV/0!</v>
      </c>
      <c r="Z12" s="55" t="e">
        <f>'2'!D35</f>
        <v>#DIV/0!</v>
      </c>
      <c r="AA12" s="55" t="e">
        <f>'2'!D36</f>
        <v>#DIV/0!</v>
      </c>
      <c r="AB12" s="55" t="e">
        <f>'2'!D37</f>
        <v>#DIV/0!</v>
      </c>
      <c r="AC12" s="55" t="e">
        <f>'2'!D38</f>
        <v>#DIV/0!</v>
      </c>
      <c r="AD12" s="55" t="e">
        <f>'2'!D39</f>
        <v>#DIV/0!</v>
      </c>
    </row>
    <row r="13" spans="1:30" ht="60">
      <c r="A13" s="171"/>
      <c r="B13" s="151"/>
      <c r="C13" s="176"/>
      <c r="D13" s="176"/>
      <c r="E13" s="176"/>
      <c r="F13" s="176"/>
      <c r="G13" s="176"/>
      <c r="H13" s="149"/>
      <c r="I13" s="176"/>
      <c r="J13" s="176"/>
      <c r="K13" s="176"/>
      <c r="L13" s="176"/>
      <c r="M13" s="14" t="s">
        <v>139</v>
      </c>
      <c r="N13" s="14" t="s">
        <v>266</v>
      </c>
      <c r="O13" s="10" t="s">
        <v>52</v>
      </c>
      <c r="P13" s="17">
        <v>4.5</v>
      </c>
      <c r="Q13" s="15" t="s">
        <v>8</v>
      </c>
      <c r="R13" s="10" t="s">
        <v>9</v>
      </c>
      <c r="S13" s="87">
        <f>('2'!B11+'2'!C11+'2'!D11)/3</f>
        <v>0</v>
      </c>
      <c r="T13" s="87">
        <f>('2'!B12+'2'!C12+'2'!D12)/3</f>
        <v>0</v>
      </c>
      <c r="U13" s="87">
        <f>('2'!B13+'2'!C13+'2'!D13)/3</f>
        <v>0</v>
      </c>
      <c r="V13" s="87">
        <f>('2'!B14+'2'!C14+'2'!D14)/3</f>
        <v>0</v>
      </c>
      <c r="W13" s="87">
        <f>('2'!B15+'2'!C15+'2'!D15)/3</f>
        <v>0</v>
      </c>
      <c r="X13" s="87">
        <f>('2'!B16+'2'!C16+'2'!D16)/3</f>
        <v>0</v>
      </c>
      <c r="Y13" s="87">
        <f>('2'!B17+'2'!C17+'2'!D17)/3</f>
        <v>0</v>
      </c>
      <c r="Z13" s="87">
        <f>('2'!B18+'2'!C18+'2'!D18)/3</f>
        <v>0</v>
      </c>
      <c r="AA13" s="87">
        <f>('2'!B19+'2'!C19+'2'!D19)/3</f>
        <v>0</v>
      </c>
      <c r="AB13" s="87">
        <f>('2'!B20+'2'!C20+'2'!D20)/3</f>
        <v>0</v>
      </c>
      <c r="AC13" s="87">
        <f>('2'!B21+'2'!C21+'2'!D21)/3</f>
        <v>0</v>
      </c>
      <c r="AD13" s="87">
        <f>('2'!B22+'2'!C22+'2'!D22)/3</f>
        <v>0</v>
      </c>
    </row>
    <row r="14" spans="1:30" ht="60">
      <c r="A14" s="168">
        <v>3</v>
      </c>
      <c r="B14" s="156" t="s">
        <v>17</v>
      </c>
      <c r="C14" s="159" t="s">
        <v>18</v>
      </c>
      <c r="D14" s="160"/>
      <c r="E14" s="160"/>
      <c r="F14" s="160"/>
      <c r="G14" s="161"/>
      <c r="H14" s="148" t="s">
        <v>209</v>
      </c>
      <c r="I14" s="148" t="s">
        <v>141</v>
      </c>
      <c r="J14" s="148" t="s">
        <v>202</v>
      </c>
      <c r="K14" s="148" t="s">
        <v>142</v>
      </c>
      <c r="L14" s="148" t="s">
        <v>46</v>
      </c>
      <c r="M14" s="14" t="s">
        <v>143</v>
      </c>
      <c r="N14" s="14" t="s">
        <v>159</v>
      </c>
      <c r="O14" s="56" t="s">
        <v>144</v>
      </c>
      <c r="P14" s="63">
        <v>1</v>
      </c>
      <c r="Q14" s="15" t="s">
        <v>11</v>
      </c>
      <c r="R14" s="56" t="s">
        <v>145</v>
      </c>
      <c r="S14" s="5" t="s">
        <v>159</v>
      </c>
      <c r="T14" s="5" t="s">
        <v>159</v>
      </c>
      <c r="U14" s="55" t="str">
        <f>'3'!D28</f>
        <v>N/A</v>
      </c>
      <c r="V14" s="88" t="s">
        <v>159</v>
      </c>
      <c r="W14" s="88" t="s">
        <v>159</v>
      </c>
      <c r="X14" s="89" t="str">
        <f>'3'!D31</f>
        <v>N/A</v>
      </c>
      <c r="Y14" s="88" t="s">
        <v>159</v>
      </c>
      <c r="Z14" s="88" t="s">
        <v>159</v>
      </c>
      <c r="AA14" s="89" t="str">
        <f>'3'!D34</f>
        <v>N/A</v>
      </c>
      <c r="AB14" s="88" t="s">
        <v>159</v>
      </c>
      <c r="AC14" s="88" t="s">
        <v>159</v>
      </c>
      <c r="AD14" s="89" t="str">
        <f>'3'!D37</f>
        <v>N/A</v>
      </c>
    </row>
    <row r="15" spans="1:30" ht="66" customHeight="1">
      <c r="A15" s="170"/>
      <c r="B15" s="158"/>
      <c r="C15" s="165"/>
      <c r="D15" s="166"/>
      <c r="E15" s="166"/>
      <c r="F15" s="166"/>
      <c r="G15" s="167"/>
      <c r="H15" s="149"/>
      <c r="I15" s="149"/>
      <c r="J15" s="149"/>
      <c r="K15" s="149"/>
      <c r="L15" s="149"/>
      <c r="M15" s="14" t="s">
        <v>50</v>
      </c>
      <c r="N15" s="14" t="s">
        <v>266</v>
      </c>
      <c r="O15" s="10" t="s">
        <v>51</v>
      </c>
      <c r="P15" s="16">
        <v>1</v>
      </c>
      <c r="Q15" s="15" t="s">
        <v>8</v>
      </c>
      <c r="R15" s="10" t="s">
        <v>267</v>
      </c>
      <c r="S15" s="55" t="e">
        <f>'3'!D11</f>
        <v>#DIV/0!</v>
      </c>
      <c r="T15" s="55" t="e">
        <f>'3'!D12</f>
        <v>#DIV/0!</v>
      </c>
      <c r="U15" s="55" t="e">
        <f>'3'!D13</f>
        <v>#DIV/0!</v>
      </c>
      <c r="V15" s="55" t="e">
        <f>'3'!D14</f>
        <v>#DIV/0!</v>
      </c>
      <c r="W15" s="55" t="e">
        <f>'3'!D15</f>
        <v>#DIV/0!</v>
      </c>
      <c r="X15" s="55" t="e">
        <f>'3'!D16</f>
        <v>#DIV/0!</v>
      </c>
      <c r="Y15" s="55" t="e">
        <f>'3'!D17</f>
        <v>#DIV/0!</v>
      </c>
      <c r="Z15" s="55" t="e">
        <f>'3'!D18</f>
        <v>#DIV/0!</v>
      </c>
      <c r="AA15" s="55" t="e">
        <f>'3'!D19</f>
        <v>#DIV/0!</v>
      </c>
      <c r="AB15" s="55" t="e">
        <f>'3'!D20</f>
        <v>#DIV/0!</v>
      </c>
      <c r="AC15" s="55" t="e">
        <f>'3'!D21</f>
        <v>#DIV/0!</v>
      </c>
      <c r="AD15" s="55" t="e">
        <f>'3'!D22</f>
        <v>#DIV/0!</v>
      </c>
    </row>
    <row r="16" spans="1:30" ht="75">
      <c r="A16" s="2">
        <v>4</v>
      </c>
      <c r="B16" s="3" t="s">
        <v>20</v>
      </c>
      <c r="C16" s="173" t="s">
        <v>26</v>
      </c>
      <c r="D16" s="174"/>
      <c r="E16" s="174"/>
      <c r="F16" s="174"/>
      <c r="G16" s="175"/>
      <c r="H16" s="100" t="s">
        <v>210</v>
      </c>
      <c r="I16" s="4" t="s">
        <v>35</v>
      </c>
      <c r="J16" s="11" t="s">
        <v>42</v>
      </c>
      <c r="K16" s="13" t="s">
        <v>44</v>
      </c>
      <c r="L16" s="10" t="s">
        <v>46</v>
      </c>
      <c r="M16" s="19" t="s">
        <v>96</v>
      </c>
      <c r="N16" s="143" t="s">
        <v>159</v>
      </c>
      <c r="O16" s="9" t="s">
        <v>98</v>
      </c>
      <c r="P16" s="5" t="s">
        <v>10</v>
      </c>
      <c r="Q16" s="5" t="s">
        <v>11</v>
      </c>
      <c r="R16" s="4" t="s">
        <v>12</v>
      </c>
      <c r="S16" s="5" t="s">
        <v>159</v>
      </c>
      <c r="T16" s="5" t="s">
        <v>159</v>
      </c>
      <c r="U16" s="55" t="e">
        <f>'4'!D11:D13</f>
        <v>#VALUE!</v>
      </c>
      <c r="V16" s="88" t="s">
        <v>159</v>
      </c>
      <c r="W16" s="88" t="s">
        <v>159</v>
      </c>
      <c r="X16" s="89" t="e">
        <f>'4'!D14</f>
        <v>#DIV/0!</v>
      </c>
      <c r="Y16" s="88" t="s">
        <v>159</v>
      </c>
      <c r="Z16" s="88" t="s">
        <v>159</v>
      </c>
      <c r="AA16" s="89" t="e">
        <f>'4'!D17</f>
        <v>#DIV/0!</v>
      </c>
      <c r="AB16" s="88" t="s">
        <v>159</v>
      </c>
      <c r="AC16" s="88" t="s">
        <v>159</v>
      </c>
      <c r="AD16" s="89" t="e">
        <f>'4'!D20</f>
        <v>#DIV/0!</v>
      </c>
    </row>
    <row r="17" spans="1:30" ht="45">
      <c r="A17" s="168">
        <v>5</v>
      </c>
      <c r="B17" s="156" t="s">
        <v>21</v>
      </c>
      <c r="C17" s="159" t="s">
        <v>106</v>
      </c>
      <c r="D17" s="160"/>
      <c r="E17" s="160"/>
      <c r="F17" s="160"/>
      <c r="G17" s="161"/>
      <c r="H17" s="147" t="s">
        <v>211</v>
      </c>
      <c r="I17" s="148" t="s">
        <v>136</v>
      </c>
      <c r="J17" s="148" t="s">
        <v>135</v>
      </c>
      <c r="K17" s="148" t="s">
        <v>45</v>
      </c>
      <c r="L17" s="148" t="s">
        <v>46</v>
      </c>
      <c r="M17" s="18" t="s">
        <v>59</v>
      </c>
      <c r="N17" s="144" t="s">
        <v>159</v>
      </c>
      <c r="O17" s="4" t="s">
        <v>58</v>
      </c>
      <c r="P17" s="86" t="s">
        <v>10</v>
      </c>
      <c r="Q17" s="5" t="s">
        <v>8</v>
      </c>
      <c r="R17" s="4" t="s">
        <v>60</v>
      </c>
      <c r="S17" s="55">
        <f>'5'!D11</f>
        <v>0.80313260290949806</v>
      </c>
      <c r="T17" s="55">
        <f>'5'!D12</f>
        <v>1.0079417298068283</v>
      </c>
      <c r="U17" s="55">
        <f>'5'!D13</f>
        <v>0.63526100262427188</v>
      </c>
      <c r="V17" s="55">
        <f>'5'!D14</f>
        <v>0.59411331526248212</v>
      </c>
      <c r="W17" s="55">
        <f>'5'!D15</f>
        <v>0.79877762997326163</v>
      </c>
      <c r="X17" s="55">
        <f>'5'!D16</f>
        <v>0.8076492495884342</v>
      </c>
      <c r="Y17" s="55">
        <f>'5'!D17</f>
        <v>1.0608380059789428</v>
      </c>
      <c r="Z17" s="55" t="e">
        <f>'5'!D18</f>
        <v>#DIV/0!</v>
      </c>
      <c r="AA17" s="55" t="e">
        <f>'5'!D19</f>
        <v>#DIV/0!</v>
      </c>
      <c r="AB17" s="55" t="e">
        <f>'5'!D20</f>
        <v>#DIV/0!</v>
      </c>
      <c r="AC17" s="55" t="e">
        <f>'5'!D21</f>
        <v>#DIV/0!</v>
      </c>
      <c r="AD17" s="55" t="e">
        <f>'5'!D22</f>
        <v>#DIV/0!</v>
      </c>
    </row>
    <row r="18" spans="1:30" ht="60">
      <c r="A18" s="169"/>
      <c r="B18" s="157"/>
      <c r="C18" s="162"/>
      <c r="D18" s="163"/>
      <c r="E18" s="163"/>
      <c r="F18" s="163"/>
      <c r="G18" s="164"/>
      <c r="H18" s="147"/>
      <c r="I18" s="147"/>
      <c r="J18" s="147"/>
      <c r="K18" s="147"/>
      <c r="L18" s="147"/>
      <c r="M18" s="72" t="s">
        <v>154</v>
      </c>
      <c r="N18" s="72" t="s">
        <v>159</v>
      </c>
      <c r="O18" s="64" t="s">
        <v>149</v>
      </c>
      <c r="P18" s="71">
        <v>1000000000</v>
      </c>
      <c r="Q18" s="5" t="s">
        <v>8</v>
      </c>
      <c r="R18" s="20" t="s">
        <v>61</v>
      </c>
      <c r="S18" s="71">
        <f>'5'!E27</f>
        <v>1104550109</v>
      </c>
      <c r="T18" s="71">
        <f>'5'!E28</f>
        <v>-28701327</v>
      </c>
      <c r="U18" s="71">
        <f>'5'!E29</f>
        <v>48334645</v>
      </c>
      <c r="V18" s="71">
        <f>'5'!E30</f>
        <v>1021648076</v>
      </c>
      <c r="W18" s="71">
        <f>'5'!E31</f>
        <v>1133105517</v>
      </c>
      <c r="X18" s="71">
        <f>'5'!E32</f>
        <v>912417506</v>
      </c>
      <c r="Y18" s="71">
        <f>'5'!E33</f>
        <v>1080261326</v>
      </c>
      <c r="Z18" s="71">
        <f>'5'!E34</f>
        <v>0</v>
      </c>
      <c r="AA18" s="71">
        <f>'5'!E35</f>
        <v>0</v>
      </c>
      <c r="AB18" s="71">
        <f>'5'!E36</f>
        <v>0</v>
      </c>
      <c r="AC18" s="71">
        <f>'5'!E37</f>
        <v>0</v>
      </c>
      <c r="AD18" s="71">
        <f>'5'!E38</f>
        <v>0</v>
      </c>
    </row>
    <row r="19" spans="1:30" ht="30">
      <c r="A19" s="169"/>
      <c r="B19" s="157"/>
      <c r="C19" s="162"/>
      <c r="D19" s="163"/>
      <c r="E19" s="163"/>
      <c r="F19" s="163"/>
      <c r="G19" s="164"/>
      <c r="H19" s="147"/>
      <c r="I19" s="147"/>
      <c r="J19" s="147"/>
      <c r="K19" s="147"/>
      <c r="L19" s="147"/>
      <c r="M19" s="43" t="s">
        <v>130</v>
      </c>
      <c r="N19" s="145" t="s">
        <v>159</v>
      </c>
      <c r="O19" s="42" t="s">
        <v>133</v>
      </c>
      <c r="P19" s="55">
        <v>0.9</v>
      </c>
      <c r="Q19" s="5" t="s">
        <v>8</v>
      </c>
      <c r="R19" s="42" t="s">
        <v>132</v>
      </c>
      <c r="S19" s="55">
        <f>'5'!E43</f>
        <v>1.0387363639930953</v>
      </c>
      <c r="T19" s="55">
        <f>'5'!E44</f>
        <v>0.9966228164791715</v>
      </c>
      <c r="U19" s="55">
        <f>'5'!E45</f>
        <v>0.90064457791109376</v>
      </c>
      <c r="V19" s="55">
        <f>'5'!E46</f>
        <v>1.039755577501289</v>
      </c>
      <c r="W19" s="55">
        <f>'5'!E47</f>
        <v>1.0603782462307216</v>
      </c>
      <c r="X19" s="55">
        <f>'5'!E48</f>
        <v>0.97567849753209146</v>
      </c>
      <c r="Y19" s="55">
        <f>'5'!E49</f>
        <v>1.0328525264540667</v>
      </c>
      <c r="Z19" s="55" t="e">
        <f>'5'!E50</f>
        <v>#DIV/0!</v>
      </c>
      <c r="AA19" s="55" t="e">
        <f>'5'!E51</f>
        <v>#DIV/0!</v>
      </c>
      <c r="AB19" s="55" t="e">
        <f>'5'!E52</f>
        <v>#DIV/0!</v>
      </c>
      <c r="AC19" s="55" t="e">
        <f>'5'!E53</f>
        <v>#DIV/0!</v>
      </c>
      <c r="AD19" s="55" t="e">
        <f>'5'!E54</f>
        <v>#DIV/0!</v>
      </c>
    </row>
    <row r="20" spans="1:30" ht="30">
      <c r="A20" s="169"/>
      <c r="B20" s="157"/>
      <c r="C20" s="162"/>
      <c r="D20" s="163"/>
      <c r="E20" s="163"/>
      <c r="F20" s="163"/>
      <c r="G20" s="164"/>
      <c r="H20" s="147"/>
      <c r="I20" s="147"/>
      <c r="J20" s="147"/>
      <c r="K20" s="147"/>
      <c r="L20" s="147"/>
      <c r="M20" s="43" t="s">
        <v>131</v>
      </c>
      <c r="N20" s="145" t="s">
        <v>159</v>
      </c>
      <c r="O20" s="42" t="s">
        <v>134</v>
      </c>
      <c r="P20" s="55">
        <v>0.95</v>
      </c>
      <c r="Q20" s="5" t="s">
        <v>8</v>
      </c>
      <c r="R20" s="42" t="s">
        <v>132</v>
      </c>
      <c r="S20" s="55">
        <f>'5'!F43</f>
        <v>1.0687428005442958</v>
      </c>
      <c r="T20" s="55">
        <f>'5'!F44</f>
        <v>1</v>
      </c>
      <c r="U20" s="55">
        <f>'5'!F45</f>
        <v>0.99999737292404745</v>
      </c>
      <c r="V20" s="55">
        <f>'5'!F46</f>
        <v>1</v>
      </c>
      <c r="W20" s="55">
        <f>'5'!F47</f>
        <v>1</v>
      </c>
      <c r="X20" s="55">
        <f>'5'!F48</f>
        <v>1</v>
      </c>
      <c r="Y20" s="55">
        <f>'5'!F49</f>
        <v>1</v>
      </c>
      <c r="Z20" s="55" t="e">
        <f>'5'!F50</f>
        <v>#DIV/0!</v>
      </c>
      <c r="AA20" s="55" t="e">
        <f>'5'!F51</f>
        <v>#DIV/0!</v>
      </c>
      <c r="AB20" s="55" t="e">
        <f>'5'!F52</f>
        <v>#DIV/0!</v>
      </c>
      <c r="AC20" s="55" t="e">
        <f>'5'!F53</f>
        <v>#DIV/0!</v>
      </c>
      <c r="AD20" s="55" t="e">
        <f>'5'!F54</f>
        <v>#DIV/0!</v>
      </c>
    </row>
    <row r="21" spans="1:30" ht="30">
      <c r="A21" s="169"/>
      <c r="B21" s="157"/>
      <c r="C21" s="162"/>
      <c r="D21" s="163"/>
      <c r="E21" s="163"/>
      <c r="F21" s="163"/>
      <c r="G21" s="164"/>
      <c r="H21" s="147"/>
      <c r="I21" s="147"/>
      <c r="J21" s="147"/>
      <c r="K21" s="147"/>
      <c r="L21" s="147"/>
      <c r="M21" s="14" t="s">
        <v>178</v>
      </c>
      <c r="N21" s="14" t="s">
        <v>159</v>
      </c>
      <c r="O21" s="81" t="s">
        <v>174</v>
      </c>
      <c r="P21" s="55" t="s">
        <v>177</v>
      </c>
      <c r="Q21" s="5" t="s">
        <v>8</v>
      </c>
      <c r="R21" s="81" t="s">
        <v>175</v>
      </c>
      <c r="S21" s="55">
        <f>'5'!D75</f>
        <v>1.2811867835468645E-2</v>
      </c>
      <c r="T21" s="55">
        <f>'5'!D76</f>
        <v>7.462686567164179E-3</v>
      </c>
      <c r="U21" s="55">
        <f>'5'!D77</f>
        <v>7.3909830007390983E-3</v>
      </c>
      <c r="V21" s="55">
        <f>'5'!D78</f>
        <v>9.9933377748167886E-3</v>
      </c>
      <c r="W21" s="55">
        <f>'5'!D79</f>
        <v>1.2613875262789068E-2</v>
      </c>
      <c r="X21" s="55">
        <f>'5'!D80</f>
        <v>1.7241379310344827E-2</v>
      </c>
      <c r="Y21" s="55">
        <f>'5'!D81</f>
        <v>1.0323468685478321E-2</v>
      </c>
      <c r="Z21" s="55" t="e">
        <f>'5'!D82</f>
        <v>#DIV/0!</v>
      </c>
      <c r="AA21" s="55" t="e">
        <f>'5'!D83</f>
        <v>#DIV/0!</v>
      </c>
      <c r="AB21" s="55" t="e">
        <f>'5'!D84</f>
        <v>#DIV/0!</v>
      </c>
      <c r="AC21" s="55" t="e">
        <f>'5'!D85</f>
        <v>#DIV/0!</v>
      </c>
      <c r="AD21" s="55" t="e">
        <f>'5'!D86</f>
        <v>#DIV/0!</v>
      </c>
    </row>
    <row r="22" spans="1:30" ht="30">
      <c r="A22" s="170"/>
      <c r="B22" s="158"/>
      <c r="C22" s="165"/>
      <c r="D22" s="166"/>
      <c r="E22" s="166"/>
      <c r="F22" s="166"/>
      <c r="G22" s="167"/>
      <c r="H22" s="147"/>
      <c r="I22" s="149"/>
      <c r="J22" s="149"/>
      <c r="K22" s="149"/>
      <c r="L22" s="149"/>
      <c r="M22" s="14" t="s">
        <v>179</v>
      </c>
      <c r="N22" s="14" t="s">
        <v>159</v>
      </c>
      <c r="O22" s="81" t="s">
        <v>176</v>
      </c>
      <c r="P22" s="55" t="s">
        <v>186</v>
      </c>
      <c r="Q22" s="5" t="s">
        <v>8</v>
      </c>
      <c r="R22" s="81" t="s">
        <v>183</v>
      </c>
      <c r="S22" s="55">
        <f>'5'!D91</f>
        <v>1.3486176668914363E-3</v>
      </c>
      <c r="T22" s="55">
        <f>'5'!D92</f>
        <v>5.2238805970149255E-3</v>
      </c>
      <c r="U22" s="55">
        <f>'5'!D93</f>
        <v>7.3909830007390983E-4</v>
      </c>
      <c r="V22" s="55">
        <f>'5'!D94</f>
        <v>6.6622251832111927E-4</v>
      </c>
      <c r="W22" s="55">
        <f>'5'!D95</f>
        <v>2.1023125437981782E-3</v>
      </c>
      <c r="X22" s="55">
        <f>'5'!D96</f>
        <v>3.2840722495894909E-3</v>
      </c>
      <c r="Y22" s="55">
        <f>'5'!D97</f>
        <v>6.8823124569855469E-4</v>
      </c>
      <c r="Z22" s="55" t="e">
        <f>'5'!D98</f>
        <v>#DIV/0!</v>
      </c>
      <c r="AA22" s="55" t="e">
        <f>'5'!D99</f>
        <v>#DIV/0!</v>
      </c>
      <c r="AB22" s="55" t="e">
        <f>'5'!D100</f>
        <v>#DIV/0!</v>
      </c>
      <c r="AC22" s="55" t="e">
        <f>'5'!D101</f>
        <v>#DIV/0!</v>
      </c>
      <c r="AD22" s="55" t="e">
        <f>'5'!D102</f>
        <v>#DIV/0!</v>
      </c>
    </row>
    <row r="23" spans="1:30" ht="60">
      <c r="A23" s="2">
        <v>6</v>
      </c>
      <c r="B23" s="3" t="s">
        <v>22</v>
      </c>
      <c r="C23" s="172" t="s">
        <v>111</v>
      </c>
      <c r="D23" s="172"/>
      <c r="E23" s="172"/>
      <c r="F23" s="172"/>
      <c r="G23" s="172"/>
      <c r="H23" s="100" t="s">
        <v>212</v>
      </c>
      <c r="I23" s="4" t="s">
        <v>36</v>
      </c>
      <c r="J23" s="12" t="s">
        <v>41</v>
      </c>
      <c r="K23" s="4" t="s">
        <v>44</v>
      </c>
      <c r="L23" s="4" t="s">
        <v>46</v>
      </c>
      <c r="M23" s="18" t="s">
        <v>13</v>
      </c>
      <c r="N23" s="144" t="s">
        <v>266</v>
      </c>
      <c r="O23" s="4" t="s">
        <v>14</v>
      </c>
      <c r="P23" s="5" t="s">
        <v>10</v>
      </c>
      <c r="Q23" s="5" t="s">
        <v>8</v>
      </c>
      <c r="R23" s="4" t="s">
        <v>15</v>
      </c>
      <c r="S23" s="55">
        <f>'6'!D11</f>
        <v>1</v>
      </c>
      <c r="T23" s="55" t="e">
        <f>'6'!D12</f>
        <v>#DIV/0!</v>
      </c>
      <c r="U23" s="55" t="e">
        <f>'6'!D13</f>
        <v>#DIV/0!</v>
      </c>
      <c r="V23" s="55" t="e">
        <f>'6'!D14</f>
        <v>#DIV/0!</v>
      </c>
      <c r="W23" s="55" t="e">
        <f>'6'!D15</f>
        <v>#DIV/0!</v>
      </c>
      <c r="X23" s="55" t="e">
        <f>'6'!D16</f>
        <v>#DIV/0!</v>
      </c>
      <c r="Y23" s="55" t="e">
        <f>'6'!D17</f>
        <v>#DIV/0!</v>
      </c>
      <c r="Z23" s="55" t="e">
        <f>'6'!D18</f>
        <v>#DIV/0!</v>
      </c>
      <c r="AA23" s="55" t="e">
        <f>'6'!D19</f>
        <v>#DIV/0!</v>
      </c>
      <c r="AB23" s="55" t="e">
        <f>'6'!D20</f>
        <v>#DIV/0!</v>
      </c>
      <c r="AC23" s="55" t="e">
        <f>'6'!D21</f>
        <v>#DIV/0!</v>
      </c>
      <c r="AD23" s="55" t="e">
        <f>'6'!D22</f>
        <v>#DIV/0!</v>
      </c>
    </row>
    <row r="24" spans="1:30" ht="60">
      <c r="A24" s="2">
        <v>7</v>
      </c>
      <c r="B24" s="3" t="s">
        <v>23</v>
      </c>
      <c r="C24" s="172" t="s">
        <v>116</v>
      </c>
      <c r="D24" s="172"/>
      <c r="E24" s="172"/>
      <c r="F24" s="172"/>
      <c r="G24" s="172"/>
      <c r="H24" s="100" t="s">
        <v>213</v>
      </c>
      <c r="I24" s="4" t="s">
        <v>39</v>
      </c>
      <c r="J24" s="12" t="s">
        <v>40</v>
      </c>
      <c r="K24" s="4" t="s">
        <v>44</v>
      </c>
      <c r="L24" s="4" t="s">
        <v>46</v>
      </c>
      <c r="M24" s="18" t="s">
        <v>55</v>
      </c>
      <c r="N24" s="144" t="s">
        <v>159</v>
      </c>
      <c r="O24" s="10" t="s">
        <v>52</v>
      </c>
      <c r="P24" s="5" t="s">
        <v>53</v>
      </c>
      <c r="Q24" s="5" t="s">
        <v>8</v>
      </c>
      <c r="R24" s="4" t="s">
        <v>54</v>
      </c>
      <c r="S24" s="90">
        <f>'7'!D11</f>
        <v>96.944444444444443</v>
      </c>
      <c r="T24" s="90">
        <f>'7'!D12</f>
        <v>96.5</v>
      </c>
      <c r="U24" s="90">
        <f>'7'!D13</f>
        <v>96.15</v>
      </c>
      <c r="V24" s="90">
        <f>'7'!D14</f>
        <v>97.695652173913047</v>
      </c>
      <c r="W24" s="90">
        <f>'7'!D15</f>
        <v>97.6</v>
      </c>
      <c r="X24" s="90">
        <f>'7'!D16</f>
        <v>98.181818181818187</v>
      </c>
      <c r="Y24" s="90">
        <f>'7'!D17</f>
        <v>97.523809523809518</v>
      </c>
      <c r="Z24" s="90" t="e">
        <f>'7'!D18</f>
        <v>#DIV/0!</v>
      </c>
      <c r="AA24" s="90" t="e">
        <f>'7'!D19</f>
        <v>#DIV/0!</v>
      </c>
      <c r="AB24" s="90" t="e">
        <f>'7'!D20</f>
        <v>#DIV/0!</v>
      </c>
      <c r="AC24" s="90" t="e">
        <f>'7'!D21</f>
        <v>#DIV/0!</v>
      </c>
      <c r="AD24" s="90" t="e">
        <f>'7'!D22</f>
        <v>#DIV/0!</v>
      </c>
    </row>
    <row r="25" spans="1:30" ht="75">
      <c r="A25" s="2">
        <v>8</v>
      </c>
      <c r="B25" s="3" t="s">
        <v>24</v>
      </c>
      <c r="C25" s="172" t="s">
        <v>27</v>
      </c>
      <c r="D25" s="172"/>
      <c r="E25" s="172"/>
      <c r="F25" s="172"/>
      <c r="G25" s="172"/>
      <c r="H25" s="100" t="s">
        <v>214</v>
      </c>
      <c r="I25" s="4" t="s">
        <v>37</v>
      </c>
      <c r="J25" s="12" t="s">
        <v>38</v>
      </c>
      <c r="K25" s="4" t="s">
        <v>47</v>
      </c>
      <c r="L25" s="4" t="s">
        <v>46</v>
      </c>
      <c r="M25" s="18" t="s">
        <v>56</v>
      </c>
      <c r="N25" s="144" t="s">
        <v>266</v>
      </c>
      <c r="O25" s="10" t="s">
        <v>52</v>
      </c>
      <c r="P25" s="5" t="s">
        <v>158</v>
      </c>
      <c r="Q25" s="5" t="s">
        <v>140</v>
      </c>
      <c r="R25" s="4" t="s">
        <v>57</v>
      </c>
      <c r="S25" s="90" t="s">
        <v>159</v>
      </c>
      <c r="T25" s="90" t="s">
        <v>159</v>
      </c>
      <c r="U25" s="90" t="s">
        <v>159</v>
      </c>
      <c r="V25" s="90" t="s">
        <v>159</v>
      </c>
      <c r="W25" s="90" t="s">
        <v>159</v>
      </c>
      <c r="X25" s="91" t="e">
        <f>'8'!D11</f>
        <v>#DIV/0!</v>
      </c>
      <c r="Y25" s="90" t="s">
        <v>159</v>
      </c>
      <c r="Z25" s="90" t="s">
        <v>159</v>
      </c>
      <c r="AA25" s="90" t="s">
        <v>159</v>
      </c>
      <c r="AB25" s="90" t="s">
        <v>159</v>
      </c>
      <c r="AC25" s="90" t="s">
        <v>159</v>
      </c>
      <c r="AD25" s="90" t="e">
        <f>'8'!#REF!</f>
        <v>#REF!</v>
      </c>
    </row>
    <row r="26" spans="1:30">
      <c r="T26" s="6"/>
    </row>
    <row r="27" spans="1:30">
      <c r="T27" s="6"/>
    </row>
    <row r="28" spans="1:30">
      <c r="T28" s="6"/>
    </row>
  </sheetData>
  <mergeCells count="41">
    <mergeCell ref="I10:I11"/>
    <mergeCell ref="J10:J11"/>
    <mergeCell ref="K10:K11"/>
    <mergeCell ref="L10:L11"/>
    <mergeCell ref="C12:G13"/>
    <mergeCell ref="I12:I13"/>
    <mergeCell ref="J12:J13"/>
    <mergeCell ref="K12:K13"/>
    <mergeCell ref="L12:L13"/>
    <mergeCell ref="H10:H11"/>
    <mergeCell ref="H12:H13"/>
    <mergeCell ref="C24:G24"/>
    <mergeCell ref="C25:G25"/>
    <mergeCell ref="C16:G16"/>
    <mergeCell ref="C23:G23"/>
    <mergeCell ref="C10:G11"/>
    <mergeCell ref="B17:B22"/>
    <mergeCell ref="C17:G22"/>
    <mergeCell ref="A17:A22"/>
    <mergeCell ref="B10:B11"/>
    <mergeCell ref="A10:A11"/>
    <mergeCell ref="B12:B13"/>
    <mergeCell ref="A12:A13"/>
    <mergeCell ref="B14:B15"/>
    <mergeCell ref="A14:A15"/>
    <mergeCell ref="C14:G15"/>
    <mergeCell ref="A1:R3"/>
    <mergeCell ref="A4:B8"/>
    <mergeCell ref="C4:R8"/>
    <mergeCell ref="A9:B9"/>
    <mergeCell ref="C9:G9"/>
    <mergeCell ref="L17:L22"/>
    <mergeCell ref="K14:K15"/>
    <mergeCell ref="L14:L15"/>
    <mergeCell ref="I14:I15"/>
    <mergeCell ref="J14:J15"/>
    <mergeCell ref="H17:H22"/>
    <mergeCell ref="H14:H15"/>
    <mergeCell ref="I17:I22"/>
    <mergeCell ref="J17:J22"/>
    <mergeCell ref="K17:K22"/>
  </mergeCells>
  <pageMargins left="0.7" right="0.7" top="0.75" bottom="0.75" header="0.3" footer="0.3"/>
  <pageSetup paperSize="9"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
  <sheetViews>
    <sheetView zoomScaleNormal="100" workbookViewId="0">
      <selection activeCell="B28" sqref="B28:C35"/>
    </sheetView>
  </sheetViews>
  <sheetFormatPr baseColWidth="10" defaultRowHeight="15"/>
  <cols>
    <col min="1" max="1" width="12.42578125" customWidth="1"/>
    <col min="2" max="2" width="14.42578125" customWidth="1"/>
    <col min="3" max="5" width="14.5703125" customWidth="1"/>
  </cols>
  <sheetData>
    <row r="1" spans="1:19">
      <c r="A1" s="186"/>
      <c r="B1" s="186"/>
      <c r="C1" s="150" t="s">
        <v>84</v>
      </c>
      <c r="D1" s="150"/>
      <c r="E1" s="150"/>
      <c r="F1" s="150"/>
      <c r="G1" s="150"/>
      <c r="H1" s="150"/>
      <c r="I1" s="187" t="s">
        <v>155</v>
      </c>
      <c r="J1" s="187"/>
    </row>
    <row r="2" spans="1:19">
      <c r="A2" s="186"/>
      <c r="B2" s="186"/>
      <c r="C2" s="150"/>
      <c r="D2" s="150"/>
      <c r="E2" s="150"/>
      <c r="F2" s="150"/>
      <c r="G2" s="150"/>
      <c r="H2" s="150"/>
      <c r="I2" s="187" t="s">
        <v>85</v>
      </c>
      <c r="J2" s="187"/>
      <c r="N2" s="30"/>
      <c r="O2" s="30"/>
      <c r="P2" s="30"/>
      <c r="Q2" s="30"/>
      <c r="R2" s="30"/>
      <c r="S2" s="30"/>
    </row>
    <row r="3" spans="1:19">
      <c r="A3" s="186"/>
      <c r="B3" s="186"/>
      <c r="C3" s="150"/>
      <c r="D3" s="150"/>
      <c r="E3" s="150"/>
      <c r="F3" s="150"/>
      <c r="G3" s="150"/>
      <c r="H3" s="150"/>
      <c r="I3" s="187" t="s">
        <v>126</v>
      </c>
      <c r="J3" s="187"/>
      <c r="N3" s="177"/>
      <c r="O3" s="177"/>
      <c r="P3" s="177"/>
      <c r="Q3" s="177"/>
      <c r="R3" s="177"/>
      <c r="S3" s="177"/>
    </row>
    <row r="4" spans="1:19" ht="15" customHeight="1">
      <c r="A4" s="190" t="s">
        <v>205</v>
      </c>
      <c r="B4" s="191"/>
      <c r="C4" s="194" t="s">
        <v>25</v>
      </c>
      <c r="D4" s="195"/>
      <c r="E4" s="195"/>
      <c r="F4" s="195"/>
      <c r="G4" s="195"/>
      <c r="H4" s="195"/>
      <c r="I4" s="195"/>
      <c r="J4" s="196"/>
      <c r="N4" s="30"/>
      <c r="O4" s="30"/>
      <c r="P4" s="30"/>
      <c r="Q4" s="30"/>
      <c r="R4" s="30"/>
      <c r="S4" s="30"/>
    </row>
    <row r="5" spans="1:19">
      <c r="A5" s="192"/>
      <c r="B5" s="193"/>
      <c r="C5" s="197"/>
      <c r="D5" s="198"/>
      <c r="E5" s="198"/>
      <c r="F5" s="198"/>
      <c r="G5" s="198"/>
      <c r="H5" s="198"/>
      <c r="I5" s="198"/>
      <c r="J5" s="199"/>
      <c r="N5" s="30"/>
      <c r="O5" s="30"/>
      <c r="P5" s="30"/>
      <c r="Q5" s="30"/>
      <c r="R5" s="30"/>
      <c r="S5" s="30"/>
    </row>
    <row r="6" spans="1:19" ht="30.75" customHeight="1">
      <c r="A6" s="188" t="s">
        <v>206</v>
      </c>
      <c r="B6" s="189"/>
      <c r="C6" s="200" t="s">
        <v>207</v>
      </c>
      <c r="D6" s="201"/>
      <c r="E6" s="201"/>
      <c r="F6" s="201"/>
      <c r="G6" s="201"/>
      <c r="H6" s="201"/>
      <c r="I6" s="201"/>
      <c r="J6" s="202"/>
      <c r="N6" s="30"/>
      <c r="O6" s="30"/>
      <c r="P6" s="30"/>
      <c r="Q6" s="30"/>
      <c r="R6" s="30"/>
      <c r="S6" s="30"/>
    </row>
    <row r="7" spans="1:19">
      <c r="A7" s="26"/>
      <c r="B7" s="27"/>
      <c r="C7" s="26"/>
      <c r="D7" s="27"/>
      <c r="E7" s="26"/>
      <c r="F7" s="27"/>
      <c r="G7" s="26"/>
      <c r="H7" s="27"/>
      <c r="I7" s="26"/>
      <c r="J7" s="27"/>
      <c r="N7" s="30"/>
      <c r="O7" s="30"/>
      <c r="P7" s="30"/>
      <c r="Q7" s="30"/>
      <c r="R7" s="30"/>
      <c r="S7" s="30"/>
    </row>
    <row r="8" spans="1:19" ht="15" hidden="1" customHeight="1">
      <c r="A8" s="114" t="s">
        <v>3</v>
      </c>
      <c r="B8" s="178" t="s">
        <v>49</v>
      </c>
      <c r="C8" s="178"/>
      <c r="D8" s="178"/>
      <c r="E8" s="178"/>
      <c r="F8" s="178"/>
      <c r="G8" s="178"/>
      <c r="H8" s="178"/>
      <c r="I8" s="178"/>
      <c r="J8" s="179"/>
    </row>
    <row r="9" spans="1:19" hidden="1">
      <c r="A9" s="103" t="s">
        <v>63</v>
      </c>
      <c r="B9" s="180" t="s">
        <v>80</v>
      </c>
      <c r="C9" s="180"/>
      <c r="D9" s="180"/>
      <c r="E9" s="180"/>
      <c r="F9" s="180"/>
      <c r="G9" s="180"/>
      <c r="H9" s="180"/>
      <c r="I9" s="180"/>
      <c r="J9" s="181"/>
    </row>
    <row r="10" spans="1:19" ht="58.5" hidden="1" customHeight="1">
      <c r="A10" s="106" t="s">
        <v>65</v>
      </c>
      <c r="B10" s="105" t="s">
        <v>78</v>
      </c>
      <c r="C10" s="105" t="s">
        <v>215</v>
      </c>
      <c r="D10" s="105" t="s">
        <v>64</v>
      </c>
      <c r="E10" s="203"/>
      <c r="F10" s="203"/>
      <c r="G10" s="203"/>
      <c r="H10" s="203"/>
      <c r="I10" s="203"/>
      <c r="J10" s="204"/>
      <c r="K10" s="113"/>
      <c r="L10" s="104"/>
      <c r="M10" s="104"/>
      <c r="N10" s="104"/>
      <c r="O10" s="104"/>
    </row>
    <row r="11" spans="1:19" hidden="1">
      <c r="A11" s="24" t="s">
        <v>66</v>
      </c>
      <c r="B11" s="23">
        <v>622</v>
      </c>
      <c r="C11" s="23">
        <v>636</v>
      </c>
      <c r="D11" s="25">
        <f>B11/C11</f>
        <v>0.9779874213836478</v>
      </c>
      <c r="E11" s="111"/>
      <c r="F11" s="111"/>
      <c r="G11" s="111"/>
      <c r="H11" s="111"/>
      <c r="I11" s="111"/>
      <c r="J11" s="112"/>
    </row>
    <row r="12" spans="1:19" hidden="1">
      <c r="A12" s="24" t="s">
        <v>67</v>
      </c>
      <c r="B12" s="23">
        <v>484</v>
      </c>
      <c r="C12" s="23">
        <v>498</v>
      </c>
      <c r="D12" s="25">
        <f t="shared" ref="D12:D22" si="0">B12/C12</f>
        <v>0.9718875502008032</v>
      </c>
      <c r="E12" s="111"/>
      <c r="F12" s="111"/>
      <c r="G12" s="111"/>
      <c r="H12" s="111"/>
      <c r="I12" s="111"/>
      <c r="J12" s="112"/>
    </row>
    <row r="13" spans="1:19" hidden="1">
      <c r="A13" s="24" t="s">
        <v>68</v>
      </c>
      <c r="B13" s="23">
        <v>513</v>
      </c>
      <c r="C13" s="23">
        <v>520</v>
      </c>
      <c r="D13" s="25">
        <f t="shared" si="0"/>
        <v>0.98653846153846159</v>
      </c>
      <c r="E13" s="111"/>
      <c r="F13" s="111"/>
      <c r="G13" s="111"/>
      <c r="H13" s="111"/>
      <c r="I13" s="111"/>
      <c r="J13" s="112"/>
    </row>
    <row r="14" spans="1:19" hidden="1">
      <c r="A14" s="24" t="s">
        <v>69</v>
      </c>
      <c r="B14" s="23">
        <v>653</v>
      </c>
      <c r="C14" s="23">
        <v>692</v>
      </c>
      <c r="D14" s="25">
        <f t="shared" si="0"/>
        <v>0.94364161849710981</v>
      </c>
      <c r="E14" s="111"/>
      <c r="F14" s="111"/>
      <c r="G14" s="111"/>
      <c r="H14" s="111"/>
      <c r="I14" s="111"/>
      <c r="J14" s="112"/>
    </row>
    <row r="15" spans="1:19" hidden="1">
      <c r="A15" s="24" t="s">
        <v>70</v>
      </c>
      <c r="B15" s="23">
        <v>565</v>
      </c>
      <c r="C15" s="23">
        <v>574</v>
      </c>
      <c r="D15" s="25">
        <f t="shared" si="0"/>
        <v>0.98432055749128922</v>
      </c>
      <c r="E15" s="111"/>
      <c r="F15" s="111"/>
      <c r="G15" s="111"/>
      <c r="H15" s="111"/>
      <c r="I15" s="111"/>
      <c r="J15" s="112"/>
      <c r="L15" t="s">
        <v>204</v>
      </c>
    </row>
    <row r="16" spans="1:19" hidden="1">
      <c r="A16" s="24" t="s">
        <v>71</v>
      </c>
      <c r="B16" s="23">
        <v>556</v>
      </c>
      <c r="C16" s="23">
        <v>595</v>
      </c>
      <c r="D16" s="25">
        <f t="shared" si="0"/>
        <v>0.93445378151260505</v>
      </c>
      <c r="E16" s="111"/>
      <c r="F16" s="111"/>
      <c r="G16" s="111"/>
      <c r="H16" s="111"/>
      <c r="I16" s="111"/>
      <c r="J16" s="112"/>
    </row>
    <row r="17" spans="1:10" hidden="1">
      <c r="A17" s="24" t="s">
        <v>72</v>
      </c>
      <c r="B17" s="23">
        <v>612</v>
      </c>
      <c r="C17" s="23">
        <v>638</v>
      </c>
      <c r="D17" s="25">
        <f t="shared" si="0"/>
        <v>0.95924764890282133</v>
      </c>
      <c r="E17" s="111"/>
      <c r="F17" s="111"/>
      <c r="G17" s="111"/>
      <c r="H17" s="111"/>
      <c r="I17" s="111"/>
      <c r="J17" s="112"/>
    </row>
    <row r="18" spans="1:10" hidden="1">
      <c r="A18" s="24" t="s">
        <v>73</v>
      </c>
      <c r="B18" s="23"/>
      <c r="C18" s="23"/>
      <c r="D18" s="25" t="e">
        <f t="shared" si="0"/>
        <v>#DIV/0!</v>
      </c>
      <c r="E18" s="111"/>
      <c r="F18" s="111"/>
      <c r="G18" s="111"/>
      <c r="H18" s="111"/>
      <c r="I18" s="111"/>
      <c r="J18" s="112"/>
    </row>
    <row r="19" spans="1:10" hidden="1">
      <c r="A19" s="24" t="s">
        <v>74</v>
      </c>
      <c r="B19" s="23"/>
      <c r="C19" s="23"/>
      <c r="D19" s="25" t="e">
        <f t="shared" si="0"/>
        <v>#DIV/0!</v>
      </c>
      <c r="E19" s="111"/>
      <c r="F19" s="111"/>
      <c r="G19" s="111"/>
      <c r="H19" s="111"/>
      <c r="I19" s="111"/>
      <c r="J19" s="112"/>
    </row>
    <row r="20" spans="1:10" hidden="1">
      <c r="A20" s="24" t="s">
        <v>75</v>
      </c>
      <c r="B20" s="23"/>
      <c r="C20" s="23"/>
      <c r="D20" s="25" t="e">
        <f t="shared" si="0"/>
        <v>#DIV/0!</v>
      </c>
      <c r="E20" s="111"/>
      <c r="F20" s="111"/>
      <c r="G20" s="111"/>
      <c r="H20" s="111"/>
      <c r="I20" s="111"/>
      <c r="J20" s="112"/>
    </row>
    <row r="21" spans="1:10" hidden="1">
      <c r="A21" s="24" t="s">
        <v>76</v>
      </c>
      <c r="B21" s="23"/>
      <c r="C21" s="23"/>
      <c r="D21" s="25" t="e">
        <f t="shared" si="0"/>
        <v>#DIV/0!</v>
      </c>
      <c r="E21" s="111"/>
      <c r="F21" s="111"/>
      <c r="G21" s="111"/>
      <c r="H21" s="111"/>
      <c r="I21" s="111"/>
      <c r="J21" s="112"/>
    </row>
    <row r="22" spans="1:10" hidden="1">
      <c r="A22" s="24" t="s">
        <v>77</v>
      </c>
      <c r="B22" s="23"/>
      <c r="C22" s="23"/>
      <c r="D22" s="25" t="e">
        <f t="shared" si="0"/>
        <v>#DIV/0!</v>
      </c>
      <c r="E22" s="115"/>
      <c r="F22" s="115"/>
      <c r="G22" s="115"/>
      <c r="H22" s="115"/>
      <c r="I22" s="115"/>
      <c r="J22" s="116"/>
    </row>
    <row r="23" spans="1:10" hidden="1">
      <c r="A23" s="134"/>
      <c r="B23" s="135"/>
      <c r="C23" s="135"/>
      <c r="D23" s="136">
        <f>AVERAGE(D11:D16)</f>
        <v>0.96647156510398613</v>
      </c>
      <c r="E23" s="115"/>
      <c r="F23" s="115"/>
      <c r="G23" s="115"/>
      <c r="H23" s="115"/>
      <c r="I23" s="115"/>
      <c r="J23" s="116"/>
    </row>
    <row r="24" spans="1:10" hidden="1">
      <c r="A24" s="185"/>
      <c r="B24" s="185"/>
      <c r="C24" s="185"/>
      <c r="D24" s="185"/>
      <c r="E24" s="185"/>
      <c r="F24" s="185"/>
      <c r="G24" s="185"/>
      <c r="H24" s="185"/>
      <c r="I24" s="185"/>
      <c r="J24" s="185"/>
    </row>
    <row r="25" spans="1:10">
      <c r="A25" s="31" t="s">
        <v>3</v>
      </c>
      <c r="B25" s="182" t="s">
        <v>92</v>
      </c>
      <c r="C25" s="182"/>
      <c r="D25" s="182"/>
      <c r="E25" s="182"/>
      <c r="F25" s="182"/>
      <c r="G25" s="182"/>
      <c r="H25" s="182"/>
      <c r="I25" s="182"/>
      <c r="J25" s="182"/>
    </row>
    <row r="26" spans="1:10">
      <c r="A26" s="31" t="s">
        <v>63</v>
      </c>
      <c r="B26" s="183" t="s">
        <v>89</v>
      </c>
      <c r="C26" s="183"/>
      <c r="D26" s="183"/>
      <c r="E26" s="184"/>
      <c r="F26" s="184"/>
      <c r="G26" s="184"/>
      <c r="H26" s="184"/>
      <c r="I26" s="184"/>
      <c r="J26" s="184"/>
    </row>
    <row r="27" spans="1:10" ht="90">
      <c r="A27" s="2" t="s">
        <v>65</v>
      </c>
      <c r="B27" s="3" t="s">
        <v>91</v>
      </c>
      <c r="C27" s="3" t="s">
        <v>90</v>
      </c>
      <c r="D27" s="3" t="s">
        <v>94</v>
      </c>
      <c r="E27" s="30"/>
      <c r="F27" s="30"/>
      <c r="G27" s="30"/>
      <c r="H27" s="30"/>
      <c r="I27" s="30"/>
      <c r="J27" s="33"/>
    </row>
    <row r="28" spans="1:10">
      <c r="A28" s="24" t="s">
        <v>66</v>
      </c>
      <c r="B28" s="23"/>
      <c r="C28" s="23"/>
      <c r="D28" s="25" t="e">
        <f>B28/C28</f>
        <v>#DIV/0!</v>
      </c>
      <c r="E28" s="30"/>
      <c r="F28" s="30"/>
      <c r="G28" s="30"/>
      <c r="H28" s="30"/>
      <c r="I28" s="30"/>
      <c r="J28" s="33"/>
    </row>
    <row r="29" spans="1:10">
      <c r="A29" s="24" t="s">
        <v>67</v>
      </c>
      <c r="B29" s="23"/>
      <c r="C29" s="23"/>
      <c r="D29" s="25" t="e">
        <f t="shared" ref="D29:D39" si="1">B29/C29</f>
        <v>#DIV/0!</v>
      </c>
      <c r="E29" s="30"/>
      <c r="F29" s="30"/>
      <c r="G29" s="30"/>
      <c r="H29" s="30"/>
      <c r="I29" s="30"/>
      <c r="J29" s="33"/>
    </row>
    <row r="30" spans="1:10">
      <c r="A30" s="24" t="s">
        <v>68</v>
      </c>
      <c r="B30" s="23"/>
      <c r="C30" s="23"/>
      <c r="D30" s="25" t="e">
        <f>B30/C30</f>
        <v>#DIV/0!</v>
      </c>
      <c r="E30" s="30"/>
      <c r="F30" s="30"/>
      <c r="G30" s="30"/>
      <c r="H30" s="30"/>
      <c r="I30" s="30"/>
      <c r="J30" s="33"/>
    </row>
    <row r="31" spans="1:10">
      <c r="A31" s="24" t="s">
        <v>69</v>
      </c>
      <c r="B31" s="23"/>
      <c r="C31" s="23"/>
      <c r="D31" s="25" t="e">
        <f t="shared" si="1"/>
        <v>#DIV/0!</v>
      </c>
      <c r="E31" s="30"/>
      <c r="F31" s="30"/>
      <c r="G31" s="30"/>
      <c r="H31" s="30"/>
      <c r="I31" s="30"/>
      <c r="J31" s="33"/>
    </row>
    <row r="32" spans="1:10">
      <c r="A32" s="24" t="s">
        <v>70</v>
      </c>
      <c r="B32" s="23"/>
      <c r="C32" s="23"/>
      <c r="D32" s="25" t="e">
        <f t="shared" si="1"/>
        <v>#DIV/0!</v>
      </c>
      <c r="E32" s="30"/>
      <c r="F32" s="30"/>
      <c r="G32" s="30"/>
      <c r="H32" s="30"/>
      <c r="I32" s="30"/>
      <c r="J32" s="33"/>
    </row>
    <row r="33" spans="1:10">
      <c r="A33" s="24" t="s">
        <v>71</v>
      </c>
      <c r="B33" s="23"/>
      <c r="C33" s="23"/>
      <c r="D33" s="25" t="e">
        <f t="shared" si="1"/>
        <v>#DIV/0!</v>
      </c>
      <c r="E33" s="30"/>
      <c r="F33" s="30"/>
      <c r="G33" s="30"/>
      <c r="H33" s="30"/>
      <c r="I33" s="30"/>
      <c r="J33" s="33"/>
    </row>
    <row r="34" spans="1:10">
      <c r="A34" s="24" t="s">
        <v>72</v>
      </c>
      <c r="B34" s="23"/>
      <c r="C34" s="23"/>
      <c r="D34" s="25" t="e">
        <f t="shared" si="1"/>
        <v>#DIV/0!</v>
      </c>
      <c r="E34" s="30"/>
      <c r="F34" s="30"/>
      <c r="G34" s="30"/>
      <c r="H34" s="30"/>
      <c r="I34" s="30"/>
      <c r="J34" s="33"/>
    </row>
    <row r="35" spans="1:10">
      <c r="A35" s="24" t="s">
        <v>73</v>
      </c>
      <c r="B35" s="23"/>
      <c r="C35" s="23"/>
      <c r="D35" s="25" t="e">
        <f t="shared" si="1"/>
        <v>#DIV/0!</v>
      </c>
      <c r="E35" s="30"/>
      <c r="F35" s="30"/>
      <c r="G35" s="30"/>
      <c r="H35" s="30"/>
      <c r="I35" s="30"/>
      <c r="J35" s="33"/>
    </row>
    <row r="36" spans="1:10">
      <c r="A36" s="24" t="s">
        <v>74</v>
      </c>
      <c r="B36" s="23"/>
      <c r="C36" s="23"/>
      <c r="D36" s="25" t="e">
        <f t="shared" si="1"/>
        <v>#DIV/0!</v>
      </c>
      <c r="E36" s="30"/>
      <c r="F36" s="30"/>
      <c r="G36" s="30"/>
      <c r="H36" s="30"/>
      <c r="I36" s="30"/>
      <c r="J36" s="33"/>
    </row>
    <row r="37" spans="1:10">
      <c r="A37" s="24" t="s">
        <v>75</v>
      </c>
      <c r="B37" s="23"/>
      <c r="C37" s="23"/>
      <c r="D37" s="25" t="e">
        <f t="shared" si="1"/>
        <v>#DIV/0!</v>
      </c>
      <c r="E37" s="30"/>
      <c r="F37" s="30"/>
      <c r="G37" s="30"/>
      <c r="H37" s="30"/>
      <c r="I37" s="30"/>
      <c r="J37" s="33"/>
    </row>
    <row r="38" spans="1:10">
      <c r="A38" s="24" t="s">
        <v>76</v>
      </c>
      <c r="B38" s="23"/>
      <c r="C38" s="23"/>
      <c r="D38" s="25" t="e">
        <f t="shared" si="1"/>
        <v>#DIV/0!</v>
      </c>
      <c r="E38" s="30"/>
      <c r="F38" s="30"/>
      <c r="G38" s="30"/>
      <c r="H38" s="30"/>
      <c r="I38" s="30"/>
      <c r="J38" s="33"/>
    </row>
    <row r="39" spans="1:10">
      <c r="A39" s="24" t="s">
        <v>77</v>
      </c>
      <c r="B39" s="23"/>
      <c r="C39" s="23"/>
      <c r="D39" s="25" t="e">
        <f t="shared" si="1"/>
        <v>#DIV/0!</v>
      </c>
      <c r="E39" s="30"/>
      <c r="F39" s="30"/>
      <c r="G39" s="30"/>
      <c r="H39" s="30"/>
      <c r="I39" s="30"/>
      <c r="J39" s="33"/>
    </row>
    <row r="40" spans="1:10">
      <c r="A40" s="21"/>
      <c r="B40" s="30"/>
      <c r="C40" s="30"/>
      <c r="D40" s="137" t="e">
        <f>AVERAGE(D28:D33)</f>
        <v>#DIV/0!</v>
      </c>
      <c r="E40" s="30"/>
      <c r="F40" s="30"/>
      <c r="G40" s="30"/>
      <c r="H40" s="30"/>
      <c r="I40" s="30"/>
      <c r="J40" s="33"/>
    </row>
    <row r="41" spans="1:10" ht="15.75">
      <c r="A41" s="34" t="s">
        <v>268</v>
      </c>
      <c r="B41" s="32"/>
      <c r="C41" s="30"/>
      <c r="D41" s="30"/>
      <c r="E41" s="30"/>
      <c r="F41" s="30"/>
      <c r="G41" s="30"/>
      <c r="H41" s="30"/>
      <c r="I41" s="30"/>
      <c r="J41" s="33"/>
    </row>
    <row r="42" spans="1:10">
      <c r="A42" s="22"/>
      <c r="B42" s="35"/>
      <c r="C42" s="35"/>
      <c r="D42" s="35"/>
      <c r="E42" s="35"/>
      <c r="F42" s="35"/>
      <c r="G42" s="35"/>
      <c r="H42" s="35"/>
      <c r="I42" s="35"/>
      <c r="J42" s="36"/>
    </row>
  </sheetData>
  <mergeCells count="16">
    <mergeCell ref="N3:S3"/>
    <mergeCell ref="B8:J8"/>
    <mergeCell ref="B9:J9"/>
    <mergeCell ref="B25:J25"/>
    <mergeCell ref="B26:J26"/>
    <mergeCell ref="A24:J24"/>
    <mergeCell ref="A1:B3"/>
    <mergeCell ref="C1:H3"/>
    <mergeCell ref="I1:J1"/>
    <mergeCell ref="I2:J2"/>
    <mergeCell ref="I3:J3"/>
    <mergeCell ref="A6:B6"/>
    <mergeCell ref="A4:B5"/>
    <mergeCell ref="C4:J5"/>
    <mergeCell ref="C6:J6"/>
    <mergeCell ref="E10:J10"/>
  </mergeCells>
  <pageMargins left="0.7" right="0.7" top="0.75" bottom="0.75"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
  <sheetViews>
    <sheetView zoomScale="90" zoomScaleNormal="90" workbookViewId="0">
      <selection activeCell="A41" sqref="A24:XFD41"/>
    </sheetView>
  </sheetViews>
  <sheetFormatPr baseColWidth="10" defaultRowHeight="15"/>
  <cols>
    <col min="1" max="1" width="12.28515625" customWidth="1"/>
    <col min="2" max="5" width="14.5703125" customWidth="1"/>
  </cols>
  <sheetData>
    <row r="1" spans="1:19">
      <c r="A1" s="186"/>
      <c r="B1" s="186"/>
      <c r="C1" s="150" t="s">
        <v>84</v>
      </c>
      <c r="D1" s="150"/>
      <c r="E1" s="150"/>
      <c r="F1" s="150"/>
      <c r="G1" s="150"/>
      <c r="H1" s="150"/>
      <c r="I1" s="187" t="s">
        <v>155</v>
      </c>
      <c r="J1" s="187"/>
    </row>
    <row r="2" spans="1:19">
      <c r="A2" s="186"/>
      <c r="B2" s="186"/>
      <c r="C2" s="150"/>
      <c r="D2" s="150"/>
      <c r="E2" s="150"/>
      <c r="F2" s="150"/>
      <c r="G2" s="150"/>
      <c r="H2" s="150"/>
      <c r="I2" s="187" t="s">
        <v>85</v>
      </c>
      <c r="J2" s="187"/>
      <c r="N2" s="30"/>
      <c r="O2" s="30"/>
      <c r="P2" s="30"/>
      <c r="Q2" s="30"/>
      <c r="R2" s="30"/>
      <c r="S2" s="30"/>
    </row>
    <row r="3" spans="1:19">
      <c r="A3" s="186"/>
      <c r="B3" s="186"/>
      <c r="C3" s="150"/>
      <c r="D3" s="150"/>
      <c r="E3" s="150"/>
      <c r="F3" s="150"/>
      <c r="G3" s="150"/>
      <c r="H3" s="150"/>
      <c r="I3" s="187" t="s">
        <v>125</v>
      </c>
      <c r="J3" s="187"/>
      <c r="N3" s="177"/>
      <c r="O3" s="177"/>
      <c r="P3" s="177"/>
      <c r="Q3" s="177"/>
      <c r="R3" s="177"/>
      <c r="S3" s="177"/>
    </row>
    <row r="4" spans="1:19" ht="15" customHeight="1">
      <c r="A4" s="209" t="s">
        <v>62</v>
      </c>
      <c r="B4" s="209"/>
      <c r="C4" s="210" t="s">
        <v>19</v>
      </c>
      <c r="D4" s="210"/>
      <c r="E4" s="210"/>
      <c r="F4" s="210"/>
      <c r="G4" s="210"/>
      <c r="H4" s="210"/>
      <c r="I4" s="210"/>
      <c r="J4" s="210"/>
      <c r="N4" s="30"/>
      <c r="O4" s="30"/>
      <c r="P4" s="30"/>
      <c r="Q4" s="30"/>
      <c r="R4" s="30"/>
      <c r="S4" s="30"/>
    </row>
    <row r="5" spans="1:19">
      <c r="A5" s="209"/>
      <c r="B5" s="209"/>
      <c r="C5" s="210"/>
      <c r="D5" s="210"/>
      <c r="E5" s="210"/>
      <c r="F5" s="210"/>
      <c r="G5" s="210"/>
      <c r="H5" s="210"/>
      <c r="I5" s="210"/>
      <c r="J5" s="210"/>
      <c r="N5" s="30"/>
      <c r="O5" s="30"/>
      <c r="P5" s="30"/>
      <c r="Q5" s="30"/>
      <c r="R5" s="30"/>
      <c r="S5" s="30"/>
    </row>
    <row r="6" spans="1:19" ht="50.25" customHeight="1">
      <c r="A6" s="209" t="s">
        <v>206</v>
      </c>
      <c r="B6" s="209"/>
      <c r="C6" s="205" t="s">
        <v>208</v>
      </c>
      <c r="D6" s="206"/>
      <c r="E6" s="206"/>
      <c r="F6" s="206"/>
      <c r="G6" s="206"/>
      <c r="H6" s="206"/>
      <c r="I6" s="206"/>
      <c r="J6" s="207"/>
      <c r="N6" s="30"/>
      <c r="O6" s="30"/>
      <c r="P6" s="30"/>
      <c r="Q6" s="30"/>
      <c r="R6" s="30"/>
      <c r="S6" s="30"/>
    </row>
    <row r="7" spans="1:19">
      <c r="A7" s="26"/>
      <c r="B7" s="27"/>
      <c r="C7" s="27"/>
      <c r="D7" s="27"/>
      <c r="E7" s="27"/>
      <c r="F7" s="27"/>
      <c r="G7" s="27"/>
      <c r="H7" s="27"/>
      <c r="I7" s="27"/>
      <c r="J7" s="27"/>
      <c r="N7" s="30"/>
      <c r="O7" s="30"/>
      <c r="P7" s="30"/>
      <c r="Q7" s="30"/>
      <c r="R7" s="30"/>
      <c r="S7" s="30"/>
    </row>
    <row r="8" spans="1:19" ht="15" customHeight="1">
      <c r="A8" s="31" t="s">
        <v>3</v>
      </c>
      <c r="B8" s="182" t="s">
        <v>139</v>
      </c>
      <c r="C8" s="182"/>
      <c r="D8" s="182"/>
      <c r="E8" s="182"/>
      <c r="F8" s="182"/>
      <c r="G8" s="182"/>
      <c r="H8" s="182"/>
      <c r="I8" s="182"/>
      <c r="J8" s="182"/>
    </row>
    <row r="9" spans="1:19">
      <c r="A9" s="31" t="s">
        <v>63</v>
      </c>
      <c r="B9" s="184" t="s">
        <v>87</v>
      </c>
      <c r="C9" s="184"/>
      <c r="D9" s="184"/>
      <c r="E9" s="184"/>
      <c r="F9" s="184"/>
      <c r="G9" s="184"/>
      <c r="H9" s="184"/>
      <c r="I9" s="184"/>
      <c r="J9" s="184"/>
    </row>
    <row r="10" spans="1:19" ht="58.5" customHeight="1">
      <c r="A10" s="2" t="s">
        <v>65</v>
      </c>
      <c r="B10" s="3" t="s">
        <v>227</v>
      </c>
      <c r="C10" s="3" t="s">
        <v>226</v>
      </c>
      <c r="D10" s="3" t="s">
        <v>225</v>
      </c>
      <c r="E10" s="30"/>
      <c r="F10" s="30"/>
      <c r="G10" s="30"/>
      <c r="H10" s="30"/>
      <c r="I10" s="30"/>
      <c r="J10" s="33"/>
    </row>
    <row r="11" spans="1:19">
      <c r="A11" s="24" t="s">
        <v>66</v>
      </c>
      <c r="B11" s="57"/>
      <c r="C11" s="57"/>
      <c r="D11" s="57"/>
      <c r="E11" s="30"/>
      <c r="F11" s="30"/>
      <c r="G11" s="30"/>
      <c r="H11" s="30"/>
      <c r="I11" s="30"/>
      <c r="J11" s="33"/>
    </row>
    <row r="12" spans="1:19">
      <c r="A12" s="24" t="s">
        <v>67</v>
      </c>
      <c r="B12" s="57"/>
      <c r="C12" s="57"/>
      <c r="D12" s="57"/>
      <c r="E12" s="30"/>
      <c r="F12" s="30"/>
      <c r="G12" s="30"/>
      <c r="H12" s="30"/>
      <c r="I12" s="30"/>
      <c r="J12" s="33"/>
    </row>
    <row r="13" spans="1:19">
      <c r="A13" s="24" t="s">
        <v>68</v>
      </c>
      <c r="B13" s="57"/>
      <c r="C13" s="57"/>
      <c r="D13" s="57"/>
      <c r="E13" s="30"/>
      <c r="F13" s="30"/>
      <c r="G13" s="30"/>
      <c r="H13" s="30"/>
      <c r="I13" s="30"/>
      <c r="J13" s="33"/>
    </row>
    <row r="14" spans="1:19">
      <c r="A14" s="24" t="s">
        <v>69</v>
      </c>
      <c r="B14" s="57"/>
      <c r="C14" s="57"/>
      <c r="D14" s="57"/>
      <c r="E14" s="30"/>
      <c r="F14" s="30"/>
      <c r="G14" s="30"/>
      <c r="H14" s="30"/>
      <c r="I14" s="30"/>
      <c r="J14" s="33"/>
    </row>
    <row r="15" spans="1:19">
      <c r="A15" s="24" t="s">
        <v>70</v>
      </c>
      <c r="B15" s="57"/>
      <c r="C15" s="57"/>
      <c r="D15" s="57"/>
      <c r="E15" s="30"/>
      <c r="F15" s="30"/>
      <c r="G15" s="30"/>
      <c r="H15" s="30"/>
      <c r="I15" s="30"/>
      <c r="J15" s="33"/>
    </row>
    <row r="16" spans="1:19">
      <c r="A16" s="24" t="s">
        <v>71</v>
      </c>
      <c r="B16" s="57"/>
      <c r="C16" s="57"/>
      <c r="D16" s="57"/>
      <c r="E16" s="30"/>
      <c r="F16" s="30"/>
      <c r="G16" s="30"/>
      <c r="H16" s="30"/>
      <c r="I16" s="30"/>
      <c r="J16" s="33"/>
    </row>
    <row r="17" spans="1:10">
      <c r="A17" s="24" t="s">
        <v>72</v>
      </c>
      <c r="B17" s="57"/>
      <c r="C17" s="57"/>
      <c r="D17" s="57"/>
      <c r="E17" s="30"/>
      <c r="F17" s="30"/>
      <c r="G17" s="30"/>
      <c r="H17" s="30"/>
      <c r="I17" s="30"/>
      <c r="J17" s="33"/>
    </row>
    <row r="18" spans="1:10">
      <c r="A18" s="24" t="s">
        <v>73</v>
      </c>
      <c r="B18" s="57"/>
      <c r="C18" s="57"/>
      <c r="D18" s="57"/>
      <c r="E18" s="30"/>
      <c r="F18" s="30"/>
      <c r="G18" s="30"/>
      <c r="H18" s="30"/>
      <c r="I18" s="30"/>
      <c r="J18" s="33"/>
    </row>
    <row r="19" spans="1:10">
      <c r="A19" s="24" t="s">
        <v>74</v>
      </c>
      <c r="B19" s="57"/>
      <c r="C19" s="57"/>
      <c r="D19" s="57"/>
      <c r="E19" s="30"/>
      <c r="F19" s="30"/>
      <c r="G19" s="30"/>
      <c r="H19" s="30"/>
      <c r="I19" s="30"/>
      <c r="J19" s="33"/>
    </row>
    <row r="20" spans="1:10">
      <c r="A20" s="24" t="s">
        <v>75</v>
      </c>
      <c r="B20" s="57"/>
      <c r="C20" s="57"/>
      <c r="D20" s="57"/>
      <c r="E20" s="30"/>
      <c r="F20" s="30"/>
      <c r="G20" s="30"/>
      <c r="H20" s="30"/>
      <c r="I20" s="30"/>
      <c r="J20" s="33"/>
    </row>
    <row r="21" spans="1:10">
      <c r="A21" s="24" t="s">
        <v>76</v>
      </c>
      <c r="B21" s="57"/>
      <c r="C21" s="57"/>
      <c r="D21" s="57"/>
      <c r="E21" s="30"/>
      <c r="F21" s="30"/>
      <c r="G21" s="30"/>
      <c r="H21" s="30"/>
      <c r="I21" s="30"/>
      <c r="J21" s="33"/>
    </row>
    <row r="22" spans="1:10">
      <c r="A22" s="29" t="s">
        <v>77</v>
      </c>
      <c r="B22" s="57"/>
      <c r="C22" s="57"/>
      <c r="D22" s="57"/>
      <c r="E22" s="30"/>
      <c r="F22" s="30"/>
      <c r="G22" s="30"/>
      <c r="H22" s="30"/>
      <c r="I22" s="30"/>
      <c r="J22" s="33"/>
    </row>
    <row r="23" spans="1:10">
      <c r="A23" s="29"/>
      <c r="B23" s="57"/>
      <c r="C23" s="57"/>
      <c r="D23" s="57" t="e">
        <f>AVERAGE(D11:D17)</f>
        <v>#DIV/0!</v>
      </c>
      <c r="E23" s="30"/>
      <c r="F23" s="30"/>
      <c r="G23" s="30"/>
      <c r="H23" s="30"/>
      <c r="I23" s="30"/>
      <c r="J23" s="33"/>
    </row>
    <row r="24" spans="1:10" hidden="1">
      <c r="A24" s="208"/>
      <c r="B24" s="208"/>
      <c r="C24" s="208"/>
      <c r="D24" s="208"/>
      <c r="E24" s="208"/>
      <c r="F24" s="208"/>
      <c r="G24" s="208"/>
      <c r="H24" s="208"/>
      <c r="I24" s="208"/>
      <c r="J24" s="208"/>
    </row>
    <row r="25" spans="1:10" hidden="1">
      <c r="A25" s="31" t="s">
        <v>3</v>
      </c>
      <c r="B25" s="182" t="s">
        <v>194</v>
      </c>
      <c r="C25" s="182"/>
      <c r="D25" s="182"/>
      <c r="E25" s="182"/>
      <c r="F25" s="182"/>
      <c r="G25" s="182"/>
      <c r="H25" s="182"/>
      <c r="I25" s="182"/>
      <c r="J25" s="182"/>
    </row>
    <row r="26" spans="1:10" hidden="1">
      <c r="A26" s="31" t="s">
        <v>63</v>
      </c>
      <c r="B26" s="184" t="s">
        <v>195</v>
      </c>
      <c r="C26" s="184"/>
      <c r="D26" s="184"/>
      <c r="E26" s="184"/>
      <c r="F26" s="184"/>
      <c r="G26" s="184"/>
      <c r="H26" s="184"/>
      <c r="I26" s="184"/>
      <c r="J26" s="184"/>
    </row>
    <row r="27" spans="1:10" ht="75" hidden="1">
      <c r="A27" s="2" t="s">
        <v>65</v>
      </c>
      <c r="B27" s="3" t="s">
        <v>196</v>
      </c>
      <c r="C27" s="3" t="s">
        <v>197</v>
      </c>
      <c r="D27" s="3" t="s">
        <v>198</v>
      </c>
      <c r="E27" s="30"/>
      <c r="F27" s="30"/>
      <c r="G27" s="30"/>
      <c r="H27" s="30"/>
      <c r="I27" s="30"/>
      <c r="J27" s="33"/>
    </row>
    <row r="28" spans="1:10" hidden="1">
      <c r="A28" s="24" t="s">
        <v>66</v>
      </c>
      <c r="B28" s="60">
        <v>0</v>
      </c>
      <c r="C28" s="60">
        <v>0</v>
      </c>
      <c r="D28" s="25" t="e">
        <f t="shared" ref="D28:D39" si="0">C28/B28</f>
        <v>#DIV/0!</v>
      </c>
      <c r="E28" s="30"/>
      <c r="F28" s="30"/>
      <c r="G28" s="30"/>
      <c r="H28" s="30"/>
      <c r="I28" s="30"/>
      <c r="J28" s="33"/>
    </row>
    <row r="29" spans="1:10" hidden="1">
      <c r="A29" s="24" t="s">
        <v>67</v>
      </c>
      <c r="B29" s="60">
        <v>2</v>
      </c>
      <c r="C29" s="60">
        <v>2</v>
      </c>
      <c r="D29" s="25">
        <f t="shared" si="0"/>
        <v>1</v>
      </c>
      <c r="E29" s="30"/>
      <c r="F29" s="30"/>
      <c r="G29" s="30"/>
      <c r="H29" s="30"/>
      <c r="I29" s="30"/>
      <c r="J29" s="33"/>
    </row>
    <row r="30" spans="1:10" hidden="1">
      <c r="A30" s="24" t="s">
        <v>68</v>
      </c>
      <c r="B30" s="60">
        <v>1</v>
      </c>
      <c r="C30" s="60">
        <v>1</v>
      </c>
      <c r="D30" s="25">
        <f t="shared" si="0"/>
        <v>1</v>
      </c>
      <c r="E30" s="30"/>
      <c r="F30" s="30"/>
      <c r="G30" s="30"/>
      <c r="H30" s="30"/>
      <c r="I30" s="30"/>
      <c r="J30" s="33"/>
    </row>
    <row r="31" spans="1:10" hidden="1">
      <c r="A31" s="24" t="s">
        <v>69</v>
      </c>
      <c r="B31" s="60">
        <v>0</v>
      </c>
      <c r="C31" s="60">
        <v>0</v>
      </c>
      <c r="D31" s="25" t="e">
        <f t="shared" si="0"/>
        <v>#DIV/0!</v>
      </c>
      <c r="E31" s="30"/>
      <c r="F31" s="30"/>
      <c r="G31" s="30"/>
      <c r="H31" s="30"/>
      <c r="I31" s="30"/>
      <c r="J31" s="33"/>
    </row>
    <row r="32" spans="1:10" hidden="1">
      <c r="A32" s="24" t="s">
        <v>70</v>
      </c>
      <c r="B32" s="60">
        <v>0</v>
      </c>
      <c r="C32" s="60">
        <v>0</v>
      </c>
      <c r="D32" s="25" t="e">
        <f t="shared" si="0"/>
        <v>#DIV/0!</v>
      </c>
      <c r="E32" s="30"/>
      <c r="F32" s="30"/>
      <c r="G32" s="30"/>
      <c r="H32" s="30"/>
      <c r="I32" s="30"/>
      <c r="J32" s="33"/>
    </row>
    <row r="33" spans="1:10" hidden="1">
      <c r="A33" s="24" t="s">
        <v>71</v>
      </c>
      <c r="B33" s="60">
        <v>0</v>
      </c>
      <c r="C33" s="60">
        <v>0</v>
      </c>
      <c r="D33" s="25" t="e">
        <f t="shared" si="0"/>
        <v>#DIV/0!</v>
      </c>
      <c r="E33" s="30"/>
      <c r="F33" s="30"/>
      <c r="G33" s="30"/>
      <c r="H33" s="30"/>
      <c r="I33" s="30"/>
      <c r="J33" s="33"/>
    </row>
    <row r="34" spans="1:10" hidden="1">
      <c r="A34" s="24" t="s">
        <v>72</v>
      </c>
      <c r="B34" s="60">
        <v>0</v>
      </c>
      <c r="C34" s="60">
        <v>0</v>
      </c>
      <c r="D34" s="25" t="e">
        <f t="shared" si="0"/>
        <v>#DIV/0!</v>
      </c>
      <c r="E34" s="30"/>
      <c r="F34" s="30"/>
      <c r="G34" s="30"/>
      <c r="H34" s="30"/>
      <c r="I34" s="30"/>
      <c r="J34" s="33"/>
    </row>
    <row r="35" spans="1:10" hidden="1">
      <c r="A35" s="24" t="s">
        <v>73</v>
      </c>
      <c r="B35" s="60"/>
      <c r="C35" s="60"/>
      <c r="D35" s="25" t="e">
        <f t="shared" si="0"/>
        <v>#DIV/0!</v>
      </c>
      <c r="E35" s="30"/>
      <c r="F35" s="30"/>
      <c r="G35" s="30"/>
      <c r="H35" s="30"/>
      <c r="I35" s="30"/>
      <c r="J35" s="33"/>
    </row>
    <row r="36" spans="1:10" hidden="1">
      <c r="A36" s="24" t="s">
        <v>74</v>
      </c>
      <c r="B36" s="60"/>
      <c r="C36" s="60"/>
      <c r="D36" s="25" t="e">
        <f t="shared" si="0"/>
        <v>#DIV/0!</v>
      </c>
      <c r="E36" s="30"/>
      <c r="F36" s="30"/>
      <c r="G36" s="30"/>
      <c r="H36" s="30"/>
      <c r="I36" s="30"/>
      <c r="J36" s="33"/>
    </row>
    <row r="37" spans="1:10" hidden="1">
      <c r="A37" s="24" t="s">
        <v>75</v>
      </c>
      <c r="B37" s="60"/>
      <c r="C37" s="60"/>
      <c r="D37" s="25" t="e">
        <f t="shared" si="0"/>
        <v>#DIV/0!</v>
      </c>
      <c r="E37" s="30"/>
      <c r="F37" s="30"/>
      <c r="G37" s="30"/>
      <c r="H37" s="30"/>
      <c r="I37" s="30"/>
      <c r="J37" s="33"/>
    </row>
    <row r="38" spans="1:10" hidden="1">
      <c r="A38" s="24" t="s">
        <v>76</v>
      </c>
      <c r="B38" s="60"/>
      <c r="C38" s="60"/>
      <c r="D38" s="25" t="e">
        <f t="shared" si="0"/>
        <v>#DIV/0!</v>
      </c>
      <c r="E38" s="30"/>
      <c r="F38" s="30"/>
      <c r="G38" s="30"/>
      <c r="H38" s="30"/>
      <c r="I38" s="30"/>
      <c r="J38" s="33"/>
    </row>
    <row r="39" spans="1:10" hidden="1">
      <c r="A39" s="24" t="s">
        <v>77</v>
      </c>
      <c r="B39" s="60"/>
      <c r="C39" s="60"/>
      <c r="D39" s="25" t="e">
        <f t="shared" si="0"/>
        <v>#DIV/0!</v>
      </c>
      <c r="E39" s="30"/>
      <c r="F39" s="30"/>
      <c r="G39" s="30"/>
      <c r="H39" s="30"/>
      <c r="I39" s="30"/>
      <c r="J39" s="33"/>
    </row>
    <row r="40" spans="1:10" hidden="1">
      <c r="A40" s="49"/>
      <c r="B40" s="61"/>
      <c r="C40" s="61"/>
      <c r="D40" s="62">
        <f>AVERAGE(D29:D30)</f>
        <v>1</v>
      </c>
      <c r="E40" s="30"/>
      <c r="F40" s="30"/>
      <c r="G40" s="30"/>
      <c r="H40" s="30"/>
      <c r="I40" s="30"/>
      <c r="J40" s="33"/>
    </row>
    <row r="41" spans="1:10" hidden="1">
      <c r="A41" s="49"/>
      <c r="B41" s="61"/>
      <c r="C41" s="61"/>
      <c r="D41" s="62"/>
      <c r="E41" s="30"/>
      <c r="F41" s="30"/>
      <c r="G41" s="30"/>
      <c r="H41" s="30"/>
      <c r="I41" s="30"/>
      <c r="J41" s="33"/>
    </row>
    <row r="42" spans="1:10" ht="15.75">
      <c r="A42" s="34" t="s">
        <v>105</v>
      </c>
      <c r="B42" s="32"/>
      <c r="C42" s="30"/>
      <c r="D42" s="30"/>
      <c r="E42" s="30"/>
      <c r="F42" s="30"/>
      <c r="G42" s="30"/>
      <c r="H42" s="30"/>
      <c r="I42" s="30"/>
      <c r="J42" s="33"/>
    </row>
    <row r="43" spans="1:10">
      <c r="A43" s="22"/>
      <c r="B43" s="35"/>
      <c r="C43" s="35"/>
      <c r="D43" s="35"/>
      <c r="E43" s="35"/>
      <c r="F43" s="35"/>
      <c r="G43" s="35"/>
      <c r="H43" s="35"/>
      <c r="I43" s="35"/>
      <c r="J43" s="36"/>
    </row>
  </sheetData>
  <mergeCells count="15">
    <mergeCell ref="C6:J6"/>
    <mergeCell ref="B25:J25"/>
    <mergeCell ref="B26:J26"/>
    <mergeCell ref="A24:J24"/>
    <mergeCell ref="N3:S3"/>
    <mergeCell ref="B8:J8"/>
    <mergeCell ref="B9:J9"/>
    <mergeCell ref="A1:B3"/>
    <mergeCell ref="C1:H3"/>
    <mergeCell ref="I1:J1"/>
    <mergeCell ref="I2:J2"/>
    <mergeCell ref="I3:J3"/>
    <mergeCell ref="A4:B5"/>
    <mergeCell ref="C4:J5"/>
    <mergeCell ref="A6:B6"/>
  </mergeCells>
  <pageMargins left="0.7" right="0.7" top="0.75" bottom="0.75" header="0.3" footer="0.3"/>
  <pageSetup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topLeftCell="A19" zoomScale="110" zoomScaleNormal="110" workbookViewId="0">
      <selection activeCell="A25" sqref="A25:XFD51"/>
    </sheetView>
  </sheetViews>
  <sheetFormatPr baseColWidth="10" defaultRowHeight="15"/>
  <cols>
    <col min="1" max="1" width="12.28515625" customWidth="1"/>
    <col min="2" max="5" width="14.5703125" customWidth="1"/>
  </cols>
  <sheetData>
    <row r="1" spans="1:19">
      <c r="A1" s="186"/>
      <c r="B1" s="186"/>
      <c r="C1" s="150" t="s">
        <v>84</v>
      </c>
      <c r="D1" s="150"/>
      <c r="E1" s="150"/>
      <c r="F1" s="150"/>
      <c r="G1" s="150"/>
      <c r="H1" s="150"/>
      <c r="I1" s="187" t="s">
        <v>155</v>
      </c>
      <c r="J1" s="187"/>
    </row>
    <row r="2" spans="1:19">
      <c r="A2" s="186"/>
      <c r="B2" s="186"/>
      <c r="C2" s="150"/>
      <c r="D2" s="150"/>
      <c r="E2" s="150"/>
      <c r="F2" s="150"/>
      <c r="G2" s="150"/>
      <c r="H2" s="150"/>
      <c r="I2" s="187" t="s">
        <v>85</v>
      </c>
      <c r="J2" s="187"/>
      <c r="N2" s="30"/>
      <c r="O2" s="30"/>
      <c r="P2" s="30"/>
      <c r="Q2" s="30"/>
      <c r="R2" s="30"/>
      <c r="S2" s="30"/>
    </row>
    <row r="3" spans="1:19">
      <c r="A3" s="186"/>
      <c r="B3" s="186"/>
      <c r="C3" s="150"/>
      <c r="D3" s="150"/>
      <c r="E3" s="150"/>
      <c r="F3" s="150"/>
      <c r="G3" s="150"/>
      <c r="H3" s="150"/>
      <c r="I3" s="187" t="s">
        <v>124</v>
      </c>
      <c r="J3" s="187"/>
      <c r="N3" s="177"/>
      <c r="O3" s="177"/>
      <c r="P3" s="177"/>
      <c r="Q3" s="177"/>
      <c r="R3" s="177"/>
      <c r="S3" s="177"/>
    </row>
    <row r="4" spans="1:19" ht="15" customHeight="1">
      <c r="A4" s="209" t="s">
        <v>62</v>
      </c>
      <c r="B4" s="209"/>
      <c r="C4" s="210" t="s">
        <v>18</v>
      </c>
      <c r="D4" s="210"/>
      <c r="E4" s="210"/>
      <c r="F4" s="210"/>
      <c r="G4" s="210"/>
      <c r="H4" s="210"/>
      <c r="I4" s="210"/>
      <c r="J4" s="210"/>
      <c r="N4" s="30"/>
      <c r="O4" s="30"/>
      <c r="P4" s="30"/>
      <c r="Q4" s="30"/>
      <c r="R4" s="30"/>
      <c r="S4" s="30"/>
    </row>
    <row r="5" spans="1:19">
      <c r="A5" s="209"/>
      <c r="B5" s="209"/>
      <c r="C5" s="210"/>
      <c r="D5" s="210"/>
      <c r="E5" s="210"/>
      <c r="F5" s="210"/>
      <c r="G5" s="210"/>
      <c r="H5" s="210"/>
      <c r="I5" s="210"/>
      <c r="J5" s="210"/>
      <c r="N5" s="30"/>
      <c r="O5" s="30"/>
      <c r="P5" s="30"/>
      <c r="Q5" s="30"/>
      <c r="R5" s="30"/>
      <c r="S5" s="30"/>
    </row>
    <row r="6" spans="1:19" ht="46.5" customHeight="1">
      <c r="A6" s="226" t="s">
        <v>206</v>
      </c>
      <c r="B6" s="226"/>
      <c r="C6" s="205" t="s">
        <v>209</v>
      </c>
      <c r="D6" s="206"/>
      <c r="E6" s="206"/>
      <c r="F6" s="206"/>
      <c r="G6" s="206"/>
      <c r="H6" s="206"/>
      <c r="I6" s="206"/>
      <c r="J6" s="207"/>
      <c r="N6" s="30"/>
      <c r="O6" s="30"/>
      <c r="P6" s="30"/>
      <c r="Q6" s="30"/>
      <c r="R6" s="30"/>
      <c r="S6" s="30"/>
    </row>
    <row r="7" spans="1:19">
      <c r="A7" s="26"/>
      <c r="B7" s="27"/>
      <c r="C7" s="27"/>
      <c r="D7" s="27"/>
      <c r="E7" s="27"/>
      <c r="F7" s="27"/>
      <c r="G7" s="27"/>
      <c r="H7" s="27"/>
      <c r="I7" s="27"/>
      <c r="J7" s="27"/>
      <c r="N7" s="30"/>
      <c r="O7" s="30"/>
      <c r="P7" s="30"/>
      <c r="Q7" s="30"/>
      <c r="R7" s="30"/>
      <c r="S7" s="30"/>
    </row>
    <row r="8" spans="1:19" ht="15" customHeight="1">
      <c r="A8" s="31" t="s">
        <v>3</v>
      </c>
      <c r="B8" s="220" t="s">
        <v>79</v>
      </c>
      <c r="C8" s="221"/>
      <c r="D8" s="221"/>
      <c r="E8" s="221"/>
      <c r="F8" s="221"/>
      <c r="G8" s="221"/>
      <c r="H8" s="221"/>
      <c r="I8" s="221"/>
      <c r="J8" s="222"/>
    </row>
    <row r="9" spans="1:19" ht="15" customHeight="1">
      <c r="A9" s="31" t="s">
        <v>63</v>
      </c>
      <c r="B9" s="223" t="s">
        <v>189</v>
      </c>
      <c r="C9" s="224"/>
      <c r="D9" s="224"/>
      <c r="E9" s="224"/>
      <c r="F9" s="224"/>
      <c r="G9" s="224"/>
      <c r="H9" s="224"/>
      <c r="I9" s="224"/>
      <c r="J9" s="225"/>
    </row>
    <row r="10" spans="1:19" ht="58.5" customHeight="1">
      <c r="A10" s="2" t="s">
        <v>65</v>
      </c>
      <c r="B10" s="3" t="s">
        <v>83</v>
      </c>
      <c r="C10" s="3" t="s">
        <v>81</v>
      </c>
      <c r="D10" s="3" t="s">
        <v>148</v>
      </c>
      <c r="E10" s="30"/>
      <c r="F10" s="30"/>
      <c r="G10" s="30"/>
      <c r="H10" s="30"/>
      <c r="I10" s="30"/>
      <c r="J10" s="33"/>
    </row>
    <row r="11" spans="1:19">
      <c r="A11" s="24" t="s">
        <v>66</v>
      </c>
      <c r="B11" s="23"/>
      <c r="C11" s="23"/>
      <c r="D11" s="25" t="e">
        <f>B11/C11</f>
        <v>#DIV/0!</v>
      </c>
      <c r="E11" s="30"/>
      <c r="F11" s="30"/>
      <c r="G11" s="30"/>
      <c r="H11" s="30"/>
      <c r="I11" s="30"/>
      <c r="J11" s="33"/>
    </row>
    <row r="12" spans="1:19">
      <c r="A12" s="24" t="s">
        <v>67</v>
      </c>
      <c r="B12" s="23"/>
      <c r="C12" s="23"/>
      <c r="D12" s="25" t="e">
        <f t="shared" ref="D12:D22" si="0">B12/C12</f>
        <v>#DIV/0!</v>
      </c>
      <c r="E12" s="30"/>
      <c r="F12" s="30"/>
      <c r="G12" s="30"/>
      <c r="H12" s="30"/>
      <c r="I12" s="30"/>
      <c r="J12" s="33"/>
    </row>
    <row r="13" spans="1:19">
      <c r="A13" s="24" t="s">
        <v>68</v>
      </c>
      <c r="B13" s="23"/>
      <c r="C13" s="23"/>
      <c r="D13" s="25" t="e">
        <f t="shared" si="0"/>
        <v>#DIV/0!</v>
      </c>
      <c r="E13" s="30"/>
      <c r="F13" s="30"/>
      <c r="G13" s="30"/>
      <c r="H13" s="30"/>
      <c r="I13" s="30"/>
      <c r="J13" s="33"/>
    </row>
    <row r="14" spans="1:19">
      <c r="A14" s="24" t="s">
        <v>69</v>
      </c>
      <c r="B14" s="23"/>
      <c r="C14" s="23"/>
      <c r="D14" s="25" t="e">
        <f t="shared" si="0"/>
        <v>#DIV/0!</v>
      </c>
      <c r="E14" s="30"/>
      <c r="F14" s="30"/>
      <c r="G14" s="30"/>
      <c r="H14" s="30"/>
      <c r="I14" s="30"/>
      <c r="J14" s="33"/>
    </row>
    <row r="15" spans="1:19">
      <c r="A15" s="24" t="s">
        <v>70</v>
      </c>
      <c r="B15" s="23"/>
      <c r="C15" s="23"/>
      <c r="D15" s="25" t="e">
        <f t="shared" si="0"/>
        <v>#DIV/0!</v>
      </c>
      <c r="E15" s="30"/>
      <c r="F15" s="30"/>
      <c r="G15" s="30"/>
      <c r="H15" s="30"/>
      <c r="I15" s="30"/>
      <c r="J15" s="33"/>
    </row>
    <row r="16" spans="1:19">
      <c r="A16" s="24" t="s">
        <v>71</v>
      </c>
      <c r="B16" s="23"/>
      <c r="C16" s="23"/>
      <c r="D16" s="25" t="e">
        <f t="shared" si="0"/>
        <v>#DIV/0!</v>
      </c>
      <c r="E16" s="30"/>
      <c r="F16" s="30"/>
      <c r="G16" s="30"/>
      <c r="H16" s="30"/>
      <c r="I16" s="30"/>
      <c r="J16" s="33"/>
    </row>
    <row r="17" spans="1:10">
      <c r="A17" s="24" t="s">
        <v>72</v>
      </c>
      <c r="B17" s="23"/>
      <c r="C17" s="23"/>
      <c r="D17" s="25" t="e">
        <f t="shared" si="0"/>
        <v>#DIV/0!</v>
      </c>
      <c r="E17" s="30"/>
      <c r="F17" s="30"/>
      <c r="G17" s="30"/>
      <c r="H17" s="30"/>
      <c r="I17" s="30"/>
      <c r="J17" s="33"/>
    </row>
    <row r="18" spans="1:10">
      <c r="A18" s="24" t="s">
        <v>73</v>
      </c>
      <c r="B18" s="23"/>
      <c r="C18" s="23"/>
      <c r="D18" s="25" t="e">
        <f t="shared" si="0"/>
        <v>#DIV/0!</v>
      </c>
      <c r="E18" s="30"/>
      <c r="F18" s="30"/>
      <c r="G18" s="30"/>
      <c r="H18" s="30"/>
      <c r="I18" s="30"/>
      <c r="J18" s="33"/>
    </row>
    <row r="19" spans="1:10">
      <c r="A19" s="24" t="s">
        <v>74</v>
      </c>
      <c r="B19" s="23"/>
      <c r="C19" s="23"/>
      <c r="D19" s="25" t="e">
        <f t="shared" si="0"/>
        <v>#DIV/0!</v>
      </c>
      <c r="E19" s="30"/>
      <c r="F19" s="30"/>
      <c r="G19" s="30"/>
      <c r="H19" s="30"/>
      <c r="I19" s="30"/>
      <c r="J19" s="33"/>
    </row>
    <row r="20" spans="1:10">
      <c r="A20" s="24" t="s">
        <v>75</v>
      </c>
      <c r="B20" s="23"/>
      <c r="C20" s="23"/>
      <c r="D20" s="25" t="e">
        <f t="shared" si="0"/>
        <v>#DIV/0!</v>
      </c>
      <c r="E20" s="30"/>
      <c r="F20" s="30"/>
      <c r="G20" s="30"/>
      <c r="H20" s="30"/>
      <c r="I20" s="30"/>
      <c r="J20" s="33"/>
    </row>
    <row r="21" spans="1:10">
      <c r="A21" s="24" t="s">
        <v>76</v>
      </c>
      <c r="B21" s="23"/>
      <c r="C21" s="23"/>
      <c r="D21" s="25" t="e">
        <f t="shared" si="0"/>
        <v>#DIV/0!</v>
      </c>
      <c r="E21" s="30"/>
      <c r="F21" s="30"/>
      <c r="G21" s="30"/>
      <c r="H21" s="30"/>
      <c r="I21" s="30"/>
      <c r="J21" s="33"/>
    </row>
    <row r="22" spans="1:10">
      <c r="A22" s="24" t="s">
        <v>77</v>
      </c>
      <c r="B22" s="23"/>
      <c r="C22" s="23"/>
      <c r="D22" s="25" t="e">
        <f t="shared" si="0"/>
        <v>#DIV/0!</v>
      </c>
      <c r="E22" s="30"/>
      <c r="F22" s="30"/>
      <c r="G22" s="30"/>
      <c r="H22" s="30"/>
      <c r="I22" s="30"/>
      <c r="J22" s="33"/>
    </row>
    <row r="23" spans="1:10">
      <c r="A23" s="138"/>
      <c r="B23" s="30"/>
      <c r="C23" s="30"/>
      <c r="D23" s="62" t="e">
        <f>AVERAGE(D11:D16)</f>
        <v>#DIV/0!</v>
      </c>
      <c r="E23" s="30"/>
      <c r="F23" s="30"/>
      <c r="G23" s="30"/>
      <c r="H23" s="30"/>
      <c r="I23" s="30"/>
      <c r="J23" s="30"/>
    </row>
    <row r="24" spans="1:10">
      <c r="A24" s="26"/>
      <c r="B24" s="27"/>
      <c r="C24" s="27"/>
      <c r="D24" s="27"/>
      <c r="E24" s="27"/>
      <c r="F24" s="27"/>
      <c r="G24" s="28"/>
      <c r="H24" s="28"/>
      <c r="I24" s="28"/>
      <c r="J24" s="28"/>
    </row>
    <row r="25" spans="1:10" hidden="1">
      <c r="A25" s="31" t="s">
        <v>3</v>
      </c>
      <c r="B25" s="220" t="s">
        <v>187</v>
      </c>
      <c r="C25" s="221"/>
      <c r="D25" s="221"/>
      <c r="E25" s="221"/>
      <c r="F25" s="221"/>
      <c r="G25" s="221"/>
      <c r="H25" s="221"/>
      <c r="I25" s="221"/>
      <c r="J25" s="222"/>
    </row>
    <row r="26" spans="1:10" hidden="1">
      <c r="A26" s="31" t="s">
        <v>63</v>
      </c>
      <c r="B26" s="223" t="s">
        <v>160</v>
      </c>
      <c r="C26" s="224"/>
      <c r="D26" s="224"/>
      <c r="E26" s="224"/>
      <c r="F26" s="224"/>
      <c r="G26" s="224"/>
      <c r="H26" s="224"/>
      <c r="I26" s="224"/>
      <c r="J26" s="225"/>
    </row>
    <row r="27" spans="1:10" ht="60" hidden="1">
      <c r="A27" s="58" t="s">
        <v>65</v>
      </c>
      <c r="B27" s="59" t="s">
        <v>146</v>
      </c>
      <c r="C27" s="59" t="s">
        <v>147</v>
      </c>
      <c r="D27" s="59" t="s">
        <v>148</v>
      </c>
      <c r="E27" s="30"/>
      <c r="F27" s="30"/>
      <c r="G27" s="30"/>
      <c r="H27" s="30"/>
      <c r="I27" s="30"/>
      <c r="J27" s="33"/>
    </row>
    <row r="28" spans="1:10" hidden="1">
      <c r="A28" s="211" t="s">
        <v>100</v>
      </c>
      <c r="B28" s="214">
        <v>0</v>
      </c>
      <c r="C28" s="214">
        <v>0</v>
      </c>
      <c r="D28" s="217" t="s">
        <v>159</v>
      </c>
      <c r="E28" s="30"/>
      <c r="F28" s="30"/>
      <c r="G28" s="30"/>
      <c r="H28" s="30"/>
      <c r="I28" s="30"/>
      <c r="J28" s="33"/>
    </row>
    <row r="29" spans="1:10" hidden="1">
      <c r="A29" s="212"/>
      <c r="B29" s="215"/>
      <c r="C29" s="215"/>
      <c r="D29" s="218"/>
      <c r="E29" s="30"/>
      <c r="F29" s="30"/>
      <c r="G29" s="30"/>
      <c r="H29" s="30"/>
      <c r="I29" s="30"/>
      <c r="J29" s="33"/>
    </row>
    <row r="30" spans="1:10" hidden="1">
      <c r="A30" s="213"/>
      <c r="B30" s="216"/>
      <c r="C30" s="216"/>
      <c r="D30" s="219"/>
      <c r="E30" s="30"/>
      <c r="F30" s="30"/>
      <c r="G30" s="30"/>
      <c r="H30" s="30"/>
      <c r="I30" s="30"/>
      <c r="J30" s="33"/>
    </row>
    <row r="31" spans="1:10" hidden="1">
      <c r="A31" s="211" t="s">
        <v>101</v>
      </c>
      <c r="B31" s="214">
        <v>0</v>
      </c>
      <c r="C31" s="214">
        <v>0</v>
      </c>
      <c r="D31" s="217" t="s">
        <v>159</v>
      </c>
      <c r="E31" s="30"/>
      <c r="F31" s="30"/>
      <c r="G31" s="30"/>
      <c r="H31" s="30"/>
      <c r="I31" s="30"/>
      <c r="J31" s="33"/>
    </row>
    <row r="32" spans="1:10" hidden="1">
      <c r="A32" s="212"/>
      <c r="B32" s="215"/>
      <c r="C32" s="215"/>
      <c r="D32" s="218"/>
      <c r="E32" s="30"/>
      <c r="F32" s="30"/>
      <c r="G32" s="30"/>
      <c r="H32" s="30"/>
      <c r="I32" s="30"/>
      <c r="J32" s="33"/>
    </row>
    <row r="33" spans="1:10" hidden="1">
      <c r="A33" s="213"/>
      <c r="B33" s="216"/>
      <c r="C33" s="216"/>
      <c r="D33" s="219"/>
      <c r="E33" s="30"/>
      <c r="F33" s="30"/>
      <c r="G33" s="30"/>
      <c r="H33" s="30"/>
      <c r="I33" s="30"/>
      <c r="J33" s="33"/>
    </row>
    <row r="34" spans="1:10" hidden="1">
      <c r="A34" s="211" t="s">
        <v>102</v>
      </c>
      <c r="B34" s="214"/>
      <c r="C34" s="214"/>
      <c r="D34" s="217" t="s">
        <v>159</v>
      </c>
      <c r="E34" s="30"/>
      <c r="F34" s="30"/>
      <c r="G34" s="30"/>
      <c r="H34" s="30"/>
      <c r="I34" s="30"/>
      <c r="J34" s="33"/>
    </row>
    <row r="35" spans="1:10" hidden="1">
      <c r="A35" s="212"/>
      <c r="B35" s="215"/>
      <c r="C35" s="215"/>
      <c r="D35" s="218"/>
      <c r="E35" s="30"/>
      <c r="F35" s="30"/>
      <c r="G35" s="30"/>
      <c r="H35" s="30"/>
      <c r="I35" s="30"/>
      <c r="J35" s="33"/>
    </row>
    <row r="36" spans="1:10" hidden="1">
      <c r="A36" s="213"/>
      <c r="B36" s="216"/>
      <c r="C36" s="216"/>
      <c r="D36" s="219"/>
      <c r="E36" s="30"/>
      <c r="F36" s="30"/>
      <c r="G36" s="30"/>
      <c r="H36" s="30"/>
      <c r="I36" s="30"/>
      <c r="J36" s="33"/>
    </row>
    <row r="37" spans="1:10" hidden="1">
      <c r="A37" s="211" t="s">
        <v>103</v>
      </c>
      <c r="B37" s="214"/>
      <c r="C37" s="214"/>
      <c r="D37" s="217" t="s">
        <v>159</v>
      </c>
      <c r="E37" s="30"/>
      <c r="F37" s="30"/>
      <c r="G37" s="30"/>
      <c r="H37" s="30"/>
      <c r="I37" s="30"/>
      <c r="J37" s="33"/>
    </row>
    <row r="38" spans="1:10" hidden="1">
      <c r="A38" s="212"/>
      <c r="B38" s="215"/>
      <c r="C38" s="215"/>
      <c r="D38" s="218"/>
      <c r="E38" s="30"/>
      <c r="F38" s="30"/>
      <c r="G38" s="30"/>
      <c r="H38" s="30"/>
      <c r="I38" s="30"/>
      <c r="J38" s="33"/>
    </row>
    <row r="39" spans="1:10" hidden="1">
      <c r="A39" s="213"/>
      <c r="B39" s="216"/>
      <c r="C39" s="216"/>
      <c r="D39" s="219"/>
      <c r="E39" s="30"/>
      <c r="F39" s="30"/>
      <c r="G39" s="30"/>
      <c r="H39" s="30"/>
      <c r="I39" s="30"/>
      <c r="J39" s="33"/>
    </row>
    <row r="40" spans="1:10" hidden="1">
      <c r="E40" s="30"/>
      <c r="F40" s="30"/>
      <c r="G40" s="30"/>
      <c r="H40" s="30"/>
      <c r="I40" s="30"/>
      <c r="J40" s="33"/>
    </row>
    <row r="41" spans="1:10" ht="15.75" hidden="1">
      <c r="A41" s="34" t="s">
        <v>188</v>
      </c>
      <c r="B41" s="32"/>
      <c r="C41" s="30"/>
      <c r="D41" s="30"/>
      <c r="E41" s="30"/>
      <c r="F41" s="30"/>
      <c r="G41" s="30"/>
      <c r="H41" s="30"/>
      <c r="I41" s="30"/>
      <c r="J41" s="33"/>
    </row>
    <row r="42" spans="1:10" hidden="1">
      <c r="A42" s="22"/>
      <c r="B42" s="35"/>
      <c r="C42" s="35"/>
      <c r="D42" s="35"/>
      <c r="E42" s="35"/>
      <c r="F42" s="35"/>
      <c r="G42" s="35"/>
      <c r="H42" s="35"/>
      <c r="I42" s="35"/>
      <c r="J42" s="36"/>
    </row>
    <row r="43" spans="1:10" hidden="1"/>
    <row r="44" spans="1:10" hidden="1"/>
    <row r="45" spans="1:10" hidden="1"/>
    <row r="46" spans="1:10" hidden="1"/>
    <row r="47" spans="1:10" hidden="1"/>
    <row r="48" spans="1:10" hidden="1"/>
    <row r="49" hidden="1"/>
    <row r="50" hidden="1"/>
    <row r="51" hidden="1"/>
  </sheetData>
  <mergeCells count="30">
    <mergeCell ref="B25:J25"/>
    <mergeCell ref="B26:J26"/>
    <mergeCell ref="N3:S3"/>
    <mergeCell ref="B8:J8"/>
    <mergeCell ref="B9:J9"/>
    <mergeCell ref="A1:B3"/>
    <mergeCell ref="C1:H3"/>
    <mergeCell ref="I1:J1"/>
    <mergeCell ref="I2:J2"/>
    <mergeCell ref="I3:J3"/>
    <mergeCell ref="A4:B5"/>
    <mergeCell ref="C4:J5"/>
    <mergeCell ref="A6:B6"/>
    <mergeCell ref="C6:J6"/>
    <mergeCell ref="A28:A30"/>
    <mergeCell ref="B28:B30"/>
    <mergeCell ref="C28:C30"/>
    <mergeCell ref="D28:D30"/>
    <mergeCell ref="A31:A33"/>
    <mergeCell ref="B31:B33"/>
    <mergeCell ref="C31:C33"/>
    <mergeCell ref="D31:D33"/>
    <mergeCell ref="A34:A36"/>
    <mergeCell ref="B34:B36"/>
    <mergeCell ref="C34:C36"/>
    <mergeCell ref="D34:D36"/>
    <mergeCell ref="A37:A39"/>
    <mergeCell ref="B37:B39"/>
    <mergeCell ref="C37:C39"/>
    <mergeCell ref="D37:D39"/>
  </mergeCells>
  <pageMargins left="0.7" right="0.7" top="0.75" bottom="0.75" header="0.3" footer="0.3"/>
  <pageSetup scale="7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zoomScale="90" zoomScaleNormal="90" workbookViewId="0">
      <selection activeCell="N11" sqref="N11"/>
    </sheetView>
  </sheetViews>
  <sheetFormatPr baseColWidth="10" defaultRowHeight="15"/>
  <cols>
    <col min="1" max="1" width="12.28515625" customWidth="1"/>
    <col min="2" max="5" width="14.5703125" customWidth="1"/>
  </cols>
  <sheetData>
    <row r="1" spans="1:19">
      <c r="A1" s="186"/>
      <c r="B1" s="186"/>
      <c r="C1" s="150" t="s">
        <v>84</v>
      </c>
      <c r="D1" s="150"/>
      <c r="E1" s="150"/>
      <c r="F1" s="150"/>
      <c r="G1" s="150"/>
      <c r="H1" s="150"/>
      <c r="I1" s="187" t="s">
        <v>155</v>
      </c>
      <c r="J1" s="187"/>
    </row>
    <row r="2" spans="1:19">
      <c r="A2" s="186"/>
      <c r="B2" s="186"/>
      <c r="C2" s="150"/>
      <c r="D2" s="150"/>
      <c r="E2" s="150"/>
      <c r="F2" s="150"/>
      <c r="G2" s="150"/>
      <c r="H2" s="150"/>
      <c r="I2" s="187" t="s">
        <v>85</v>
      </c>
      <c r="J2" s="187"/>
      <c r="N2" s="30"/>
      <c r="O2" s="30"/>
      <c r="P2" s="30"/>
      <c r="Q2" s="30"/>
      <c r="R2" s="30"/>
      <c r="S2" s="30"/>
    </row>
    <row r="3" spans="1:19">
      <c r="A3" s="186"/>
      <c r="B3" s="186"/>
      <c r="C3" s="150"/>
      <c r="D3" s="150"/>
      <c r="E3" s="150"/>
      <c r="F3" s="150"/>
      <c r="G3" s="150"/>
      <c r="H3" s="150"/>
      <c r="I3" s="187" t="s">
        <v>123</v>
      </c>
      <c r="J3" s="187"/>
      <c r="N3" s="177"/>
      <c r="O3" s="177"/>
      <c r="P3" s="177"/>
      <c r="Q3" s="177"/>
      <c r="R3" s="177"/>
      <c r="S3" s="177"/>
    </row>
    <row r="4" spans="1:19" ht="15" customHeight="1">
      <c r="A4" s="209" t="s">
        <v>62</v>
      </c>
      <c r="B4" s="209"/>
      <c r="C4" s="184" t="s">
        <v>26</v>
      </c>
      <c r="D4" s="184"/>
      <c r="E4" s="184"/>
      <c r="F4" s="184"/>
      <c r="G4" s="184"/>
      <c r="H4" s="184"/>
      <c r="I4" s="184"/>
      <c r="J4" s="184"/>
      <c r="N4" s="30"/>
      <c r="O4" s="30"/>
      <c r="P4" s="30"/>
      <c r="Q4" s="30"/>
      <c r="R4" s="30"/>
      <c r="S4" s="30"/>
    </row>
    <row r="5" spans="1:19">
      <c r="A5" s="209"/>
      <c r="B5" s="209"/>
      <c r="C5" s="184"/>
      <c r="D5" s="184"/>
      <c r="E5" s="184"/>
      <c r="F5" s="184"/>
      <c r="G5" s="184"/>
      <c r="H5" s="184"/>
      <c r="I5" s="184"/>
      <c r="J5" s="184"/>
      <c r="N5" s="30"/>
      <c r="O5" s="30"/>
      <c r="P5" s="30"/>
      <c r="Q5" s="30"/>
      <c r="R5" s="30"/>
      <c r="S5" s="30"/>
    </row>
    <row r="6" spans="1:19" ht="30.75" customHeight="1">
      <c r="A6" s="209" t="s">
        <v>206</v>
      </c>
      <c r="B6" s="209"/>
      <c r="C6" s="210" t="s">
        <v>210</v>
      </c>
      <c r="D6" s="210"/>
      <c r="E6" s="210"/>
      <c r="F6" s="210"/>
      <c r="G6" s="210"/>
      <c r="H6" s="210"/>
      <c r="I6" s="210"/>
      <c r="J6" s="210"/>
      <c r="N6" s="30"/>
      <c r="O6" s="30"/>
      <c r="P6" s="30"/>
      <c r="Q6" s="30"/>
      <c r="R6" s="30"/>
      <c r="S6" s="30"/>
    </row>
    <row r="7" spans="1:19">
      <c r="A7" s="26"/>
      <c r="B7" s="27"/>
      <c r="C7" s="27"/>
      <c r="D7" s="27"/>
      <c r="E7" s="27"/>
      <c r="F7" s="27"/>
      <c r="G7" s="28"/>
      <c r="H7" s="28"/>
      <c r="I7" s="28"/>
      <c r="J7" s="28"/>
      <c r="N7" s="30"/>
      <c r="O7" s="30"/>
      <c r="P7" s="30"/>
      <c r="Q7" s="30"/>
      <c r="R7" s="30"/>
      <c r="S7" s="30"/>
    </row>
    <row r="8" spans="1:19" ht="15" customHeight="1">
      <c r="A8" s="31" t="s">
        <v>3</v>
      </c>
      <c r="B8" s="220" t="s">
        <v>96</v>
      </c>
      <c r="C8" s="221"/>
      <c r="D8" s="221"/>
      <c r="E8" s="221"/>
      <c r="F8" s="221"/>
      <c r="G8" s="221"/>
      <c r="H8" s="221"/>
      <c r="I8" s="221"/>
      <c r="J8" s="222"/>
    </row>
    <row r="9" spans="1:19" ht="15" customHeight="1">
      <c r="A9" s="31" t="s">
        <v>63</v>
      </c>
      <c r="B9" s="223" t="s">
        <v>98</v>
      </c>
      <c r="C9" s="224"/>
      <c r="D9" s="224"/>
      <c r="E9" s="224"/>
      <c r="F9" s="224"/>
      <c r="G9" s="224"/>
      <c r="H9" s="224"/>
      <c r="I9" s="224"/>
      <c r="J9" s="225"/>
    </row>
    <row r="10" spans="1:19" ht="58.5" customHeight="1">
      <c r="A10" s="2" t="s">
        <v>65</v>
      </c>
      <c r="B10" s="3" t="s">
        <v>99</v>
      </c>
      <c r="C10" s="3" t="s">
        <v>97</v>
      </c>
      <c r="D10" s="3" t="s">
        <v>148</v>
      </c>
      <c r="E10" s="30"/>
      <c r="F10" s="30"/>
      <c r="G10" s="30"/>
      <c r="H10" s="30"/>
      <c r="I10" s="30"/>
      <c r="J10" s="33"/>
    </row>
    <row r="11" spans="1:19">
      <c r="A11" s="211" t="s">
        <v>100</v>
      </c>
      <c r="B11" s="214">
        <v>3</v>
      </c>
      <c r="C11" s="214">
        <v>3</v>
      </c>
      <c r="D11" s="217">
        <f>B11/C11</f>
        <v>1</v>
      </c>
      <c r="E11" s="30"/>
      <c r="F11" s="30"/>
      <c r="G11" s="30"/>
      <c r="H11" s="30"/>
      <c r="I11" s="30"/>
      <c r="J11" s="33"/>
    </row>
    <row r="12" spans="1:19">
      <c r="A12" s="212"/>
      <c r="B12" s="215"/>
      <c r="C12" s="215"/>
      <c r="D12" s="218"/>
      <c r="E12" s="30"/>
      <c r="F12" s="30"/>
      <c r="G12" s="30"/>
      <c r="H12" s="30"/>
      <c r="I12" s="30"/>
      <c r="J12" s="33"/>
    </row>
    <row r="13" spans="1:19">
      <c r="A13" s="213"/>
      <c r="B13" s="216"/>
      <c r="C13" s="216"/>
      <c r="D13" s="219"/>
      <c r="E13" s="30"/>
      <c r="F13" s="30"/>
      <c r="G13" s="30"/>
      <c r="H13" s="30"/>
      <c r="I13" s="30"/>
      <c r="J13" s="33"/>
    </row>
    <row r="14" spans="1:19">
      <c r="A14" s="211" t="s">
        <v>101</v>
      </c>
      <c r="B14" s="214">
        <v>0</v>
      </c>
      <c r="C14" s="214">
        <v>0</v>
      </c>
      <c r="D14" s="217" t="e">
        <f t="shared" ref="D14" si="0">B14/C14</f>
        <v>#DIV/0!</v>
      </c>
      <c r="E14" s="30"/>
      <c r="F14" s="30"/>
      <c r="G14" s="30"/>
      <c r="H14" s="30"/>
      <c r="I14" s="30"/>
      <c r="J14" s="33"/>
    </row>
    <row r="15" spans="1:19">
      <c r="A15" s="212"/>
      <c r="B15" s="215"/>
      <c r="C15" s="215"/>
      <c r="D15" s="218"/>
      <c r="E15" s="30"/>
      <c r="F15" s="30"/>
      <c r="G15" s="30"/>
      <c r="H15" s="30"/>
      <c r="I15" s="30"/>
      <c r="J15" s="33"/>
    </row>
    <row r="16" spans="1:19">
      <c r="A16" s="213"/>
      <c r="B16" s="216"/>
      <c r="C16" s="216"/>
      <c r="D16" s="219"/>
      <c r="E16" s="30"/>
      <c r="F16" s="30"/>
      <c r="G16" s="30"/>
      <c r="H16" s="30"/>
      <c r="I16" s="30"/>
      <c r="J16" s="33"/>
    </row>
    <row r="17" spans="1:10">
      <c r="A17" s="211" t="s">
        <v>102</v>
      </c>
      <c r="B17" s="214"/>
      <c r="C17" s="214"/>
      <c r="D17" s="217" t="e">
        <f t="shared" ref="D17" si="1">B17/C17</f>
        <v>#DIV/0!</v>
      </c>
      <c r="E17" s="30"/>
      <c r="F17" s="30"/>
      <c r="G17" s="30"/>
      <c r="H17" s="30"/>
      <c r="I17" s="30"/>
      <c r="J17" s="33"/>
    </row>
    <row r="18" spans="1:10">
      <c r="A18" s="212"/>
      <c r="B18" s="215"/>
      <c r="C18" s="215"/>
      <c r="D18" s="218"/>
      <c r="E18" s="30"/>
      <c r="F18" s="30"/>
      <c r="G18" s="30"/>
      <c r="H18" s="30"/>
      <c r="I18" s="30"/>
      <c r="J18" s="33"/>
    </row>
    <row r="19" spans="1:10">
      <c r="A19" s="213"/>
      <c r="B19" s="216"/>
      <c r="C19" s="216"/>
      <c r="D19" s="219"/>
      <c r="E19" s="30"/>
      <c r="F19" s="30"/>
      <c r="G19" s="30"/>
      <c r="H19" s="30"/>
      <c r="I19" s="30"/>
      <c r="J19" s="33"/>
    </row>
    <row r="20" spans="1:10">
      <c r="A20" s="211" t="s">
        <v>103</v>
      </c>
      <c r="B20" s="214"/>
      <c r="C20" s="214"/>
      <c r="D20" s="217" t="e">
        <f t="shared" ref="D20" si="2">B20/C20</f>
        <v>#DIV/0!</v>
      </c>
      <c r="E20" s="30"/>
      <c r="F20" s="30"/>
      <c r="G20" s="30"/>
      <c r="H20" s="30"/>
      <c r="I20" s="30"/>
      <c r="J20" s="33"/>
    </row>
    <row r="21" spans="1:10">
      <c r="A21" s="212"/>
      <c r="B21" s="215"/>
      <c r="C21" s="215"/>
      <c r="D21" s="218"/>
      <c r="E21" s="30"/>
      <c r="F21" s="30"/>
      <c r="G21" s="30"/>
      <c r="H21" s="30"/>
      <c r="I21" s="30"/>
      <c r="J21" s="33"/>
    </row>
    <row r="22" spans="1:10">
      <c r="A22" s="213"/>
      <c r="B22" s="216"/>
      <c r="C22" s="216"/>
      <c r="D22" s="219"/>
      <c r="E22" s="30"/>
      <c r="F22" s="30"/>
      <c r="G22" s="30"/>
      <c r="H22" s="30"/>
      <c r="I22" s="30"/>
      <c r="J22" s="33"/>
    </row>
    <row r="23" spans="1:10">
      <c r="E23" s="30"/>
      <c r="F23" s="30"/>
      <c r="G23" s="30"/>
      <c r="H23" s="30"/>
      <c r="I23" s="30"/>
      <c r="J23" s="33"/>
    </row>
    <row r="24" spans="1:10">
      <c r="A24" s="21"/>
      <c r="B24" s="30"/>
      <c r="C24" s="30"/>
      <c r="D24" s="30"/>
      <c r="E24" s="30"/>
      <c r="F24" s="30"/>
      <c r="G24" s="30"/>
      <c r="H24" s="30"/>
      <c r="I24" s="30"/>
      <c r="J24" s="33"/>
    </row>
    <row r="25" spans="1:10" ht="15.75">
      <c r="A25" s="34" t="s">
        <v>104</v>
      </c>
      <c r="B25" s="32"/>
      <c r="C25" s="30"/>
      <c r="D25" s="30"/>
      <c r="E25" s="30"/>
      <c r="F25" s="30"/>
      <c r="G25" s="30"/>
      <c r="H25" s="30"/>
      <c r="I25" s="30"/>
      <c r="J25" s="33"/>
    </row>
    <row r="26" spans="1:10">
      <c r="A26" s="22"/>
      <c r="B26" s="35"/>
      <c r="C26" s="35"/>
      <c r="D26" s="35"/>
      <c r="E26" s="35"/>
      <c r="F26" s="35"/>
      <c r="G26" s="35"/>
      <c r="H26" s="35"/>
      <c r="I26" s="35"/>
      <c r="J26" s="36"/>
    </row>
  </sheetData>
  <mergeCells count="28">
    <mergeCell ref="A4:B5"/>
    <mergeCell ref="C4:J5"/>
    <mergeCell ref="A6:B6"/>
    <mergeCell ref="C6:J6"/>
    <mergeCell ref="N3:S3"/>
    <mergeCell ref="A1:B3"/>
    <mergeCell ref="C1:H3"/>
    <mergeCell ref="I1:J1"/>
    <mergeCell ref="I2:J2"/>
    <mergeCell ref="I3:J3"/>
    <mergeCell ref="B8:J8"/>
    <mergeCell ref="B9:J9"/>
    <mergeCell ref="B11:B13"/>
    <mergeCell ref="C11:C13"/>
    <mergeCell ref="D11:D13"/>
    <mergeCell ref="B20:B22"/>
    <mergeCell ref="C20:C22"/>
    <mergeCell ref="D20:D22"/>
    <mergeCell ref="A11:A13"/>
    <mergeCell ref="A14:A16"/>
    <mergeCell ref="A17:A19"/>
    <mergeCell ref="A20:A22"/>
    <mergeCell ref="B14:B16"/>
    <mergeCell ref="C14:C16"/>
    <mergeCell ref="D14:D16"/>
    <mergeCell ref="B17:B19"/>
    <mergeCell ref="C17:C19"/>
    <mergeCell ref="D17:D19"/>
  </mergeCells>
  <pageMargins left="0.7" right="0.7" top="0.75" bottom="0.75" header="0.3" footer="0.3"/>
  <pageSetup scale="7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1"/>
  <sheetViews>
    <sheetView topLeftCell="A106" zoomScale="90" zoomScaleNormal="90" workbookViewId="0">
      <selection activeCell="E32" sqref="E32"/>
    </sheetView>
  </sheetViews>
  <sheetFormatPr baseColWidth="10" defaultRowHeight="15"/>
  <cols>
    <col min="1" max="1" width="12.28515625" customWidth="1"/>
    <col min="2" max="2" width="19.85546875" bestFit="1" customWidth="1"/>
    <col min="3" max="3" width="20.140625" bestFit="1" customWidth="1"/>
    <col min="4" max="4" width="18.28515625" bestFit="1" customWidth="1"/>
    <col min="5" max="5" width="15.85546875" customWidth="1"/>
    <col min="6" max="6" width="14" customWidth="1"/>
    <col min="7" max="8" width="14.28515625" customWidth="1"/>
    <col min="9" max="10" width="12.140625" customWidth="1"/>
    <col min="11" max="11" width="8.85546875" customWidth="1"/>
    <col min="12" max="12" width="9.7109375" customWidth="1"/>
    <col min="13" max="13" width="9" customWidth="1"/>
    <col min="14" max="14" width="8" customWidth="1"/>
    <col min="15" max="16" width="7.28515625" customWidth="1"/>
    <col min="17" max="17" width="7" customWidth="1"/>
    <col min="18" max="18" width="6.7109375" customWidth="1"/>
    <col min="19" max="19" width="4.140625" customWidth="1"/>
    <col min="20" max="20" width="4.7109375" customWidth="1"/>
    <col min="21" max="21" width="5.42578125" customWidth="1"/>
  </cols>
  <sheetData>
    <row r="1" spans="1:19">
      <c r="A1" s="186"/>
      <c r="B1" s="186"/>
      <c r="C1" s="150" t="s">
        <v>84</v>
      </c>
      <c r="D1" s="150"/>
      <c r="E1" s="150"/>
      <c r="F1" s="150"/>
      <c r="G1" s="150"/>
      <c r="H1" s="150"/>
      <c r="I1" s="187" t="s">
        <v>155</v>
      </c>
      <c r="J1" s="187"/>
    </row>
    <row r="2" spans="1:19">
      <c r="A2" s="186"/>
      <c r="B2" s="186"/>
      <c r="C2" s="150"/>
      <c r="D2" s="150"/>
      <c r="E2" s="150"/>
      <c r="F2" s="150"/>
      <c r="G2" s="150"/>
      <c r="H2" s="150"/>
      <c r="I2" s="187" t="s">
        <v>85</v>
      </c>
      <c r="J2" s="187"/>
      <c r="N2" s="30"/>
      <c r="O2" s="30"/>
      <c r="P2" s="30"/>
      <c r="Q2" s="30"/>
      <c r="R2" s="30"/>
      <c r="S2" s="30"/>
    </row>
    <row r="3" spans="1:19">
      <c r="A3" s="186"/>
      <c r="B3" s="186"/>
      <c r="C3" s="150"/>
      <c r="D3" s="150"/>
      <c r="E3" s="150"/>
      <c r="F3" s="150"/>
      <c r="G3" s="150"/>
      <c r="H3" s="150"/>
      <c r="I3" s="187" t="s">
        <v>122</v>
      </c>
      <c r="J3" s="187"/>
      <c r="N3" s="177"/>
      <c r="O3" s="177"/>
      <c r="P3" s="177"/>
      <c r="Q3" s="177"/>
      <c r="R3" s="177"/>
      <c r="S3" s="177"/>
    </row>
    <row r="4" spans="1:19" ht="15" customHeight="1">
      <c r="A4" s="209" t="s">
        <v>62</v>
      </c>
      <c r="B4" s="209"/>
      <c r="C4" s="210" t="s">
        <v>106</v>
      </c>
      <c r="D4" s="210"/>
      <c r="E4" s="210"/>
      <c r="F4" s="210"/>
      <c r="G4" s="210"/>
      <c r="H4" s="210"/>
      <c r="I4" s="210"/>
      <c r="J4" s="210"/>
      <c r="N4" s="30"/>
      <c r="O4" s="30"/>
      <c r="P4" s="30"/>
      <c r="Q4" s="30"/>
      <c r="R4" s="30"/>
      <c r="S4" s="30"/>
    </row>
    <row r="5" spans="1:19">
      <c r="A5" s="209"/>
      <c r="B5" s="209"/>
      <c r="C5" s="210"/>
      <c r="D5" s="210"/>
      <c r="E5" s="210"/>
      <c r="F5" s="210"/>
      <c r="G5" s="210"/>
      <c r="H5" s="210"/>
      <c r="I5" s="210"/>
      <c r="J5" s="210"/>
      <c r="N5" s="30"/>
      <c r="O5" s="30"/>
      <c r="P5" s="30"/>
      <c r="Q5" s="30"/>
      <c r="R5" s="30"/>
      <c r="S5" s="30"/>
    </row>
    <row r="6" spans="1:19" ht="32.25" customHeight="1">
      <c r="A6" s="209" t="s">
        <v>206</v>
      </c>
      <c r="B6" s="209"/>
      <c r="C6" s="210" t="s">
        <v>211</v>
      </c>
      <c r="D6" s="210"/>
      <c r="E6" s="210"/>
      <c r="F6" s="210"/>
      <c r="G6" s="210"/>
      <c r="H6" s="210"/>
      <c r="I6" s="210"/>
      <c r="J6" s="210"/>
      <c r="N6" s="30"/>
      <c r="O6" s="30"/>
      <c r="P6" s="30"/>
      <c r="Q6" s="30"/>
      <c r="R6" s="30"/>
      <c r="S6" s="30"/>
    </row>
    <row r="7" spans="1:19">
      <c r="A7" s="73"/>
      <c r="B7" s="27"/>
      <c r="C7" s="27"/>
      <c r="D7" s="27"/>
      <c r="E7" s="27"/>
      <c r="F7" s="27"/>
      <c r="G7" s="74"/>
      <c r="H7" s="74"/>
      <c r="I7" s="74"/>
      <c r="J7" s="75"/>
      <c r="N7" s="30"/>
      <c r="O7" s="30"/>
      <c r="P7" s="30"/>
      <c r="Q7" s="30"/>
      <c r="R7" s="30"/>
      <c r="S7" s="30"/>
    </row>
    <row r="8" spans="1:19" ht="15" customHeight="1">
      <c r="A8" s="31" t="s">
        <v>3</v>
      </c>
      <c r="B8" s="182" t="s">
        <v>107</v>
      </c>
      <c r="C8" s="182"/>
      <c r="D8" s="182"/>
      <c r="E8" s="182"/>
      <c r="F8" s="182"/>
      <c r="G8" s="182"/>
      <c r="H8" s="182"/>
      <c r="I8" s="182"/>
      <c r="J8" s="182"/>
    </row>
    <row r="9" spans="1:19">
      <c r="A9" s="31" t="s">
        <v>63</v>
      </c>
      <c r="B9" s="184" t="s">
        <v>58</v>
      </c>
      <c r="C9" s="184"/>
      <c r="D9" s="184"/>
      <c r="E9" s="184"/>
      <c r="F9" s="184"/>
      <c r="G9" s="184"/>
      <c r="H9" s="184"/>
      <c r="I9" s="184"/>
      <c r="J9" s="184"/>
    </row>
    <row r="10" spans="1:19" ht="58.5" customHeight="1">
      <c r="A10" s="67" t="s">
        <v>65</v>
      </c>
      <c r="B10" s="66" t="s">
        <v>108</v>
      </c>
      <c r="C10" s="66" t="s">
        <v>109</v>
      </c>
      <c r="D10" s="66" t="s">
        <v>110</v>
      </c>
      <c r="E10" s="30"/>
      <c r="F10" s="30"/>
      <c r="G10" s="30"/>
      <c r="H10" s="30"/>
      <c r="I10" s="30"/>
      <c r="J10" s="33"/>
    </row>
    <row r="11" spans="1:19">
      <c r="A11" s="24" t="s">
        <v>66</v>
      </c>
      <c r="B11" s="133">
        <v>1109518899.8300002</v>
      </c>
      <c r="C11" s="133">
        <v>1381489054</v>
      </c>
      <c r="D11" s="25">
        <f>B11/C11</f>
        <v>0.80313260290949806</v>
      </c>
      <c r="E11" s="30"/>
      <c r="F11" s="30"/>
      <c r="G11" s="30"/>
      <c r="H11" s="30"/>
      <c r="I11" s="30"/>
      <c r="J11" s="33"/>
    </row>
    <row r="12" spans="1:19">
      <c r="A12" s="24" t="s">
        <v>67</v>
      </c>
      <c r="B12" s="133">
        <v>1592067208.3899999</v>
      </c>
      <c r="C12" s="133">
        <v>1579523063</v>
      </c>
      <c r="D12" s="25">
        <f>B12/C12</f>
        <v>1.0079417298068283</v>
      </c>
      <c r="E12" s="30"/>
      <c r="F12" s="30"/>
      <c r="G12" s="30"/>
      <c r="H12" s="30"/>
      <c r="I12" s="30"/>
      <c r="J12" s="33"/>
    </row>
    <row r="13" spans="1:19">
      <c r="A13" s="24" t="s">
        <v>68</v>
      </c>
      <c r="B13" s="133">
        <v>1130657123.9200001</v>
      </c>
      <c r="C13" s="133">
        <v>1779830840</v>
      </c>
      <c r="D13" s="25">
        <f>B13/C13</f>
        <v>0.63526100262427188</v>
      </c>
      <c r="E13" s="30"/>
      <c r="F13" s="30"/>
      <c r="G13" s="30"/>
      <c r="H13" s="30"/>
      <c r="I13" s="30"/>
      <c r="J13" s="33"/>
    </row>
    <row r="14" spans="1:19">
      <c r="A14" s="24" t="s">
        <v>69</v>
      </c>
      <c r="B14" s="133">
        <v>1238186922.6900001</v>
      </c>
      <c r="C14" s="133">
        <v>2084092194</v>
      </c>
      <c r="D14" s="25">
        <f t="shared" ref="D14:D22" si="0">B14/C14</f>
        <v>0.59411331526248212</v>
      </c>
      <c r="E14" s="30"/>
      <c r="F14" s="30"/>
      <c r="G14" s="30"/>
      <c r="H14" s="30"/>
      <c r="I14" s="30"/>
      <c r="J14" s="33"/>
    </row>
    <row r="15" spans="1:19">
      <c r="A15" s="24" t="s">
        <v>70</v>
      </c>
      <c r="B15" s="133">
        <v>1631847071.9599998</v>
      </c>
      <c r="C15" s="133">
        <v>2042930361</v>
      </c>
      <c r="D15" s="25">
        <f t="shared" si="0"/>
        <v>0.79877762997326163</v>
      </c>
      <c r="E15" s="30"/>
      <c r="F15" s="30"/>
      <c r="G15" s="30"/>
      <c r="H15" s="30"/>
      <c r="I15" s="30"/>
      <c r="J15" s="33"/>
    </row>
    <row r="16" spans="1:19">
      <c r="A16" s="24" t="s">
        <v>71</v>
      </c>
      <c r="B16" s="133">
        <v>1805561831.23</v>
      </c>
      <c r="C16" s="133">
        <v>2235576684</v>
      </c>
      <c r="D16" s="25">
        <f t="shared" si="0"/>
        <v>0.8076492495884342</v>
      </c>
      <c r="E16" s="30"/>
      <c r="F16" s="30"/>
      <c r="G16" s="30"/>
      <c r="H16" s="30"/>
      <c r="I16" s="30"/>
      <c r="J16" s="33"/>
    </row>
    <row r="17" spans="1:10">
      <c r="A17" s="24" t="s">
        <v>72</v>
      </c>
      <c r="B17" s="133">
        <v>1758751035</v>
      </c>
      <c r="C17" s="133">
        <v>1657888410</v>
      </c>
      <c r="D17" s="25">
        <f t="shared" si="0"/>
        <v>1.0608380059789428</v>
      </c>
      <c r="E17" s="30"/>
      <c r="F17" s="30"/>
      <c r="G17" s="30"/>
      <c r="H17" s="30"/>
      <c r="I17" s="30"/>
      <c r="J17" s="33"/>
    </row>
    <row r="18" spans="1:10">
      <c r="A18" s="24" t="s">
        <v>73</v>
      </c>
      <c r="B18" s="124"/>
      <c r="C18" s="124"/>
      <c r="D18" s="25" t="e">
        <f t="shared" si="0"/>
        <v>#DIV/0!</v>
      </c>
      <c r="E18" s="30"/>
      <c r="F18" s="30"/>
      <c r="G18" s="30"/>
      <c r="H18" s="30"/>
      <c r="I18" s="30"/>
      <c r="J18" s="33"/>
    </row>
    <row r="19" spans="1:10">
      <c r="A19" s="24" t="s">
        <v>74</v>
      </c>
      <c r="B19" s="95"/>
      <c r="C19" s="95"/>
      <c r="D19" s="25" t="e">
        <f t="shared" si="0"/>
        <v>#DIV/0!</v>
      </c>
      <c r="E19" s="30"/>
      <c r="F19" s="30"/>
      <c r="G19" s="30"/>
      <c r="H19" s="30"/>
      <c r="I19" s="30"/>
      <c r="J19" s="33"/>
    </row>
    <row r="20" spans="1:10">
      <c r="A20" s="24" t="s">
        <v>75</v>
      </c>
      <c r="B20" s="95"/>
      <c r="C20" s="95"/>
      <c r="D20" s="25" t="e">
        <f t="shared" si="0"/>
        <v>#DIV/0!</v>
      </c>
      <c r="E20" s="30"/>
      <c r="F20" s="30"/>
      <c r="G20" s="30"/>
      <c r="H20" s="30"/>
      <c r="I20" s="30"/>
      <c r="J20" s="33"/>
    </row>
    <row r="21" spans="1:10">
      <c r="A21" s="24" t="s">
        <v>76</v>
      </c>
      <c r="B21" s="95"/>
      <c r="C21" s="95"/>
      <c r="D21" s="25" t="e">
        <f t="shared" si="0"/>
        <v>#DIV/0!</v>
      </c>
      <c r="E21" s="30"/>
      <c r="F21" s="30"/>
      <c r="G21" s="30"/>
      <c r="H21" s="30"/>
      <c r="I21" s="30"/>
      <c r="J21" s="33"/>
    </row>
    <row r="22" spans="1:10">
      <c r="A22" s="29" t="s">
        <v>77</v>
      </c>
      <c r="B22" s="95"/>
      <c r="C22" s="95"/>
      <c r="D22" s="25" t="e">
        <f t="shared" si="0"/>
        <v>#DIV/0!</v>
      </c>
      <c r="E22" s="30"/>
      <c r="F22" s="30"/>
      <c r="G22" s="30"/>
      <c r="H22" s="30"/>
      <c r="I22" s="30"/>
      <c r="J22" s="33"/>
    </row>
    <row r="23" spans="1:10">
      <c r="A23" s="208"/>
      <c r="B23" s="208"/>
      <c r="C23" s="208"/>
      <c r="D23" s="208"/>
      <c r="E23" s="208"/>
      <c r="F23" s="208"/>
      <c r="G23" s="208"/>
      <c r="H23" s="208"/>
      <c r="I23" s="208"/>
      <c r="J23" s="208"/>
    </row>
    <row r="24" spans="1:10">
      <c r="A24" s="31" t="s">
        <v>3</v>
      </c>
      <c r="B24" s="182" t="s">
        <v>154</v>
      </c>
      <c r="C24" s="182"/>
      <c r="D24" s="182"/>
      <c r="E24" s="182"/>
      <c r="F24" s="182"/>
      <c r="G24" s="182"/>
      <c r="H24" s="182"/>
      <c r="I24" s="182"/>
      <c r="J24" s="182"/>
    </row>
    <row r="25" spans="1:10">
      <c r="A25" s="31" t="s">
        <v>63</v>
      </c>
      <c r="B25" s="183" t="s">
        <v>149</v>
      </c>
      <c r="C25" s="183"/>
      <c r="D25" s="183"/>
      <c r="E25" s="184"/>
      <c r="F25" s="184"/>
      <c r="G25" s="184"/>
      <c r="H25" s="184"/>
      <c r="I25" s="184"/>
      <c r="J25" s="184"/>
    </row>
    <row r="26" spans="1:10" ht="30">
      <c r="A26" s="67" t="s">
        <v>65</v>
      </c>
      <c r="B26" s="93" t="s">
        <v>150</v>
      </c>
      <c r="C26" s="93" t="s">
        <v>151</v>
      </c>
      <c r="D26" s="65" t="s">
        <v>152</v>
      </c>
      <c r="E26" s="70" t="s">
        <v>153</v>
      </c>
      <c r="F26" s="30"/>
      <c r="G26" s="30"/>
      <c r="H26" s="30"/>
      <c r="I26" s="30"/>
      <c r="J26" s="33"/>
    </row>
    <row r="27" spans="1:10">
      <c r="A27" s="24" t="s">
        <v>66</v>
      </c>
      <c r="B27" s="94">
        <v>2901045330</v>
      </c>
      <c r="C27" s="94">
        <v>447662255</v>
      </c>
      <c r="D27" s="94">
        <v>1348832966</v>
      </c>
      <c r="E27" s="69">
        <f>B27-C27-D27</f>
        <v>1104550109</v>
      </c>
      <c r="F27" s="30"/>
      <c r="G27" s="30"/>
      <c r="H27" s="30"/>
      <c r="I27" s="30"/>
      <c r="J27" s="33"/>
    </row>
    <row r="28" spans="1:10">
      <c r="A28" s="24" t="s">
        <v>67</v>
      </c>
      <c r="B28" s="129">
        <v>2297069805</v>
      </c>
      <c r="C28" s="129">
        <v>1042547400</v>
      </c>
      <c r="D28" s="129">
        <v>1283223732</v>
      </c>
      <c r="E28" s="130">
        <f t="shared" ref="E28:E32" si="1">B28-C28-D28</f>
        <v>-28701327</v>
      </c>
      <c r="F28" s="30"/>
      <c r="G28" s="30"/>
      <c r="H28" s="30"/>
      <c r="I28" s="30"/>
      <c r="J28" s="33"/>
    </row>
    <row r="29" spans="1:10">
      <c r="A29" s="24" t="s">
        <v>68</v>
      </c>
      <c r="B29" s="131">
        <v>2192281206</v>
      </c>
      <c r="C29" s="131">
        <v>877476864</v>
      </c>
      <c r="D29" s="131">
        <v>1266469697</v>
      </c>
      <c r="E29" s="132">
        <f t="shared" si="1"/>
        <v>48334645</v>
      </c>
      <c r="F29" s="30"/>
      <c r="G29" s="30"/>
      <c r="H29" s="30"/>
      <c r="I29" s="30"/>
      <c r="J29" s="33"/>
    </row>
    <row r="30" spans="1:10">
      <c r="A30" s="24" t="s">
        <v>69</v>
      </c>
      <c r="B30" s="68">
        <v>2697669020</v>
      </c>
      <c r="C30" s="68">
        <v>341909709</v>
      </c>
      <c r="D30" s="68">
        <v>1334111235</v>
      </c>
      <c r="E30" s="69">
        <f t="shared" si="1"/>
        <v>1021648076</v>
      </c>
      <c r="F30" s="30"/>
      <c r="G30" s="30"/>
      <c r="H30" s="30"/>
      <c r="I30" s="30"/>
      <c r="J30" s="33"/>
    </row>
    <row r="31" spans="1:10">
      <c r="A31" s="24" t="s">
        <v>70</v>
      </c>
      <c r="B31" s="68">
        <v>2522854957</v>
      </c>
      <c r="C31" s="68">
        <v>247669381</v>
      </c>
      <c r="D31" s="68">
        <v>1142080059</v>
      </c>
      <c r="E31" s="69">
        <f t="shared" si="1"/>
        <v>1133105517</v>
      </c>
      <c r="F31" s="30"/>
      <c r="G31" s="30"/>
      <c r="H31" s="30"/>
      <c r="I31" s="30"/>
      <c r="J31" s="33"/>
    </row>
    <row r="32" spans="1:10">
      <c r="A32" s="24" t="s">
        <v>71</v>
      </c>
      <c r="B32" s="131">
        <v>2190139718</v>
      </c>
      <c r="C32" s="131">
        <v>259613647</v>
      </c>
      <c r="D32" s="131">
        <v>1018108565</v>
      </c>
      <c r="E32" s="132">
        <f t="shared" si="1"/>
        <v>912417506</v>
      </c>
      <c r="F32" s="30"/>
      <c r="G32" s="30"/>
      <c r="H32" s="30"/>
      <c r="I32" s="30"/>
      <c r="J32" s="33"/>
    </row>
    <row r="33" spans="1:10">
      <c r="A33" s="24" t="s">
        <v>72</v>
      </c>
      <c r="B33" s="68">
        <v>2539741539</v>
      </c>
      <c r="C33" s="68">
        <v>296779525</v>
      </c>
      <c r="D33" s="68">
        <v>1162700688</v>
      </c>
      <c r="E33" s="69">
        <f>B33-C33-D33</f>
        <v>1080261326</v>
      </c>
      <c r="F33" s="30"/>
      <c r="G33" s="30"/>
      <c r="H33" s="30"/>
      <c r="I33" s="30"/>
      <c r="J33" s="33"/>
    </row>
    <row r="34" spans="1:10">
      <c r="A34" s="24" t="s">
        <v>73</v>
      </c>
      <c r="B34" s="68"/>
      <c r="C34" s="68"/>
      <c r="D34" s="68"/>
      <c r="E34" s="69">
        <f t="shared" ref="E34:E38" si="2">B34-C34-D34</f>
        <v>0</v>
      </c>
      <c r="F34" s="30"/>
      <c r="G34" s="30"/>
      <c r="H34" s="30"/>
      <c r="I34" s="30"/>
      <c r="J34" s="33"/>
    </row>
    <row r="35" spans="1:10">
      <c r="A35" s="24" t="s">
        <v>74</v>
      </c>
      <c r="B35" s="68"/>
      <c r="C35" s="68"/>
      <c r="D35" s="68"/>
      <c r="E35" s="69">
        <f t="shared" si="2"/>
        <v>0</v>
      </c>
      <c r="F35" s="30"/>
      <c r="G35" s="30"/>
      <c r="H35" s="30"/>
      <c r="I35" s="30"/>
      <c r="J35" s="33"/>
    </row>
    <row r="36" spans="1:10">
      <c r="A36" s="24" t="s">
        <v>75</v>
      </c>
      <c r="B36" s="68"/>
      <c r="C36" s="68"/>
      <c r="D36" s="68"/>
      <c r="E36" s="69">
        <f t="shared" si="2"/>
        <v>0</v>
      </c>
      <c r="F36" s="30"/>
      <c r="G36" s="30"/>
      <c r="H36" s="30"/>
      <c r="I36" s="30"/>
      <c r="J36" s="33"/>
    </row>
    <row r="37" spans="1:10">
      <c r="A37" s="24" t="s">
        <v>76</v>
      </c>
      <c r="B37" s="68"/>
      <c r="C37" s="68"/>
      <c r="D37" s="68"/>
      <c r="E37" s="69">
        <f t="shared" si="2"/>
        <v>0</v>
      </c>
      <c r="F37" s="30"/>
      <c r="G37" s="30"/>
      <c r="H37" s="30"/>
      <c r="I37" s="30"/>
      <c r="J37" s="33"/>
    </row>
    <row r="38" spans="1:10">
      <c r="A38" s="24" t="s">
        <v>77</v>
      </c>
      <c r="B38" s="68"/>
      <c r="C38" s="68"/>
      <c r="D38" s="68"/>
      <c r="E38" s="69">
        <f t="shared" si="2"/>
        <v>0</v>
      </c>
      <c r="F38" s="30"/>
      <c r="G38" s="30"/>
      <c r="H38" s="30"/>
      <c r="I38" s="30"/>
      <c r="J38" s="33"/>
    </row>
    <row r="39" spans="1:10">
      <c r="A39" s="208"/>
      <c r="B39" s="208"/>
      <c r="C39" s="208"/>
      <c r="D39" s="208"/>
      <c r="E39" s="208"/>
      <c r="F39" s="208"/>
      <c r="G39" s="208"/>
      <c r="H39" s="208"/>
      <c r="I39" s="208"/>
      <c r="J39" s="208"/>
    </row>
    <row r="40" spans="1:10">
      <c r="A40" s="31" t="s">
        <v>3</v>
      </c>
      <c r="B40" s="230" t="s">
        <v>137</v>
      </c>
      <c r="C40" s="231"/>
      <c r="D40" s="231"/>
      <c r="E40" s="231"/>
      <c r="F40" s="231"/>
      <c r="G40" s="231"/>
      <c r="H40" s="231"/>
      <c r="I40" s="231"/>
      <c r="J40" s="232"/>
    </row>
    <row r="41" spans="1:10">
      <c r="A41" s="53" t="s">
        <v>63</v>
      </c>
      <c r="B41" s="183" t="s">
        <v>138</v>
      </c>
      <c r="C41" s="183"/>
      <c r="D41" s="183"/>
      <c r="E41" s="183"/>
      <c r="F41" s="183"/>
      <c r="G41" s="184"/>
      <c r="H41" s="184"/>
      <c r="I41" s="184"/>
      <c r="J41" s="184"/>
    </row>
    <row r="42" spans="1:10" ht="60">
      <c r="A42" s="67" t="s">
        <v>65</v>
      </c>
      <c r="B42" s="66" t="s">
        <v>127</v>
      </c>
      <c r="C42" s="66" t="s">
        <v>128</v>
      </c>
      <c r="D42" s="66" t="s">
        <v>129</v>
      </c>
      <c r="E42" s="66" t="s">
        <v>193</v>
      </c>
      <c r="F42" s="66" t="s">
        <v>192</v>
      </c>
      <c r="G42" s="46"/>
      <c r="H42" s="46"/>
      <c r="I42" s="46"/>
      <c r="J42" s="47"/>
    </row>
    <row r="43" spans="1:10">
      <c r="A43" s="24" t="s">
        <v>66</v>
      </c>
      <c r="B43" s="54">
        <v>4615615421</v>
      </c>
      <c r="C43" s="54">
        <v>4794407580</v>
      </c>
      <c r="D43" s="54">
        <v>5123988584</v>
      </c>
      <c r="E43" s="45">
        <f>C43/B43</f>
        <v>1.0387363639930953</v>
      </c>
      <c r="F43" s="45">
        <f>D43/C43</f>
        <v>1.0687428005442958</v>
      </c>
      <c r="G43" s="46"/>
      <c r="H43" s="46"/>
      <c r="I43" s="46"/>
      <c r="J43" s="47"/>
    </row>
    <row r="44" spans="1:10">
      <c r="A44" s="24" t="s">
        <v>67</v>
      </c>
      <c r="B44" s="54">
        <v>3892782823</v>
      </c>
      <c r="C44" s="54">
        <v>3879636181</v>
      </c>
      <c r="D44" s="54">
        <v>3879636181</v>
      </c>
      <c r="E44" s="45">
        <f t="shared" ref="E44:E53" si="3">C44/B44</f>
        <v>0.9966228164791715</v>
      </c>
      <c r="F44" s="45">
        <f t="shared" ref="F44:F54" si="4">D44/C44</f>
        <v>1</v>
      </c>
      <c r="G44" s="46"/>
      <c r="H44" s="46"/>
      <c r="I44" s="46"/>
      <c r="J44" s="47"/>
    </row>
    <row r="45" spans="1:10">
      <c r="A45" s="24" t="s">
        <v>68</v>
      </c>
      <c r="B45" s="54">
        <v>4226432450</v>
      </c>
      <c r="C45" s="54">
        <v>3806513470</v>
      </c>
      <c r="D45" s="54">
        <v>3806503470</v>
      </c>
      <c r="E45" s="45">
        <f t="shared" si="3"/>
        <v>0.90064457791109376</v>
      </c>
      <c r="F45" s="45">
        <f t="shared" si="4"/>
        <v>0.99999737292404745</v>
      </c>
      <c r="G45" s="46"/>
      <c r="H45" s="46"/>
      <c r="I45" s="46"/>
      <c r="J45" s="47"/>
    </row>
    <row r="46" spans="1:10">
      <c r="A46" s="24" t="s">
        <v>69</v>
      </c>
      <c r="B46" s="54">
        <v>4393799612</v>
      </c>
      <c r="C46" s="54">
        <v>4568477653</v>
      </c>
      <c r="D46" s="54">
        <v>4568477653</v>
      </c>
      <c r="E46" s="45">
        <f t="shared" si="3"/>
        <v>1.039755577501289</v>
      </c>
      <c r="F46" s="45">
        <f t="shared" si="4"/>
        <v>1</v>
      </c>
      <c r="G46" s="46"/>
      <c r="H46" s="46"/>
      <c r="I46" s="46"/>
      <c r="J46" s="47"/>
    </row>
    <row r="47" spans="1:10">
      <c r="A47" s="24" t="s">
        <v>70</v>
      </c>
      <c r="B47" s="54">
        <v>4048362933</v>
      </c>
      <c r="C47" s="54">
        <v>4292795987</v>
      </c>
      <c r="D47" s="54">
        <v>4292795987</v>
      </c>
      <c r="E47" s="45">
        <f t="shared" si="3"/>
        <v>1.0603782462307216</v>
      </c>
      <c r="F47" s="45">
        <f t="shared" si="4"/>
        <v>1</v>
      </c>
      <c r="G47" s="46"/>
      <c r="H47" s="46"/>
      <c r="I47" s="46"/>
      <c r="J47" s="47"/>
    </row>
    <row r="48" spans="1:10">
      <c r="A48" s="24" t="s">
        <v>71</v>
      </c>
      <c r="B48" s="54">
        <v>3750883282</v>
      </c>
      <c r="C48" s="54">
        <v>3659656165</v>
      </c>
      <c r="D48" s="54">
        <v>3659656165</v>
      </c>
      <c r="E48" s="45">
        <f t="shared" si="3"/>
        <v>0.97567849753209146</v>
      </c>
      <c r="F48" s="45">
        <f t="shared" si="4"/>
        <v>1</v>
      </c>
      <c r="G48" s="46"/>
      <c r="H48" s="77"/>
      <c r="I48" s="46"/>
      <c r="J48" s="47"/>
    </row>
    <row r="49" spans="1:12">
      <c r="A49" s="24" t="s">
        <v>72</v>
      </c>
      <c r="B49" s="54">
        <v>4238451073</v>
      </c>
      <c r="C49" s="54">
        <v>4377694899</v>
      </c>
      <c r="D49" s="54">
        <v>4377694899</v>
      </c>
      <c r="E49" s="45">
        <f t="shared" si="3"/>
        <v>1.0328525264540667</v>
      </c>
      <c r="F49" s="45">
        <f t="shared" si="4"/>
        <v>1</v>
      </c>
      <c r="G49" s="46"/>
      <c r="H49" s="46"/>
      <c r="I49" s="46"/>
      <c r="J49" s="47"/>
      <c r="L49" s="76"/>
    </row>
    <row r="50" spans="1:12">
      <c r="A50" s="24" t="s">
        <v>73</v>
      </c>
      <c r="B50" s="54"/>
      <c r="C50" s="54"/>
      <c r="D50" s="54"/>
      <c r="E50" s="45" t="e">
        <f>C50/B50</f>
        <v>#DIV/0!</v>
      </c>
      <c r="F50" s="45" t="e">
        <f t="shared" si="4"/>
        <v>#DIV/0!</v>
      </c>
      <c r="G50" s="46"/>
      <c r="H50" s="46"/>
      <c r="I50" s="46"/>
      <c r="J50" s="47"/>
      <c r="L50" s="76"/>
    </row>
    <row r="51" spans="1:12">
      <c r="A51" s="24" t="s">
        <v>74</v>
      </c>
      <c r="B51" s="54"/>
      <c r="C51" s="54"/>
      <c r="D51" s="54"/>
      <c r="E51" s="45" t="e">
        <f t="shared" si="3"/>
        <v>#DIV/0!</v>
      </c>
      <c r="F51" s="45" t="e">
        <f t="shared" si="4"/>
        <v>#DIV/0!</v>
      </c>
      <c r="G51" s="46"/>
      <c r="H51" s="46"/>
      <c r="I51" s="46"/>
      <c r="J51" s="47"/>
    </row>
    <row r="52" spans="1:12">
      <c r="A52" s="24" t="s">
        <v>75</v>
      </c>
      <c r="B52" s="54"/>
      <c r="C52" s="120"/>
      <c r="D52" s="120"/>
      <c r="E52" s="45" t="e">
        <f t="shared" si="3"/>
        <v>#DIV/0!</v>
      </c>
      <c r="F52" s="45" t="e">
        <f t="shared" si="4"/>
        <v>#DIV/0!</v>
      </c>
      <c r="G52" s="46"/>
      <c r="H52" s="46"/>
      <c r="I52" s="46"/>
      <c r="J52" s="47"/>
    </row>
    <row r="53" spans="1:12">
      <c r="A53" s="24" t="s">
        <v>76</v>
      </c>
      <c r="B53" s="54"/>
      <c r="C53" s="120"/>
      <c r="D53" s="120"/>
      <c r="E53" s="45" t="e">
        <f t="shared" si="3"/>
        <v>#DIV/0!</v>
      </c>
      <c r="F53" s="45" t="e">
        <f t="shared" si="4"/>
        <v>#DIV/0!</v>
      </c>
      <c r="G53" s="46"/>
      <c r="H53" s="46"/>
      <c r="I53" s="46"/>
      <c r="J53" s="47"/>
    </row>
    <row r="54" spans="1:12">
      <c r="A54" s="24" t="s">
        <v>77</v>
      </c>
      <c r="B54" s="54"/>
      <c r="C54" s="120"/>
      <c r="D54" s="120"/>
      <c r="E54" s="45" t="e">
        <f>C54/B54</f>
        <v>#DIV/0!</v>
      </c>
      <c r="F54" s="45" t="e">
        <f t="shared" si="4"/>
        <v>#DIV/0!</v>
      </c>
      <c r="G54" s="30"/>
      <c r="H54" s="30"/>
      <c r="I54" s="30"/>
      <c r="J54" s="33"/>
    </row>
    <row r="55" spans="1:12">
      <c r="A55" s="49"/>
      <c r="B55" s="50"/>
      <c r="C55" s="51"/>
      <c r="D55" s="52"/>
      <c r="E55" s="48"/>
      <c r="F55" s="48"/>
      <c r="G55" s="30"/>
      <c r="H55" s="30"/>
      <c r="I55" s="30"/>
      <c r="J55" s="33"/>
    </row>
    <row r="56" spans="1:12">
      <c r="A56" s="49"/>
      <c r="B56" s="50"/>
      <c r="C56" s="51"/>
      <c r="D56" s="52"/>
      <c r="E56" s="48"/>
      <c r="F56" s="48"/>
      <c r="G56" s="30"/>
      <c r="H56" s="30"/>
      <c r="I56" s="30"/>
      <c r="J56" s="33"/>
    </row>
    <row r="57" spans="1:12">
      <c r="A57" s="49"/>
      <c r="B57" s="50"/>
      <c r="C57" s="51"/>
      <c r="D57" s="52"/>
      <c r="E57" s="48"/>
      <c r="F57" s="48"/>
      <c r="G57" s="30"/>
      <c r="H57" s="30"/>
      <c r="I57" s="30"/>
      <c r="J57" s="33"/>
    </row>
    <row r="58" spans="1:12">
      <c r="A58" s="49"/>
      <c r="B58" s="50"/>
      <c r="C58" s="51"/>
      <c r="D58" s="52"/>
      <c r="E58" s="48"/>
      <c r="F58" s="48"/>
      <c r="G58" s="30"/>
      <c r="H58" s="30"/>
      <c r="I58" s="30"/>
      <c r="J58" s="33"/>
    </row>
    <row r="59" spans="1:12">
      <c r="A59" s="49"/>
      <c r="B59" s="50"/>
      <c r="C59" s="51"/>
      <c r="D59" s="52"/>
      <c r="E59" s="48"/>
      <c r="F59" s="48"/>
      <c r="G59" s="30"/>
      <c r="H59" s="30"/>
      <c r="I59" s="30"/>
      <c r="J59" s="33"/>
    </row>
    <row r="60" spans="1:12">
      <c r="A60" s="49"/>
      <c r="B60" s="50"/>
      <c r="C60" s="51"/>
      <c r="D60" s="52"/>
      <c r="E60" s="48"/>
      <c r="F60" s="48"/>
      <c r="G60" s="30"/>
      <c r="H60" s="30"/>
      <c r="I60" s="30"/>
      <c r="J60" s="33"/>
    </row>
    <row r="61" spans="1:12">
      <c r="A61" s="49"/>
      <c r="B61" s="50"/>
      <c r="C61" s="51"/>
      <c r="D61" s="52"/>
      <c r="E61" s="48"/>
      <c r="F61" s="48"/>
      <c r="G61" s="30"/>
      <c r="H61" s="30"/>
      <c r="I61" s="30"/>
      <c r="J61" s="33"/>
    </row>
    <row r="62" spans="1:12">
      <c r="A62" s="49"/>
      <c r="B62" s="50"/>
      <c r="C62" s="51"/>
      <c r="D62" s="52"/>
      <c r="E62" s="48"/>
      <c r="F62" s="48"/>
      <c r="G62" s="30"/>
      <c r="H62" s="30"/>
      <c r="I62" s="30"/>
      <c r="J62" s="33"/>
    </row>
    <row r="63" spans="1:12">
      <c r="A63" s="49"/>
      <c r="B63" s="50"/>
      <c r="C63" s="51"/>
      <c r="D63" s="52"/>
      <c r="E63" s="48"/>
      <c r="F63" s="48"/>
      <c r="G63" s="30"/>
      <c r="H63" s="30"/>
      <c r="I63" s="30"/>
      <c r="J63" s="33"/>
    </row>
    <row r="64" spans="1:12">
      <c r="A64" s="49"/>
      <c r="B64" s="50"/>
      <c r="C64" s="51"/>
      <c r="D64" s="52"/>
      <c r="E64" s="48"/>
      <c r="F64" s="48"/>
      <c r="G64" s="30"/>
      <c r="H64" s="30"/>
      <c r="I64" s="30"/>
      <c r="J64" s="33"/>
    </row>
    <row r="65" spans="1:12">
      <c r="A65" s="49"/>
      <c r="B65" s="50"/>
      <c r="C65" s="51"/>
      <c r="D65" s="52"/>
      <c r="E65" s="48"/>
      <c r="F65" s="48"/>
      <c r="G65" s="30"/>
      <c r="H65" s="30"/>
      <c r="I65" s="30"/>
      <c r="J65" s="33"/>
    </row>
    <row r="66" spans="1:12">
      <c r="A66" s="49"/>
      <c r="B66" s="50"/>
      <c r="C66" s="51"/>
      <c r="D66" s="52"/>
      <c r="E66" s="48"/>
      <c r="F66" s="48"/>
      <c r="G66" s="30"/>
      <c r="H66" s="30"/>
      <c r="I66" s="30"/>
      <c r="J66" s="33"/>
    </row>
    <row r="67" spans="1:12">
      <c r="A67" s="49"/>
      <c r="B67" s="50"/>
      <c r="C67" s="51"/>
      <c r="D67" s="52"/>
      <c r="E67" s="48"/>
      <c r="F67" s="48"/>
      <c r="G67" s="30"/>
      <c r="H67" s="30"/>
      <c r="I67" s="30"/>
      <c r="J67" s="33"/>
    </row>
    <row r="68" spans="1:12">
      <c r="A68" s="49"/>
      <c r="B68" s="50"/>
      <c r="C68" s="51"/>
      <c r="D68" s="52"/>
      <c r="E68" s="48"/>
      <c r="F68" s="48"/>
      <c r="G68" s="30"/>
      <c r="H68" s="30"/>
      <c r="I68" s="30"/>
      <c r="J68" s="33"/>
    </row>
    <row r="69" spans="1:12">
      <c r="A69" s="49"/>
      <c r="B69" s="50"/>
      <c r="C69" s="51"/>
      <c r="D69" s="52"/>
      <c r="E69" s="48"/>
      <c r="F69" s="48"/>
      <c r="G69" s="30"/>
      <c r="H69" s="30"/>
      <c r="I69" s="30"/>
      <c r="J69" s="33"/>
    </row>
    <row r="70" spans="1:12">
      <c r="A70" s="49"/>
      <c r="B70" s="50"/>
      <c r="C70" s="51"/>
      <c r="D70" s="52"/>
      <c r="E70" s="48"/>
      <c r="F70" s="48"/>
      <c r="G70" s="30"/>
      <c r="H70" s="30"/>
      <c r="I70" s="30"/>
      <c r="J70" s="33"/>
    </row>
    <row r="71" spans="1:12">
      <c r="A71" s="227"/>
      <c r="B71" s="228"/>
      <c r="C71" s="228"/>
      <c r="D71" s="228"/>
      <c r="E71" s="228"/>
      <c r="F71" s="228"/>
      <c r="G71" s="228"/>
      <c r="H71" s="228"/>
      <c r="I71" s="228"/>
      <c r="J71" s="229"/>
    </row>
    <row r="72" spans="1:12">
      <c r="A72" s="31" t="s">
        <v>3</v>
      </c>
      <c r="B72" s="182" t="s">
        <v>178</v>
      </c>
      <c r="C72" s="182"/>
      <c r="D72" s="182"/>
      <c r="E72" s="182"/>
      <c r="F72" s="182"/>
      <c r="G72" s="182"/>
      <c r="H72" s="182"/>
      <c r="I72" s="182"/>
      <c r="J72" s="182"/>
    </row>
    <row r="73" spans="1:12">
      <c r="A73" s="31" t="s">
        <v>63</v>
      </c>
      <c r="B73" s="184" t="s">
        <v>174</v>
      </c>
      <c r="C73" s="184"/>
      <c r="D73" s="184"/>
      <c r="E73" s="184"/>
      <c r="F73" s="184"/>
      <c r="G73" s="184"/>
      <c r="H73" s="184"/>
      <c r="I73" s="184"/>
      <c r="J73" s="184"/>
    </row>
    <row r="74" spans="1:12" ht="45">
      <c r="A74" s="80" t="s">
        <v>65</v>
      </c>
      <c r="B74" s="79" t="s">
        <v>173</v>
      </c>
      <c r="C74" s="79" t="s">
        <v>180</v>
      </c>
      <c r="D74" s="79" t="s">
        <v>181</v>
      </c>
      <c r="E74" s="30"/>
      <c r="F74" s="30"/>
      <c r="G74" s="30"/>
      <c r="H74" s="30"/>
      <c r="I74" s="30"/>
      <c r="J74" s="33"/>
    </row>
    <row r="75" spans="1:12">
      <c r="A75" s="24" t="s">
        <v>66</v>
      </c>
      <c r="B75" s="68">
        <v>19</v>
      </c>
      <c r="C75" s="68">
        <v>1483</v>
      </c>
      <c r="D75" s="25">
        <f>B75/C75</f>
        <v>1.2811867835468645E-2</v>
      </c>
      <c r="E75" s="30"/>
      <c r="F75" s="30"/>
      <c r="G75" s="30"/>
      <c r="H75" s="30"/>
      <c r="I75" s="30"/>
      <c r="J75" s="33"/>
    </row>
    <row r="76" spans="1:12">
      <c r="A76" s="24" t="s">
        <v>67</v>
      </c>
      <c r="B76" s="68">
        <v>10</v>
      </c>
      <c r="C76" s="68">
        <v>1340</v>
      </c>
      <c r="D76" s="25">
        <f>B76/C76</f>
        <v>7.462686567164179E-3</v>
      </c>
      <c r="E76" s="30"/>
      <c r="F76" s="30"/>
      <c r="G76" s="30"/>
      <c r="H76" s="30"/>
      <c r="I76" s="30"/>
      <c r="J76" s="33"/>
    </row>
    <row r="77" spans="1:12">
      <c r="A77" s="24" t="s">
        <v>68</v>
      </c>
      <c r="B77" s="68">
        <v>10</v>
      </c>
      <c r="C77" s="68">
        <v>1353</v>
      </c>
      <c r="D77" s="25">
        <f>B77/C77</f>
        <v>7.3909830007390983E-3</v>
      </c>
      <c r="E77" s="30"/>
      <c r="F77" s="30"/>
      <c r="G77" s="30"/>
      <c r="H77" s="30"/>
      <c r="I77" s="30"/>
      <c r="J77" s="33"/>
    </row>
    <row r="78" spans="1:12">
      <c r="A78" s="24" t="s">
        <v>69</v>
      </c>
      <c r="B78" s="68">
        <v>15</v>
      </c>
      <c r="C78" s="68">
        <v>1501</v>
      </c>
      <c r="D78" s="25">
        <f t="shared" ref="D78:D86" si="5">B78/C78</f>
        <v>9.9933377748167886E-3</v>
      </c>
      <c r="E78" s="30"/>
      <c r="F78" s="30"/>
      <c r="G78" s="30"/>
      <c r="H78" s="30"/>
      <c r="I78" s="30"/>
      <c r="J78" s="33"/>
    </row>
    <row r="79" spans="1:12">
      <c r="A79" s="24" t="s">
        <v>70</v>
      </c>
      <c r="B79" s="68">
        <v>18</v>
      </c>
      <c r="C79" s="68">
        <v>1427</v>
      </c>
      <c r="D79" s="25">
        <f>B79/C79</f>
        <v>1.2613875262789068E-2</v>
      </c>
      <c r="E79" s="30"/>
      <c r="F79" s="30"/>
      <c r="G79" s="30"/>
      <c r="H79" s="30"/>
      <c r="I79" s="30"/>
      <c r="J79" s="33"/>
      <c r="L79" s="102"/>
    </row>
    <row r="80" spans="1:12">
      <c r="A80" s="24" t="s">
        <v>71</v>
      </c>
      <c r="B80" s="68">
        <v>21</v>
      </c>
      <c r="C80" s="68">
        <v>1218</v>
      </c>
      <c r="D80" s="25">
        <f>B80/C80</f>
        <v>1.7241379310344827E-2</v>
      </c>
      <c r="E80" s="30"/>
      <c r="F80" s="30"/>
      <c r="G80" s="30"/>
      <c r="H80" s="30"/>
      <c r="I80" s="30"/>
      <c r="J80" s="33"/>
      <c r="L80" s="102"/>
    </row>
    <row r="81" spans="1:12">
      <c r="A81" s="24" t="s">
        <v>72</v>
      </c>
      <c r="B81" s="68">
        <v>15</v>
      </c>
      <c r="C81" s="68">
        <v>1453</v>
      </c>
      <c r="D81" s="25">
        <f t="shared" si="5"/>
        <v>1.0323468685478321E-2</v>
      </c>
      <c r="E81" s="30"/>
      <c r="F81" s="30"/>
      <c r="G81" s="30"/>
      <c r="H81" s="30"/>
      <c r="I81" s="30"/>
      <c r="J81" s="33"/>
      <c r="L81" s="102"/>
    </row>
    <row r="82" spans="1:12">
      <c r="A82" s="24" t="s">
        <v>73</v>
      </c>
      <c r="B82" s="68"/>
      <c r="C82" s="68"/>
      <c r="D82" s="25" t="e">
        <f t="shared" si="5"/>
        <v>#DIV/0!</v>
      </c>
      <c r="E82" s="30"/>
      <c r="F82" s="30"/>
      <c r="G82" s="30"/>
      <c r="H82" s="30"/>
      <c r="I82" s="30"/>
      <c r="J82" s="33"/>
      <c r="L82" s="102"/>
    </row>
    <row r="83" spans="1:12">
      <c r="A83" s="24" t="s">
        <v>74</v>
      </c>
      <c r="B83" s="68"/>
      <c r="C83" s="68"/>
      <c r="D83" s="25" t="e">
        <f t="shared" si="5"/>
        <v>#DIV/0!</v>
      </c>
      <c r="E83" s="30"/>
      <c r="F83" s="30"/>
      <c r="G83" s="30"/>
      <c r="H83" s="30"/>
      <c r="I83" s="30"/>
      <c r="J83" s="33"/>
      <c r="L83" s="102"/>
    </row>
    <row r="84" spans="1:12">
      <c r="A84" s="24" t="s">
        <v>75</v>
      </c>
      <c r="B84" s="68"/>
      <c r="C84" s="68"/>
      <c r="D84" s="25" t="e">
        <f t="shared" si="5"/>
        <v>#DIV/0!</v>
      </c>
      <c r="E84" s="30"/>
      <c r="F84" s="30"/>
      <c r="G84" s="30"/>
      <c r="H84" s="30"/>
      <c r="I84" s="30"/>
      <c r="J84" s="33"/>
      <c r="L84" s="102"/>
    </row>
    <row r="85" spans="1:12">
      <c r="A85" s="24" t="s">
        <v>76</v>
      </c>
      <c r="B85" s="68"/>
      <c r="C85" s="68"/>
      <c r="D85" s="25" t="e">
        <f t="shared" si="5"/>
        <v>#DIV/0!</v>
      </c>
      <c r="E85" s="30"/>
      <c r="F85" s="30"/>
      <c r="G85" s="30"/>
      <c r="H85" s="30"/>
      <c r="I85" s="30"/>
      <c r="J85" s="33"/>
    </row>
    <row r="86" spans="1:12">
      <c r="A86" s="24" t="s">
        <v>77</v>
      </c>
      <c r="B86" s="68"/>
      <c r="C86" s="68"/>
      <c r="D86" s="25" t="e">
        <f t="shared" si="5"/>
        <v>#DIV/0!</v>
      </c>
      <c r="E86" s="30"/>
      <c r="F86" s="30"/>
      <c r="G86" s="30"/>
      <c r="H86" s="30"/>
      <c r="I86" s="30"/>
      <c r="J86" s="33"/>
    </row>
    <row r="87" spans="1:12">
      <c r="A87" s="227"/>
      <c r="B87" s="228"/>
      <c r="C87" s="228"/>
      <c r="D87" s="228"/>
      <c r="E87" s="228"/>
      <c r="F87" s="228"/>
      <c r="G87" s="228"/>
      <c r="H87" s="228"/>
      <c r="I87" s="228"/>
      <c r="J87" s="229"/>
    </row>
    <row r="88" spans="1:12">
      <c r="A88" s="31" t="s">
        <v>3</v>
      </c>
      <c r="B88" s="182" t="s">
        <v>179</v>
      </c>
      <c r="C88" s="182"/>
      <c r="D88" s="182"/>
      <c r="E88" s="182"/>
      <c r="F88" s="182"/>
      <c r="G88" s="182"/>
      <c r="H88" s="182"/>
      <c r="I88" s="182"/>
      <c r="J88" s="182"/>
    </row>
    <row r="89" spans="1:12">
      <c r="A89" s="31" t="s">
        <v>63</v>
      </c>
      <c r="B89" s="184" t="s">
        <v>182</v>
      </c>
      <c r="C89" s="184"/>
      <c r="D89" s="184"/>
      <c r="E89" s="184"/>
      <c r="F89" s="184"/>
      <c r="G89" s="184"/>
      <c r="H89" s="184"/>
      <c r="I89" s="184"/>
      <c r="J89" s="184"/>
    </row>
    <row r="90" spans="1:12" ht="45">
      <c r="A90" s="83" t="s">
        <v>65</v>
      </c>
      <c r="B90" s="82" t="s">
        <v>184</v>
      </c>
      <c r="C90" s="82" t="s">
        <v>180</v>
      </c>
      <c r="D90" s="82" t="s">
        <v>185</v>
      </c>
      <c r="E90" s="30"/>
      <c r="F90" s="30"/>
      <c r="G90" s="30"/>
      <c r="H90" s="30"/>
      <c r="I90" s="30"/>
      <c r="J90" s="33"/>
    </row>
    <row r="91" spans="1:12">
      <c r="A91" s="24" t="s">
        <v>66</v>
      </c>
      <c r="B91" s="68">
        <v>2</v>
      </c>
      <c r="C91" s="68">
        <v>1483</v>
      </c>
      <c r="D91" s="25">
        <f>B91/C91</f>
        <v>1.3486176668914363E-3</v>
      </c>
      <c r="E91" s="30"/>
      <c r="F91" s="30"/>
      <c r="G91" s="30"/>
      <c r="H91" s="30"/>
      <c r="I91" s="30"/>
      <c r="J91" s="33"/>
    </row>
    <row r="92" spans="1:12">
      <c r="A92" s="24" t="s">
        <v>67</v>
      </c>
      <c r="B92" s="68">
        <v>7</v>
      </c>
      <c r="C92" s="68">
        <v>1340</v>
      </c>
      <c r="D92" s="25">
        <f>B92/C92</f>
        <v>5.2238805970149255E-3</v>
      </c>
      <c r="E92" s="30"/>
      <c r="F92" s="30"/>
      <c r="G92" s="30"/>
      <c r="H92" s="30"/>
      <c r="I92" s="30"/>
      <c r="J92" s="33"/>
    </row>
    <row r="93" spans="1:12">
      <c r="A93" s="24" t="s">
        <v>68</v>
      </c>
      <c r="B93" s="68">
        <v>1</v>
      </c>
      <c r="C93" s="68">
        <v>1353</v>
      </c>
      <c r="D93" s="25">
        <f t="shared" ref="D93:D102" si="6">B93/C93</f>
        <v>7.3909830007390983E-4</v>
      </c>
      <c r="E93" s="30"/>
      <c r="F93" s="30"/>
      <c r="G93" s="30"/>
      <c r="H93" s="30"/>
      <c r="I93" s="30"/>
      <c r="J93" s="33"/>
    </row>
    <row r="94" spans="1:12">
      <c r="A94" s="24" t="s">
        <v>69</v>
      </c>
      <c r="B94" s="68">
        <v>1</v>
      </c>
      <c r="C94" s="68">
        <v>1501</v>
      </c>
      <c r="D94" s="25">
        <f t="shared" si="6"/>
        <v>6.6622251832111927E-4</v>
      </c>
      <c r="E94" s="30"/>
      <c r="F94" s="30"/>
      <c r="G94" s="30"/>
      <c r="H94" s="30"/>
      <c r="I94" s="30"/>
      <c r="J94" s="33"/>
    </row>
    <row r="95" spans="1:12">
      <c r="A95" s="24" t="s">
        <v>70</v>
      </c>
      <c r="B95" s="68">
        <v>3</v>
      </c>
      <c r="C95" s="68">
        <v>1427</v>
      </c>
      <c r="D95" s="25">
        <f t="shared" si="6"/>
        <v>2.1023125437981782E-3</v>
      </c>
      <c r="E95" s="30"/>
      <c r="F95" s="30"/>
      <c r="G95" s="30"/>
      <c r="H95" s="30"/>
      <c r="I95" s="30"/>
      <c r="J95" s="33"/>
    </row>
    <row r="96" spans="1:12">
      <c r="A96" s="24" t="s">
        <v>71</v>
      </c>
      <c r="B96" s="68">
        <v>4</v>
      </c>
      <c r="C96" s="68">
        <v>1218</v>
      </c>
      <c r="D96" s="25">
        <f t="shared" si="6"/>
        <v>3.2840722495894909E-3</v>
      </c>
      <c r="E96" s="30"/>
      <c r="F96" s="30"/>
      <c r="G96" s="30"/>
      <c r="H96" s="30"/>
      <c r="I96" s="30"/>
      <c r="J96" s="33"/>
    </row>
    <row r="97" spans="1:10">
      <c r="A97" s="24" t="s">
        <v>72</v>
      </c>
      <c r="B97" s="68">
        <v>1</v>
      </c>
      <c r="C97" s="68">
        <v>1453</v>
      </c>
      <c r="D97" s="25">
        <f t="shared" si="6"/>
        <v>6.8823124569855469E-4</v>
      </c>
      <c r="E97" s="30"/>
      <c r="F97" s="30"/>
      <c r="G97" s="30"/>
      <c r="H97" s="30"/>
      <c r="I97" s="30"/>
      <c r="J97" s="33"/>
    </row>
    <row r="98" spans="1:10">
      <c r="A98" s="24" t="s">
        <v>73</v>
      </c>
      <c r="B98" s="68"/>
      <c r="C98" s="68"/>
      <c r="D98" s="25" t="e">
        <f t="shared" si="6"/>
        <v>#DIV/0!</v>
      </c>
      <c r="E98" s="30"/>
      <c r="F98" s="30"/>
      <c r="G98" s="30"/>
      <c r="H98" s="30"/>
      <c r="I98" s="30"/>
      <c r="J98" s="33"/>
    </row>
    <row r="99" spans="1:10">
      <c r="A99" s="24" t="s">
        <v>74</v>
      </c>
      <c r="B99" s="68"/>
      <c r="C99" s="68"/>
      <c r="D99" s="25" t="e">
        <f t="shared" si="6"/>
        <v>#DIV/0!</v>
      </c>
      <c r="E99" s="30"/>
      <c r="F99" s="30"/>
      <c r="G99" s="30"/>
      <c r="H99" s="30"/>
      <c r="I99" s="30"/>
      <c r="J99" s="33"/>
    </row>
    <row r="100" spans="1:10">
      <c r="A100" s="24" t="s">
        <v>75</v>
      </c>
      <c r="B100" s="68"/>
      <c r="C100" s="68"/>
      <c r="D100" s="25" t="e">
        <f t="shared" si="6"/>
        <v>#DIV/0!</v>
      </c>
      <c r="E100" s="30"/>
      <c r="F100" s="30"/>
      <c r="G100" s="30"/>
      <c r="H100" s="30"/>
      <c r="I100" s="30"/>
      <c r="J100" s="33"/>
    </row>
    <row r="101" spans="1:10">
      <c r="A101" s="24" t="s">
        <v>76</v>
      </c>
      <c r="B101" s="68"/>
      <c r="C101" s="68"/>
      <c r="D101" s="25" t="e">
        <f t="shared" si="6"/>
        <v>#DIV/0!</v>
      </c>
      <c r="E101" s="30"/>
      <c r="F101" s="30"/>
      <c r="G101" s="30"/>
      <c r="H101" s="30"/>
      <c r="I101" s="30"/>
      <c r="J101" s="33"/>
    </row>
    <row r="102" spans="1:10">
      <c r="A102" s="24" t="s">
        <v>77</v>
      </c>
      <c r="B102" s="68"/>
      <c r="C102" s="68"/>
      <c r="D102" s="25" t="e">
        <f t="shared" si="6"/>
        <v>#DIV/0!</v>
      </c>
      <c r="E102" s="30"/>
      <c r="F102" s="30"/>
      <c r="G102" s="30"/>
      <c r="H102" s="30"/>
      <c r="I102" s="30"/>
      <c r="J102" s="33"/>
    </row>
    <row r="103" spans="1:10">
      <c r="A103" s="31" t="s">
        <v>3</v>
      </c>
      <c r="B103" s="182" t="s">
        <v>220</v>
      </c>
      <c r="C103" s="182"/>
      <c r="D103" s="182"/>
      <c r="E103" s="182"/>
      <c r="F103" s="182"/>
      <c r="G103" s="182"/>
      <c r="H103" s="182"/>
      <c r="I103" s="182"/>
      <c r="J103" s="182"/>
    </row>
    <row r="104" spans="1:10">
      <c r="A104" s="31" t="s">
        <v>63</v>
      </c>
      <c r="B104" s="184" t="s">
        <v>221</v>
      </c>
      <c r="C104" s="184"/>
      <c r="D104" s="184"/>
      <c r="E104" s="184"/>
      <c r="F104" s="184"/>
      <c r="G104" s="184"/>
      <c r="H104" s="184"/>
      <c r="I104" s="184"/>
      <c r="J104" s="184"/>
    </row>
    <row r="105" spans="1:10" ht="30">
      <c r="A105" s="119" t="s">
        <v>65</v>
      </c>
      <c r="B105" s="118" t="s">
        <v>222</v>
      </c>
      <c r="C105" s="118" t="s">
        <v>223</v>
      </c>
      <c r="D105" s="118" t="s">
        <v>229</v>
      </c>
      <c r="E105" s="30"/>
      <c r="F105" s="30"/>
      <c r="G105" s="30"/>
      <c r="H105" s="30"/>
      <c r="I105" s="30"/>
      <c r="J105" s="33"/>
    </row>
    <row r="106" spans="1:10">
      <c r="A106" s="24" t="s">
        <v>66</v>
      </c>
      <c r="B106" s="68"/>
      <c r="C106" s="68"/>
      <c r="D106" s="25" t="e">
        <f>B106/C106</f>
        <v>#DIV/0!</v>
      </c>
      <c r="E106" s="30"/>
      <c r="F106" s="30"/>
      <c r="G106" s="30"/>
      <c r="H106" s="30"/>
      <c r="I106" s="30"/>
      <c r="J106" s="33"/>
    </row>
    <row r="107" spans="1:10">
      <c r="A107" s="24" t="s">
        <v>67</v>
      </c>
      <c r="B107" s="68"/>
      <c r="C107" s="68"/>
      <c r="D107" s="25" t="e">
        <f t="shared" ref="D107:D117" si="7">B107/C107</f>
        <v>#DIV/0!</v>
      </c>
      <c r="E107" s="30"/>
      <c r="F107" s="30"/>
      <c r="G107" s="30"/>
      <c r="H107" s="30"/>
      <c r="I107" s="30"/>
      <c r="J107" s="33"/>
    </row>
    <row r="108" spans="1:10">
      <c r="A108" s="24" t="s">
        <v>68</v>
      </c>
      <c r="B108" s="68"/>
      <c r="C108" s="68"/>
      <c r="D108" s="25" t="e">
        <f t="shared" si="7"/>
        <v>#DIV/0!</v>
      </c>
      <c r="E108" s="30"/>
      <c r="F108" s="30"/>
      <c r="G108" s="30"/>
      <c r="H108" s="30"/>
      <c r="I108" s="30"/>
      <c r="J108" s="33"/>
    </row>
    <row r="109" spans="1:10">
      <c r="A109" s="24" t="s">
        <v>69</v>
      </c>
      <c r="B109" s="68"/>
      <c r="C109" s="68"/>
      <c r="D109" s="25" t="e">
        <f t="shared" si="7"/>
        <v>#DIV/0!</v>
      </c>
      <c r="E109" s="30"/>
      <c r="F109" s="30"/>
      <c r="G109" s="30"/>
      <c r="H109" s="30"/>
      <c r="I109" s="30"/>
      <c r="J109" s="33"/>
    </row>
    <row r="110" spans="1:10">
      <c r="A110" s="24" t="s">
        <v>70</v>
      </c>
      <c r="B110" s="68"/>
      <c r="C110" s="68"/>
      <c r="D110" s="25" t="e">
        <f t="shared" si="7"/>
        <v>#DIV/0!</v>
      </c>
      <c r="E110" s="30"/>
      <c r="F110" s="30"/>
      <c r="G110" s="30"/>
      <c r="H110" s="30"/>
      <c r="I110" s="30"/>
      <c r="J110" s="33"/>
    </row>
    <row r="111" spans="1:10">
      <c r="A111" s="24" t="s">
        <v>71</v>
      </c>
      <c r="B111" s="68"/>
      <c r="C111" s="68"/>
      <c r="D111" s="25" t="e">
        <f t="shared" si="7"/>
        <v>#DIV/0!</v>
      </c>
      <c r="E111" s="30"/>
      <c r="F111" s="30"/>
      <c r="G111" s="30"/>
      <c r="H111" s="30"/>
      <c r="I111" s="30"/>
      <c r="J111" s="33"/>
    </row>
    <row r="112" spans="1:10">
      <c r="A112" s="24" t="s">
        <v>72</v>
      </c>
      <c r="B112" s="68"/>
      <c r="C112" s="68"/>
      <c r="D112" s="25" t="e">
        <f t="shared" si="7"/>
        <v>#DIV/0!</v>
      </c>
      <c r="E112" s="30"/>
      <c r="F112" s="30"/>
      <c r="G112" s="30"/>
      <c r="H112" s="30"/>
      <c r="I112" s="30"/>
      <c r="J112" s="33"/>
    </row>
    <row r="113" spans="1:10">
      <c r="A113" s="24" t="s">
        <v>73</v>
      </c>
      <c r="B113" s="68"/>
      <c r="C113" s="68"/>
      <c r="D113" s="25" t="e">
        <f t="shared" si="7"/>
        <v>#DIV/0!</v>
      </c>
      <c r="E113" s="30"/>
      <c r="F113" s="30"/>
      <c r="G113" s="30"/>
      <c r="H113" s="30"/>
      <c r="I113" s="30"/>
      <c r="J113" s="33"/>
    </row>
    <row r="114" spans="1:10">
      <c r="A114" s="24" t="s">
        <v>74</v>
      </c>
      <c r="B114" s="68"/>
      <c r="C114" s="68"/>
      <c r="D114" s="25" t="e">
        <f t="shared" si="7"/>
        <v>#DIV/0!</v>
      </c>
      <c r="E114" s="30"/>
      <c r="F114" s="30"/>
      <c r="G114" s="30"/>
      <c r="H114" s="30"/>
      <c r="I114" s="30"/>
      <c r="J114" s="33"/>
    </row>
    <row r="115" spans="1:10">
      <c r="A115" s="24" t="s">
        <v>75</v>
      </c>
      <c r="B115" s="68"/>
      <c r="C115" s="68"/>
      <c r="D115" s="25" t="e">
        <f t="shared" si="7"/>
        <v>#DIV/0!</v>
      </c>
      <c r="E115" s="30"/>
      <c r="F115" s="30"/>
      <c r="G115" s="30"/>
      <c r="H115" s="30"/>
      <c r="I115" s="30"/>
      <c r="J115" s="33"/>
    </row>
    <row r="116" spans="1:10">
      <c r="A116" s="24" t="s">
        <v>76</v>
      </c>
      <c r="B116" s="68"/>
      <c r="C116" s="68"/>
      <c r="D116" s="25" t="e">
        <f t="shared" si="7"/>
        <v>#DIV/0!</v>
      </c>
      <c r="E116" s="30"/>
      <c r="F116" s="30"/>
      <c r="G116" s="30"/>
      <c r="H116" s="30"/>
      <c r="I116" s="30"/>
      <c r="J116" s="33"/>
    </row>
    <row r="117" spans="1:10">
      <c r="A117" s="24" t="s">
        <v>77</v>
      </c>
      <c r="B117" s="68"/>
      <c r="C117" s="68"/>
      <c r="D117" s="25" t="e">
        <f t="shared" si="7"/>
        <v>#DIV/0!</v>
      </c>
      <c r="E117" s="30"/>
      <c r="F117" s="30"/>
      <c r="G117" s="30"/>
      <c r="H117" s="30"/>
      <c r="I117" s="30"/>
      <c r="J117" s="33"/>
    </row>
    <row r="118" spans="1:10">
      <c r="A118" s="227"/>
      <c r="B118" s="228"/>
      <c r="C118" s="228"/>
      <c r="D118" s="228"/>
      <c r="E118" s="228"/>
      <c r="F118" s="228"/>
      <c r="G118" s="228"/>
      <c r="H118" s="228"/>
      <c r="I118" s="228"/>
      <c r="J118" s="229"/>
    </row>
    <row r="119" spans="1:10">
      <c r="A119" s="31" t="s">
        <v>3</v>
      </c>
      <c r="B119" s="182" t="s">
        <v>179</v>
      </c>
      <c r="C119" s="182"/>
      <c r="D119" s="182"/>
      <c r="E119" s="182"/>
      <c r="F119" s="182"/>
      <c r="G119" s="182"/>
      <c r="H119" s="182"/>
      <c r="I119" s="182"/>
      <c r="J119" s="182"/>
    </row>
    <row r="120" spans="1:10">
      <c r="A120" s="31" t="s">
        <v>63</v>
      </c>
      <c r="B120" s="184" t="s">
        <v>182</v>
      </c>
      <c r="C120" s="184"/>
      <c r="D120" s="184"/>
      <c r="E120" s="184"/>
      <c r="F120" s="184"/>
      <c r="G120" s="184"/>
      <c r="H120" s="184"/>
      <c r="I120" s="184"/>
      <c r="J120" s="184"/>
    </row>
    <row r="121" spans="1:10" ht="15.75">
      <c r="A121" s="92" t="s">
        <v>224</v>
      </c>
      <c r="B121" s="35"/>
      <c r="C121" s="35"/>
      <c r="D121" s="35"/>
      <c r="E121" s="35"/>
      <c r="F121" s="35"/>
      <c r="G121" s="35"/>
      <c r="H121" s="35"/>
      <c r="I121" s="35"/>
      <c r="J121" s="36"/>
    </row>
  </sheetData>
  <mergeCells count="29">
    <mergeCell ref="A87:J87"/>
    <mergeCell ref="B88:J88"/>
    <mergeCell ref="B89:J89"/>
    <mergeCell ref="N3:S3"/>
    <mergeCell ref="A1:B3"/>
    <mergeCell ref="C1:H3"/>
    <mergeCell ref="I1:J1"/>
    <mergeCell ref="I2:J2"/>
    <mergeCell ref="I3:J3"/>
    <mergeCell ref="B40:J40"/>
    <mergeCell ref="B41:J41"/>
    <mergeCell ref="A39:J39"/>
    <mergeCell ref="B25:J25"/>
    <mergeCell ref="B8:J8"/>
    <mergeCell ref="A23:J23"/>
    <mergeCell ref="B24:J24"/>
    <mergeCell ref="B72:J72"/>
    <mergeCell ref="B73:J73"/>
    <mergeCell ref="A71:J71"/>
    <mergeCell ref="A4:B5"/>
    <mergeCell ref="C4:J5"/>
    <mergeCell ref="A6:B6"/>
    <mergeCell ref="C6:J6"/>
    <mergeCell ref="B9:J9"/>
    <mergeCell ref="B103:J103"/>
    <mergeCell ref="B104:J104"/>
    <mergeCell ref="A118:J118"/>
    <mergeCell ref="B119:J119"/>
    <mergeCell ref="B120:J120"/>
  </mergeCells>
  <pageMargins left="0.7" right="0.7" top="0.75" bottom="0.75" header="0.3" footer="0.3"/>
  <pageSetup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
  <sheetViews>
    <sheetView topLeftCell="A7" zoomScale="90" zoomScaleNormal="90" workbookViewId="0">
      <selection activeCell="A25" sqref="A25"/>
    </sheetView>
  </sheetViews>
  <sheetFormatPr baseColWidth="10" defaultRowHeight="15"/>
  <cols>
    <col min="1" max="1" width="12.28515625" customWidth="1"/>
    <col min="2" max="5" width="14.5703125" customWidth="1"/>
  </cols>
  <sheetData>
    <row r="1" spans="1:19">
      <c r="A1" s="186"/>
      <c r="B1" s="186"/>
      <c r="C1" s="150" t="s">
        <v>84</v>
      </c>
      <c r="D1" s="150"/>
      <c r="E1" s="150"/>
      <c r="F1" s="150"/>
      <c r="G1" s="150"/>
      <c r="H1" s="150"/>
      <c r="I1" s="187" t="s">
        <v>155</v>
      </c>
      <c r="J1" s="187"/>
    </row>
    <row r="2" spans="1:19">
      <c r="A2" s="186"/>
      <c r="B2" s="186"/>
      <c r="C2" s="150"/>
      <c r="D2" s="150"/>
      <c r="E2" s="150"/>
      <c r="F2" s="150"/>
      <c r="G2" s="150"/>
      <c r="H2" s="150"/>
      <c r="I2" s="187" t="s">
        <v>85</v>
      </c>
      <c r="J2" s="187"/>
      <c r="N2" s="30"/>
      <c r="O2" s="30"/>
      <c r="P2" s="30"/>
      <c r="Q2" s="30"/>
      <c r="R2" s="30"/>
      <c r="S2" s="30"/>
    </row>
    <row r="3" spans="1:19">
      <c r="A3" s="186"/>
      <c r="B3" s="186"/>
      <c r="C3" s="150"/>
      <c r="D3" s="150"/>
      <c r="E3" s="150"/>
      <c r="F3" s="150"/>
      <c r="G3" s="150"/>
      <c r="H3" s="150"/>
      <c r="I3" s="187" t="s">
        <v>121</v>
      </c>
      <c r="J3" s="187"/>
      <c r="N3" s="177"/>
      <c r="O3" s="177"/>
      <c r="P3" s="177"/>
      <c r="Q3" s="177"/>
      <c r="R3" s="177"/>
      <c r="S3" s="177"/>
    </row>
    <row r="4" spans="1:19" ht="15" customHeight="1">
      <c r="A4" s="209" t="s">
        <v>62</v>
      </c>
      <c r="B4" s="209"/>
      <c r="C4" s="233" t="s">
        <v>112</v>
      </c>
      <c r="D4" s="233"/>
      <c r="E4" s="233"/>
      <c r="F4" s="233"/>
      <c r="G4" s="233"/>
      <c r="H4" s="233"/>
      <c r="I4" s="233"/>
      <c r="J4" s="233"/>
      <c r="N4" s="30"/>
      <c r="O4" s="30"/>
      <c r="P4" s="30"/>
      <c r="Q4" s="30"/>
      <c r="R4" s="30"/>
      <c r="S4" s="30"/>
    </row>
    <row r="5" spans="1:19">
      <c r="A5" s="209"/>
      <c r="B5" s="209"/>
      <c r="C5" s="233"/>
      <c r="D5" s="233"/>
      <c r="E5" s="233"/>
      <c r="F5" s="233"/>
      <c r="G5" s="233"/>
      <c r="H5" s="233"/>
      <c r="I5" s="233"/>
      <c r="J5" s="233"/>
      <c r="N5" s="30"/>
      <c r="O5" s="30"/>
      <c r="P5" s="30"/>
      <c r="Q5" s="30"/>
      <c r="R5" s="30"/>
      <c r="S5" s="30"/>
    </row>
    <row r="6" spans="1:19" ht="43.5" customHeight="1">
      <c r="A6" s="209" t="s">
        <v>206</v>
      </c>
      <c r="B6" s="209"/>
      <c r="C6" s="233" t="s">
        <v>212</v>
      </c>
      <c r="D6" s="233"/>
      <c r="E6" s="233"/>
      <c r="F6" s="233"/>
      <c r="G6" s="233"/>
      <c r="H6" s="233"/>
      <c r="I6" s="233"/>
      <c r="J6" s="233"/>
      <c r="N6" s="30"/>
      <c r="O6" s="30"/>
      <c r="P6" s="30"/>
      <c r="Q6" s="30"/>
      <c r="R6" s="30"/>
      <c r="S6" s="30"/>
    </row>
    <row r="7" spans="1:19">
      <c r="A7" s="26"/>
      <c r="B7" s="27"/>
      <c r="C7" s="27"/>
      <c r="D7" s="27"/>
      <c r="E7" s="27"/>
      <c r="F7" s="27"/>
      <c r="G7" s="28"/>
      <c r="H7" s="28"/>
      <c r="I7" s="28"/>
      <c r="J7" s="28"/>
      <c r="N7" s="30"/>
      <c r="O7" s="30"/>
      <c r="P7" s="30"/>
      <c r="Q7" s="30"/>
      <c r="R7" s="30"/>
      <c r="S7" s="30"/>
    </row>
    <row r="8" spans="1:19" ht="15" customHeight="1">
      <c r="A8" s="31" t="s">
        <v>3</v>
      </c>
      <c r="B8" s="182" t="s">
        <v>13</v>
      </c>
      <c r="C8" s="182"/>
      <c r="D8" s="182"/>
      <c r="E8" s="182"/>
      <c r="F8" s="182"/>
      <c r="G8" s="182"/>
      <c r="H8" s="182"/>
      <c r="I8" s="182"/>
      <c r="J8" s="182"/>
    </row>
    <row r="9" spans="1:19">
      <c r="A9" s="31" t="s">
        <v>63</v>
      </c>
      <c r="B9" s="184" t="s">
        <v>113</v>
      </c>
      <c r="C9" s="184"/>
      <c r="D9" s="184"/>
      <c r="E9" s="184"/>
      <c r="F9" s="184"/>
      <c r="G9" s="184"/>
      <c r="H9" s="184"/>
      <c r="I9" s="184"/>
      <c r="J9" s="184"/>
    </row>
    <row r="10" spans="1:19" ht="58.5" customHeight="1">
      <c r="A10" s="2" t="s">
        <v>65</v>
      </c>
      <c r="B10" s="3" t="s">
        <v>114</v>
      </c>
      <c r="C10" s="3" t="s">
        <v>115</v>
      </c>
      <c r="D10" s="3" t="s">
        <v>64</v>
      </c>
      <c r="E10" s="30"/>
      <c r="F10" s="30"/>
      <c r="G10" s="30"/>
      <c r="H10" s="30"/>
      <c r="I10" s="30"/>
      <c r="J10" s="33"/>
    </row>
    <row r="11" spans="1:19">
      <c r="A11" s="24" t="s">
        <v>66</v>
      </c>
      <c r="B11" s="23">
        <v>1</v>
      </c>
      <c r="C11" s="23">
        <v>1</v>
      </c>
      <c r="D11" s="25">
        <f>B11/C11</f>
        <v>1</v>
      </c>
      <c r="E11" s="30"/>
      <c r="F11" s="30"/>
      <c r="G11" s="30"/>
      <c r="H11" s="30"/>
      <c r="I11" s="30"/>
      <c r="J11" s="33"/>
    </row>
    <row r="12" spans="1:19">
      <c r="A12" s="24" t="s">
        <v>67</v>
      </c>
      <c r="B12" s="23"/>
      <c r="C12" s="23"/>
      <c r="D12" s="25" t="e">
        <f t="shared" ref="D12:D22" si="0">B12/C12</f>
        <v>#DIV/0!</v>
      </c>
      <c r="E12" s="30"/>
      <c r="F12" s="30"/>
      <c r="G12" s="30"/>
      <c r="H12" s="30"/>
      <c r="I12" s="30"/>
      <c r="J12" s="33"/>
    </row>
    <row r="13" spans="1:19">
      <c r="A13" s="24" t="s">
        <v>68</v>
      </c>
      <c r="B13" s="23"/>
      <c r="C13" s="23"/>
      <c r="D13" s="25" t="e">
        <f t="shared" si="0"/>
        <v>#DIV/0!</v>
      </c>
      <c r="E13" s="30"/>
      <c r="F13" s="30"/>
      <c r="G13" s="30"/>
      <c r="H13" s="30"/>
      <c r="I13" s="30"/>
      <c r="J13" s="33"/>
    </row>
    <row r="14" spans="1:19">
      <c r="A14" s="24" t="s">
        <v>69</v>
      </c>
      <c r="B14" s="23"/>
      <c r="C14" s="23"/>
      <c r="D14" s="25" t="e">
        <f t="shared" si="0"/>
        <v>#DIV/0!</v>
      </c>
      <c r="E14" s="30"/>
      <c r="F14" s="30"/>
      <c r="G14" s="30"/>
      <c r="H14" s="30"/>
      <c r="I14" s="30"/>
      <c r="J14" s="33"/>
    </row>
    <row r="15" spans="1:19">
      <c r="A15" s="24" t="s">
        <v>70</v>
      </c>
      <c r="B15" s="23"/>
      <c r="C15" s="23"/>
      <c r="D15" s="25" t="e">
        <f t="shared" si="0"/>
        <v>#DIV/0!</v>
      </c>
      <c r="E15" s="30"/>
      <c r="F15" s="30"/>
      <c r="G15" s="30"/>
      <c r="H15" s="30"/>
      <c r="I15" s="30"/>
      <c r="J15" s="33"/>
    </row>
    <row r="16" spans="1:19">
      <c r="A16" s="24" t="s">
        <v>71</v>
      </c>
      <c r="B16" s="23"/>
      <c r="C16" s="23"/>
      <c r="D16" s="25" t="e">
        <f t="shared" si="0"/>
        <v>#DIV/0!</v>
      </c>
      <c r="E16" s="30"/>
      <c r="F16" s="30"/>
      <c r="G16" s="30"/>
      <c r="H16" s="30"/>
      <c r="I16" s="30"/>
      <c r="J16" s="33"/>
    </row>
    <row r="17" spans="1:10">
      <c r="A17" s="24" t="s">
        <v>72</v>
      </c>
      <c r="B17" s="23"/>
      <c r="C17" s="23"/>
      <c r="D17" s="25" t="e">
        <f t="shared" si="0"/>
        <v>#DIV/0!</v>
      </c>
      <c r="E17" s="30"/>
      <c r="F17" s="30"/>
      <c r="G17" s="30"/>
      <c r="H17" s="30"/>
      <c r="I17" s="30"/>
      <c r="J17" s="33"/>
    </row>
    <row r="18" spans="1:10">
      <c r="A18" s="24" t="s">
        <v>73</v>
      </c>
      <c r="B18" s="23"/>
      <c r="C18" s="23"/>
      <c r="D18" s="25" t="e">
        <f t="shared" si="0"/>
        <v>#DIV/0!</v>
      </c>
      <c r="E18" s="30"/>
      <c r="F18" s="30"/>
      <c r="G18" s="30"/>
      <c r="H18" s="30"/>
      <c r="I18" s="30"/>
      <c r="J18" s="33"/>
    </row>
    <row r="19" spans="1:10">
      <c r="A19" s="24" t="s">
        <v>74</v>
      </c>
      <c r="B19" s="23"/>
      <c r="C19" s="23"/>
      <c r="D19" s="25" t="e">
        <f t="shared" si="0"/>
        <v>#DIV/0!</v>
      </c>
      <c r="E19" s="30"/>
      <c r="F19" s="30"/>
      <c r="G19" s="30"/>
      <c r="H19" s="30"/>
      <c r="I19" s="30"/>
      <c r="J19" s="33"/>
    </row>
    <row r="20" spans="1:10">
      <c r="A20" s="24" t="s">
        <v>75</v>
      </c>
      <c r="B20" s="125"/>
      <c r="C20" s="125"/>
      <c r="D20" s="25" t="e">
        <f t="shared" si="0"/>
        <v>#DIV/0!</v>
      </c>
      <c r="E20" s="30"/>
      <c r="F20" s="30"/>
      <c r="G20" s="30"/>
      <c r="H20" s="30"/>
      <c r="I20" s="30"/>
      <c r="J20" s="33"/>
    </row>
    <row r="21" spans="1:10">
      <c r="A21" s="24" t="s">
        <v>76</v>
      </c>
      <c r="B21" s="23"/>
      <c r="C21" s="23"/>
      <c r="D21" s="25" t="e">
        <f t="shared" si="0"/>
        <v>#DIV/0!</v>
      </c>
      <c r="E21" s="30"/>
      <c r="F21" s="30"/>
      <c r="G21" s="30"/>
      <c r="H21" s="30"/>
      <c r="I21" s="30"/>
      <c r="J21" s="33"/>
    </row>
    <row r="22" spans="1:10">
      <c r="A22" s="24" t="s">
        <v>77</v>
      </c>
      <c r="B22" s="23"/>
      <c r="C22" s="23"/>
      <c r="D22" s="25" t="e">
        <f t="shared" si="0"/>
        <v>#DIV/0!</v>
      </c>
      <c r="E22" s="30"/>
      <c r="F22" s="30"/>
      <c r="G22" s="30"/>
      <c r="H22" s="30"/>
      <c r="I22" s="30"/>
      <c r="J22" s="33"/>
    </row>
    <row r="23" spans="1:10">
      <c r="A23" s="21"/>
      <c r="B23" s="62">
        <f>SUM(B11:B22)/41</f>
        <v>2.4390243902439025E-2</v>
      </c>
      <c r="C23" s="62">
        <f>SUM(C11:C22)/41</f>
        <v>2.4390243902439025E-2</v>
      </c>
      <c r="D23" s="30"/>
      <c r="E23" s="30"/>
      <c r="F23" s="30"/>
      <c r="G23" s="30"/>
      <c r="H23" s="30"/>
      <c r="I23" s="30"/>
      <c r="J23" s="33"/>
    </row>
    <row r="24" spans="1:10" ht="15.75">
      <c r="A24" s="34" t="s">
        <v>269</v>
      </c>
      <c r="B24" s="32"/>
      <c r="C24" s="30"/>
      <c r="D24" s="30"/>
      <c r="E24" s="30"/>
      <c r="F24" s="30"/>
      <c r="G24" s="30"/>
      <c r="H24" s="30"/>
      <c r="I24" s="30"/>
      <c r="J24" s="33"/>
    </row>
    <row r="25" spans="1:10">
      <c r="A25" s="22"/>
      <c r="B25" s="35"/>
      <c r="C25" s="35"/>
      <c r="D25" s="35"/>
      <c r="E25" s="35"/>
      <c r="F25" s="35"/>
      <c r="G25" s="35"/>
      <c r="H25" s="35"/>
      <c r="I25" s="35"/>
      <c r="J25" s="36"/>
    </row>
  </sheetData>
  <mergeCells count="12">
    <mergeCell ref="N3:S3"/>
    <mergeCell ref="B8:J8"/>
    <mergeCell ref="B9:J9"/>
    <mergeCell ref="A1:B3"/>
    <mergeCell ref="C1:H3"/>
    <mergeCell ref="I1:J1"/>
    <mergeCell ref="I2:J2"/>
    <mergeCell ref="I3:J3"/>
    <mergeCell ref="A4:B5"/>
    <mergeCell ref="C4:J5"/>
    <mergeCell ref="A6:B6"/>
    <mergeCell ref="C6:J6"/>
  </mergeCells>
  <pageMargins left="0.7" right="0.7" top="0.75" bottom="0.75" header="0.3" footer="0.3"/>
  <pageSetup scale="7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
  <sheetViews>
    <sheetView topLeftCell="A15" zoomScale="130" zoomScaleNormal="130" workbookViewId="0">
      <selection activeCell="C6" sqref="C6:J6"/>
    </sheetView>
  </sheetViews>
  <sheetFormatPr baseColWidth="10" defaultRowHeight="15"/>
  <cols>
    <col min="1" max="1" width="12.28515625" customWidth="1"/>
    <col min="2" max="3" width="14.5703125" customWidth="1"/>
    <col min="4" max="4" width="14.5703125" style="41" customWidth="1"/>
    <col min="5" max="5" width="14.5703125" customWidth="1"/>
  </cols>
  <sheetData>
    <row r="1" spans="1:19">
      <c r="A1" s="186"/>
      <c r="B1" s="186"/>
      <c r="C1" s="150" t="s">
        <v>84</v>
      </c>
      <c r="D1" s="150"/>
      <c r="E1" s="150"/>
      <c r="F1" s="150"/>
      <c r="G1" s="150"/>
      <c r="H1" s="150"/>
      <c r="I1" s="187" t="s">
        <v>155</v>
      </c>
      <c r="J1" s="187"/>
    </row>
    <row r="2" spans="1:19">
      <c r="A2" s="186"/>
      <c r="B2" s="186"/>
      <c r="C2" s="150"/>
      <c r="D2" s="150"/>
      <c r="E2" s="150"/>
      <c r="F2" s="150"/>
      <c r="G2" s="150"/>
      <c r="H2" s="150"/>
      <c r="I2" s="187" t="s">
        <v>85</v>
      </c>
      <c r="J2" s="187"/>
      <c r="N2" s="30"/>
      <c r="O2" s="30"/>
      <c r="P2" s="30"/>
      <c r="Q2" s="30"/>
      <c r="R2" s="30"/>
      <c r="S2" s="30"/>
    </row>
    <row r="3" spans="1:19">
      <c r="A3" s="186"/>
      <c r="B3" s="186"/>
      <c r="C3" s="150"/>
      <c r="D3" s="150"/>
      <c r="E3" s="150"/>
      <c r="F3" s="150"/>
      <c r="G3" s="150"/>
      <c r="H3" s="150"/>
      <c r="I3" s="187" t="s">
        <v>120</v>
      </c>
      <c r="J3" s="187"/>
      <c r="N3" s="177"/>
      <c r="O3" s="177"/>
      <c r="P3" s="177"/>
      <c r="Q3" s="177"/>
      <c r="R3" s="177"/>
      <c r="S3" s="177"/>
    </row>
    <row r="4" spans="1:19" ht="15" customHeight="1">
      <c r="A4" s="209" t="s">
        <v>62</v>
      </c>
      <c r="B4" s="209"/>
      <c r="C4" s="233" t="s">
        <v>116</v>
      </c>
      <c r="D4" s="233"/>
      <c r="E4" s="233"/>
      <c r="F4" s="233"/>
      <c r="G4" s="233"/>
      <c r="H4" s="233"/>
      <c r="I4" s="233"/>
      <c r="J4" s="233"/>
      <c r="N4" s="30"/>
      <c r="O4" s="30"/>
      <c r="P4" s="30"/>
      <c r="Q4" s="30"/>
      <c r="R4" s="30"/>
      <c r="S4" s="30"/>
    </row>
    <row r="5" spans="1:19">
      <c r="A5" s="209"/>
      <c r="B5" s="209"/>
      <c r="C5" s="233"/>
      <c r="D5" s="233"/>
      <c r="E5" s="233"/>
      <c r="F5" s="233"/>
      <c r="G5" s="233"/>
      <c r="H5" s="233"/>
      <c r="I5" s="233"/>
      <c r="J5" s="233"/>
      <c r="N5" s="30"/>
      <c r="O5" s="30"/>
      <c r="P5" s="30"/>
      <c r="Q5" s="30"/>
      <c r="R5" s="30"/>
      <c r="S5" s="30"/>
    </row>
    <row r="6" spans="1:19" ht="31.5" customHeight="1">
      <c r="A6" s="209" t="s">
        <v>206</v>
      </c>
      <c r="B6" s="209"/>
      <c r="C6" s="195" t="s">
        <v>213</v>
      </c>
      <c r="D6" s="195"/>
      <c r="E6" s="195"/>
      <c r="F6" s="195"/>
      <c r="G6" s="195"/>
      <c r="H6" s="195"/>
      <c r="I6" s="195"/>
      <c r="J6" s="195"/>
      <c r="N6" s="30"/>
      <c r="O6" s="30"/>
      <c r="P6" s="30"/>
      <c r="Q6" s="30"/>
      <c r="R6" s="30"/>
      <c r="S6" s="30"/>
    </row>
    <row r="7" spans="1:19">
      <c r="A7" s="26"/>
      <c r="B7" s="27"/>
      <c r="C7" s="27"/>
      <c r="D7" s="37"/>
      <c r="E7" s="27"/>
      <c r="F7" s="27"/>
      <c r="G7" s="28"/>
      <c r="H7" s="28"/>
      <c r="I7" s="28"/>
      <c r="J7" s="28"/>
      <c r="N7" s="30"/>
      <c r="O7" s="30"/>
      <c r="P7" s="30"/>
      <c r="Q7" s="30"/>
      <c r="R7" s="30"/>
      <c r="S7" s="30"/>
    </row>
    <row r="8" spans="1:19" ht="15" customHeight="1">
      <c r="A8" s="31" t="s">
        <v>3</v>
      </c>
      <c r="B8" s="182" t="s">
        <v>55</v>
      </c>
      <c r="C8" s="182"/>
      <c r="D8" s="182"/>
      <c r="E8" s="182"/>
      <c r="F8" s="182"/>
      <c r="G8" s="182"/>
      <c r="H8" s="182"/>
      <c r="I8" s="182"/>
      <c r="J8" s="182"/>
    </row>
    <row r="9" spans="1:19">
      <c r="A9" s="31" t="s">
        <v>63</v>
      </c>
      <c r="B9" s="184" t="s">
        <v>52</v>
      </c>
      <c r="C9" s="184"/>
      <c r="D9" s="184"/>
      <c r="E9" s="184"/>
      <c r="F9" s="184"/>
      <c r="G9" s="184"/>
      <c r="H9" s="184"/>
      <c r="I9" s="184"/>
      <c r="J9" s="184"/>
    </row>
    <row r="10" spans="1:19" ht="58.5" customHeight="1">
      <c r="A10" s="2" t="s">
        <v>65</v>
      </c>
      <c r="B10" s="3" t="s">
        <v>86</v>
      </c>
      <c r="C10" s="3" t="s">
        <v>88</v>
      </c>
      <c r="D10" s="38" t="s">
        <v>117</v>
      </c>
      <c r="E10" s="30"/>
      <c r="F10" s="30"/>
      <c r="G10" s="30"/>
      <c r="H10" s="30"/>
      <c r="I10" s="30"/>
      <c r="J10" s="33"/>
    </row>
    <row r="11" spans="1:19">
      <c r="A11" s="24" t="s">
        <v>66</v>
      </c>
      <c r="B11" s="23">
        <v>1745</v>
      </c>
      <c r="C11" s="96">
        <v>18</v>
      </c>
      <c r="D11" s="78">
        <f>B11/C11</f>
        <v>96.944444444444443</v>
      </c>
      <c r="E11" s="30"/>
      <c r="F11" s="30"/>
      <c r="G11" s="30"/>
      <c r="H11" s="30"/>
      <c r="I11" s="30"/>
      <c r="J11" s="33"/>
    </row>
    <row r="12" spans="1:19">
      <c r="A12" s="24" t="s">
        <v>67</v>
      </c>
      <c r="B12" s="23">
        <v>1930</v>
      </c>
      <c r="C12" s="96">
        <v>20</v>
      </c>
      <c r="D12" s="78">
        <f t="shared" ref="D12:D22" si="0">B12/C12</f>
        <v>96.5</v>
      </c>
      <c r="E12" s="30"/>
      <c r="F12" s="30"/>
      <c r="G12" s="30"/>
      <c r="H12" s="30"/>
      <c r="I12" s="30"/>
      <c r="J12" s="33"/>
    </row>
    <row r="13" spans="1:19">
      <c r="A13" s="24" t="s">
        <v>68</v>
      </c>
      <c r="B13" s="23">
        <v>1923</v>
      </c>
      <c r="C13" s="97">
        <v>20</v>
      </c>
      <c r="D13" s="78">
        <f t="shared" si="0"/>
        <v>96.15</v>
      </c>
      <c r="E13" s="30"/>
      <c r="F13" s="30"/>
      <c r="G13" s="30"/>
      <c r="H13" s="30"/>
      <c r="I13" s="30"/>
      <c r="J13" s="33"/>
    </row>
    <row r="14" spans="1:19">
      <c r="A14" s="24" t="s">
        <v>69</v>
      </c>
      <c r="B14" s="23">
        <v>2247</v>
      </c>
      <c r="C14" s="98">
        <v>23</v>
      </c>
      <c r="D14" s="78">
        <f t="shared" si="0"/>
        <v>97.695652173913047</v>
      </c>
      <c r="E14" s="30"/>
      <c r="F14" s="30"/>
      <c r="G14" s="30"/>
      <c r="H14" s="30"/>
      <c r="I14" s="30"/>
      <c r="J14" s="33"/>
    </row>
    <row r="15" spans="1:19">
      <c r="A15" s="24" t="s">
        <v>70</v>
      </c>
      <c r="B15" s="23">
        <v>1952</v>
      </c>
      <c r="C15" s="101">
        <v>20</v>
      </c>
      <c r="D15" s="78">
        <f t="shared" si="0"/>
        <v>97.6</v>
      </c>
      <c r="E15" s="30"/>
      <c r="F15" s="30"/>
      <c r="G15" s="30"/>
      <c r="H15" s="30"/>
      <c r="I15" s="30"/>
      <c r="J15" s="33"/>
    </row>
    <row r="16" spans="1:19">
      <c r="A16" s="24" t="s">
        <v>71</v>
      </c>
      <c r="B16" s="23">
        <v>2160</v>
      </c>
      <c r="C16" s="101">
        <v>22</v>
      </c>
      <c r="D16" s="78">
        <f t="shared" si="0"/>
        <v>98.181818181818187</v>
      </c>
      <c r="E16" s="30"/>
      <c r="F16" s="30"/>
      <c r="G16" s="30"/>
      <c r="H16" s="30"/>
      <c r="I16" s="30"/>
      <c r="J16" s="33"/>
    </row>
    <row r="17" spans="1:10">
      <c r="A17" s="24" t="s">
        <v>72</v>
      </c>
      <c r="B17" s="23">
        <v>2048</v>
      </c>
      <c r="C17" s="121">
        <v>21</v>
      </c>
      <c r="D17" s="78">
        <f t="shared" si="0"/>
        <v>97.523809523809518</v>
      </c>
      <c r="E17" s="30"/>
      <c r="F17" s="30"/>
      <c r="G17" s="30"/>
      <c r="H17" s="30"/>
      <c r="I17" s="30"/>
      <c r="J17" s="33"/>
    </row>
    <row r="18" spans="1:10">
      <c r="A18" s="24" t="s">
        <v>73</v>
      </c>
      <c r="B18" s="23"/>
      <c r="C18" s="121"/>
      <c r="D18" s="78" t="e">
        <f t="shared" si="0"/>
        <v>#DIV/0!</v>
      </c>
      <c r="E18" s="30"/>
      <c r="F18" s="30"/>
      <c r="G18" s="30"/>
      <c r="H18" s="30"/>
      <c r="I18" s="30"/>
      <c r="J18" s="33"/>
    </row>
    <row r="19" spans="1:10">
      <c r="A19" s="24" t="s">
        <v>74</v>
      </c>
      <c r="B19" s="23"/>
      <c r="C19" s="121"/>
      <c r="D19" s="78" t="e">
        <f t="shared" si="0"/>
        <v>#DIV/0!</v>
      </c>
      <c r="E19" s="30"/>
      <c r="F19" s="30"/>
      <c r="G19" s="30"/>
      <c r="H19" s="30"/>
      <c r="I19" s="30"/>
      <c r="J19" s="33"/>
    </row>
    <row r="20" spans="1:10">
      <c r="A20" s="24" t="s">
        <v>75</v>
      </c>
      <c r="B20" s="23"/>
      <c r="C20" s="121"/>
      <c r="D20" s="78" t="e">
        <f t="shared" si="0"/>
        <v>#DIV/0!</v>
      </c>
      <c r="E20" s="30"/>
      <c r="F20" s="30"/>
      <c r="G20" s="30"/>
      <c r="H20" s="30"/>
      <c r="I20" s="30"/>
      <c r="J20" s="33"/>
    </row>
    <row r="21" spans="1:10">
      <c r="A21" s="24" t="s">
        <v>76</v>
      </c>
      <c r="B21" s="23"/>
      <c r="C21" s="121"/>
      <c r="D21" s="78" t="e">
        <f t="shared" si="0"/>
        <v>#DIV/0!</v>
      </c>
      <c r="E21" s="30"/>
      <c r="F21" s="30"/>
      <c r="G21" s="30"/>
      <c r="H21" s="30"/>
      <c r="I21" s="30"/>
      <c r="J21" s="33"/>
    </row>
    <row r="22" spans="1:10">
      <c r="A22" s="24" t="s">
        <v>77</v>
      </c>
      <c r="B22" s="23"/>
      <c r="C22" s="121"/>
      <c r="D22" s="78" t="e">
        <f t="shared" si="0"/>
        <v>#DIV/0!</v>
      </c>
      <c r="E22" s="30"/>
      <c r="F22" s="30"/>
      <c r="G22" s="30"/>
      <c r="H22" s="30"/>
      <c r="I22" s="30"/>
      <c r="J22" s="33"/>
    </row>
    <row r="23" spans="1:10">
      <c r="A23" s="21"/>
      <c r="B23" s="30"/>
      <c r="C23" s="30"/>
      <c r="D23" s="39"/>
      <c r="E23" s="30"/>
      <c r="F23" s="30"/>
      <c r="G23" s="30"/>
      <c r="H23" s="30"/>
      <c r="I23" s="30"/>
      <c r="J23" s="33"/>
    </row>
    <row r="24" spans="1:10" ht="15.75">
      <c r="A24" s="34" t="s">
        <v>118</v>
      </c>
      <c r="B24" s="32" t="s">
        <v>191</v>
      </c>
      <c r="C24" s="30"/>
      <c r="D24" s="39"/>
      <c r="E24" s="30"/>
      <c r="F24" s="30"/>
      <c r="G24" s="30"/>
      <c r="H24" s="30"/>
      <c r="I24" s="30"/>
      <c r="J24" s="33"/>
    </row>
    <row r="25" spans="1:10">
      <c r="A25" s="22"/>
      <c r="B25" s="35"/>
      <c r="C25" s="35"/>
      <c r="D25" s="40"/>
      <c r="E25" s="35"/>
      <c r="F25" s="35"/>
      <c r="G25" s="35"/>
      <c r="H25" s="35"/>
      <c r="I25" s="35"/>
      <c r="J25" s="36"/>
    </row>
  </sheetData>
  <mergeCells count="12">
    <mergeCell ref="N3:S3"/>
    <mergeCell ref="B8:J8"/>
    <mergeCell ref="B9:J9"/>
    <mergeCell ref="A1:B3"/>
    <mergeCell ref="C1:H3"/>
    <mergeCell ref="I1:J1"/>
    <mergeCell ref="I2:J2"/>
    <mergeCell ref="I3:J3"/>
    <mergeCell ref="A4:B5"/>
    <mergeCell ref="C4:J5"/>
    <mergeCell ref="A6:B6"/>
    <mergeCell ref="C6:J6"/>
  </mergeCells>
  <pageMargins left="0.7" right="0.7" top="0.75" bottom="0.75" header="0.3" footer="0.3"/>
  <pageSetup scale="7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
  <sheetViews>
    <sheetView tabSelected="1" topLeftCell="A4" zoomScale="90" zoomScaleNormal="90" workbookViewId="0">
      <selection activeCell="G28" sqref="G28"/>
    </sheetView>
  </sheetViews>
  <sheetFormatPr baseColWidth="10" defaultRowHeight="15"/>
  <cols>
    <col min="1" max="1" width="18.140625" customWidth="1"/>
    <col min="2" max="3" width="14.5703125" customWidth="1"/>
    <col min="4" max="4" width="14.5703125" style="41" customWidth="1"/>
    <col min="5" max="5" width="14.5703125" customWidth="1"/>
  </cols>
  <sheetData>
    <row r="1" spans="1:19">
      <c r="A1" s="186"/>
      <c r="B1" s="186"/>
      <c r="C1" s="150" t="s">
        <v>84</v>
      </c>
      <c r="D1" s="150"/>
      <c r="E1" s="150"/>
      <c r="F1" s="150"/>
      <c r="G1" s="150"/>
      <c r="H1" s="150"/>
      <c r="I1" s="187" t="s">
        <v>155</v>
      </c>
      <c r="J1" s="187"/>
    </row>
    <row r="2" spans="1:19">
      <c r="A2" s="186"/>
      <c r="B2" s="186"/>
      <c r="C2" s="150"/>
      <c r="D2" s="150"/>
      <c r="E2" s="150"/>
      <c r="F2" s="150"/>
      <c r="G2" s="150"/>
      <c r="H2" s="150"/>
      <c r="I2" s="187" t="s">
        <v>85</v>
      </c>
      <c r="J2" s="187"/>
      <c r="N2" s="30"/>
      <c r="O2" s="30"/>
      <c r="P2" s="30"/>
      <c r="Q2" s="30"/>
      <c r="R2" s="30"/>
      <c r="S2" s="30"/>
    </row>
    <row r="3" spans="1:19">
      <c r="A3" s="186"/>
      <c r="B3" s="186"/>
      <c r="C3" s="150"/>
      <c r="D3" s="150"/>
      <c r="E3" s="150"/>
      <c r="F3" s="150"/>
      <c r="G3" s="150"/>
      <c r="H3" s="150"/>
      <c r="I3" s="187" t="s">
        <v>119</v>
      </c>
      <c r="J3" s="187"/>
      <c r="N3" s="177"/>
      <c r="O3" s="177"/>
      <c r="P3" s="177"/>
      <c r="Q3" s="177"/>
      <c r="R3" s="177"/>
      <c r="S3" s="177"/>
    </row>
    <row r="4" spans="1:19" ht="15" customHeight="1">
      <c r="A4" s="209" t="s">
        <v>62</v>
      </c>
      <c r="B4" s="209"/>
      <c r="C4" s="240" t="s">
        <v>27</v>
      </c>
      <c r="D4" s="240"/>
      <c r="E4" s="240"/>
      <c r="F4" s="240"/>
      <c r="G4" s="240"/>
      <c r="H4" s="240"/>
      <c r="I4" s="240"/>
      <c r="J4" s="240"/>
      <c r="N4" s="30"/>
      <c r="O4" s="30"/>
      <c r="P4" s="30"/>
      <c r="Q4" s="30"/>
      <c r="R4" s="30"/>
      <c r="S4" s="30"/>
    </row>
    <row r="5" spans="1:19">
      <c r="A5" s="209"/>
      <c r="B5" s="209"/>
      <c r="C5" s="240"/>
      <c r="D5" s="240"/>
      <c r="E5" s="240"/>
      <c r="F5" s="240"/>
      <c r="G5" s="240"/>
      <c r="H5" s="240"/>
      <c r="I5" s="240"/>
      <c r="J5" s="240"/>
      <c r="N5" s="30"/>
      <c r="O5" s="30"/>
      <c r="P5" s="30"/>
      <c r="Q5" s="30"/>
      <c r="R5" s="30"/>
      <c r="S5" s="30"/>
    </row>
    <row r="6" spans="1:19" ht="33" customHeight="1">
      <c r="A6" s="209" t="s">
        <v>206</v>
      </c>
      <c r="B6" s="209"/>
      <c r="C6" s="233" t="s">
        <v>214</v>
      </c>
      <c r="D6" s="233"/>
      <c r="E6" s="233"/>
      <c r="F6" s="233"/>
      <c r="G6" s="233"/>
      <c r="H6" s="233"/>
      <c r="I6" s="233"/>
      <c r="J6" s="233"/>
      <c r="N6" s="30"/>
      <c r="O6" s="30"/>
      <c r="P6" s="30"/>
      <c r="Q6" s="30"/>
      <c r="R6" s="30"/>
      <c r="S6" s="30"/>
    </row>
    <row r="7" spans="1:19">
      <c r="A7" s="26"/>
      <c r="B7" s="27"/>
      <c r="C7" s="27"/>
      <c r="D7" s="37"/>
      <c r="E7" s="27"/>
      <c r="F7" s="27"/>
      <c r="G7" s="28"/>
      <c r="H7" s="28"/>
      <c r="I7" s="28"/>
      <c r="J7" s="28"/>
      <c r="N7" s="30"/>
      <c r="O7" s="30"/>
      <c r="P7" s="30"/>
      <c r="Q7" s="30"/>
      <c r="R7" s="30"/>
      <c r="S7" s="30"/>
    </row>
    <row r="8" spans="1:19" ht="15" customHeight="1">
      <c r="A8" s="31" t="s">
        <v>3</v>
      </c>
      <c r="B8" s="182" t="s">
        <v>56</v>
      </c>
      <c r="C8" s="182"/>
      <c r="D8" s="182"/>
      <c r="E8" s="182"/>
      <c r="F8" s="182"/>
      <c r="G8" s="182"/>
      <c r="H8" s="182"/>
      <c r="I8" s="182"/>
      <c r="J8" s="182"/>
    </row>
    <row r="9" spans="1:19">
      <c r="A9" s="31" t="s">
        <v>63</v>
      </c>
      <c r="B9" s="184" t="s">
        <v>235</v>
      </c>
      <c r="C9" s="184"/>
      <c r="D9" s="184"/>
      <c r="E9" s="184"/>
      <c r="F9" s="184"/>
      <c r="G9" s="184"/>
      <c r="H9" s="184"/>
      <c r="I9" s="184"/>
      <c r="J9" s="184"/>
    </row>
    <row r="10" spans="1:19" ht="58.5" customHeight="1">
      <c r="A10" s="2" t="s">
        <v>65</v>
      </c>
      <c r="B10" s="3" t="s">
        <v>233</v>
      </c>
      <c r="C10" s="3" t="s">
        <v>234</v>
      </c>
      <c r="D10" s="38" t="s">
        <v>157</v>
      </c>
      <c r="E10" s="30"/>
      <c r="F10" s="30"/>
      <c r="G10" s="30"/>
      <c r="H10" s="30"/>
      <c r="I10" s="30"/>
      <c r="J10" s="33"/>
    </row>
    <row r="11" spans="1:19">
      <c r="A11" s="211" t="s">
        <v>244</v>
      </c>
      <c r="B11" s="214"/>
      <c r="C11" s="214"/>
      <c r="D11" s="238" t="e">
        <f>B11/C11</f>
        <v>#DIV/0!</v>
      </c>
      <c r="E11" s="30"/>
      <c r="F11" s="30"/>
      <c r="G11" s="30"/>
      <c r="H11" s="30"/>
      <c r="I11" s="30"/>
      <c r="J11" s="33"/>
    </row>
    <row r="12" spans="1:19">
      <c r="A12" s="212"/>
      <c r="B12" s="215"/>
      <c r="C12" s="215"/>
      <c r="D12" s="239"/>
      <c r="E12" s="30"/>
      <c r="F12" s="30"/>
      <c r="G12" s="30"/>
      <c r="H12" s="30"/>
      <c r="I12" s="30"/>
      <c r="J12" s="33"/>
    </row>
    <row r="13" spans="1:19">
      <c r="A13" s="212"/>
      <c r="B13" s="215"/>
      <c r="C13" s="215"/>
      <c r="D13" s="239"/>
      <c r="E13" s="30"/>
      <c r="F13" s="30"/>
      <c r="G13" s="30"/>
      <c r="H13" s="30"/>
      <c r="I13" s="30"/>
      <c r="J13" s="33"/>
    </row>
    <row r="14" spans="1:19">
      <c r="A14" s="234" t="s">
        <v>245</v>
      </c>
      <c r="B14" s="235"/>
      <c r="C14" s="235"/>
      <c r="D14" s="236" t="e">
        <f>B14/C14</f>
        <v>#DIV/0!</v>
      </c>
      <c r="E14" s="30"/>
      <c r="F14" s="30"/>
      <c r="G14" s="30"/>
      <c r="H14" s="30"/>
      <c r="I14" s="30"/>
      <c r="J14" s="33"/>
    </row>
    <row r="15" spans="1:19">
      <c r="A15" s="234"/>
      <c r="B15" s="235"/>
      <c r="C15" s="235"/>
      <c r="D15" s="236"/>
      <c r="E15" s="30"/>
      <c r="F15" s="30"/>
      <c r="G15" s="30"/>
    </row>
    <row r="16" spans="1:19">
      <c r="A16" s="234"/>
      <c r="B16" s="235"/>
      <c r="C16" s="235"/>
      <c r="D16" s="236"/>
      <c r="E16" s="30"/>
      <c r="F16" s="30"/>
      <c r="G16" s="30"/>
    </row>
    <row r="17" spans="1:10">
      <c r="A17" s="234" t="s">
        <v>246</v>
      </c>
      <c r="B17" s="235"/>
      <c r="C17" s="235"/>
      <c r="D17" s="237"/>
      <c r="E17" s="30"/>
      <c r="F17" s="30"/>
      <c r="G17" s="30"/>
    </row>
    <row r="18" spans="1:10">
      <c r="A18" s="234"/>
      <c r="B18" s="235"/>
      <c r="C18" s="235"/>
      <c r="D18" s="237"/>
      <c r="E18" s="30"/>
      <c r="F18" s="30"/>
      <c r="G18" s="30"/>
    </row>
    <row r="19" spans="1:10">
      <c r="A19" s="234"/>
      <c r="B19" s="235"/>
      <c r="C19" s="235"/>
      <c r="D19" s="237"/>
      <c r="E19" s="30"/>
      <c r="F19" s="30"/>
      <c r="G19" s="30"/>
    </row>
    <row r="20" spans="1:10">
      <c r="A20" s="234" t="s">
        <v>247</v>
      </c>
      <c r="B20" s="235"/>
      <c r="C20" s="235"/>
      <c r="D20" s="237"/>
      <c r="E20" s="30"/>
      <c r="F20" s="30"/>
      <c r="G20" s="30"/>
    </row>
    <row r="21" spans="1:10">
      <c r="A21" s="234"/>
      <c r="B21" s="235"/>
      <c r="C21" s="235"/>
      <c r="D21" s="237"/>
      <c r="E21" s="30"/>
      <c r="F21" s="30"/>
      <c r="G21" s="30"/>
    </row>
    <row r="22" spans="1:10">
      <c r="A22" s="234"/>
      <c r="B22" s="235"/>
      <c r="C22" s="235"/>
      <c r="D22" s="237"/>
      <c r="E22" s="30"/>
      <c r="F22" s="30"/>
      <c r="G22" s="30"/>
    </row>
    <row r="23" spans="1:10">
      <c r="A23" s="21"/>
      <c r="B23" s="30"/>
      <c r="C23" s="30"/>
      <c r="D23" s="39"/>
      <c r="E23" s="30"/>
      <c r="F23" s="30"/>
      <c r="G23" s="30"/>
    </row>
    <row r="24" spans="1:10" ht="15.75">
      <c r="A24" s="34" t="s">
        <v>270</v>
      </c>
      <c r="B24" s="32"/>
      <c r="C24" s="30"/>
      <c r="D24" s="39"/>
      <c r="E24" s="30"/>
      <c r="F24" s="30"/>
      <c r="G24" s="30"/>
    </row>
    <row r="25" spans="1:10">
      <c r="A25" s="22"/>
      <c r="B25" s="35"/>
      <c r="C25" s="35"/>
      <c r="D25" s="40"/>
      <c r="E25" s="35"/>
      <c r="F25" s="35"/>
      <c r="G25" s="35"/>
      <c r="H25" s="35"/>
      <c r="I25" s="35"/>
      <c r="J25" s="36"/>
    </row>
  </sheetData>
  <mergeCells count="28">
    <mergeCell ref="A11:A13"/>
    <mergeCell ref="B11:B13"/>
    <mergeCell ref="C11:C13"/>
    <mergeCell ref="D11:D13"/>
    <mergeCell ref="N3:S3"/>
    <mergeCell ref="B8:J8"/>
    <mergeCell ref="B9:J9"/>
    <mergeCell ref="A1:B3"/>
    <mergeCell ref="C1:H3"/>
    <mergeCell ref="I1:J1"/>
    <mergeCell ref="I2:J2"/>
    <mergeCell ref="I3:J3"/>
    <mergeCell ref="A4:B5"/>
    <mergeCell ref="C4:J5"/>
    <mergeCell ref="C6:J6"/>
    <mergeCell ref="A6:B6"/>
    <mergeCell ref="A14:A16"/>
    <mergeCell ref="B14:B16"/>
    <mergeCell ref="C14:C16"/>
    <mergeCell ref="D14:D16"/>
    <mergeCell ref="A20:A22"/>
    <mergeCell ref="B20:B22"/>
    <mergeCell ref="C20:C22"/>
    <mergeCell ref="D20:D22"/>
    <mergeCell ref="A17:A19"/>
    <mergeCell ref="B17:B19"/>
    <mergeCell ref="C17:C19"/>
    <mergeCell ref="D17:D19"/>
  </mergeCells>
  <pageMargins left="0.7" right="0.7" top="0.75" bottom="0.75" header="0.3" footer="0.3"/>
  <pageSetup scale="7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zoomScale="69" zoomScaleNormal="69" workbookViewId="0">
      <selection activeCell="G4" sqref="G4"/>
    </sheetView>
  </sheetViews>
  <sheetFormatPr baseColWidth="10" defaultRowHeight="15"/>
  <cols>
    <col min="1" max="1" width="2.28515625" bestFit="1" customWidth="1"/>
    <col min="2" max="2" width="14.140625" bestFit="1" customWidth="1"/>
    <col min="3" max="3" width="39" customWidth="1"/>
    <col min="4" max="4" width="32.28515625" customWidth="1"/>
    <col min="5" max="5" width="36" customWidth="1"/>
    <col min="6" max="7" width="34.5703125" customWidth="1"/>
    <col min="8" max="8" width="33.42578125" customWidth="1"/>
    <col min="9" max="9" width="31.85546875" customWidth="1"/>
    <col min="10" max="10" width="29.5703125" customWidth="1"/>
    <col min="11" max="11" width="32.42578125" customWidth="1"/>
    <col min="12" max="12" width="30.140625" customWidth="1"/>
    <col min="13" max="13" width="29.140625" customWidth="1"/>
    <col min="14" max="14" width="32.140625" customWidth="1"/>
    <col min="15" max="15" width="31.7109375" customWidth="1"/>
  </cols>
  <sheetData>
    <row r="1" spans="1:16" ht="66" customHeight="1">
      <c r="A1" s="241" t="s">
        <v>230</v>
      </c>
      <c r="B1" s="242"/>
      <c r="C1" s="242"/>
      <c r="D1" s="242"/>
      <c r="E1" s="242"/>
      <c r="F1" s="242"/>
      <c r="G1" s="242"/>
      <c r="H1" s="242"/>
      <c r="I1" s="242"/>
      <c r="J1" s="242"/>
      <c r="K1" s="242"/>
      <c r="L1" s="242"/>
      <c r="M1" s="242"/>
      <c r="N1" s="242"/>
      <c r="O1" s="243"/>
    </row>
    <row r="2" spans="1:16" ht="59.25" customHeight="1">
      <c r="A2" s="215">
        <v>1</v>
      </c>
      <c r="B2" s="151" t="s">
        <v>29</v>
      </c>
      <c r="C2" s="128" t="s">
        <v>216</v>
      </c>
      <c r="D2" s="151" t="s">
        <v>161</v>
      </c>
      <c r="E2" s="151" t="s">
        <v>162</v>
      </c>
      <c r="F2" s="151" t="s">
        <v>163</v>
      </c>
      <c r="G2" s="151" t="s">
        <v>164</v>
      </c>
      <c r="H2" s="151" t="s">
        <v>165</v>
      </c>
      <c r="I2" s="151" t="s">
        <v>166</v>
      </c>
      <c r="J2" s="151" t="s">
        <v>167</v>
      </c>
      <c r="K2" s="151" t="s">
        <v>168</v>
      </c>
      <c r="L2" s="151" t="s">
        <v>169</v>
      </c>
      <c r="M2" s="151" t="s">
        <v>170</v>
      </c>
      <c r="N2" s="151" t="s">
        <v>171</v>
      </c>
      <c r="O2" s="151" t="s">
        <v>172</v>
      </c>
    </row>
    <row r="3" spans="1:16">
      <c r="A3" s="215"/>
      <c r="B3" s="151"/>
      <c r="C3" s="117" t="s">
        <v>3</v>
      </c>
      <c r="D3" s="151"/>
      <c r="E3" s="151"/>
      <c r="F3" s="151"/>
      <c r="G3" s="151"/>
      <c r="H3" s="151"/>
      <c r="I3" s="151"/>
      <c r="J3" s="151"/>
      <c r="K3" s="151"/>
      <c r="L3" s="151"/>
      <c r="M3" s="151"/>
      <c r="N3" s="151"/>
      <c r="O3" s="151"/>
    </row>
    <row r="4" spans="1:16" ht="119.25" customHeight="1">
      <c r="A4" s="216"/>
      <c r="B4" s="123" t="s">
        <v>217</v>
      </c>
      <c r="C4" s="107" t="s">
        <v>92</v>
      </c>
      <c r="D4" s="126" t="s">
        <v>254</v>
      </c>
      <c r="E4" s="126" t="s">
        <v>255</v>
      </c>
      <c r="F4" s="126" t="s">
        <v>256</v>
      </c>
      <c r="G4" s="126" t="s">
        <v>257</v>
      </c>
      <c r="H4" s="126" t="s">
        <v>258</v>
      </c>
      <c r="I4" s="126" t="s">
        <v>259</v>
      </c>
      <c r="J4" s="126" t="s">
        <v>264</v>
      </c>
      <c r="K4" s="107"/>
      <c r="L4" s="107"/>
      <c r="M4" s="107"/>
      <c r="N4" s="107"/>
      <c r="O4" s="107"/>
      <c r="P4" s="108"/>
    </row>
    <row r="5" spans="1:16" ht="132" customHeight="1">
      <c r="A5" s="146">
        <v>2</v>
      </c>
      <c r="B5" s="123" t="s">
        <v>218</v>
      </c>
      <c r="C5" s="107" t="s">
        <v>139</v>
      </c>
      <c r="D5" s="107" t="s">
        <v>231</v>
      </c>
      <c r="E5" s="107" t="s">
        <v>232</v>
      </c>
      <c r="F5" s="107" t="s">
        <v>242</v>
      </c>
      <c r="G5" s="126" t="s">
        <v>236</v>
      </c>
      <c r="H5" s="107" t="s">
        <v>243</v>
      </c>
      <c r="I5" s="107" t="s">
        <v>262</v>
      </c>
      <c r="J5" s="107" t="s">
        <v>265</v>
      </c>
      <c r="K5" s="107"/>
      <c r="L5" s="107"/>
      <c r="M5" s="126"/>
      <c r="N5" s="126"/>
      <c r="O5" s="107"/>
    </row>
    <row r="6" spans="1:16" ht="78" customHeight="1">
      <c r="A6" s="146">
        <v>3</v>
      </c>
      <c r="B6" s="123" t="s">
        <v>217</v>
      </c>
      <c r="C6" s="107" t="s">
        <v>79</v>
      </c>
      <c r="D6" s="127" t="s">
        <v>237</v>
      </c>
      <c r="E6" s="127" t="s">
        <v>238</v>
      </c>
      <c r="F6" s="127" t="s">
        <v>239</v>
      </c>
      <c r="G6" s="127" t="s">
        <v>240</v>
      </c>
      <c r="H6" s="127" t="s">
        <v>241</v>
      </c>
      <c r="I6" s="127" t="s">
        <v>260</v>
      </c>
      <c r="J6" s="127" t="s">
        <v>263</v>
      </c>
      <c r="K6" s="127"/>
      <c r="L6" s="127"/>
      <c r="M6" s="127"/>
      <c r="N6" s="127"/>
      <c r="O6" s="127"/>
    </row>
    <row r="7" spans="1:16" ht="176.25" customHeight="1">
      <c r="A7" s="109">
        <v>6</v>
      </c>
      <c r="B7" s="123" t="s">
        <v>219</v>
      </c>
      <c r="C7" s="107" t="s">
        <v>13</v>
      </c>
      <c r="D7" s="107" t="s">
        <v>248</v>
      </c>
      <c r="E7" s="107" t="s">
        <v>249</v>
      </c>
      <c r="F7" s="107" t="s">
        <v>250</v>
      </c>
      <c r="G7" s="107" t="s">
        <v>251</v>
      </c>
      <c r="H7" s="139" t="s">
        <v>252</v>
      </c>
      <c r="I7" s="141" t="s">
        <v>253</v>
      </c>
      <c r="J7" s="140" t="s">
        <v>261</v>
      </c>
      <c r="K7" s="107"/>
      <c r="L7" s="107"/>
      <c r="M7" s="107"/>
      <c r="N7" s="107"/>
      <c r="O7" s="107"/>
    </row>
    <row r="8" spans="1:16" ht="59.25" customHeight="1">
      <c r="A8" s="109">
        <v>8</v>
      </c>
      <c r="B8" s="122" t="s">
        <v>218</v>
      </c>
      <c r="C8" s="107" t="s">
        <v>56</v>
      </c>
      <c r="D8" s="107"/>
      <c r="E8" s="107"/>
      <c r="F8" s="107"/>
      <c r="G8" s="107"/>
      <c r="H8" s="107"/>
      <c r="I8" s="107"/>
      <c r="J8" s="107"/>
      <c r="K8" s="107"/>
      <c r="L8" s="107"/>
      <c r="M8" s="107"/>
      <c r="N8" s="107"/>
      <c r="O8" s="107"/>
    </row>
    <row r="9" spans="1:16">
      <c r="B9" s="110"/>
    </row>
  </sheetData>
  <mergeCells count="15">
    <mergeCell ref="D2:D3"/>
    <mergeCell ref="E2:E3"/>
    <mergeCell ref="F2:F3"/>
    <mergeCell ref="A1:O1"/>
    <mergeCell ref="M2:M3"/>
    <mergeCell ref="N2:N3"/>
    <mergeCell ref="O2:O3"/>
    <mergeCell ref="A2:A4"/>
    <mergeCell ref="B2:B3"/>
    <mergeCell ref="G2:G3"/>
    <mergeCell ref="H2:H3"/>
    <mergeCell ref="I2:I3"/>
    <mergeCell ref="J2:J3"/>
    <mergeCell ref="K2:K3"/>
    <mergeCell ref="L2:L3"/>
  </mergeCells>
  <pageMargins left="0" right="0" top="0.74803149606299213" bottom="0.74803149606299213" header="0.31496062992125984" footer="0.31496062992125984"/>
  <pageSetup scale="3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97E6E5-B0B4-4EB2-A19F-AB511FA98E7A}"/>
</file>

<file path=customXml/itemProps2.xml><?xml version="1.0" encoding="utf-8"?>
<ds:datastoreItem xmlns:ds="http://schemas.openxmlformats.org/officeDocument/2006/customXml" ds:itemID="{0827929A-B5F5-47DB-A998-9A7576C19DE9}"/>
</file>

<file path=customXml/itemProps3.xml><?xml version="1.0" encoding="utf-8"?>
<ds:datastoreItem xmlns:ds="http://schemas.openxmlformats.org/officeDocument/2006/customXml" ds:itemID="{3197E5F6-1518-443C-881A-04229FB985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MATRIZ</vt:lpstr>
      <vt:lpstr>1</vt:lpstr>
      <vt:lpstr>2</vt:lpstr>
      <vt:lpstr>3</vt:lpstr>
      <vt:lpstr>4</vt:lpstr>
      <vt:lpstr>5</vt:lpstr>
      <vt:lpstr>6</vt:lpstr>
      <vt:lpstr>7</vt:lpstr>
      <vt:lpstr>8</vt:lpstr>
      <vt:lpstr>ANALISIS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Usuario de red</cp:lastModifiedBy>
  <cp:lastPrinted>2019-07-22T21:22:17Z</cp:lastPrinted>
  <dcterms:created xsi:type="dcterms:W3CDTF">2015-06-02T22:21:33Z</dcterms:created>
  <dcterms:modified xsi:type="dcterms:W3CDTF">2019-09-27T16:16:47Z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65000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