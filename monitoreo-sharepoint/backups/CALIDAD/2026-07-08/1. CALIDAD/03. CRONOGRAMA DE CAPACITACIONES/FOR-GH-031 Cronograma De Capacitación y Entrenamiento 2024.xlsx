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10.10.50.91\calidad biosteel\SISTEMA DE GESTION DE CALIDAD\1. CALIDAD\3. CRONOGRAMA DE CAPACITACIONES\"/>
    </mc:Choice>
  </mc:AlternateContent>
  <bookViews>
    <workbookView showHorizontalScroll="0" showVerticalScroll="0" showSheetTabs="0" xWindow="0" yWindow="0" windowWidth="28800" windowHeight="12330" tabRatio="843"/>
  </bookViews>
  <sheets>
    <sheet name="CRONOGRAMA 2023" sheetId="15" r:id="rId1"/>
  </sheets>
  <definedNames>
    <definedName name="_xlnm._FilterDatabase" localSheetId="0" hidden="1">'CRONOGRAMA 2023'!$A$14:$X$72</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3" i="15" l="1"/>
  <c r="D103" i="15"/>
  <c r="E102" i="15"/>
  <c r="D101" i="15"/>
  <c r="E100" i="15"/>
  <c r="D100" i="15"/>
  <c r="E99" i="15"/>
  <c r="D99" i="15"/>
  <c r="E98" i="15"/>
  <c r="D98" i="15"/>
  <c r="E97" i="15"/>
  <c r="D97" i="15"/>
  <c r="E101" i="15"/>
  <c r="D102" i="15"/>
  <c r="E96" i="15"/>
  <c r="E77" i="15"/>
  <c r="D96" i="15"/>
  <c r="E95" i="15"/>
  <c r="D95" i="15"/>
  <c r="E94" i="15"/>
  <c r="D94" i="15"/>
  <c r="E93" i="15"/>
  <c r="D93" i="15"/>
  <c r="E92" i="15"/>
  <c r="D92" i="15"/>
  <c r="E74" i="15"/>
  <c r="E73" i="15"/>
  <c r="D73" i="15"/>
  <c r="K92" i="15" l="1"/>
  <c r="I92" i="15"/>
  <c r="J92" i="15"/>
  <c r="D81" i="15"/>
  <c r="D76" i="15"/>
  <c r="I104" i="15" l="1"/>
  <c r="D78" i="15"/>
  <c r="E75" i="15" l="1"/>
  <c r="D74" i="15"/>
  <c r="D75" i="15"/>
  <c r="E80" i="15"/>
  <c r="D80" i="15"/>
  <c r="E79" i="15"/>
  <c r="D79" i="15"/>
  <c r="E78" i="15"/>
  <c r="E76" i="15"/>
  <c r="H79" i="15" l="1"/>
  <c r="I73" i="15"/>
  <c r="F73" i="15"/>
  <c r="H73" i="15"/>
  <c r="K103" i="15"/>
  <c r="K102" i="15"/>
  <c r="K101" i="15"/>
  <c r="K100" i="15"/>
  <c r="K99" i="15"/>
  <c r="K98" i="15"/>
  <c r="K97" i="15"/>
  <c r="K96" i="15"/>
  <c r="K95" i="15"/>
  <c r="K94" i="15"/>
  <c r="E84" i="15"/>
  <c r="E83" i="15"/>
  <c r="E82" i="15"/>
  <c r="E81" i="15"/>
  <c r="D84" i="15"/>
  <c r="D83" i="15"/>
  <c r="D82" i="15"/>
  <c r="D77" i="15"/>
  <c r="J73" i="15" l="1"/>
  <c r="H76" i="15"/>
  <c r="F81" i="15"/>
  <c r="F80" i="15"/>
  <c r="E104" i="15"/>
  <c r="F75" i="15"/>
  <c r="K104" i="15"/>
  <c r="I82" i="15"/>
  <c r="F74" i="15"/>
  <c r="I79" i="15"/>
  <c r="H82" i="15"/>
  <c r="I76" i="15"/>
  <c r="F83" i="15"/>
  <c r="F84" i="15"/>
  <c r="F76" i="15"/>
  <c r="F77" i="15"/>
  <c r="F79" i="15"/>
  <c r="F82" i="15"/>
  <c r="F78" i="15"/>
  <c r="D104" i="15" l="1"/>
  <c r="J79" i="15"/>
  <c r="J82" i="15"/>
  <c r="J76" i="15"/>
</calcChain>
</file>

<file path=xl/sharedStrings.xml><?xml version="1.0" encoding="utf-8"?>
<sst xmlns="http://schemas.openxmlformats.org/spreadsheetml/2006/main" count="591" uniqueCount="214">
  <si>
    <t>RECURSOS</t>
  </si>
  <si>
    <t>OBJETIVO</t>
  </si>
  <si>
    <t>ALCANCE</t>
  </si>
  <si>
    <t>P</t>
  </si>
  <si>
    <t>E</t>
  </si>
  <si>
    <t>RESPONSABLE</t>
  </si>
  <si>
    <t>DESCRIPCIÓN DE  ACTIVIDADES</t>
  </si>
  <si>
    <t>ESTADO</t>
  </si>
  <si>
    <t>FECHA ULTIMA ACTUALIZACION</t>
  </si>
  <si>
    <t>MES</t>
  </si>
  <si>
    <t>DIA</t>
  </si>
  <si>
    <t>CARGO</t>
  </si>
  <si>
    <t>OBSERVACIONES</t>
  </si>
  <si>
    <t>ENERO</t>
  </si>
  <si>
    <t>FEBRERO</t>
  </si>
  <si>
    <t>MARZO</t>
  </si>
  <si>
    <t>ABRIL</t>
  </si>
  <si>
    <t>MAYO</t>
  </si>
  <si>
    <t>JUNIO</t>
  </si>
  <si>
    <t>JULIO</t>
  </si>
  <si>
    <t>AGOSTO</t>
  </si>
  <si>
    <t>SEPTIEMBRE</t>
  </si>
  <si>
    <t>OCTUBRE</t>
  </si>
  <si>
    <t>NOVIEMBRE</t>
  </si>
  <si>
    <t>DICIEMBRE</t>
  </si>
  <si>
    <t>DIRIGIDO POR:</t>
  </si>
  <si>
    <t>DIRIGIDO A:</t>
  </si>
  <si>
    <t>PROGRAMACION</t>
  </si>
  <si>
    <t xml:space="preserve">FECHA ESTIMADA </t>
  </si>
  <si>
    <t>FECHA REAL</t>
  </si>
  <si>
    <t>%CUMPL</t>
  </si>
  <si>
    <t>TRIMESTRE</t>
  </si>
  <si>
    <t>PROGRAMADAS</t>
  </si>
  <si>
    <t>EJECUTADAS</t>
  </si>
  <si>
    <t>PRIMERO</t>
  </si>
  <si>
    <t>SEGUNDO</t>
  </si>
  <si>
    <t>TERCERO</t>
  </si>
  <si>
    <t>CUARTO</t>
  </si>
  <si>
    <t>LOGO</t>
  </si>
  <si>
    <t>CRONONOGRAMA 2023</t>
  </si>
  <si>
    <t>Recursos
Asesores Externos Especialistas 
Computador Portátil y Proyector
Impresoras Para Imprimir Formatos De Asistencias y Evaluaciones
Espacio y Tiempo para impartir Tematicas</t>
  </si>
  <si>
    <t>CAPACITACION</t>
  </si>
  <si>
    <t>METODOLOGIA</t>
  </si>
  <si>
    <t>PRESENCIAL</t>
  </si>
  <si>
    <t>VIRTUAL</t>
  </si>
  <si>
    <t>TOTAL</t>
  </si>
  <si>
    <t xml:space="preserve">SISTEMA </t>
  </si>
  <si>
    <t>SGC</t>
  </si>
  <si>
    <t>SISTEMA DE GESTION</t>
  </si>
  <si>
    <t>SST</t>
  </si>
  <si>
    <t>INVIMA</t>
  </si>
  <si>
    <t xml:space="preserve">DATOS TRIMESTRAL INDICADORES </t>
  </si>
  <si>
    <t xml:space="preserve">DATOS MENSUAL INDICADORES </t>
  </si>
  <si>
    <t>Fecha de elaboración:                                                                                       
01 De Agosto 2023</t>
  </si>
  <si>
    <t xml:space="preserve">Fecha Aprobación:                                                                                01 De Agosto 2023                                                                                                                                                     </t>
  </si>
  <si>
    <t>Versión: 01</t>
  </si>
  <si>
    <t>Pagina: 0 de 1</t>
  </si>
  <si>
    <t>LIDER DE GESTION HUMANA</t>
  </si>
  <si>
    <t>HEISA BUELVAS</t>
  </si>
  <si>
    <t>Codigo : FOR-GH-031</t>
  </si>
  <si>
    <t>CRONOGRAMA DE CAPACITACIÓN Y ENTRENAMIENTO</t>
  </si>
  <si>
    <t>Proporsionar a los colaboradores para la mejora, actualizacion y fortalecimiento de conocimiento requerido  para la ejecución de sus funciones,ademas de concientizar e implementar los sistemas de gestion SGC-SGSST.</t>
  </si>
  <si>
    <t>El presente cronograma tiene alcance a  todos los colaboradores de BIOSTEEL DE COLOMBIA S.A., tanto del procesos  administrativa y asistenciales,  Se asegurará que todas las capacitaciones o instrucciones sean coherentes con las competencias requeridas para el desempeño laboral de los colaboradores de la empresa.</t>
  </si>
  <si>
    <t>PRE EVALUACION</t>
  </si>
  <si>
    <t xml:space="preserve">CLAVO DE RECONSTRUCCION DE TIBIA </t>
  </si>
  <si>
    <t xml:space="preserve">CLAVO DE HUMERO </t>
  </si>
  <si>
    <t>ASESORES SANTAMARTA</t>
  </si>
  <si>
    <t xml:space="preserve">ASESORES BARRANQUILLA </t>
  </si>
  <si>
    <t>CLAVO DE RECONSTRUCCION DE FEMUR</t>
  </si>
  <si>
    <t>ASESORES CARTAGENA</t>
  </si>
  <si>
    <t>Conocer el montaje de clavo de reconstrucción de tibia identificar instrumental  y evaluar conocimientos adquiridos.</t>
  </si>
  <si>
    <t>Conocer el montaje de clavo de reconstrucción de femur identificar instrumental  y evaluar conocimientos adquiridos.</t>
  </si>
  <si>
    <t>Conocer el montaje de clavo de humero identificar instrumental  y evaluar conocimientos adquiridos.</t>
  </si>
  <si>
    <t>PERSONAL ADMINISTRATIVO DE SEDE BARRANQUILLA (ALMACEN,GESTION HUMANA,FACTURACION,CONTABILIDAD)</t>
  </si>
  <si>
    <t xml:space="preserve">FINANCIAMIENTO FAMILIAR </t>
  </si>
  <si>
    <t>Socializar puntos para una buena implementación de ahorro familiar de los colaboradores</t>
  </si>
  <si>
    <t>INDUCCION EN SST Y CALIDAD</t>
  </si>
  <si>
    <t xml:space="preserve">HEISA BUELVAS </t>
  </si>
  <si>
    <t xml:space="preserve">OPTIMIZACIÓN Y ORGANIZACIÓN DE WINDOWS. </t>
  </si>
  <si>
    <t>TAREK CASTAÑEDA</t>
  </si>
  <si>
    <t>INDUCCIÓN BASICA EN MICROSOFT 365</t>
  </si>
  <si>
    <t>Capacitar a los colaboradores en el uso eficiente de las herramientas clave de Microsoft 365, incluyendo Outlook, OneDrive, Excel y Word, entre otros, para mejorar la productividad, la colaboración y la gestión de información en el entorno laboral.</t>
  </si>
  <si>
    <t xml:space="preserve">ESTRATEGIA HABILIDADES PARA LA VIDA </t>
  </si>
  <si>
    <t>Identificar las fuentes de tensión y estrés en la vida cotidiana, saber reconocer sus distintas manifestaciones y encontrar vías para eliminarlas o contrarrestarlas de manera saludable. para gestionar de manera más efectiva las tensiones y el estrés, promoviendo así un mayor bienestar y equilibrio en su vida personal y laboral.</t>
  </si>
  <si>
    <t xml:space="preserve">ARL SURA </t>
  </si>
  <si>
    <t>PLATAFORMA SURA</t>
  </si>
  <si>
    <t xml:space="preserve">NO </t>
  </si>
  <si>
    <t>https://events.teams.microsoft.com/event/2e9b5646-c485-47b2-872e-f34001cf8f78@3c0bd4fe-1111-4d13-8e0c-7c33b9eb7581</t>
  </si>
  <si>
    <t>8:00 a.m. a 9:45 a.m.</t>
  </si>
  <si>
    <t xml:space="preserve">PROCESO DE ALMACEN </t>
  </si>
  <si>
    <t>https://events.teams.microsoft.com/event/5d1eacc4-7a18-434a-bec5-eb1563dde7c6@3c0bd4fe-1111-4d13-8e0c-7c33b9eb7581</t>
  </si>
  <si>
    <t>2:00 p.m. a 3:45 p.m.</t>
  </si>
  <si>
    <t xml:space="preserve">PROCESO DE GESTION HUMANA </t>
  </si>
  <si>
    <t xml:space="preserve">PLATAFORMA SURA </t>
  </si>
  <si>
    <t>10:00 a.m. a 11:45 a.m.</t>
  </si>
  <si>
    <t xml:space="preserve">MI CUERPO EN RELACION EN EL TRABAJO; PAUSAS Y POSTURAS </t>
  </si>
  <si>
    <t>Aprender a identificar las posturas mantenidas del cuerpo en relación a la actividad laboral, con el fin de reconocer las pausas que tienen un mayor impacto sobre el bienestar, con el fin de  reconocer las posturas corporales predominantes durante la jornada laboral, permitiendo así la identificación de momentos específicos para pausas activas que contribuyan al alivio de tensiones musculares y promuevan el bienestar general.</t>
  </si>
  <si>
    <t>https://events.teams.microsoft.com/event/a8bd2dcc-3409-434e-a862-edd1b72c71b6@3c0bd4fe-1111-4d13-8e0c-7c33b9eb7581</t>
  </si>
  <si>
    <t xml:space="preserve">EL VALOR DE TUS DECISIONES  </t>
  </si>
  <si>
    <t>Explorar cómo los comportamientos y emociones influyen en las decisiones económicas y analizar la influencia que la familia, amigos y compañeros de trabajo tienen en dicho proceso, con el fin de comprender la interconexión entre las dimensiones emocionales y sociales en el ámbito financiero, permitiendo una toma de decisiones más informada y consciente al considerar tanto los aspectos personales como las influencias externas en el contexto económico.</t>
  </si>
  <si>
    <t>https://events.teams.microsoft.com/event/0ef8775e-55a3-472b-bb82-21eb4826fbc9@3c0bd4fe-1111-4d13-8e0c-7c33b9eb7581</t>
  </si>
  <si>
    <t>ANISEDAD</t>
  </si>
  <si>
    <t xml:space="preserve">PERSONAL ADMINISTRATIVO Y ASISTENCIAL DE SEDE DE CALI </t>
  </si>
  <si>
    <t>DAVID ZARETSKY FERRERA</t>
  </si>
  <si>
    <t xml:space="preserve">FRUSTRACIÓN </t>
  </si>
  <si>
    <t xml:space="preserve">PREVENCIÓN DEL ACOSO Y TODO TIPO DE VIOLENCIA </t>
  </si>
  <si>
    <t>Reconocer los principales factores que influyen en
la identificación, prevención y control sobre la
violencia en el trabajo, para promover entornos
laborales saludables, para promover entornos
laborales saludables y seguros, donde se prevenga y combata eficazmente el acoso y todo tipo de violencia, garantizando la igualdad de género y el bienestar de todas las personas.</t>
  </si>
  <si>
    <t>ANGELICA ROCIO BELTRAN VELASQUEZ</t>
  </si>
  <si>
    <t xml:space="preserve">10:00 am a 11:45 am </t>
  </si>
  <si>
    <t xml:space="preserve">https://events.teams.microsoft.com/event/091d23b7-884d-493a-ba53-8fff295a77c7@3c0bd4fe-1111-4d13-8e0c-7c33b9eb7581
</t>
  </si>
  <si>
    <t>SI</t>
  </si>
  <si>
    <t>POLITICA DE ALCOHOL Y DROGAS</t>
  </si>
  <si>
    <t xml:space="preserve">MILEYDIS OROZCO </t>
  </si>
  <si>
    <t xml:space="preserve">PREVENCIÓN PREPARACIÓN Y RESPUESTA ANTE EMERGENCIA </t>
  </si>
  <si>
    <t xml:space="preserve">Explicar las características fundamentales del fuego, sus componentes, identificar los peligros asociados y aplicar medidas efectivas para su extinción, prevención y control, promoviendo un entorno de trabajo más seguro.
</t>
  </si>
  <si>
    <t xml:space="preserve">PERSONAL BRIGADISTA DE BIOSTEEL DE COLOMBIA </t>
  </si>
  <si>
    <t xml:space="preserve">https://events.teams.microsoft.com/event/c5af3a9a-d365-4ea4-9236-b9a078c740e7@3c0bd4fe-1111-4d13-8e0c-7c33b9eb7581
</t>
  </si>
  <si>
    <t xml:space="preserve">04:00 PM A 05:45 PM  </t>
  </si>
  <si>
    <t xml:space="preserve">GESTIÓN Y RESOLUCIÓN DE INEXACTITUDES POR PAGOS </t>
  </si>
  <si>
    <t xml:space="preserve">Conocer el estado de cuenta de la empresa ante ARL Sura y las herramientas que le permiten anticiparse a la generación de inexactitudes y mora, también entérese de cómo aclarar estos estados con el fin de garantizar la correcta cobertura de todos los trabajadores asociados a la empresa
</t>
  </si>
  <si>
    <t xml:space="preserve">PERSONAL DE GESTION HUMANA </t>
  </si>
  <si>
    <t xml:space="preserve">https://events.teams.microsoft.com/event/d08d36e5-dd26-446b-8b18-aadedd9017d4@3c0bd4fe-1111-4d13-8e0c-7c33b9eb7581
</t>
  </si>
  <si>
    <t xml:space="preserve">02:00 PM A 4:00 PM </t>
  </si>
  <si>
    <t xml:space="preserve">¿QUE DEBO COMER EN PRO DE MI SALUD? HERRAMIENTAS PARA UNA ALIMENTACION SALUDABLE </t>
  </si>
  <si>
    <t xml:space="preserve">Descubrir diversas formas de combinar los alimentos para lograr una alimentación saludable, considerando las capacidades económicas, las realidades laborales y la disponibilidad gastronómica regional, con el fin de promover el bienestar, proporcionando herramientas prácticas para adaptar las elecciones alimentarias a las circunstancias individuales, fomentando así hábitos nutricionales equilibrados y sostenibles.
</t>
  </si>
  <si>
    <t xml:space="preserve">GESTIÓN DEL RIESGO EN LOS SISTEMAS DE GESTION </t>
  </si>
  <si>
    <t>INCONTEC</t>
  </si>
  <si>
    <t xml:space="preserve">Conocer bajo el sistema de gestión del riesgo el proceso de identificar y evaluar, la creación de un plan para disminuir o controlar los riesgos bajo los efectos que podrian tener en la institución. </t>
  </si>
  <si>
    <t>ANEXO TÉCNICO 1.9 RESOLUCIÓN 000165</t>
  </si>
  <si>
    <t>FACTURACION (JORGE GOMEZ Y ANDREINA CEQUEDA)</t>
  </si>
  <si>
    <t xml:space="preserve">LUIS MEJIA </t>
  </si>
  <si>
    <t>NO</t>
  </si>
  <si>
    <t xml:space="preserve">HABITOS Y ESTILOS DE VIDA SALUDABLE </t>
  </si>
  <si>
    <t xml:space="preserve">Concientizar al personal sobre los habitos saludables y estilos de vida, conociendo la alimentación balanceada. </t>
  </si>
  <si>
    <t xml:space="preserve">Conocer los nuevos cambios que se realizaron en la resolución, fechas de implementación, nuevas reglas y nuevos nombres de los documentos en la facturación electronica. </t>
  </si>
  <si>
    <t xml:space="preserve">INSTRUCTIVO DE SOLICITUDES DE PERMISOS </t>
  </si>
  <si>
    <t>Reforzar a los colaboradores, en los métodos, medios y tiempos estipulados para la realización de las solicitudes establecidas en Biosteel de Colombia s.a.</t>
  </si>
  <si>
    <t>MARELVIS BASTIDAS</t>
  </si>
  <si>
    <t xml:space="preserve">SEGURIDAD CIBERNETICA </t>
  </si>
  <si>
    <t xml:space="preserve">Reforzar la comprensión de los conceptos básicos de la ciberseguridad, reconociendo y gestionando amenazas cibernéticas comunes, la protección de datos personales y el mejoramiento de la seguridad de sus contraseñas, mejorando así la protección de sus datos y contribución a la seguridad cibernética. </t>
  </si>
  <si>
    <t>PROCESO DE ALMACEN, GESTION HUMANA, FACTURACION Y CONTABILIDAD</t>
  </si>
  <si>
    <t xml:space="preserve">PREVENCION DE ACOSO LABORAL </t>
  </si>
  <si>
    <t>Brindar espacios que permitan socializar y concientizar   a los colaboradores sobre el entorno y conductas saludables dentro de la organización.</t>
  </si>
  <si>
    <t xml:space="preserve">MANEJO DE FORMATOS </t>
  </si>
  <si>
    <t>Reforzar habilidades de los colaboradores para llevar a cabo firmas digitales en diversos entornos y plataformas, asegurando así un proceso efectivo.</t>
  </si>
  <si>
    <t xml:space="preserve">MANEJO DE FIRMA DIGITAL </t>
  </si>
  <si>
    <t>Lograr que todos los colaboradores adquieran el conocimiento necesario para distinguir las secciones editables y no editables en los formatos, lo que permitirá una utilización debida de los documentos de Biosteel de Colombia SA.</t>
  </si>
  <si>
    <t xml:space="preserve">NUEVA CONTRATACION </t>
  </si>
  <si>
    <t xml:space="preserve">TECNOVIGILANCIA </t>
  </si>
  <si>
    <t>Comprender, identificar, evaluar, gestionar y divulgar eventos o incidentes adversos como consecuencia del uso de los dispositivos médicos del uso humano.</t>
  </si>
  <si>
    <t xml:space="preserve">COORDINADORAS </t>
  </si>
  <si>
    <t xml:space="preserve">INVIMA </t>
  </si>
  <si>
    <t>SGSST</t>
  </si>
  <si>
    <t xml:space="preserve">HIGIENE POSTURAL </t>
  </si>
  <si>
    <t>Reconocer, identificar y prevenir riesgos de higiene postural en las actividades diarias realizadas día a día por los colaboradores de Biosteel de Colombia SA.</t>
  </si>
  <si>
    <t>LILIS</t>
  </si>
  <si>
    <t xml:space="preserve">CODIGO DE ETICA Y CONDUCTA </t>
  </si>
  <si>
    <t>Transmitir a los colaboradores el objetivo de ética y conducta, estableciendo los marcos de valores, comportamientos deseables y correctos, direccionando el comportamiento de los colaboradores dentro y fuera de las instalaciones de la institución.</t>
  </si>
  <si>
    <t>Crear nuevos hábitos de responsabilidad sobre el uso del celular, como herramienta de prevención, promoción y cuidado de lesiones o accidentes a los colaboradores de Biosteel de Colombia SA.</t>
  </si>
  <si>
    <t>Generar espacios de reetroalimentacion de informacion general e importante de Biosteel de colombia SA.</t>
  </si>
  <si>
    <t>Concientizar sobre el uso, consumo de drogas y alcohol, con el objetivo de minimizar los riesgos, brindando a los colaboradores el compromiso de un lugar de trabajo seguro y saludable.</t>
  </si>
  <si>
    <t xml:space="preserve">EJECUCIÓN DE PRESUPUESTO </t>
  </si>
  <si>
    <t>Identificar y clasificar modelos financieros, con el objetivo de mejorar las estrategias personales de las finanzas individuales de los colaboradores de Biosteel de Colombia SA.</t>
  </si>
  <si>
    <t xml:space="preserve">YEIMI ILIAS </t>
  </si>
  <si>
    <t xml:space="preserve">ANATOMIA Y TRAUMA BASICO </t>
  </si>
  <si>
    <t>ASISTENCIA TECNICA SINCELEJO</t>
  </si>
  <si>
    <t>KEYLA PEREZ</t>
  </si>
  <si>
    <t>LOGISTICA ORGANIZACIÓN E INVENTARIO</t>
  </si>
  <si>
    <t xml:space="preserve">COMBARRANQUILLA </t>
  </si>
  <si>
    <t>FACTURACION</t>
  </si>
  <si>
    <t>JORGE GOMEZ</t>
  </si>
  <si>
    <t>ORGANIZACIÓN Y ENVIO DE FACTURAS ELECTRONICAS</t>
  </si>
  <si>
    <t xml:space="preserve">SEGURIDAD ALMACENAMIENTO Y BODEGAJE </t>
  </si>
  <si>
    <t>Reforzar el cumplimiento de los distintos reglamentos de seguridad dependiendo en tipo de almacenamiento, regulando entre los flujos de entrada (stock) y salida.</t>
  </si>
  <si>
    <t xml:space="preserve">ALMACEN </t>
  </si>
  <si>
    <t xml:space="preserve">FACTURACION ELECTRONICA DIAN </t>
  </si>
  <si>
    <t xml:space="preserve">PROCESO DE FACTURACION </t>
  </si>
  <si>
    <t>CLAVO DE HUMERO SAMPEDRO</t>
  </si>
  <si>
    <t xml:space="preserve">ASISTENCIA TECNICA BARRANQUILLA </t>
  </si>
  <si>
    <t xml:space="preserve">RETROALIMENTACION RETENCION DE NOTAS CREDITOS GRUPO VALLE SALUD </t>
  </si>
  <si>
    <t xml:space="preserve">RIESGO CARDIOVASCULAR </t>
  </si>
  <si>
    <t>ASISTENCIA TECNICA CARTAGENA</t>
  </si>
  <si>
    <t xml:space="preserve">ENTORNO SALUDABLE </t>
  </si>
  <si>
    <t>CONOCIMIENTO Y MANEJO DE EMOCIONES</t>
  </si>
  <si>
    <t>YINETH MEJIA</t>
  </si>
  <si>
    <t>INDUCCION Y REINDUCCION</t>
  </si>
  <si>
    <t xml:space="preserve">ASISTENCIA TECNICASANTA MARTA </t>
  </si>
  <si>
    <t xml:space="preserve">REDACCION DE TEXTO </t>
  </si>
  <si>
    <t xml:space="preserve">USO RESPONSABLE DEL CELULAR PERSONAL </t>
  </si>
  <si>
    <t xml:space="preserve">PRIMEROS AUXILIOS </t>
  </si>
  <si>
    <t xml:space="preserve">TIPOS Y CONDICIONES DE CONTRATO </t>
  </si>
  <si>
    <t>TOMA DE CONCIENCIA: MISION,VISION Y POLITICAS DE CALIDAD</t>
  </si>
  <si>
    <t>Generar espacios de retroalimentacion sobre la toma de conciencia : mision, vision y politicas de calidad para conocimiento general del sistema de gestion de la calidad.</t>
  </si>
  <si>
    <t xml:space="preserve">Propiciar espacios que brinde  herramientas y conocimientos para identificar, comprender y manejar los síntomas de la ansiedad de manera efectiva. </t>
  </si>
  <si>
    <t>Fortalecer espacios que permitan  desarrollar habilidades efectivas en la gestión de archivos y recursos, con el objetivo de optimizar el rendimiento de sus equipos, mejorar la productividad y organizar su día a día laboral.</t>
  </si>
  <si>
    <t>Formentar espacios de comprension, aprendizaje y manejo  de manera constructiva y prevenir sintomas de la frustracion que se conviertan en obstáculo para su bienestar y productividad</t>
  </si>
  <si>
    <t>Proporcionarconocimientos y habilidades necesarios para gestionar  elproceso organización y envio de facturas  de manera eficiente, cumpliendo con las normativas fiscales y asegurando la correcta administración financiera.</t>
  </si>
  <si>
    <t>Crear espacios que  proporcionen  a los participantes los conocimientos y habilidades necesarias para implementar, gestionar y utilizar correctamente los sistemas de facturación electrónica, garantizando el cumplimiento de las normativas fiscales,</t>
  </si>
  <si>
    <t>Generar espacio que permitan reetroalimentar a los colaboradores sobre el nuevo modelo de contratación directa, salarios y políticas,, asegurando que puedan adaptarse y aplicar de manera correcta las nuevas disposiciones en sus prácticas laborales.</t>
  </si>
  <si>
    <t>Proporcionar espacios que permitan enfocarse en  los aspectos legales, prácticos y estratégicos de cada tipo de contrato que se presentaran a los colaboradores de Biosteel de colombia SA.</t>
  </si>
  <si>
    <t>Crear espacios socializadores que permitan conocer estrategas para conocer las emociones individuales y fortalecer su manejo.</t>
  </si>
  <si>
    <t>Desarrollar espacio de induccion y reinduccion que permitan la retroalimentacion de aspectos organizaciones de Biosteel de colombia SA.</t>
  </si>
  <si>
    <t>Generar espacios de aprendizaje que permitan reforzar  conceptos, manejos y logistica en cuanto al inventario.</t>
  </si>
  <si>
    <t>Promover, sensibilizar y proporcionar herramientas prácticas para mejorar la calidad de vida de los individuos dentro de estos entornos, con énfasis en la prevención de riesgos y la adopción de hábitos saludables</t>
  </si>
  <si>
    <t xml:space="preserve"> Generar espacios de aprendizaje que permitan conocer  herramientas y habilidades  necesarios para redactar de manera clara, coherente y efectiva, ajustándose a los diferentes tipos de texto y su propósito</t>
  </si>
  <si>
    <t xml:space="preserve">Crear espacios de reetroalimentacion para las habilidades necesarias para gestionar de manera efectiva la retencion de notas creditos para , asegurar la correcta retención y almacenamiento de las notas y créditos, y dar retroalimentación constructiva que fomente el desarrollo académico y profesional. </t>
  </si>
  <si>
    <t>Generar espacios de aprendizaje sobre la salud individual, en particular sobre el riesgo cardivascular, la importancia del cuidado y como prevenir enfermedades.</t>
  </si>
  <si>
    <t>Brindar espacios sobre conocimientos fundamentales de  la estructura del cuerpo humano y cómo responder ante situaciones de trauma, con el fin de mejorar la capacidad de intervención en emergencias.</t>
  </si>
  <si>
    <t>Crear espacios que permitan reconocer situaciones de emergencia, aplicar técnicas de atención inmediata y , minimizar el impacto de las lesiones y promover la prevención de situaciones de riesgo.</t>
  </si>
  <si>
    <t>Brindar espacios de conocimiento tecnico quirurgico e  indicaciones  sobre el clavo de humero,que fomenten el desarrollo profesional  de los asesores quirurgicos.</t>
  </si>
  <si>
    <t xml:space="preserve">Identificar posición y planos anatomicos, conocer la ubicación de huesos en el esqueleto humano, reconocer tornillos y placas y asociar material de osteosintesis según las anatomia. </t>
  </si>
  <si>
    <t>DISPOSITIVOS MEDICOS RETIRADOS</t>
  </si>
  <si>
    <t xml:space="preserve">Identificar los dispositivos medicos y reconocer el procedimiento para realizar un retiro de dispositivos medicos. </t>
  </si>
  <si>
    <t>PROCESO DE ALMACEN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</si>
</sst>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_(* \(#,##0.00\);_(* &quot;-&quot;??_);_(@_)"/>
    <numFmt numFmtId="165" formatCode="0;[Red]0"/>
  </numFmts>
  <fonts count="17" x14ac:knownFonts="1">
    <font>
      <sz val="10"/>
      <name val="Arial"/>
    </font>
    <font>
      <sz val="10"/>
      <name val="Arial"/>
      <family val="2"/>
    </font>
    <font>
      <b/>
      <sz val="10"/>
      <name val="Arial"/>
      <family val="2"/>
    </font>
    <font>
      <b/>
      <sz val="12"/>
      <name val="Arial"/>
      <family val="2"/>
    </font>
    <font>
      <sz val="10"/>
      <color indexed="8"/>
      <name val="Arial"/>
      <family val="2"/>
    </font>
    <font>
      <sz val="11"/>
      <name val="Arial"/>
      <family val="2"/>
    </font>
    <font>
      <b/>
      <sz val="11"/>
      <name val="Arial"/>
      <family val="2"/>
    </font>
    <font>
      <sz val="10"/>
      <color indexed="9"/>
      <name val="Arial"/>
      <family val="2"/>
    </font>
    <font>
      <b/>
      <sz val="9"/>
      <name val="Arial"/>
      <family val="2"/>
    </font>
    <font>
      <b/>
      <sz val="18"/>
      <name val="Arial"/>
      <family val="2"/>
    </font>
    <font>
      <sz val="11"/>
      <color theme="1"/>
      <name val="Calibri"/>
      <family val="2"/>
      <scheme val="minor"/>
    </font>
    <font>
      <sz val="10"/>
      <color theme="1"/>
      <name val="Arial"/>
      <family val="2"/>
    </font>
    <font>
      <b/>
      <sz val="10"/>
      <color theme="0"/>
      <name val="Arial"/>
      <family val="2"/>
    </font>
    <font>
      <b/>
      <sz val="9"/>
      <color theme="0"/>
      <name val="Arial"/>
      <family val="2"/>
    </font>
    <font>
      <b/>
      <sz val="12"/>
      <color theme="1"/>
      <name val="Arial"/>
      <family val="2"/>
    </font>
    <font>
      <u/>
      <sz val="10"/>
      <color theme="10"/>
      <name val="Arial"/>
      <family val="2"/>
    </font>
    <font>
      <sz val="9"/>
      <name val="Arial"/>
      <family val="2"/>
    </font>
  </fonts>
  <fills count="7">
    <fill>
      <patternFill patternType="none"/>
    </fill>
    <fill>
      <patternFill patternType="gray125"/>
    </fill>
    <fill>
      <patternFill patternType="solid">
        <fgColor theme="0"/>
        <bgColor indexed="64"/>
      </patternFill>
    </fill>
    <fill>
      <patternFill patternType="solid">
        <fgColor rgb="FF203562"/>
        <bgColor indexed="49"/>
      </patternFill>
    </fill>
    <fill>
      <patternFill patternType="solid">
        <fgColor rgb="FF203562"/>
        <bgColor indexed="64"/>
      </patternFill>
    </fill>
    <fill>
      <patternFill patternType="solid">
        <fgColor rgb="FFFF0000"/>
        <bgColor indexed="64"/>
      </patternFill>
    </fill>
    <fill>
      <patternFill patternType="solid">
        <fgColor theme="7"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8">
    <xf numFmtId="0" fontId="0" fillId="0" borderId="0"/>
    <xf numFmtId="164" fontId="10"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5" fillId="0" borderId="0" applyNumberFormat="0" applyFill="0" applyBorder="0" applyAlignment="0" applyProtection="0"/>
  </cellStyleXfs>
  <cellXfs count="175">
    <xf numFmtId="0" fontId="0" fillId="0" borderId="0" xfId="0"/>
    <xf numFmtId="0" fontId="1" fillId="0" borderId="0" xfId="0" applyFont="1" applyProtection="1">
      <protection locked="0"/>
    </xf>
    <xf numFmtId="0" fontId="1" fillId="0" borderId="0" xfId="0" applyFont="1" applyAlignment="1" applyProtection="1">
      <alignment horizontal="justify" vertical="center" wrapText="1"/>
      <protection locked="0"/>
    </xf>
    <xf numFmtId="0" fontId="2" fillId="0" borderId="0" xfId="0" applyFont="1" applyAlignment="1" applyProtection="1">
      <alignment horizontal="center"/>
      <protection locked="0"/>
    </xf>
    <xf numFmtId="0" fontId="2" fillId="0" borderId="0" xfId="0" applyFont="1" applyAlignment="1" applyProtection="1">
      <alignment horizontal="center" vertical="center"/>
      <protection locked="0"/>
    </xf>
    <xf numFmtId="165" fontId="4" fillId="0" borderId="0" xfId="0" applyNumberFormat="1" applyFont="1" applyAlignment="1" applyProtection="1">
      <alignment horizontal="center" vertical="center" wrapText="1"/>
      <protection locked="0"/>
    </xf>
    <xf numFmtId="0" fontId="2" fillId="0" borderId="1" xfId="0" applyFont="1" applyBorder="1" applyAlignment="1" applyProtection="1">
      <alignment horizontal="center" vertical="center" wrapText="1"/>
      <protection locked="0"/>
    </xf>
    <xf numFmtId="0" fontId="2" fillId="0" borderId="1" xfId="0" applyFont="1" applyBorder="1" applyAlignment="1" applyProtection="1">
      <alignment horizontal="center" vertical="center"/>
      <protection locked="0"/>
    </xf>
    <xf numFmtId="0" fontId="2" fillId="0" borderId="1" xfId="3" applyFont="1" applyBorder="1" applyAlignment="1" applyProtection="1">
      <alignment horizontal="center" vertical="center" wrapText="1"/>
      <protection locked="0"/>
    </xf>
    <xf numFmtId="0" fontId="7" fillId="0" borderId="0" xfId="0" applyFont="1" applyProtection="1">
      <protection locked="0"/>
    </xf>
    <xf numFmtId="0" fontId="1" fillId="0" borderId="0" xfId="0" applyFont="1" applyAlignment="1" applyProtection="1">
      <alignment vertical="center" wrapText="1"/>
      <protection locked="0"/>
    </xf>
    <xf numFmtId="0" fontId="11" fillId="2" borderId="0" xfId="0" applyFont="1" applyFill="1" applyAlignment="1" applyProtection="1">
      <alignment horizontal="center" vertical="center" wrapText="1"/>
      <protection locked="0"/>
    </xf>
    <xf numFmtId="0" fontId="2" fillId="0" borderId="0" xfId="3" applyFont="1" applyAlignment="1" applyProtection="1">
      <alignment horizontal="center" vertical="center" wrapText="1"/>
      <protection locked="0"/>
    </xf>
    <xf numFmtId="0" fontId="8" fillId="0" borderId="0" xfId="3" applyFont="1" applyAlignment="1" applyProtection="1">
      <alignment horizontal="center" vertical="center" wrapText="1"/>
      <protection locked="0"/>
    </xf>
    <xf numFmtId="0" fontId="2" fillId="0" borderId="0" xfId="3" applyFont="1" applyAlignment="1" applyProtection="1">
      <alignment vertical="center" wrapText="1"/>
      <protection locked="0"/>
    </xf>
    <xf numFmtId="0" fontId="1" fillId="0" borderId="0" xfId="0" applyFont="1" applyAlignment="1" applyProtection="1">
      <alignment horizontal="center"/>
      <protection locked="0"/>
    </xf>
    <xf numFmtId="0" fontId="2" fillId="0" borderId="2" xfId="0" applyFont="1" applyBorder="1" applyAlignment="1" applyProtection="1">
      <alignment horizontal="center" vertical="center"/>
      <protection locked="0"/>
    </xf>
    <xf numFmtId="1" fontId="8" fillId="0" borderId="1" xfId="6" applyNumberFormat="1" applyFont="1" applyFill="1" applyBorder="1" applyAlignment="1" applyProtection="1">
      <alignment horizontal="center" vertical="center"/>
      <protection locked="0"/>
    </xf>
    <xf numFmtId="0" fontId="1" fillId="0" borderId="1" xfId="3" applyBorder="1" applyAlignment="1">
      <alignment horizontal="left" vertical="center" wrapText="1"/>
    </xf>
    <xf numFmtId="3" fontId="12" fillId="3" borderId="4" xfId="0" applyNumberFormat="1" applyFont="1" applyFill="1" applyBorder="1" applyAlignment="1" applyProtection="1">
      <alignment horizontal="left" vertical="center"/>
      <protection locked="0"/>
    </xf>
    <xf numFmtId="3" fontId="12" fillId="3" borderId="1" xfId="0" applyNumberFormat="1" applyFont="1" applyFill="1" applyBorder="1" applyAlignment="1" applyProtection="1">
      <alignment horizontal="left" vertical="center"/>
      <protection locked="0"/>
    </xf>
    <xf numFmtId="0" fontId="13" fillId="4" borderId="4" xfId="0" applyFont="1" applyFill="1" applyBorder="1" applyAlignment="1" applyProtection="1">
      <alignment horizontal="center" vertical="center"/>
      <protection locked="0"/>
    </xf>
    <xf numFmtId="3" fontId="12" fillId="3" borderId="1" xfId="0" applyNumberFormat="1" applyFont="1" applyFill="1" applyBorder="1" applyAlignment="1" applyProtection="1">
      <alignment vertical="center"/>
      <protection locked="0"/>
    </xf>
    <xf numFmtId="0" fontId="12" fillId="3" borderId="1" xfId="0" applyFont="1" applyFill="1" applyBorder="1" applyAlignment="1" applyProtection="1">
      <alignment horizontal="center" vertical="center" wrapText="1"/>
      <protection locked="0"/>
    </xf>
    <xf numFmtId="3" fontId="12" fillId="3" borderId="1" xfId="0" applyNumberFormat="1" applyFont="1" applyFill="1" applyBorder="1" applyAlignment="1" applyProtection="1">
      <alignment horizontal="center" vertical="center" wrapText="1"/>
      <protection locked="0"/>
    </xf>
    <xf numFmtId="3" fontId="12" fillId="3" borderId="2" xfId="0" applyNumberFormat="1" applyFont="1" applyFill="1" applyBorder="1" applyAlignment="1" applyProtection="1">
      <alignment horizontal="center" vertical="center" wrapText="1"/>
      <protection locked="0"/>
    </xf>
    <xf numFmtId="0" fontId="5" fillId="4" borderId="2" xfId="3" applyFont="1" applyFill="1" applyBorder="1" applyAlignment="1" applyProtection="1">
      <alignment vertical="center" wrapText="1"/>
      <protection locked="0"/>
    </xf>
    <xf numFmtId="0" fontId="5" fillId="4" borderId="5" xfId="3" applyFont="1" applyFill="1" applyBorder="1" applyAlignment="1" applyProtection="1">
      <alignment vertical="center" wrapText="1"/>
      <protection locked="0"/>
    </xf>
    <xf numFmtId="0" fontId="6" fillId="4" borderId="5" xfId="3" applyFont="1" applyFill="1" applyBorder="1" applyAlignment="1" applyProtection="1">
      <alignment horizontal="center" vertical="center" wrapText="1"/>
      <protection locked="0"/>
    </xf>
    <xf numFmtId="1" fontId="1" fillId="0" borderId="1" xfId="0" applyNumberFormat="1" applyFont="1" applyBorder="1" applyProtection="1">
      <protection locked="0"/>
    </xf>
    <xf numFmtId="0" fontId="1" fillId="2" borderId="1" xfId="3" applyFill="1" applyBorder="1" applyAlignment="1">
      <alignment horizontal="left" vertical="center" wrapText="1"/>
    </xf>
    <xf numFmtId="1" fontId="2" fillId="0" borderId="1" xfId="0" applyNumberFormat="1" applyFont="1" applyBorder="1" applyProtection="1">
      <protection locked="0"/>
    </xf>
    <xf numFmtId="9" fontId="8" fillId="5" borderId="1" xfId="6" applyFont="1" applyFill="1" applyBorder="1" applyAlignment="1" applyProtection="1">
      <alignment horizontal="center" vertical="center"/>
      <protection locked="0"/>
    </xf>
    <xf numFmtId="0" fontId="16" fillId="0" borderId="1" xfId="0" applyFont="1" applyBorder="1" applyAlignment="1">
      <alignment horizontal="left" vertical="center" wrapText="1"/>
    </xf>
    <xf numFmtId="0" fontId="16" fillId="0" borderId="1" xfId="0" applyFont="1" applyBorder="1" applyAlignment="1">
      <alignment horizontal="center" vertical="center" wrapText="1"/>
    </xf>
    <xf numFmtId="0" fontId="2" fillId="0" borderId="2" xfId="0" applyFont="1" applyBorder="1" applyAlignment="1" applyProtection="1">
      <alignment horizontal="center" vertical="center" wrapText="1"/>
      <protection locked="0"/>
    </xf>
    <xf numFmtId="0" fontId="1" fillId="0" borderId="0" xfId="0" applyFont="1" applyAlignment="1" applyProtection="1">
      <alignment horizontal="center" vertical="center" wrapText="1"/>
      <protection locked="0"/>
    </xf>
    <xf numFmtId="0" fontId="1" fillId="0" borderId="1" xfId="0" applyFont="1" applyBorder="1" applyAlignment="1" applyProtection="1">
      <alignment horizontal="center" vertical="center" wrapText="1"/>
      <protection locked="0"/>
    </xf>
    <xf numFmtId="0" fontId="1" fillId="2" borderId="0" xfId="0" applyFont="1" applyFill="1" applyProtection="1">
      <protection locked="0"/>
    </xf>
    <xf numFmtId="0" fontId="16" fillId="2" borderId="1" xfId="0" applyFont="1" applyFill="1" applyBorder="1" applyAlignment="1">
      <alignment horizontal="center" vertical="center" wrapText="1"/>
    </xf>
    <xf numFmtId="165" fontId="4" fillId="2" borderId="0" xfId="0" applyNumberFormat="1" applyFont="1" applyFill="1" applyAlignment="1" applyProtection="1">
      <alignment horizontal="center" vertical="center" wrapText="1"/>
      <protection locked="0"/>
    </xf>
    <xf numFmtId="0" fontId="16" fillId="6" borderId="1" xfId="0" applyFont="1" applyFill="1" applyBorder="1" applyAlignment="1">
      <alignment horizontal="center" vertical="center" wrapText="1"/>
    </xf>
    <xf numFmtId="0" fontId="1" fillId="6" borderId="0" xfId="0" applyFont="1" applyFill="1" applyProtection="1">
      <protection locked="0"/>
    </xf>
    <xf numFmtId="0" fontId="2" fillId="2" borderId="1" xfId="0" applyFont="1" applyFill="1" applyBorder="1" applyAlignment="1" applyProtection="1">
      <alignment horizontal="center" vertical="center" wrapText="1"/>
      <protection locked="0"/>
    </xf>
    <xf numFmtId="0" fontId="2" fillId="2" borderId="1" xfId="0" applyFont="1" applyFill="1" applyBorder="1" applyAlignment="1" applyProtection="1">
      <alignment horizontal="center" vertical="center"/>
      <protection locked="0"/>
    </xf>
    <xf numFmtId="0" fontId="2" fillId="2" borderId="1" xfId="3" applyFont="1" applyFill="1" applyBorder="1" applyAlignment="1" applyProtection="1">
      <alignment horizontal="center" vertical="center" wrapText="1"/>
      <protection locked="0"/>
    </xf>
    <xf numFmtId="0" fontId="2" fillId="2" borderId="2" xfId="0" applyFont="1" applyFill="1" applyBorder="1" applyAlignment="1" applyProtection="1">
      <alignment horizontal="center" vertical="center"/>
      <protection locked="0"/>
    </xf>
    <xf numFmtId="0" fontId="2" fillId="2" borderId="2" xfId="0" applyFont="1" applyFill="1" applyBorder="1" applyAlignment="1" applyProtection="1">
      <alignment horizontal="center" vertical="center" wrapText="1"/>
      <protection locked="0"/>
    </xf>
    <xf numFmtId="0" fontId="5" fillId="2" borderId="1" xfId="3" applyFont="1" applyFill="1" applyBorder="1" applyAlignment="1" applyProtection="1">
      <alignment horizontal="center" vertical="center" wrapText="1"/>
      <protection locked="0"/>
    </xf>
    <xf numFmtId="0" fontId="5" fillId="2" borderId="2" xfId="3" applyFont="1" applyFill="1" applyBorder="1" applyAlignment="1" applyProtection="1">
      <alignment horizontal="center" vertical="center" wrapText="1"/>
      <protection locked="0"/>
    </xf>
    <xf numFmtId="0" fontId="0" fillId="2" borderId="5" xfId="0" applyFill="1" applyBorder="1" applyAlignment="1">
      <alignment horizontal="center" vertical="center" wrapText="1"/>
    </xf>
    <xf numFmtId="0" fontId="0" fillId="2" borderId="9" xfId="0" applyFill="1" applyBorder="1" applyAlignment="1">
      <alignment horizontal="center" vertical="center" wrapText="1"/>
    </xf>
    <xf numFmtId="0" fontId="15" fillId="2" borderId="2" xfId="7" applyFill="1" applyBorder="1" applyAlignment="1" applyProtection="1">
      <alignment horizontal="center" vertical="center" wrapText="1"/>
      <protection locked="0"/>
    </xf>
    <xf numFmtId="0" fontId="15" fillId="2" borderId="5" xfId="7" applyFill="1" applyBorder="1" applyAlignment="1" applyProtection="1">
      <alignment horizontal="center" vertical="center" wrapText="1"/>
      <protection locked="0"/>
    </xf>
    <xf numFmtId="0" fontId="15" fillId="2" borderId="9" xfId="7" applyFill="1" applyBorder="1" applyAlignment="1" applyProtection="1">
      <alignment horizontal="center" vertical="center" wrapText="1"/>
      <protection locked="0"/>
    </xf>
    <xf numFmtId="0" fontId="1" fillId="2" borderId="0" xfId="0" applyFont="1" applyFill="1" applyAlignment="1" applyProtection="1">
      <alignment horizontal="center" vertical="center" wrapText="1"/>
      <protection locked="0"/>
    </xf>
    <xf numFmtId="0" fontId="1" fillId="0" borderId="2" xfId="3" applyBorder="1" applyAlignment="1" applyProtection="1">
      <alignment horizontal="left" vertical="center" wrapText="1"/>
      <protection locked="0"/>
    </xf>
    <xf numFmtId="0" fontId="1" fillId="0" borderId="9" xfId="3" applyBorder="1" applyAlignment="1" applyProtection="1">
      <alignment horizontal="left" vertical="center" wrapText="1"/>
      <protection locked="0"/>
    </xf>
    <xf numFmtId="0" fontId="1" fillId="0" borderId="2" xfId="3" applyBorder="1" applyAlignment="1" applyProtection="1">
      <alignment horizontal="center" vertical="center" wrapText="1"/>
      <protection locked="0"/>
    </xf>
    <xf numFmtId="0" fontId="1" fillId="0" borderId="9" xfId="3" applyBorder="1" applyAlignment="1" applyProtection="1">
      <alignment horizontal="center" vertical="center" wrapText="1"/>
      <protection locked="0"/>
    </xf>
    <xf numFmtId="0" fontId="1" fillId="2" borderId="2" xfId="3" applyFill="1" applyBorder="1" applyAlignment="1" applyProtection="1">
      <alignment horizontal="left" vertical="center" wrapText="1"/>
      <protection locked="0"/>
    </xf>
    <xf numFmtId="0" fontId="1" fillId="2" borderId="9" xfId="3" applyFill="1" applyBorder="1" applyAlignment="1" applyProtection="1">
      <alignment horizontal="left" vertical="center" wrapText="1"/>
      <protection locked="0"/>
    </xf>
    <xf numFmtId="0" fontId="1" fillId="2" borderId="1" xfId="3" applyFill="1" applyBorder="1" applyAlignment="1" applyProtection="1">
      <alignment horizontal="center" vertical="center" wrapText="1"/>
      <protection locked="0"/>
    </xf>
    <xf numFmtId="0" fontId="15" fillId="2" borderId="1" xfId="7" applyFill="1" applyBorder="1" applyAlignment="1" applyProtection="1">
      <alignment horizontal="center" vertical="center" wrapText="1"/>
      <protection locked="0"/>
    </xf>
    <xf numFmtId="0" fontId="5" fillId="2" borderId="1" xfId="3" applyFont="1" applyFill="1" applyBorder="1" applyAlignment="1" applyProtection="1">
      <alignment horizontal="center" vertical="center" wrapText="1"/>
      <protection locked="0"/>
    </xf>
    <xf numFmtId="0" fontId="15" fillId="0" borderId="2" xfId="7" applyBorder="1" applyAlignment="1" applyProtection="1">
      <alignment horizontal="center" vertical="center" wrapText="1"/>
      <protection locked="0"/>
    </xf>
    <xf numFmtId="0" fontId="5" fillId="0" borderId="5" xfId="3" applyFont="1" applyBorder="1" applyAlignment="1" applyProtection="1">
      <alignment horizontal="center" vertical="center" wrapText="1"/>
      <protection locked="0"/>
    </xf>
    <xf numFmtId="0" fontId="5" fillId="0" borderId="9" xfId="3" applyFont="1" applyBorder="1" applyAlignment="1" applyProtection="1">
      <alignment horizontal="center" vertical="center" wrapText="1"/>
      <protection locked="0"/>
    </xf>
    <xf numFmtId="0" fontId="1" fillId="0" borderId="1" xfId="3" applyBorder="1" applyAlignment="1" applyProtection="1">
      <alignment horizontal="center" vertical="center" wrapText="1"/>
      <protection locked="0"/>
    </xf>
    <xf numFmtId="0" fontId="1" fillId="2" borderId="2" xfId="3" applyFill="1" applyBorder="1" applyAlignment="1" applyProtection="1">
      <alignment horizontal="center" vertical="center" wrapText="1"/>
      <protection locked="0"/>
    </xf>
    <xf numFmtId="0" fontId="1" fillId="2" borderId="9" xfId="3" applyFill="1" applyBorder="1" applyAlignment="1" applyProtection="1">
      <alignment horizontal="center" vertical="center" wrapText="1"/>
      <protection locked="0"/>
    </xf>
    <xf numFmtId="0" fontId="1" fillId="2" borderId="1" xfId="3" applyFill="1" applyBorder="1" applyAlignment="1" applyProtection="1">
      <alignment horizontal="left" vertical="center" wrapText="1"/>
      <protection locked="0"/>
    </xf>
    <xf numFmtId="3" fontId="12" fillId="3" borderId="1" xfId="0" applyNumberFormat="1" applyFont="1" applyFill="1" applyBorder="1" applyAlignment="1" applyProtection="1">
      <alignment horizontal="center" vertical="center" wrapText="1"/>
      <protection locked="0"/>
    </xf>
    <xf numFmtId="0" fontId="5" fillId="0" borderId="1" xfId="3" applyFont="1" applyBorder="1" applyAlignment="1" applyProtection="1">
      <alignment horizontal="center" vertical="center" wrapText="1"/>
      <protection locked="0"/>
    </xf>
    <xf numFmtId="0" fontId="15" fillId="2" borderId="2" xfId="7" applyFill="1" applyBorder="1" applyAlignment="1" applyProtection="1">
      <alignment horizontal="center" vertical="center" wrapText="1"/>
      <protection locked="0"/>
    </xf>
    <xf numFmtId="0" fontId="5" fillId="2" borderId="5" xfId="3" applyFont="1" applyFill="1" applyBorder="1" applyAlignment="1" applyProtection="1">
      <alignment horizontal="center" vertical="center" wrapText="1"/>
      <protection locked="0"/>
    </xf>
    <xf numFmtId="0" fontId="5" fillId="2" borderId="9" xfId="3" applyFont="1" applyFill="1" applyBorder="1" applyAlignment="1" applyProtection="1">
      <alignment horizontal="center" vertical="center" wrapText="1"/>
      <protection locked="0"/>
    </xf>
    <xf numFmtId="9" fontId="8" fillId="0" borderId="1" xfId="6" applyFont="1" applyFill="1" applyBorder="1" applyAlignment="1" applyProtection="1">
      <alignment horizontal="center" vertical="center"/>
      <protection locked="0"/>
    </xf>
    <xf numFmtId="0" fontId="13" fillId="4" borderId="1" xfId="0" applyFont="1" applyFill="1" applyBorder="1" applyAlignment="1" applyProtection="1">
      <alignment horizontal="center" vertical="center"/>
      <protection locked="0"/>
    </xf>
    <xf numFmtId="0" fontId="13" fillId="3" borderId="2" xfId="0" applyFont="1" applyFill="1" applyBorder="1" applyAlignment="1" applyProtection="1">
      <alignment horizontal="center" vertical="center" wrapText="1"/>
      <protection locked="0"/>
    </xf>
    <xf numFmtId="0" fontId="0" fillId="0" borderId="5" xfId="0" applyBorder="1" applyAlignment="1">
      <alignment horizontal="center" vertical="center" wrapText="1"/>
    </xf>
    <xf numFmtId="0" fontId="0" fillId="0" borderId="9" xfId="0" applyBorder="1" applyAlignment="1">
      <alignment horizontal="center" vertical="center" wrapText="1"/>
    </xf>
    <xf numFmtId="0" fontId="1" fillId="0" borderId="2" xfId="0" applyFont="1" applyBorder="1" applyAlignment="1" applyProtection="1">
      <alignment horizontal="center" vertical="center" wrapText="1"/>
      <protection locked="0"/>
    </xf>
    <xf numFmtId="0" fontId="1" fillId="0" borderId="5" xfId="0" applyFont="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3" fillId="0" borderId="2" xfId="0" applyFont="1" applyBorder="1" applyAlignment="1" applyProtection="1">
      <alignment horizontal="center" vertical="center" wrapText="1"/>
      <protection locked="0"/>
    </xf>
    <xf numFmtId="0" fontId="3" fillId="0" borderId="5" xfId="0" applyFont="1" applyBorder="1" applyAlignment="1" applyProtection="1">
      <alignment horizontal="center" vertical="center" wrapText="1"/>
      <protection locked="0"/>
    </xf>
    <xf numFmtId="0" fontId="3" fillId="0" borderId="9" xfId="0" applyFont="1" applyBorder="1" applyAlignment="1" applyProtection="1">
      <alignment horizontal="center" vertical="center" wrapText="1"/>
      <protection locked="0"/>
    </xf>
    <xf numFmtId="0" fontId="9" fillId="0" borderId="10" xfId="0" applyFont="1" applyBorder="1" applyAlignment="1" applyProtection="1">
      <alignment horizontal="center" vertical="center" wrapText="1"/>
      <protection locked="0"/>
    </xf>
    <xf numFmtId="0" fontId="9" fillId="0" borderId="6" xfId="0" applyFont="1" applyBorder="1" applyAlignment="1" applyProtection="1">
      <alignment horizontal="center" vertical="center" wrapText="1"/>
      <protection locked="0"/>
    </xf>
    <xf numFmtId="0" fontId="9" fillId="0" borderId="11" xfId="0" applyFont="1" applyBorder="1" applyAlignment="1" applyProtection="1">
      <alignment horizontal="center" vertical="center" wrapText="1"/>
      <protection locked="0"/>
    </xf>
    <xf numFmtId="0" fontId="9" fillId="0" borderId="14" xfId="0" applyFont="1" applyBorder="1" applyAlignment="1" applyProtection="1">
      <alignment horizontal="center" vertical="center" wrapText="1"/>
      <protection locked="0"/>
    </xf>
    <xf numFmtId="0" fontId="9" fillId="0" borderId="7" xfId="0" applyFont="1" applyBorder="1" applyAlignment="1" applyProtection="1">
      <alignment horizontal="center" vertical="center" wrapText="1"/>
      <protection locked="0"/>
    </xf>
    <xf numFmtId="0" fontId="9" fillId="0" borderId="15" xfId="0" applyFont="1" applyBorder="1" applyAlignment="1" applyProtection="1">
      <alignment horizontal="center" vertical="center" wrapText="1"/>
      <protection locked="0"/>
    </xf>
    <xf numFmtId="3" fontId="12" fillId="3" borderId="2" xfId="0" applyNumberFormat="1" applyFont="1" applyFill="1" applyBorder="1" applyAlignment="1" applyProtection="1">
      <alignment horizontal="center" vertical="center" wrapText="1"/>
      <protection locked="0"/>
    </xf>
    <xf numFmtId="3" fontId="2" fillId="4" borderId="1" xfId="0" applyNumberFormat="1" applyFont="1" applyFill="1" applyBorder="1" applyAlignment="1" applyProtection="1">
      <alignment horizontal="center"/>
      <protection locked="0"/>
    </xf>
    <xf numFmtId="3" fontId="12" fillId="4" borderId="2" xfId="0" applyNumberFormat="1" applyFont="1" applyFill="1" applyBorder="1" applyAlignment="1" applyProtection="1">
      <alignment horizontal="center" vertical="center"/>
      <protection locked="0"/>
    </xf>
    <xf numFmtId="3" fontId="12" fillId="4" borderId="5" xfId="0" applyNumberFormat="1" applyFont="1" applyFill="1" applyBorder="1" applyAlignment="1" applyProtection="1">
      <alignment horizontal="center" vertical="center"/>
      <protection locked="0"/>
    </xf>
    <xf numFmtId="3" fontId="12" fillId="4" borderId="9" xfId="0" applyNumberFormat="1" applyFont="1" applyFill="1" applyBorder="1" applyAlignment="1" applyProtection="1">
      <alignment horizontal="center" vertical="center"/>
      <protection locked="0"/>
    </xf>
    <xf numFmtId="0" fontId="12" fillId="3" borderId="3" xfId="0" applyFont="1" applyFill="1" applyBorder="1" applyAlignment="1" applyProtection="1">
      <alignment horizontal="center" vertical="center" wrapText="1"/>
      <protection locked="0"/>
    </xf>
    <xf numFmtId="0" fontId="12" fillId="3" borderId="4" xfId="0" applyFont="1" applyFill="1" applyBorder="1" applyAlignment="1" applyProtection="1">
      <alignment horizontal="center" vertical="center" wrapText="1"/>
      <protection locked="0"/>
    </xf>
    <xf numFmtId="0" fontId="1" fillId="0" borderId="10" xfId="0" applyFont="1" applyBorder="1" applyAlignment="1" applyProtection="1">
      <alignment horizontal="left" vertical="center" wrapText="1"/>
      <protection locked="0"/>
    </xf>
    <xf numFmtId="0" fontId="1" fillId="0" borderId="6" xfId="0" applyFont="1" applyBorder="1" applyAlignment="1" applyProtection="1">
      <alignment horizontal="left" vertical="center" wrapText="1"/>
      <protection locked="0"/>
    </xf>
    <xf numFmtId="0" fontId="1" fillId="0" borderId="11" xfId="0" applyFont="1" applyBorder="1" applyAlignment="1" applyProtection="1">
      <alignment horizontal="left" vertical="center" wrapText="1"/>
      <protection locked="0"/>
    </xf>
    <xf numFmtId="0" fontId="1" fillId="0" borderId="14" xfId="0" applyFont="1" applyBorder="1" applyAlignment="1" applyProtection="1">
      <alignment horizontal="left" vertical="center" wrapText="1"/>
      <protection locked="0"/>
    </xf>
    <xf numFmtId="0" fontId="1" fillId="0" borderId="7" xfId="0" applyFont="1" applyBorder="1" applyAlignment="1" applyProtection="1">
      <alignment horizontal="left" vertical="center" wrapText="1"/>
      <protection locked="0"/>
    </xf>
    <xf numFmtId="0" fontId="1" fillId="0" borderId="15" xfId="0" applyFont="1" applyBorder="1" applyAlignment="1" applyProtection="1">
      <alignment horizontal="left" vertical="center" wrapText="1"/>
      <protection locked="0"/>
    </xf>
    <xf numFmtId="3" fontId="12" fillId="3" borderId="10" xfId="0" applyNumberFormat="1" applyFont="1" applyFill="1" applyBorder="1" applyAlignment="1" applyProtection="1">
      <alignment horizontal="center" vertical="center"/>
      <protection locked="0"/>
    </xf>
    <xf numFmtId="3" fontId="12" fillId="3" borderId="11" xfId="0" applyNumberFormat="1" applyFont="1" applyFill="1" applyBorder="1" applyAlignment="1" applyProtection="1">
      <alignment horizontal="center" vertical="center"/>
      <protection locked="0"/>
    </xf>
    <xf numFmtId="3" fontId="12" fillId="3" borderId="14" xfId="0" applyNumberFormat="1" applyFont="1" applyFill="1" applyBorder="1" applyAlignment="1" applyProtection="1">
      <alignment horizontal="center" vertical="center"/>
      <protection locked="0"/>
    </xf>
    <xf numFmtId="3" fontId="12" fillId="3" borderId="15" xfId="0" applyNumberFormat="1" applyFont="1" applyFill="1" applyBorder="1" applyAlignment="1" applyProtection="1">
      <alignment horizontal="center" vertical="center"/>
      <protection locked="0"/>
    </xf>
    <xf numFmtId="3" fontId="12" fillId="3" borderId="10" xfId="0" applyNumberFormat="1" applyFont="1" applyFill="1" applyBorder="1" applyAlignment="1" applyProtection="1">
      <alignment horizontal="center" vertical="center" wrapText="1"/>
      <protection locked="0"/>
    </xf>
    <xf numFmtId="3" fontId="12" fillId="3" borderId="11" xfId="0" applyNumberFormat="1" applyFont="1" applyFill="1" applyBorder="1" applyAlignment="1" applyProtection="1">
      <alignment horizontal="center" vertical="center" wrapText="1"/>
      <protection locked="0"/>
    </xf>
    <xf numFmtId="3" fontId="12" fillId="3" borderId="14" xfId="0" applyNumberFormat="1" applyFont="1" applyFill="1" applyBorder="1" applyAlignment="1" applyProtection="1">
      <alignment horizontal="center" vertical="center" wrapText="1"/>
      <protection locked="0"/>
    </xf>
    <xf numFmtId="3" fontId="12" fillId="3" borderId="15" xfId="0" applyNumberFormat="1" applyFont="1" applyFill="1" applyBorder="1" applyAlignment="1" applyProtection="1">
      <alignment horizontal="center" vertical="center" wrapText="1"/>
      <protection locked="0"/>
    </xf>
    <xf numFmtId="0" fontId="1" fillId="0" borderId="3" xfId="0" applyFont="1" applyBorder="1" applyAlignment="1" applyProtection="1">
      <alignment horizontal="center" vertical="center" wrapText="1"/>
      <protection locked="0"/>
    </xf>
    <xf numFmtId="0" fontId="1" fillId="0" borderId="8" xfId="0" applyFont="1" applyBorder="1" applyAlignment="1" applyProtection="1">
      <alignment horizontal="center" vertical="center" wrapText="1"/>
      <protection locked="0"/>
    </xf>
    <xf numFmtId="0" fontId="1" fillId="0" borderId="4" xfId="0" applyFont="1" applyBorder="1" applyAlignment="1" applyProtection="1">
      <alignment horizontal="center" vertical="center" wrapText="1"/>
      <protection locked="0"/>
    </xf>
    <xf numFmtId="0" fontId="14" fillId="0" borderId="2" xfId="0" applyFont="1" applyBorder="1" applyAlignment="1" applyProtection="1">
      <alignment horizontal="center" vertical="center" wrapText="1"/>
      <protection locked="0"/>
    </xf>
    <xf numFmtId="0" fontId="14" fillId="0" borderId="5" xfId="0" applyFont="1" applyBorder="1" applyAlignment="1" applyProtection="1">
      <alignment horizontal="center" vertical="center" wrapText="1"/>
      <protection locked="0"/>
    </xf>
    <xf numFmtId="0" fontId="14" fillId="0" borderId="9" xfId="0" applyFont="1" applyBorder="1" applyAlignment="1" applyProtection="1">
      <alignment horizontal="center" vertical="center" wrapText="1"/>
      <protection locked="0"/>
    </xf>
    <xf numFmtId="0" fontId="12" fillId="3" borderId="1" xfId="0" applyFont="1" applyFill="1" applyBorder="1" applyAlignment="1" applyProtection="1">
      <alignment horizontal="center" vertical="center" wrapText="1"/>
      <protection locked="0"/>
    </xf>
    <xf numFmtId="3" fontId="12" fillId="3" borderId="3" xfId="0" applyNumberFormat="1" applyFont="1" applyFill="1" applyBorder="1" applyAlignment="1" applyProtection="1">
      <alignment horizontal="center" vertical="center"/>
      <protection locked="0"/>
    </xf>
    <xf numFmtId="0" fontId="0" fillId="0" borderId="8" xfId="0" applyBorder="1" applyAlignment="1">
      <alignment horizontal="center" vertical="center"/>
    </xf>
    <xf numFmtId="0" fontId="0" fillId="0" borderId="4" xfId="0" applyBorder="1" applyAlignment="1">
      <alignment horizontal="center" vertical="center"/>
    </xf>
    <xf numFmtId="3" fontId="12" fillId="3" borderId="1" xfId="0" applyNumberFormat="1" applyFont="1" applyFill="1" applyBorder="1" applyAlignment="1" applyProtection="1">
      <alignment horizontal="center" vertical="center"/>
      <protection locked="0"/>
    </xf>
    <xf numFmtId="3" fontId="1" fillId="0" borderId="2" xfId="0" applyNumberFormat="1" applyFont="1" applyBorder="1" applyAlignment="1" applyProtection="1">
      <alignment horizontal="left" vertical="center" wrapText="1"/>
      <protection locked="0"/>
    </xf>
    <xf numFmtId="3" fontId="1" fillId="0" borderId="5" xfId="0" applyNumberFormat="1" applyFont="1" applyBorder="1" applyAlignment="1" applyProtection="1">
      <alignment horizontal="left" vertical="center" wrapText="1"/>
      <protection locked="0"/>
    </xf>
    <xf numFmtId="3" fontId="1" fillId="0" borderId="9" xfId="0" applyNumberFormat="1" applyFont="1" applyBorder="1" applyAlignment="1" applyProtection="1">
      <alignment horizontal="left" vertical="center" wrapText="1"/>
      <protection locked="0"/>
    </xf>
    <xf numFmtId="3" fontId="12" fillId="3" borderId="2" xfId="0" applyNumberFormat="1" applyFont="1" applyFill="1" applyBorder="1" applyAlignment="1" applyProtection="1">
      <alignment horizontal="center" vertical="center"/>
      <protection locked="0"/>
    </xf>
    <xf numFmtId="3" fontId="12" fillId="4" borderId="1" xfId="0" applyNumberFormat="1" applyFont="1" applyFill="1" applyBorder="1" applyAlignment="1" applyProtection="1">
      <alignment horizontal="center" vertical="center"/>
      <protection locked="0"/>
    </xf>
    <xf numFmtId="0" fontId="12" fillId="3" borderId="10" xfId="0" applyFont="1" applyFill="1" applyBorder="1" applyAlignment="1" applyProtection="1">
      <alignment horizontal="center" vertical="center" wrapText="1"/>
      <protection locked="0"/>
    </xf>
    <xf numFmtId="0" fontId="12" fillId="3" borderId="6" xfId="0" applyFont="1" applyFill="1" applyBorder="1" applyAlignment="1" applyProtection="1">
      <alignment horizontal="center" vertical="center" wrapText="1"/>
      <protection locked="0"/>
    </xf>
    <xf numFmtId="0" fontId="12" fillId="3" borderId="11" xfId="0" applyFont="1" applyFill="1" applyBorder="1" applyAlignment="1" applyProtection="1">
      <alignment horizontal="center" vertical="center" wrapText="1"/>
      <protection locked="0"/>
    </xf>
    <xf numFmtId="0" fontId="12" fillId="3" borderId="14" xfId="0" applyFont="1" applyFill="1" applyBorder="1" applyAlignment="1" applyProtection="1">
      <alignment horizontal="center" vertical="center" wrapText="1"/>
      <protection locked="0"/>
    </xf>
    <xf numFmtId="0" fontId="12" fillId="3" borderId="7" xfId="0" applyFont="1" applyFill="1" applyBorder="1" applyAlignment="1" applyProtection="1">
      <alignment horizontal="center" vertical="center" wrapText="1"/>
      <protection locked="0"/>
    </xf>
    <xf numFmtId="0" fontId="12" fillId="3" borderId="15" xfId="0" applyFont="1" applyFill="1" applyBorder="1" applyAlignment="1" applyProtection="1">
      <alignment horizontal="center" vertical="center" wrapText="1"/>
      <protection locked="0"/>
    </xf>
    <xf numFmtId="0" fontId="15" fillId="0" borderId="1" xfId="7" applyBorder="1" applyAlignment="1" applyProtection="1">
      <alignment horizontal="center" vertical="center" wrapText="1"/>
      <protection locked="0"/>
    </xf>
    <xf numFmtId="0" fontId="5" fillId="2" borderId="2" xfId="3" applyFont="1" applyFill="1" applyBorder="1" applyAlignment="1" applyProtection="1">
      <alignment horizontal="center" vertical="center" wrapText="1"/>
      <protection locked="0"/>
    </xf>
    <xf numFmtId="0" fontId="15" fillId="2" borderId="5" xfId="7" applyFill="1" applyBorder="1" applyAlignment="1" applyProtection="1">
      <alignment horizontal="center" vertical="center" wrapText="1"/>
      <protection locked="0"/>
    </xf>
    <xf numFmtId="0" fontId="15" fillId="2" borderId="9" xfId="7" applyFill="1" applyBorder="1" applyAlignment="1" applyProtection="1">
      <alignment horizontal="center" vertical="center" wrapText="1"/>
      <protection locked="0"/>
    </xf>
    <xf numFmtId="1" fontId="8" fillId="0" borderId="3" xfId="6" applyNumberFormat="1" applyFont="1" applyFill="1" applyBorder="1" applyAlignment="1" applyProtection="1">
      <alignment horizontal="center" vertical="center"/>
      <protection locked="0"/>
    </xf>
    <xf numFmtId="1" fontId="8" fillId="0" borderId="8" xfId="6" applyNumberFormat="1" applyFont="1" applyFill="1" applyBorder="1" applyAlignment="1" applyProtection="1">
      <alignment horizontal="center" vertical="center"/>
      <protection locked="0"/>
    </xf>
    <xf numFmtId="1" fontId="8" fillId="0" borderId="4" xfId="6" applyNumberFormat="1" applyFont="1" applyFill="1" applyBorder="1" applyAlignment="1" applyProtection="1">
      <alignment horizontal="center" vertical="center"/>
      <protection locked="0"/>
    </xf>
    <xf numFmtId="0" fontId="2" fillId="0" borderId="1" xfId="0" applyFont="1" applyBorder="1" applyAlignment="1" applyProtection="1">
      <alignment horizontal="center" vertical="center" wrapText="1"/>
      <protection locked="0"/>
    </xf>
    <xf numFmtId="14" fontId="14" fillId="2" borderId="2" xfId="0" applyNumberFormat="1" applyFont="1" applyFill="1" applyBorder="1" applyAlignment="1" applyProtection="1">
      <alignment horizontal="center" vertical="center" wrapText="1"/>
      <protection locked="0"/>
    </xf>
    <xf numFmtId="0" fontId="14" fillId="2" borderId="5" xfId="0" applyFont="1" applyFill="1" applyBorder="1" applyAlignment="1" applyProtection="1">
      <alignment horizontal="center" vertical="center" wrapText="1"/>
      <protection locked="0"/>
    </xf>
    <xf numFmtId="0" fontId="14" fillId="2" borderId="9" xfId="0" applyFont="1" applyFill="1" applyBorder="1" applyAlignment="1" applyProtection="1">
      <alignment horizontal="center" vertical="center" wrapText="1"/>
      <protection locked="0"/>
    </xf>
    <xf numFmtId="0" fontId="5" fillId="4" borderId="1" xfId="3" applyFont="1" applyFill="1" applyBorder="1" applyAlignment="1" applyProtection="1">
      <alignment horizontal="center" vertical="center" wrapText="1"/>
      <protection locked="0"/>
    </xf>
    <xf numFmtId="0" fontId="1" fillId="0" borderId="1" xfId="3" applyBorder="1" applyAlignment="1" applyProtection="1">
      <alignment horizontal="left" vertical="center" wrapText="1"/>
      <protection locked="0"/>
    </xf>
    <xf numFmtId="0" fontId="13" fillId="3" borderId="1" xfId="0" applyFont="1" applyFill="1" applyBorder="1" applyAlignment="1" applyProtection="1">
      <alignment horizontal="center" vertical="center"/>
      <protection locked="0"/>
    </xf>
    <xf numFmtId="9" fontId="8" fillId="0" borderId="3" xfId="6" applyFont="1" applyFill="1" applyBorder="1" applyAlignment="1" applyProtection="1">
      <alignment horizontal="center" vertical="center"/>
      <protection locked="0"/>
    </xf>
    <xf numFmtId="9" fontId="8" fillId="0" borderId="8" xfId="6" applyFont="1" applyFill="1" applyBorder="1" applyAlignment="1" applyProtection="1">
      <alignment horizontal="center" vertical="center"/>
      <protection locked="0"/>
    </xf>
    <xf numFmtId="9" fontId="8" fillId="0" borderId="4" xfId="6" applyFont="1" applyFill="1" applyBorder="1" applyAlignment="1" applyProtection="1">
      <alignment horizontal="center" vertical="center"/>
      <protection locked="0"/>
    </xf>
    <xf numFmtId="0" fontId="5" fillId="0" borderId="2" xfId="3" applyFont="1" applyBorder="1" applyAlignment="1" applyProtection="1">
      <alignment horizontal="center" vertical="center" wrapText="1"/>
      <protection locked="0"/>
    </xf>
    <xf numFmtId="0" fontId="0" fillId="2" borderId="5" xfId="0" applyFill="1" applyBorder="1" applyAlignment="1">
      <alignment horizontal="center" vertical="center" wrapText="1"/>
    </xf>
    <xf numFmtId="0" fontId="0" fillId="2" borderId="9" xfId="0" applyFill="1" applyBorder="1" applyAlignment="1">
      <alignment horizontal="center" vertical="center" wrapText="1"/>
    </xf>
    <xf numFmtId="9" fontId="2" fillId="5" borderId="10" xfId="0" applyNumberFormat="1" applyFont="1" applyFill="1" applyBorder="1" applyAlignment="1" applyProtection="1">
      <alignment horizontal="center" vertical="center"/>
      <protection locked="0"/>
    </xf>
    <xf numFmtId="9" fontId="2" fillId="5" borderId="6" xfId="0" applyNumberFormat="1" applyFont="1" applyFill="1" applyBorder="1" applyAlignment="1" applyProtection="1">
      <alignment horizontal="center" vertical="center"/>
      <protection locked="0"/>
    </xf>
    <xf numFmtId="9" fontId="2" fillId="5" borderId="11" xfId="0" applyNumberFormat="1" applyFont="1" applyFill="1" applyBorder="1" applyAlignment="1" applyProtection="1">
      <alignment horizontal="center" vertical="center"/>
      <protection locked="0"/>
    </xf>
    <xf numFmtId="9" fontId="2" fillId="5" borderId="12" xfId="0" applyNumberFormat="1" applyFont="1" applyFill="1" applyBorder="1" applyAlignment="1" applyProtection="1">
      <alignment horizontal="center" vertical="center"/>
      <protection locked="0"/>
    </xf>
    <xf numFmtId="9" fontId="2" fillId="5" borderId="0" xfId="0" applyNumberFormat="1" applyFont="1" applyFill="1" applyAlignment="1" applyProtection="1">
      <alignment horizontal="center" vertical="center"/>
      <protection locked="0"/>
    </xf>
    <xf numFmtId="9" fontId="2" fillId="5" borderId="13" xfId="0" applyNumberFormat="1" applyFont="1" applyFill="1" applyBorder="1" applyAlignment="1" applyProtection="1">
      <alignment horizontal="center" vertical="center"/>
      <protection locked="0"/>
    </xf>
    <xf numFmtId="9" fontId="2" fillId="5" borderId="14" xfId="0" applyNumberFormat="1" applyFont="1" applyFill="1" applyBorder="1" applyAlignment="1" applyProtection="1">
      <alignment horizontal="center" vertical="center"/>
      <protection locked="0"/>
    </xf>
    <xf numFmtId="9" fontId="2" fillId="5" borderId="7" xfId="0" applyNumberFormat="1" applyFont="1" applyFill="1" applyBorder="1" applyAlignment="1" applyProtection="1">
      <alignment horizontal="center" vertical="center"/>
      <protection locked="0"/>
    </xf>
    <xf numFmtId="9" fontId="2" fillId="5" borderId="15" xfId="0" applyNumberFormat="1" applyFont="1" applyFill="1" applyBorder="1" applyAlignment="1" applyProtection="1">
      <alignment horizontal="center" vertical="center"/>
      <protection locked="0"/>
    </xf>
    <xf numFmtId="0" fontId="13" fillId="3" borderId="1" xfId="0" applyFont="1" applyFill="1" applyBorder="1" applyAlignment="1" applyProtection="1">
      <alignment horizontal="center" vertical="center" wrapText="1"/>
      <protection locked="0"/>
    </xf>
    <xf numFmtId="0" fontId="1" fillId="0" borderId="0" xfId="0" applyFont="1" applyAlignment="1" applyProtection="1">
      <alignment horizontal="center"/>
      <protection locked="0"/>
    </xf>
    <xf numFmtId="0" fontId="2" fillId="0" borderId="0" xfId="0" applyFont="1" applyAlignment="1" applyProtection="1">
      <alignment horizontal="center" vertical="center"/>
      <protection locked="0"/>
    </xf>
    <xf numFmtId="0" fontId="13" fillId="4" borderId="4" xfId="0" applyFont="1" applyFill="1" applyBorder="1" applyAlignment="1" applyProtection="1">
      <alignment horizontal="center" vertical="center"/>
      <protection locked="0"/>
    </xf>
    <xf numFmtId="0" fontId="12" fillId="4" borderId="2" xfId="0" applyFont="1" applyFill="1" applyBorder="1" applyAlignment="1" applyProtection="1">
      <alignment horizontal="center" vertical="center" wrapText="1"/>
      <protection locked="0"/>
    </xf>
    <xf numFmtId="0" fontId="12" fillId="4" borderId="9" xfId="0" applyFont="1" applyFill="1" applyBorder="1" applyAlignment="1">
      <alignment horizontal="center"/>
    </xf>
    <xf numFmtId="0" fontId="13" fillId="3" borderId="12" xfId="0" applyFont="1" applyFill="1" applyBorder="1" applyAlignment="1" applyProtection="1">
      <alignment horizontal="center" vertical="center" wrapText="1"/>
      <protection locked="0"/>
    </xf>
    <xf numFmtId="0" fontId="0" fillId="0" borderId="0" xfId="0" applyAlignment="1">
      <alignment horizontal="center" vertical="center" wrapText="1"/>
    </xf>
    <xf numFmtId="0" fontId="0" fillId="0" borderId="0" xfId="0"/>
  </cellXfs>
  <cellStyles count="8">
    <cellStyle name="Hipervínculo" xfId="7" builtinId="8"/>
    <cellStyle name="Millares 2" xfId="1"/>
    <cellStyle name="Normal" xfId="0" builtinId="0"/>
    <cellStyle name="Normal 2" xfId="2"/>
    <cellStyle name="Normal 2 2" xfId="3"/>
    <cellStyle name="Normal 3" xfId="4"/>
    <cellStyle name="Normal 9" xfId="5"/>
    <cellStyle name="Porcentaje" xfId="6" builtinId="5"/>
  </cellStyles>
  <dxfs count="12">
    <dxf>
      <font>
        <color theme="0"/>
      </font>
      <fill>
        <patternFill>
          <bgColor rgb="FFFF0000"/>
        </patternFill>
      </fill>
    </dxf>
    <dxf>
      <font>
        <color theme="0"/>
      </font>
      <fill>
        <patternFill>
          <bgColor rgb="FF00B050"/>
        </patternFill>
      </fill>
    </dxf>
    <dxf>
      <fill>
        <patternFill>
          <bgColor theme="5" tint="0.39994506668294322"/>
        </patternFill>
      </fill>
    </dxf>
    <dxf>
      <font>
        <color theme="0"/>
      </font>
      <fill>
        <patternFill>
          <bgColor rgb="FFFF0000"/>
        </patternFill>
      </fill>
    </dxf>
    <dxf>
      <font>
        <color theme="0"/>
      </font>
      <fill>
        <patternFill>
          <bgColor rgb="FF00B050"/>
        </patternFill>
      </fill>
    </dxf>
    <dxf>
      <fill>
        <patternFill>
          <bgColor theme="5" tint="0.39994506668294322"/>
        </patternFill>
      </fill>
    </dxf>
    <dxf>
      <font>
        <color theme="0"/>
      </font>
      <fill>
        <patternFill>
          <bgColor rgb="FFFF0000"/>
        </patternFill>
      </fill>
    </dxf>
    <dxf>
      <font>
        <color theme="0"/>
      </font>
      <fill>
        <patternFill>
          <bgColor rgb="FF00B050"/>
        </patternFill>
      </fill>
    </dxf>
    <dxf>
      <fill>
        <patternFill>
          <bgColor theme="5" tint="0.39994506668294322"/>
        </patternFill>
      </fill>
    </dxf>
    <dxf>
      <font>
        <color theme="0"/>
      </font>
      <fill>
        <patternFill>
          <bgColor rgb="FFFF0000"/>
        </patternFill>
      </fill>
    </dxf>
    <dxf>
      <font>
        <color theme="0"/>
      </font>
      <fill>
        <patternFill>
          <bgColor rgb="FF00B050"/>
        </patternFill>
      </fill>
    </dxf>
    <dxf>
      <fill>
        <patternFill>
          <bgColor theme="5" tint="0.39994506668294322"/>
        </patternFill>
      </fill>
    </dxf>
  </dxfs>
  <tableStyles count="0" defaultTableStyle="TableStyleMedium9" defaultPivotStyle="PivotStyleLight16"/>
  <colors>
    <mruColors>
      <color rgb="FF20356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409575</xdr:colOff>
      <xdr:row>1</xdr:row>
      <xdr:rowOff>150019</xdr:rowOff>
    </xdr:from>
    <xdr:to>
      <xdr:col>1</xdr:col>
      <xdr:colOff>2066925</xdr:colOff>
      <xdr:row>3</xdr:row>
      <xdr:rowOff>397669</xdr:rowOff>
    </xdr:to>
    <xdr:pic>
      <xdr:nvPicPr>
        <xdr:cNvPr id="10459564" name="0 Imagen">
          <a:extLst>
            <a:ext uri="{FF2B5EF4-FFF2-40B4-BE49-F238E27FC236}">
              <a16:creationId xmlns:a16="http://schemas.microsoft.com/office/drawing/2014/main" id="{89203706-D651-6EC5-FE6C-02D33657F2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3388" y="173832"/>
          <a:ext cx="1657350" cy="9382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events.teams.microsoft.com/event/0ef8775e-55a3-472b-bb82-21eb4826fbc9@3c0bd4fe-1111-4d13-8e0c-7c33b9eb7581" TargetMode="External"/><Relationship Id="rId7" Type="http://schemas.openxmlformats.org/officeDocument/2006/relationships/hyperlink" Target="https://events.teams.microsoft.com/event/5d1eacc4-7a18-434a-bec5-eb1563dde7c6@3c0bd4fe-1111-4d13-8e0c-7c33b9eb7581" TargetMode="External"/><Relationship Id="rId2" Type="http://schemas.openxmlformats.org/officeDocument/2006/relationships/hyperlink" Target="https://events.teams.microsoft.com/event/a8bd2dcc-3409-434e-a862-edd1b72c71b6@3c0bd4fe-1111-4d13-8e0c-7c33b9eb7581" TargetMode="External"/><Relationship Id="rId1" Type="http://schemas.openxmlformats.org/officeDocument/2006/relationships/hyperlink" Target="https://events.teams.microsoft.com/event/2e9b5646-c485-47b2-872e-f34001cf8f78@3c0bd4fe-1111-4d13-8e0c-7c33b9eb7581" TargetMode="External"/><Relationship Id="rId6" Type="http://schemas.openxmlformats.org/officeDocument/2006/relationships/hyperlink" Target="https://events.teams.microsoft.com/event/d08d36e5-dd26-446b-8b18-aadedd9017d4@3c0bd4fe-1111-4d13-8e0c-7c33b9eb7581" TargetMode="External"/><Relationship Id="rId5" Type="http://schemas.openxmlformats.org/officeDocument/2006/relationships/hyperlink" Target="https://events.teams.microsoft.com/event/c5af3a9a-d365-4ea4-9236-b9a078c740e7@3c0bd4fe-1111-4d13-8e0c-7c33b9eb7581" TargetMode="External"/><Relationship Id="rId4" Type="http://schemas.openxmlformats.org/officeDocument/2006/relationships/hyperlink" Target="https://events.teams.microsoft.com/event/091d23b7-884d-493a-ba53-8fff295a77c7@3c0bd4fe-1111-4d13-8e0c-7c33b9eb7581" TargetMode="External"/><Relationship Id="rId9"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XFD279"/>
  <sheetViews>
    <sheetView showGridLines="0" tabSelected="1" topLeftCell="A62" zoomScale="69" zoomScaleNormal="69" workbookViewId="0">
      <selection activeCell="B63" sqref="B63"/>
    </sheetView>
  </sheetViews>
  <sheetFormatPr baseColWidth="10" defaultColWidth="9.140625" defaultRowHeight="12.75" x14ac:dyDescent="0.2"/>
  <cols>
    <col min="1" max="1" width="0.42578125" style="1" customWidth="1"/>
    <col min="2" max="2" width="41.42578125" style="2" customWidth="1"/>
    <col min="3" max="3" width="19.5703125" style="1" customWidth="1"/>
    <col min="4" max="4" width="28.42578125" style="1" customWidth="1"/>
    <col min="5" max="5" width="16" style="1" customWidth="1"/>
    <col min="6" max="6" width="21.7109375" style="1" customWidth="1"/>
    <col min="7" max="7" width="17" style="1" customWidth="1"/>
    <col min="8" max="8" width="15" style="1" customWidth="1"/>
    <col min="9" max="9" width="18.28515625" style="3" customWidth="1"/>
    <col min="10" max="10" width="11.28515625" style="4" customWidth="1"/>
    <col min="11" max="11" width="8.85546875" style="1" customWidth="1"/>
    <col min="12" max="12" width="5.5703125" style="1" customWidth="1"/>
    <col min="13" max="13" width="17.140625" style="3" customWidth="1"/>
    <col min="14" max="14" width="6.28515625" style="4" customWidth="1"/>
    <col min="15" max="17" width="19.85546875" style="4" customWidth="1"/>
    <col min="18" max="18" width="9.85546875" style="1" customWidth="1"/>
    <col min="19" max="19" width="7.85546875" style="1" customWidth="1"/>
    <col min="20" max="20" width="7.28515625" style="1" customWidth="1"/>
    <col min="21" max="22" width="9.140625" style="1"/>
    <col min="23" max="23" width="13.5703125" style="1" customWidth="1"/>
    <col min="24" max="24" width="9.140625" style="1" customWidth="1"/>
    <col min="25" max="16384" width="9.140625" style="1"/>
  </cols>
  <sheetData>
    <row r="1" spans="2:24" ht="1.5" customHeight="1" x14ac:dyDescent="0.2">
      <c r="N1" s="82"/>
      <c r="O1" s="83"/>
      <c r="P1" s="83"/>
      <c r="Q1" s="83"/>
      <c r="R1" s="83"/>
      <c r="S1" s="83"/>
      <c r="T1" s="84"/>
    </row>
    <row r="2" spans="2:24" ht="27" customHeight="1" x14ac:dyDescent="0.2">
      <c r="B2" s="115" t="s">
        <v>38</v>
      </c>
      <c r="C2" s="88" t="s">
        <v>60</v>
      </c>
      <c r="D2" s="89"/>
      <c r="E2" s="89"/>
      <c r="F2" s="89"/>
      <c r="G2" s="89"/>
      <c r="H2" s="89"/>
      <c r="I2" s="89"/>
      <c r="J2" s="89"/>
      <c r="K2" s="89"/>
      <c r="L2" s="89"/>
      <c r="M2" s="90"/>
      <c r="N2" s="85" t="s">
        <v>59</v>
      </c>
      <c r="O2" s="86"/>
      <c r="P2" s="86"/>
      <c r="Q2" s="86"/>
      <c r="R2" s="86"/>
      <c r="S2" s="86"/>
      <c r="T2" s="87"/>
    </row>
    <row r="3" spans="2:24" ht="27" customHeight="1" x14ac:dyDescent="0.2">
      <c r="B3" s="116"/>
      <c r="C3" s="91"/>
      <c r="D3" s="92"/>
      <c r="E3" s="92"/>
      <c r="F3" s="92"/>
      <c r="G3" s="92"/>
      <c r="H3" s="92"/>
      <c r="I3" s="92"/>
      <c r="J3" s="92"/>
      <c r="K3" s="92"/>
      <c r="L3" s="92"/>
      <c r="M3" s="93"/>
      <c r="N3" s="85" t="s">
        <v>55</v>
      </c>
      <c r="O3" s="86"/>
      <c r="P3" s="86"/>
      <c r="Q3" s="86"/>
      <c r="R3" s="86"/>
      <c r="S3" s="86"/>
      <c r="T3" s="87"/>
    </row>
    <row r="4" spans="2:24" ht="45" customHeight="1" x14ac:dyDescent="0.2">
      <c r="B4" s="117"/>
      <c r="C4" s="118" t="s">
        <v>53</v>
      </c>
      <c r="D4" s="119"/>
      <c r="E4" s="119"/>
      <c r="F4" s="119"/>
      <c r="G4" s="120"/>
      <c r="H4" s="85" t="s">
        <v>54</v>
      </c>
      <c r="I4" s="86"/>
      <c r="J4" s="86"/>
      <c r="K4" s="86"/>
      <c r="L4" s="86"/>
      <c r="M4" s="87"/>
      <c r="N4" s="85" t="s">
        <v>56</v>
      </c>
      <c r="O4" s="86"/>
      <c r="P4" s="86"/>
      <c r="Q4" s="86"/>
      <c r="R4" s="86"/>
      <c r="S4" s="86"/>
      <c r="T4" s="87"/>
    </row>
    <row r="5" spans="2:24" ht="4.5" customHeight="1" x14ac:dyDescent="0.2">
      <c r="B5" s="95"/>
      <c r="C5" s="95"/>
      <c r="D5" s="95"/>
      <c r="E5" s="95"/>
      <c r="F5" s="95"/>
      <c r="G5" s="95"/>
      <c r="H5" s="95"/>
      <c r="I5" s="95"/>
      <c r="J5" s="95"/>
      <c r="K5" s="95"/>
      <c r="L5" s="95"/>
      <c r="M5" s="95"/>
      <c r="N5" s="95"/>
      <c r="O5" s="95"/>
      <c r="P5" s="95"/>
      <c r="Q5" s="95"/>
      <c r="R5" s="95"/>
      <c r="S5" s="95"/>
      <c r="T5" s="95"/>
    </row>
    <row r="6" spans="2:24" ht="48" customHeight="1" x14ac:dyDescent="0.2">
      <c r="B6" s="19" t="s">
        <v>1</v>
      </c>
      <c r="C6" s="126" t="s">
        <v>61</v>
      </c>
      <c r="D6" s="127"/>
      <c r="E6" s="127"/>
      <c r="F6" s="127"/>
      <c r="G6" s="127"/>
      <c r="H6" s="127"/>
      <c r="I6" s="128"/>
      <c r="J6" s="131" t="s">
        <v>0</v>
      </c>
      <c r="K6" s="132"/>
      <c r="L6" s="133"/>
      <c r="M6" s="101" t="s">
        <v>40</v>
      </c>
      <c r="N6" s="102"/>
      <c r="O6" s="102"/>
      <c r="P6" s="102"/>
      <c r="Q6" s="102"/>
      <c r="R6" s="102"/>
      <c r="S6" s="102"/>
      <c r="T6" s="103"/>
    </row>
    <row r="7" spans="2:24" ht="46.5" customHeight="1" x14ac:dyDescent="0.2">
      <c r="B7" s="20" t="s">
        <v>2</v>
      </c>
      <c r="C7" s="126" t="s">
        <v>62</v>
      </c>
      <c r="D7" s="127"/>
      <c r="E7" s="127"/>
      <c r="F7" s="127"/>
      <c r="G7" s="127"/>
      <c r="H7" s="127"/>
      <c r="I7" s="128"/>
      <c r="J7" s="134"/>
      <c r="K7" s="135"/>
      <c r="L7" s="136"/>
      <c r="M7" s="104"/>
      <c r="N7" s="105"/>
      <c r="O7" s="105"/>
      <c r="P7" s="105"/>
      <c r="Q7" s="105"/>
      <c r="R7" s="105"/>
      <c r="S7" s="105"/>
      <c r="T7" s="106"/>
    </row>
    <row r="8" spans="2:24" ht="4.5" customHeight="1" x14ac:dyDescent="0.2">
      <c r="B8" s="96"/>
      <c r="C8" s="97"/>
      <c r="D8" s="97"/>
      <c r="E8" s="97"/>
      <c r="F8" s="97"/>
      <c r="G8" s="97"/>
      <c r="H8" s="97"/>
      <c r="I8" s="97"/>
      <c r="J8" s="97"/>
      <c r="K8" s="97"/>
      <c r="L8" s="97"/>
      <c r="M8" s="97"/>
      <c r="N8" s="97"/>
      <c r="O8" s="97"/>
      <c r="P8" s="97"/>
      <c r="Q8" s="97"/>
      <c r="R8" s="97"/>
      <c r="S8" s="97"/>
      <c r="T8" s="98"/>
    </row>
    <row r="9" spans="2:24" ht="28.5" customHeight="1" x14ac:dyDescent="0.2">
      <c r="B9" s="22" t="s">
        <v>8</v>
      </c>
      <c r="C9" s="145">
        <v>45139</v>
      </c>
      <c r="D9" s="146"/>
      <c r="E9" s="147"/>
      <c r="F9" s="121" t="s">
        <v>5</v>
      </c>
      <c r="G9" s="121"/>
      <c r="H9" s="85" t="s">
        <v>58</v>
      </c>
      <c r="I9" s="86"/>
      <c r="J9" s="121" t="s">
        <v>11</v>
      </c>
      <c r="K9" s="121"/>
      <c r="L9" s="121"/>
      <c r="M9" s="144" t="s">
        <v>57</v>
      </c>
      <c r="N9" s="144"/>
      <c r="O9" s="144"/>
      <c r="P9" s="144"/>
      <c r="Q9" s="144"/>
      <c r="R9" s="144"/>
      <c r="S9" s="144"/>
      <c r="T9" s="144"/>
    </row>
    <row r="10" spans="2:24" ht="4.5" customHeight="1" x14ac:dyDescent="0.2">
      <c r="B10" s="95"/>
      <c r="C10" s="95"/>
      <c r="D10" s="95"/>
      <c r="E10" s="95"/>
      <c r="F10" s="95"/>
      <c r="G10" s="95"/>
      <c r="H10" s="95"/>
      <c r="I10" s="95"/>
      <c r="J10" s="95"/>
      <c r="K10" s="95"/>
      <c r="L10" s="95"/>
      <c r="M10" s="95"/>
      <c r="N10" s="95"/>
      <c r="O10" s="95"/>
      <c r="P10" s="95"/>
      <c r="Q10" s="95"/>
      <c r="R10" s="95"/>
      <c r="S10" s="95"/>
      <c r="T10" s="95"/>
    </row>
    <row r="11" spans="2:24" ht="18.75" customHeight="1" x14ac:dyDescent="0.2">
      <c r="B11" s="125" t="s">
        <v>39</v>
      </c>
      <c r="C11" s="125"/>
      <c r="D11" s="125"/>
      <c r="E11" s="125"/>
      <c r="F11" s="125"/>
      <c r="G11" s="125"/>
      <c r="H11" s="125"/>
      <c r="I11" s="125" t="s">
        <v>27</v>
      </c>
      <c r="J11" s="125"/>
      <c r="K11" s="125"/>
      <c r="L11" s="125"/>
      <c r="M11" s="125"/>
      <c r="N11" s="129"/>
      <c r="O11" s="122" t="s">
        <v>42</v>
      </c>
      <c r="P11" s="122" t="s">
        <v>46</v>
      </c>
      <c r="Q11" s="122" t="s">
        <v>63</v>
      </c>
      <c r="R11" s="125" t="s">
        <v>12</v>
      </c>
      <c r="S11" s="125"/>
      <c r="T11" s="125"/>
    </row>
    <row r="12" spans="2:24" ht="18.75" customHeight="1" x14ac:dyDescent="0.2">
      <c r="B12" s="99" t="s">
        <v>41</v>
      </c>
      <c r="C12" s="107" t="s">
        <v>6</v>
      </c>
      <c r="D12" s="108"/>
      <c r="E12" s="107" t="s">
        <v>26</v>
      </c>
      <c r="F12" s="108"/>
      <c r="G12" s="111" t="s">
        <v>25</v>
      </c>
      <c r="H12" s="112"/>
      <c r="I12" s="72" t="s">
        <v>28</v>
      </c>
      <c r="J12" s="72"/>
      <c r="K12" s="130" t="s">
        <v>7</v>
      </c>
      <c r="L12" s="130"/>
      <c r="M12" s="72" t="s">
        <v>29</v>
      </c>
      <c r="N12" s="94"/>
      <c r="O12" s="123"/>
      <c r="P12" s="123"/>
      <c r="Q12" s="123"/>
      <c r="R12" s="125"/>
      <c r="S12" s="125"/>
      <c r="T12" s="125"/>
    </row>
    <row r="13" spans="2:24" ht="18.75" customHeight="1" x14ac:dyDescent="0.2">
      <c r="B13" s="100"/>
      <c r="C13" s="109"/>
      <c r="D13" s="110"/>
      <c r="E13" s="109"/>
      <c r="F13" s="110"/>
      <c r="G13" s="113"/>
      <c r="H13" s="114"/>
      <c r="I13" s="24" t="s">
        <v>9</v>
      </c>
      <c r="J13" s="24" t="s">
        <v>10</v>
      </c>
      <c r="K13" s="23" t="s">
        <v>3</v>
      </c>
      <c r="L13" s="23" t="s">
        <v>4</v>
      </c>
      <c r="M13" s="24" t="s">
        <v>9</v>
      </c>
      <c r="N13" s="25" t="s">
        <v>10</v>
      </c>
      <c r="O13" s="124"/>
      <c r="P13" s="124"/>
      <c r="Q13" s="124"/>
      <c r="R13" s="125"/>
      <c r="S13" s="125"/>
      <c r="T13" s="125"/>
      <c r="X13" s="5"/>
    </row>
    <row r="14" spans="2:24" ht="17.25" customHeight="1" x14ac:dyDescent="0.2">
      <c r="B14" s="26"/>
      <c r="C14" s="27"/>
      <c r="D14" s="27"/>
      <c r="E14" s="27"/>
      <c r="F14" s="27"/>
      <c r="G14" s="27"/>
      <c r="H14" s="27"/>
      <c r="I14" s="28"/>
      <c r="J14" s="28"/>
      <c r="K14" s="27"/>
      <c r="L14" s="27"/>
      <c r="M14" s="28"/>
      <c r="N14" s="28"/>
      <c r="O14" s="28"/>
      <c r="P14" s="28"/>
      <c r="Q14" s="28"/>
      <c r="R14" s="148"/>
      <c r="S14" s="148"/>
      <c r="T14" s="148"/>
      <c r="X14" s="5"/>
    </row>
    <row r="15" spans="2:24" ht="77.25" customHeight="1" x14ac:dyDescent="0.2">
      <c r="B15" s="30" t="s">
        <v>128</v>
      </c>
      <c r="C15" s="56" t="s">
        <v>134</v>
      </c>
      <c r="D15" s="57"/>
      <c r="E15" s="68" t="s">
        <v>129</v>
      </c>
      <c r="F15" s="68"/>
      <c r="G15" s="68" t="s">
        <v>130</v>
      </c>
      <c r="H15" s="68"/>
      <c r="I15" s="6" t="s">
        <v>13</v>
      </c>
      <c r="J15" s="7">
        <v>18</v>
      </c>
      <c r="K15" s="8"/>
      <c r="L15" s="8" t="s">
        <v>4</v>
      </c>
      <c r="M15" s="6" t="s">
        <v>13</v>
      </c>
      <c r="N15" s="16">
        <v>18</v>
      </c>
      <c r="O15" s="16" t="s">
        <v>43</v>
      </c>
      <c r="P15" s="16"/>
      <c r="Q15" s="16" t="s">
        <v>131</v>
      </c>
      <c r="R15" s="73"/>
      <c r="S15" s="73"/>
      <c r="T15" s="73"/>
      <c r="X15" s="5"/>
    </row>
    <row r="16" spans="2:24" ht="65.25" customHeight="1" x14ac:dyDescent="0.2">
      <c r="B16" s="30" t="s">
        <v>65</v>
      </c>
      <c r="C16" s="56" t="s">
        <v>72</v>
      </c>
      <c r="D16" s="57"/>
      <c r="E16" s="68" t="s">
        <v>67</v>
      </c>
      <c r="F16" s="68"/>
      <c r="G16" s="68" t="s">
        <v>166</v>
      </c>
      <c r="H16" s="68"/>
      <c r="I16" s="6" t="s">
        <v>13</v>
      </c>
      <c r="J16" s="7">
        <v>22</v>
      </c>
      <c r="K16" s="8"/>
      <c r="L16" s="8" t="s">
        <v>4</v>
      </c>
      <c r="M16" s="6" t="s">
        <v>13</v>
      </c>
      <c r="N16" s="16">
        <v>22</v>
      </c>
      <c r="O16" s="16" t="s">
        <v>43</v>
      </c>
      <c r="P16" s="16"/>
      <c r="Q16" s="16"/>
      <c r="R16" s="73"/>
      <c r="S16" s="73"/>
      <c r="T16" s="73"/>
      <c r="X16" s="5"/>
    </row>
    <row r="17" spans="2:24" ht="65.25" customHeight="1" x14ac:dyDescent="0.2">
      <c r="B17" s="30" t="s">
        <v>68</v>
      </c>
      <c r="C17" s="56" t="s">
        <v>71</v>
      </c>
      <c r="D17" s="57"/>
      <c r="E17" s="68" t="s">
        <v>67</v>
      </c>
      <c r="F17" s="68"/>
      <c r="G17" s="68" t="s">
        <v>166</v>
      </c>
      <c r="H17" s="68"/>
      <c r="I17" s="6" t="s">
        <v>13</v>
      </c>
      <c r="J17" s="7">
        <v>22</v>
      </c>
      <c r="K17" s="8"/>
      <c r="L17" s="8" t="s">
        <v>4</v>
      </c>
      <c r="M17" s="6" t="s">
        <v>13</v>
      </c>
      <c r="N17" s="16">
        <v>22</v>
      </c>
      <c r="O17" s="16" t="s">
        <v>43</v>
      </c>
      <c r="P17" s="16"/>
      <c r="Q17" s="16"/>
      <c r="R17" s="73"/>
      <c r="S17" s="73"/>
      <c r="T17" s="73"/>
      <c r="X17" s="5"/>
    </row>
    <row r="18" spans="2:24" ht="109.5" customHeight="1" x14ac:dyDescent="0.2">
      <c r="B18" s="30" t="s">
        <v>82</v>
      </c>
      <c r="C18" s="56" t="s">
        <v>83</v>
      </c>
      <c r="D18" s="57"/>
      <c r="E18" s="68" t="s">
        <v>73</v>
      </c>
      <c r="F18" s="68"/>
      <c r="G18" s="68" t="s">
        <v>103</v>
      </c>
      <c r="H18" s="68"/>
      <c r="I18" s="6" t="s">
        <v>13</v>
      </c>
      <c r="J18" s="7">
        <v>25</v>
      </c>
      <c r="K18" s="8"/>
      <c r="L18" s="8" t="s">
        <v>4</v>
      </c>
      <c r="M18" s="6" t="s">
        <v>13</v>
      </c>
      <c r="N18" s="16">
        <v>25</v>
      </c>
      <c r="O18" s="16" t="s">
        <v>44</v>
      </c>
      <c r="P18" s="35" t="s">
        <v>85</v>
      </c>
      <c r="Q18" s="16" t="s">
        <v>86</v>
      </c>
      <c r="R18" s="137" t="s">
        <v>87</v>
      </c>
      <c r="S18" s="73"/>
      <c r="T18" s="73"/>
      <c r="U18" s="34" t="s">
        <v>88</v>
      </c>
      <c r="X18" s="5"/>
    </row>
    <row r="19" spans="2:24" ht="84" customHeight="1" x14ac:dyDescent="0.2">
      <c r="B19" s="30" t="s">
        <v>101</v>
      </c>
      <c r="C19" s="56" t="s">
        <v>193</v>
      </c>
      <c r="D19" s="57"/>
      <c r="E19" s="68" t="s">
        <v>102</v>
      </c>
      <c r="F19" s="68"/>
      <c r="G19" s="68" t="s">
        <v>77</v>
      </c>
      <c r="H19" s="68"/>
      <c r="I19" s="6" t="s">
        <v>13</v>
      </c>
      <c r="J19" s="7">
        <v>26</v>
      </c>
      <c r="K19" s="8"/>
      <c r="L19" s="8" t="s">
        <v>4</v>
      </c>
      <c r="M19" s="6" t="s">
        <v>13</v>
      </c>
      <c r="N19" s="16">
        <v>26</v>
      </c>
      <c r="O19" s="16" t="s">
        <v>43</v>
      </c>
      <c r="P19" s="16"/>
      <c r="Q19" s="16"/>
      <c r="R19" s="73"/>
      <c r="S19" s="73"/>
      <c r="T19" s="73"/>
      <c r="X19" s="5"/>
    </row>
    <row r="20" spans="2:24" ht="87.75" customHeight="1" x14ac:dyDescent="0.2">
      <c r="B20" s="30" t="s">
        <v>104</v>
      </c>
      <c r="C20" s="56" t="s">
        <v>195</v>
      </c>
      <c r="D20" s="57"/>
      <c r="E20" s="68" t="s">
        <v>102</v>
      </c>
      <c r="F20" s="68"/>
      <c r="G20" s="68" t="s">
        <v>77</v>
      </c>
      <c r="H20" s="68"/>
      <c r="I20" s="6" t="s">
        <v>13</v>
      </c>
      <c r="J20" s="7">
        <v>26</v>
      </c>
      <c r="K20" s="8"/>
      <c r="L20" s="8" t="s">
        <v>4</v>
      </c>
      <c r="M20" s="6" t="s">
        <v>13</v>
      </c>
      <c r="N20" s="16">
        <v>22</v>
      </c>
      <c r="O20" s="16" t="s">
        <v>43</v>
      </c>
      <c r="P20" s="16"/>
      <c r="Q20" s="16"/>
      <c r="R20" s="73"/>
      <c r="S20" s="73"/>
      <c r="T20" s="73"/>
      <c r="X20" s="5"/>
    </row>
    <row r="21" spans="2:24" ht="72" customHeight="1" x14ac:dyDescent="0.2">
      <c r="B21" s="18" t="s">
        <v>76</v>
      </c>
      <c r="C21" s="56" t="s">
        <v>159</v>
      </c>
      <c r="D21" s="57"/>
      <c r="E21" s="58" t="s">
        <v>73</v>
      </c>
      <c r="F21" s="59"/>
      <c r="G21" s="58" t="s">
        <v>77</v>
      </c>
      <c r="H21" s="59"/>
      <c r="I21" s="6" t="s">
        <v>14</v>
      </c>
      <c r="J21" s="7">
        <v>6</v>
      </c>
      <c r="K21" s="8"/>
      <c r="L21" s="8" t="s">
        <v>4</v>
      </c>
      <c r="M21" s="6" t="s">
        <v>14</v>
      </c>
      <c r="N21" s="16">
        <v>21</v>
      </c>
      <c r="O21" s="16" t="s">
        <v>43</v>
      </c>
      <c r="P21" s="16" t="s">
        <v>49</v>
      </c>
      <c r="Q21" s="16" t="s">
        <v>110</v>
      </c>
      <c r="R21" s="154"/>
      <c r="S21" s="66"/>
      <c r="T21" s="67"/>
      <c r="X21" s="5"/>
    </row>
    <row r="22" spans="2:24" ht="84" customHeight="1" x14ac:dyDescent="0.2">
      <c r="B22" s="30" t="s">
        <v>78</v>
      </c>
      <c r="C22" s="56" t="s">
        <v>194</v>
      </c>
      <c r="D22" s="57"/>
      <c r="E22" s="68" t="s">
        <v>73</v>
      </c>
      <c r="F22" s="68"/>
      <c r="G22" s="68" t="s">
        <v>79</v>
      </c>
      <c r="H22" s="68"/>
      <c r="I22" s="6" t="s">
        <v>14</v>
      </c>
      <c r="J22" s="7">
        <v>8</v>
      </c>
      <c r="K22" s="8"/>
      <c r="L22" s="8" t="s">
        <v>4</v>
      </c>
      <c r="M22" s="6" t="s">
        <v>14</v>
      </c>
      <c r="N22" s="16">
        <v>8</v>
      </c>
      <c r="O22" s="16" t="s">
        <v>43</v>
      </c>
      <c r="P22" s="16"/>
      <c r="Q22" s="16"/>
      <c r="R22" s="73"/>
      <c r="S22" s="73"/>
      <c r="T22" s="73"/>
      <c r="X22" s="5"/>
    </row>
    <row r="23" spans="2:24" ht="84" customHeight="1" x14ac:dyDescent="0.2">
      <c r="B23" s="18" t="s">
        <v>74</v>
      </c>
      <c r="C23" s="56" t="s">
        <v>75</v>
      </c>
      <c r="D23" s="57"/>
      <c r="E23" s="68" t="s">
        <v>73</v>
      </c>
      <c r="F23" s="68"/>
      <c r="G23" s="68" t="s">
        <v>77</v>
      </c>
      <c r="H23" s="68"/>
      <c r="I23" s="6" t="s">
        <v>14</v>
      </c>
      <c r="J23" s="7">
        <v>13</v>
      </c>
      <c r="K23" s="8"/>
      <c r="L23" s="8" t="s">
        <v>4</v>
      </c>
      <c r="M23" s="6" t="s">
        <v>14</v>
      </c>
      <c r="N23" s="16">
        <v>8</v>
      </c>
      <c r="O23" s="16" t="s">
        <v>43</v>
      </c>
      <c r="P23" s="16"/>
      <c r="Q23" s="16"/>
      <c r="R23" s="73"/>
      <c r="S23" s="73"/>
      <c r="T23" s="73"/>
      <c r="X23" s="5"/>
    </row>
    <row r="24" spans="2:24" ht="84" customHeight="1" x14ac:dyDescent="0.2">
      <c r="B24" s="30" t="s">
        <v>125</v>
      </c>
      <c r="C24" s="56" t="s">
        <v>127</v>
      </c>
      <c r="D24" s="57"/>
      <c r="E24" s="68" t="s">
        <v>92</v>
      </c>
      <c r="F24" s="68"/>
      <c r="G24" s="68" t="s">
        <v>126</v>
      </c>
      <c r="H24" s="68"/>
      <c r="I24" s="6" t="s">
        <v>14</v>
      </c>
      <c r="J24" s="7">
        <v>22</v>
      </c>
      <c r="K24" s="8"/>
      <c r="L24" s="8" t="s">
        <v>4</v>
      </c>
      <c r="M24" s="6" t="s">
        <v>14</v>
      </c>
      <c r="N24" s="16">
        <v>22</v>
      </c>
      <c r="O24" s="16" t="s">
        <v>44</v>
      </c>
      <c r="P24" s="35" t="s">
        <v>126</v>
      </c>
      <c r="Q24" s="16" t="s">
        <v>86</v>
      </c>
      <c r="R24" s="137"/>
      <c r="S24" s="73"/>
      <c r="T24" s="73"/>
      <c r="X24" s="5"/>
    </row>
    <row r="25" spans="2:24" ht="65.25" customHeight="1" x14ac:dyDescent="0.2">
      <c r="B25" s="30" t="s">
        <v>64</v>
      </c>
      <c r="C25" s="56" t="s">
        <v>70</v>
      </c>
      <c r="D25" s="57"/>
      <c r="E25" s="68" t="s">
        <v>66</v>
      </c>
      <c r="F25" s="68"/>
      <c r="G25" s="68" t="s">
        <v>166</v>
      </c>
      <c r="H25" s="68"/>
      <c r="I25" s="6" t="s">
        <v>14</v>
      </c>
      <c r="J25" s="7">
        <v>27</v>
      </c>
      <c r="K25" s="8"/>
      <c r="L25" s="8" t="s">
        <v>4</v>
      </c>
      <c r="M25" s="6" t="s">
        <v>14</v>
      </c>
      <c r="N25" s="16">
        <v>27</v>
      </c>
      <c r="O25" s="16" t="s">
        <v>43</v>
      </c>
      <c r="P25" s="16"/>
      <c r="Q25" s="16"/>
      <c r="R25" s="73"/>
      <c r="S25" s="73"/>
      <c r="T25" s="73"/>
      <c r="X25" s="5"/>
    </row>
    <row r="26" spans="2:24" ht="65.25" customHeight="1" x14ac:dyDescent="0.2">
      <c r="B26" s="30" t="s">
        <v>68</v>
      </c>
      <c r="C26" s="56" t="s">
        <v>71</v>
      </c>
      <c r="D26" s="57"/>
      <c r="E26" s="68" t="s">
        <v>66</v>
      </c>
      <c r="F26" s="68"/>
      <c r="G26" s="68" t="s">
        <v>166</v>
      </c>
      <c r="H26" s="68"/>
      <c r="I26" s="6" t="s">
        <v>14</v>
      </c>
      <c r="J26" s="7">
        <v>27</v>
      </c>
      <c r="K26" s="8"/>
      <c r="L26" s="8" t="s">
        <v>4</v>
      </c>
      <c r="M26" s="6" t="s">
        <v>14</v>
      </c>
      <c r="N26" s="16">
        <v>27</v>
      </c>
      <c r="O26" s="16" t="s">
        <v>43</v>
      </c>
      <c r="P26" s="16"/>
      <c r="Q26" s="16"/>
      <c r="R26" s="73"/>
      <c r="S26" s="73"/>
      <c r="T26" s="73"/>
      <c r="X26" s="5"/>
    </row>
    <row r="27" spans="2:24" ht="65.25" customHeight="1" x14ac:dyDescent="0.2">
      <c r="B27" s="30" t="s">
        <v>65</v>
      </c>
      <c r="C27" s="56" t="s">
        <v>72</v>
      </c>
      <c r="D27" s="57"/>
      <c r="E27" s="68" t="s">
        <v>66</v>
      </c>
      <c r="F27" s="68"/>
      <c r="G27" s="68" t="s">
        <v>166</v>
      </c>
      <c r="H27" s="68"/>
      <c r="I27" s="6" t="s">
        <v>14</v>
      </c>
      <c r="J27" s="7">
        <v>27</v>
      </c>
      <c r="K27" s="8"/>
      <c r="L27" s="8" t="s">
        <v>4</v>
      </c>
      <c r="M27" s="6" t="s">
        <v>14</v>
      </c>
      <c r="N27" s="16">
        <v>27</v>
      </c>
      <c r="O27" s="16" t="s">
        <v>43</v>
      </c>
      <c r="P27" s="16"/>
      <c r="Q27" s="16"/>
      <c r="R27" s="73"/>
      <c r="S27" s="73"/>
      <c r="T27" s="73"/>
      <c r="X27" s="5"/>
    </row>
    <row r="28" spans="2:24" ht="65.25" customHeight="1" x14ac:dyDescent="0.2">
      <c r="B28" s="30" t="s">
        <v>111</v>
      </c>
      <c r="C28" s="56" t="s">
        <v>160</v>
      </c>
      <c r="D28" s="57"/>
      <c r="E28" s="68" t="s">
        <v>73</v>
      </c>
      <c r="F28" s="68"/>
      <c r="G28" s="68" t="s">
        <v>112</v>
      </c>
      <c r="H28" s="68"/>
      <c r="I28" s="6" t="s">
        <v>14</v>
      </c>
      <c r="J28" s="7">
        <v>28</v>
      </c>
      <c r="K28" s="8"/>
      <c r="L28" s="8" t="s">
        <v>4</v>
      </c>
      <c r="M28" s="6" t="s">
        <v>14</v>
      </c>
      <c r="N28" s="16">
        <v>28</v>
      </c>
      <c r="O28" s="16" t="s">
        <v>43</v>
      </c>
      <c r="P28" s="35"/>
      <c r="Q28" s="16" t="s">
        <v>110</v>
      </c>
      <c r="R28" s="137"/>
      <c r="S28" s="73"/>
      <c r="T28" s="73"/>
      <c r="X28" s="5"/>
    </row>
    <row r="29" spans="2:24" ht="96.75" customHeight="1" x14ac:dyDescent="0.2">
      <c r="B29" s="30" t="s">
        <v>113</v>
      </c>
      <c r="C29" s="60" t="s">
        <v>114</v>
      </c>
      <c r="D29" s="61"/>
      <c r="E29" s="62" t="s">
        <v>115</v>
      </c>
      <c r="F29" s="62"/>
      <c r="G29" s="62" t="s">
        <v>84</v>
      </c>
      <c r="H29" s="62"/>
      <c r="I29" s="43" t="s">
        <v>15</v>
      </c>
      <c r="J29" s="44">
        <v>5</v>
      </c>
      <c r="K29" s="45"/>
      <c r="L29" s="45" t="s">
        <v>4</v>
      </c>
      <c r="M29" s="43" t="s">
        <v>15</v>
      </c>
      <c r="N29" s="46">
        <v>5</v>
      </c>
      <c r="O29" s="46" t="s">
        <v>44</v>
      </c>
      <c r="P29" s="46" t="s">
        <v>85</v>
      </c>
      <c r="Q29" s="46" t="s">
        <v>86</v>
      </c>
      <c r="R29" s="63" t="s">
        <v>116</v>
      </c>
      <c r="S29" s="64"/>
      <c r="T29" s="64"/>
      <c r="U29" s="41" t="s">
        <v>91</v>
      </c>
      <c r="X29" s="5"/>
    </row>
    <row r="30" spans="2:24" ht="90.75" customHeight="1" x14ac:dyDescent="0.2">
      <c r="B30" s="30" t="s">
        <v>132</v>
      </c>
      <c r="C30" s="60" t="s">
        <v>133</v>
      </c>
      <c r="D30" s="61"/>
      <c r="E30" s="62" t="s">
        <v>73</v>
      </c>
      <c r="F30" s="62"/>
      <c r="G30" s="62" t="s">
        <v>112</v>
      </c>
      <c r="H30" s="62"/>
      <c r="I30" s="43" t="s">
        <v>15</v>
      </c>
      <c r="J30" s="44">
        <v>18</v>
      </c>
      <c r="K30" s="45"/>
      <c r="L30" s="45" t="s">
        <v>4</v>
      </c>
      <c r="M30" s="43" t="s">
        <v>15</v>
      </c>
      <c r="N30" s="46">
        <v>18</v>
      </c>
      <c r="O30" s="46" t="s">
        <v>43</v>
      </c>
      <c r="P30" s="46"/>
      <c r="Q30" s="46" t="s">
        <v>131</v>
      </c>
      <c r="R30" s="64"/>
      <c r="S30" s="64"/>
      <c r="T30" s="64"/>
      <c r="U30" s="41"/>
      <c r="X30" s="5"/>
    </row>
    <row r="31" spans="2:24" ht="62.25" customHeight="1" x14ac:dyDescent="0.2">
      <c r="B31" s="30" t="s">
        <v>65</v>
      </c>
      <c r="C31" s="60" t="s">
        <v>72</v>
      </c>
      <c r="D31" s="61"/>
      <c r="E31" s="62" t="s">
        <v>69</v>
      </c>
      <c r="F31" s="62"/>
      <c r="G31" s="62" t="s">
        <v>166</v>
      </c>
      <c r="H31" s="62"/>
      <c r="I31" s="43" t="s">
        <v>15</v>
      </c>
      <c r="J31" s="44">
        <v>20</v>
      </c>
      <c r="K31" s="45"/>
      <c r="L31" s="45" t="s">
        <v>4</v>
      </c>
      <c r="M31" s="43" t="s">
        <v>15</v>
      </c>
      <c r="N31" s="46">
        <v>20</v>
      </c>
      <c r="O31" s="46" t="s">
        <v>43</v>
      </c>
      <c r="P31" s="46"/>
      <c r="Q31" s="46"/>
      <c r="R31" s="138"/>
      <c r="S31" s="155"/>
      <c r="T31" s="156"/>
      <c r="U31" s="42"/>
      <c r="X31" s="5"/>
    </row>
    <row r="32" spans="2:24" ht="62.25" customHeight="1" x14ac:dyDescent="0.2">
      <c r="B32" s="30" t="s">
        <v>68</v>
      </c>
      <c r="C32" s="60" t="s">
        <v>71</v>
      </c>
      <c r="D32" s="61"/>
      <c r="E32" s="62" t="s">
        <v>69</v>
      </c>
      <c r="F32" s="62"/>
      <c r="G32" s="62" t="s">
        <v>166</v>
      </c>
      <c r="H32" s="62"/>
      <c r="I32" s="43" t="s">
        <v>15</v>
      </c>
      <c r="J32" s="44">
        <v>20</v>
      </c>
      <c r="K32" s="45"/>
      <c r="L32" s="45" t="s">
        <v>4</v>
      </c>
      <c r="M32" s="46" t="s">
        <v>15</v>
      </c>
      <c r="N32" s="46">
        <v>20</v>
      </c>
      <c r="O32" s="46" t="s">
        <v>43</v>
      </c>
      <c r="P32" s="46"/>
      <c r="Q32" s="46"/>
      <c r="R32" s="138"/>
      <c r="S32" s="155"/>
      <c r="T32" s="156"/>
      <c r="U32" s="42"/>
      <c r="X32" s="5"/>
    </row>
    <row r="33" spans="1:16384" ht="103.5" customHeight="1" x14ac:dyDescent="0.2">
      <c r="B33" s="30" t="s">
        <v>171</v>
      </c>
      <c r="C33" s="60" t="s">
        <v>196</v>
      </c>
      <c r="D33" s="61"/>
      <c r="E33" s="69" t="s">
        <v>169</v>
      </c>
      <c r="F33" s="70"/>
      <c r="G33" s="69" t="s">
        <v>170</v>
      </c>
      <c r="H33" s="70"/>
      <c r="I33" s="43" t="s">
        <v>15</v>
      </c>
      <c r="J33" s="44">
        <v>21</v>
      </c>
      <c r="K33" s="45"/>
      <c r="L33" s="45" t="s">
        <v>4</v>
      </c>
      <c r="M33" s="43" t="s">
        <v>15</v>
      </c>
      <c r="N33" s="46">
        <v>21</v>
      </c>
      <c r="O33" s="46" t="s">
        <v>43</v>
      </c>
      <c r="P33" s="47" t="s">
        <v>85</v>
      </c>
      <c r="Q33" s="46" t="s">
        <v>86</v>
      </c>
      <c r="R33" s="74" t="s">
        <v>90</v>
      </c>
      <c r="S33" s="139"/>
      <c r="T33" s="140"/>
      <c r="U33" s="42"/>
      <c r="X33" s="5"/>
    </row>
    <row r="34" spans="1:16384" ht="103.5" customHeight="1" x14ac:dyDescent="0.2">
      <c r="B34" s="30" t="s">
        <v>138</v>
      </c>
      <c r="C34" s="60" t="s">
        <v>139</v>
      </c>
      <c r="D34" s="61"/>
      <c r="E34" s="62" t="s">
        <v>140</v>
      </c>
      <c r="F34" s="62"/>
      <c r="G34" s="62" t="s">
        <v>79</v>
      </c>
      <c r="H34" s="62"/>
      <c r="I34" s="43" t="s">
        <v>16</v>
      </c>
      <c r="J34" s="44">
        <v>10</v>
      </c>
      <c r="K34" s="45"/>
      <c r="L34" s="45" t="s">
        <v>4</v>
      </c>
      <c r="M34" s="43" t="s">
        <v>16</v>
      </c>
      <c r="N34" s="46">
        <v>10</v>
      </c>
      <c r="O34" s="46" t="s">
        <v>43</v>
      </c>
      <c r="P34" s="46" t="s">
        <v>47</v>
      </c>
      <c r="Q34" s="46"/>
      <c r="R34" s="64"/>
      <c r="S34" s="64"/>
      <c r="T34" s="64"/>
      <c r="X34" s="5"/>
    </row>
    <row r="35" spans="1:16384" ht="94.5" customHeight="1" x14ac:dyDescent="0.2">
      <c r="B35" s="30" t="s">
        <v>118</v>
      </c>
      <c r="C35" s="60" t="s">
        <v>119</v>
      </c>
      <c r="D35" s="61"/>
      <c r="E35" s="62" t="s">
        <v>120</v>
      </c>
      <c r="F35" s="62"/>
      <c r="G35" s="62" t="s">
        <v>84</v>
      </c>
      <c r="H35" s="62"/>
      <c r="I35" s="43" t="s">
        <v>16</v>
      </c>
      <c r="J35" s="44">
        <v>21</v>
      </c>
      <c r="K35" s="45"/>
      <c r="L35" s="45" t="s">
        <v>4</v>
      </c>
      <c r="M35" s="43" t="s">
        <v>16</v>
      </c>
      <c r="N35" s="46">
        <v>21</v>
      </c>
      <c r="O35" s="46" t="s">
        <v>44</v>
      </c>
      <c r="P35" s="47" t="s">
        <v>93</v>
      </c>
      <c r="Q35" s="46" t="s">
        <v>86</v>
      </c>
      <c r="R35" s="63" t="s">
        <v>121</v>
      </c>
      <c r="S35" s="64"/>
      <c r="T35" s="64"/>
      <c r="X35" s="5"/>
    </row>
    <row r="36" spans="1:16384" ht="103.5" customHeight="1" x14ac:dyDescent="0.2">
      <c r="B36" s="30" t="s">
        <v>141</v>
      </c>
      <c r="C36" s="71" t="s">
        <v>142</v>
      </c>
      <c r="D36" s="71"/>
      <c r="E36" s="62" t="s">
        <v>140</v>
      </c>
      <c r="F36" s="62"/>
      <c r="G36" s="62" t="s">
        <v>137</v>
      </c>
      <c r="H36" s="62"/>
      <c r="I36" s="43" t="s">
        <v>16</v>
      </c>
      <c r="J36" s="44">
        <v>25</v>
      </c>
      <c r="K36" s="45"/>
      <c r="L36" s="45" t="s">
        <v>4</v>
      </c>
      <c r="M36" s="43" t="s">
        <v>16</v>
      </c>
      <c r="N36" s="46">
        <v>25</v>
      </c>
      <c r="O36" s="46" t="s">
        <v>43</v>
      </c>
      <c r="P36" s="46" t="s">
        <v>47</v>
      </c>
      <c r="Q36" s="46"/>
      <c r="R36" s="63"/>
      <c r="S36" s="64"/>
      <c r="T36" s="64"/>
      <c r="U36" s="34" t="s">
        <v>88</v>
      </c>
      <c r="X36" s="5"/>
    </row>
    <row r="37" spans="1:16384" ht="96.75" customHeight="1" x14ac:dyDescent="0.2">
      <c r="B37" s="30" t="s">
        <v>148</v>
      </c>
      <c r="C37" s="60" t="s">
        <v>149</v>
      </c>
      <c r="D37" s="61"/>
      <c r="E37" s="62" t="s">
        <v>150</v>
      </c>
      <c r="F37" s="62"/>
      <c r="G37" s="62" t="s">
        <v>151</v>
      </c>
      <c r="H37" s="62"/>
      <c r="I37" s="43" t="s">
        <v>16</v>
      </c>
      <c r="J37" s="44">
        <v>30</v>
      </c>
      <c r="K37" s="45"/>
      <c r="L37" s="45" t="s">
        <v>4</v>
      </c>
      <c r="M37" s="43" t="s">
        <v>16</v>
      </c>
      <c r="N37" s="46">
        <v>28</v>
      </c>
      <c r="O37" s="46" t="s">
        <v>44</v>
      </c>
      <c r="P37" s="46" t="s">
        <v>152</v>
      </c>
      <c r="Q37" s="46"/>
      <c r="R37" s="64"/>
      <c r="S37" s="64"/>
      <c r="T37" s="64"/>
      <c r="X37" s="5"/>
    </row>
    <row r="38" spans="1:16384" ht="87.75" customHeight="1" x14ac:dyDescent="0.2">
      <c r="B38" s="30" t="s">
        <v>80</v>
      </c>
      <c r="C38" s="60" t="s">
        <v>81</v>
      </c>
      <c r="D38" s="61"/>
      <c r="E38" s="69" t="s">
        <v>73</v>
      </c>
      <c r="F38" s="70"/>
      <c r="G38" s="69" t="s">
        <v>79</v>
      </c>
      <c r="H38" s="70"/>
      <c r="I38" s="43" t="s">
        <v>17</v>
      </c>
      <c r="J38" s="44">
        <v>2</v>
      </c>
      <c r="K38" s="45"/>
      <c r="L38" s="45" t="s">
        <v>4</v>
      </c>
      <c r="M38" s="43" t="s">
        <v>17</v>
      </c>
      <c r="N38" s="46">
        <v>2</v>
      </c>
      <c r="O38" s="46" t="s">
        <v>43</v>
      </c>
      <c r="P38" s="46"/>
      <c r="Q38" s="46"/>
      <c r="R38" s="138"/>
      <c r="S38" s="75"/>
      <c r="T38" s="76"/>
      <c r="U38" s="34"/>
      <c r="X38" s="5"/>
    </row>
    <row r="39" spans="1:16384" ht="130.9" customHeight="1" x14ac:dyDescent="0.2">
      <c r="B39" s="30" t="s">
        <v>123</v>
      </c>
      <c r="C39" s="60" t="s">
        <v>124</v>
      </c>
      <c r="D39" s="61"/>
      <c r="E39" s="62" t="s">
        <v>73</v>
      </c>
      <c r="F39" s="62"/>
      <c r="G39" s="62" t="s">
        <v>84</v>
      </c>
      <c r="H39" s="62"/>
      <c r="I39" s="43" t="s">
        <v>17</v>
      </c>
      <c r="J39" s="44">
        <v>7</v>
      </c>
      <c r="K39" s="45"/>
      <c r="L39" s="45" t="s">
        <v>4</v>
      </c>
      <c r="M39" s="43" t="s">
        <v>17</v>
      </c>
      <c r="N39" s="46">
        <v>7</v>
      </c>
      <c r="O39" s="46" t="s">
        <v>44</v>
      </c>
      <c r="P39" s="46"/>
      <c r="Q39" s="46"/>
      <c r="R39" s="63"/>
      <c r="S39" s="64"/>
      <c r="T39" s="64"/>
      <c r="U39" s="34" t="s">
        <v>122</v>
      </c>
      <c r="X39" s="5"/>
    </row>
    <row r="40" spans="1:16384" s="38" customFormat="1" ht="87.75" customHeight="1" x14ac:dyDescent="0.2">
      <c r="B40" s="30" t="s">
        <v>164</v>
      </c>
      <c r="C40" s="60" t="s">
        <v>207</v>
      </c>
      <c r="D40" s="61"/>
      <c r="E40" s="69" t="s">
        <v>165</v>
      </c>
      <c r="F40" s="70"/>
      <c r="G40" s="69" t="s">
        <v>166</v>
      </c>
      <c r="H40" s="70"/>
      <c r="I40" s="43" t="s">
        <v>17</v>
      </c>
      <c r="J40" s="44">
        <v>9</v>
      </c>
      <c r="K40" s="45"/>
      <c r="L40" s="45" t="s">
        <v>4</v>
      </c>
      <c r="M40" s="43" t="s">
        <v>17</v>
      </c>
      <c r="N40" s="46">
        <v>9</v>
      </c>
      <c r="O40" s="46" t="s">
        <v>43</v>
      </c>
      <c r="P40" s="46"/>
      <c r="Q40" s="46"/>
      <c r="R40" s="138"/>
      <c r="S40" s="75"/>
      <c r="T40" s="76"/>
      <c r="U40" s="39"/>
      <c r="X40" s="40"/>
    </row>
    <row r="41" spans="1:16384" ht="127.5" customHeight="1" x14ac:dyDescent="0.2">
      <c r="B41" s="30" t="s">
        <v>95</v>
      </c>
      <c r="C41" s="60" t="s">
        <v>96</v>
      </c>
      <c r="D41" s="61"/>
      <c r="E41" s="69" t="s">
        <v>73</v>
      </c>
      <c r="F41" s="70"/>
      <c r="G41" s="69" t="s">
        <v>84</v>
      </c>
      <c r="H41" s="70"/>
      <c r="I41" s="43" t="s">
        <v>17</v>
      </c>
      <c r="J41" s="44">
        <v>15</v>
      </c>
      <c r="K41" s="45"/>
      <c r="L41" s="45" t="s">
        <v>4</v>
      </c>
      <c r="M41" s="43" t="s">
        <v>17</v>
      </c>
      <c r="N41" s="46">
        <v>15</v>
      </c>
      <c r="O41" s="46" t="s">
        <v>44</v>
      </c>
      <c r="P41" s="46" t="s">
        <v>93</v>
      </c>
      <c r="Q41" s="46" t="s">
        <v>86</v>
      </c>
      <c r="R41" s="74" t="s">
        <v>97</v>
      </c>
      <c r="S41" s="75"/>
      <c r="T41" s="76"/>
      <c r="U41" s="34"/>
      <c r="X41" s="5"/>
    </row>
    <row r="42" spans="1:16384" ht="115.5" customHeight="1" x14ac:dyDescent="0.2">
      <c r="B42" s="30" t="s">
        <v>143</v>
      </c>
      <c r="C42" s="60" t="s">
        <v>144</v>
      </c>
      <c r="D42" s="61"/>
      <c r="E42" s="62" t="s">
        <v>140</v>
      </c>
      <c r="F42" s="62"/>
      <c r="G42" s="62" t="s">
        <v>79</v>
      </c>
      <c r="H42" s="62"/>
      <c r="I42" s="43" t="s">
        <v>18</v>
      </c>
      <c r="J42" s="44">
        <v>6</v>
      </c>
      <c r="K42" s="45"/>
      <c r="L42" s="45" t="s">
        <v>4</v>
      </c>
      <c r="M42" s="43" t="s">
        <v>18</v>
      </c>
      <c r="N42" s="46">
        <v>6</v>
      </c>
      <c r="O42" s="46" t="s">
        <v>43</v>
      </c>
      <c r="P42" s="47" t="s">
        <v>47</v>
      </c>
      <c r="Q42" s="46"/>
      <c r="R42" s="63"/>
      <c r="S42" s="64"/>
      <c r="T42" s="64"/>
      <c r="U42" s="34" t="s">
        <v>94</v>
      </c>
      <c r="X42" s="5"/>
    </row>
    <row r="43" spans="1:16384" ht="111" customHeight="1" x14ac:dyDescent="0.2">
      <c r="B43" s="30" t="s">
        <v>145</v>
      </c>
      <c r="C43" s="60" t="s">
        <v>146</v>
      </c>
      <c r="D43" s="61"/>
      <c r="E43" s="69" t="s">
        <v>140</v>
      </c>
      <c r="F43" s="70"/>
      <c r="G43" s="69" t="s">
        <v>79</v>
      </c>
      <c r="H43" s="70"/>
      <c r="I43" s="43" t="s">
        <v>18</v>
      </c>
      <c r="J43" s="44">
        <v>6</v>
      </c>
      <c r="K43" s="45"/>
      <c r="L43" s="45" t="s">
        <v>4</v>
      </c>
      <c r="M43" s="43" t="s">
        <v>18</v>
      </c>
      <c r="N43" s="46">
        <v>6</v>
      </c>
      <c r="O43" s="46" t="s">
        <v>43</v>
      </c>
      <c r="P43" s="46" t="s">
        <v>47</v>
      </c>
      <c r="Q43" s="46"/>
      <c r="R43" s="138"/>
      <c r="S43" s="75"/>
      <c r="T43" s="76"/>
      <c r="U43" s="36"/>
      <c r="X43" s="5"/>
    </row>
    <row r="44" spans="1:16384" ht="141" customHeight="1" x14ac:dyDescent="0.2">
      <c r="A44" s="18"/>
      <c r="B44" s="30" t="s">
        <v>105</v>
      </c>
      <c r="C44" s="60" t="s">
        <v>106</v>
      </c>
      <c r="D44" s="61"/>
      <c r="E44" s="62" t="s">
        <v>92</v>
      </c>
      <c r="F44" s="62"/>
      <c r="G44" s="62" t="s">
        <v>107</v>
      </c>
      <c r="H44" s="62"/>
      <c r="I44" s="43" t="s">
        <v>18</v>
      </c>
      <c r="J44" s="44">
        <v>10</v>
      </c>
      <c r="K44" s="45"/>
      <c r="L44" s="45" t="s">
        <v>4</v>
      </c>
      <c r="M44" s="43" t="s">
        <v>18</v>
      </c>
      <c r="N44" s="46">
        <v>10</v>
      </c>
      <c r="O44" s="46" t="s">
        <v>44</v>
      </c>
      <c r="P44" s="47" t="s">
        <v>85</v>
      </c>
      <c r="Q44" s="46" t="s">
        <v>86</v>
      </c>
      <c r="R44" s="63" t="s">
        <v>109</v>
      </c>
      <c r="S44" s="64"/>
      <c r="T44" s="64"/>
      <c r="U44" s="33"/>
      <c r="W44" s="5"/>
      <c r="X44" s="18"/>
      <c r="Y44" s="56"/>
      <c r="Z44" s="57"/>
      <c r="AA44" s="58"/>
      <c r="AB44" s="59"/>
      <c r="AC44" s="58"/>
      <c r="AD44" s="59"/>
      <c r="AE44" s="6"/>
      <c r="AF44" s="7"/>
      <c r="AG44" s="8"/>
      <c r="AH44" s="8"/>
      <c r="AI44" s="6"/>
      <c r="AJ44" s="16"/>
      <c r="AK44" s="16"/>
      <c r="AL44" s="16"/>
      <c r="AM44" s="16"/>
      <c r="AN44" s="65"/>
      <c r="AO44" s="66"/>
      <c r="AP44" s="67"/>
      <c r="AQ44" s="34"/>
      <c r="AT44" s="5"/>
      <c r="AU44" s="18"/>
      <c r="AV44" s="56"/>
      <c r="AW44" s="57"/>
      <c r="AX44" s="58"/>
      <c r="AY44" s="59"/>
      <c r="AZ44" s="58"/>
      <c r="BA44" s="59"/>
      <c r="BB44" s="6"/>
      <c r="BC44" s="7"/>
      <c r="BD44" s="8"/>
      <c r="BE44" s="8"/>
      <c r="BF44" s="6"/>
      <c r="BG44" s="16"/>
      <c r="BH44" s="16"/>
      <c r="BI44" s="16"/>
      <c r="BJ44" s="16"/>
      <c r="BK44" s="65"/>
      <c r="BL44" s="66"/>
      <c r="BM44" s="67"/>
      <c r="BN44" s="34"/>
      <c r="BQ44" s="5"/>
      <c r="BR44" s="18"/>
      <c r="BS44" s="56"/>
      <c r="BT44" s="57"/>
      <c r="BU44" s="58"/>
      <c r="BV44" s="59"/>
      <c r="BW44" s="58"/>
      <c r="BX44" s="59"/>
      <c r="BY44" s="6"/>
      <c r="BZ44" s="7"/>
      <c r="CA44" s="8"/>
      <c r="CB44" s="8"/>
      <c r="CC44" s="6"/>
      <c r="CD44" s="16"/>
      <c r="CE44" s="16"/>
      <c r="CF44" s="16"/>
      <c r="CG44" s="16"/>
      <c r="CH44" s="65"/>
      <c r="CI44" s="66"/>
      <c r="CJ44" s="67"/>
      <c r="CK44" s="34"/>
      <c r="CN44" s="5"/>
      <c r="CO44" s="18"/>
      <c r="CP44" s="56"/>
      <c r="CQ44" s="57"/>
      <c r="CR44" s="58"/>
      <c r="CS44" s="59"/>
      <c r="CT44" s="58"/>
      <c r="CU44" s="59"/>
      <c r="CV44" s="6"/>
      <c r="CW44" s="7"/>
      <c r="CX44" s="8"/>
      <c r="CY44" s="8"/>
      <c r="CZ44" s="6"/>
      <c r="DA44" s="16"/>
      <c r="DB44" s="16"/>
      <c r="DC44" s="16"/>
      <c r="DD44" s="16"/>
      <c r="DE44" s="65"/>
      <c r="DF44" s="66"/>
      <c r="DG44" s="67"/>
      <c r="DH44" s="34"/>
      <c r="DK44" s="5"/>
      <c r="DL44" s="18"/>
      <c r="DM44" s="56"/>
      <c r="DN44" s="57"/>
      <c r="DO44" s="58"/>
      <c r="DP44" s="59"/>
      <c r="DQ44" s="58"/>
      <c r="DR44" s="59"/>
      <c r="DS44" s="6"/>
      <c r="DT44" s="7"/>
      <c r="DU44" s="8"/>
      <c r="DV44" s="8"/>
      <c r="DW44" s="6"/>
      <c r="DX44" s="16"/>
      <c r="DY44" s="16"/>
      <c r="DZ44" s="16"/>
      <c r="EA44" s="16"/>
      <c r="EB44" s="65"/>
      <c r="EC44" s="66"/>
      <c r="ED44" s="67"/>
      <c r="EE44" s="34"/>
      <c r="EH44" s="5"/>
      <c r="EI44" s="18"/>
      <c r="EJ44" s="56"/>
      <c r="EK44" s="57"/>
      <c r="EL44" s="58"/>
      <c r="EM44" s="59"/>
      <c r="EN44" s="58"/>
      <c r="EO44" s="59"/>
      <c r="EP44" s="6"/>
      <c r="EQ44" s="7"/>
      <c r="ER44" s="8"/>
      <c r="ES44" s="8"/>
      <c r="ET44" s="6"/>
      <c r="EU44" s="16"/>
      <c r="EV44" s="16"/>
      <c r="EW44" s="16"/>
      <c r="EX44" s="16"/>
      <c r="EY44" s="65"/>
      <c r="EZ44" s="66"/>
      <c r="FA44" s="67"/>
      <c r="FB44" s="34"/>
      <c r="FE44" s="5"/>
      <c r="FF44" s="18"/>
      <c r="FG44" s="56"/>
      <c r="FH44" s="57"/>
      <c r="FI44" s="58"/>
      <c r="FJ44" s="59"/>
      <c r="FK44" s="58"/>
      <c r="FL44" s="59"/>
      <c r="FM44" s="6"/>
      <c r="FN44" s="7"/>
      <c r="FO44" s="8"/>
      <c r="FP44" s="8"/>
      <c r="FQ44" s="6"/>
      <c r="FR44" s="16"/>
      <c r="FS44" s="16"/>
      <c r="FT44" s="16"/>
      <c r="FU44" s="16"/>
      <c r="FV44" s="65"/>
      <c r="FW44" s="66"/>
      <c r="FX44" s="67"/>
      <c r="FY44" s="34"/>
      <c r="GB44" s="5"/>
      <c r="GC44" s="18"/>
      <c r="GD44" s="56"/>
      <c r="GE44" s="57"/>
      <c r="GF44" s="58"/>
      <c r="GG44" s="59"/>
      <c r="GH44" s="58"/>
      <c r="GI44" s="59"/>
      <c r="GJ44" s="6"/>
      <c r="GK44" s="7"/>
      <c r="GL44" s="8"/>
      <c r="GM44" s="8"/>
      <c r="GN44" s="6"/>
      <c r="GO44" s="16"/>
      <c r="GP44" s="16"/>
      <c r="GQ44" s="16"/>
      <c r="GR44" s="16"/>
      <c r="GS44" s="65"/>
      <c r="GT44" s="66"/>
      <c r="GU44" s="67"/>
      <c r="GV44" s="34"/>
      <c r="GY44" s="5"/>
      <c r="GZ44" s="18"/>
      <c r="HA44" s="56"/>
      <c r="HB44" s="57"/>
      <c r="HC44" s="58"/>
      <c r="HD44" s="59"/>
      <c r="HE44" s="58"/>
      <c r="HF44" s="59"/>
      <c r="HG44" s="6"/>
      <c r="HH44" s="7"/>
      <c r="HI44" s="8"/>
      <c r="HJ44" s="8"/>
      <c r="HK44" s="6"/>
      <c r="HL44" s="16"/>
      <c r="HM44" s="16"/>
      <c r="HN44" s="16"/>
      <c r="HO44" s="16"/>
      <c r="HP44" s="65"/>
      <c r="HQ44" s="66"/>
      <c r="HR44" s="67"/>
      <c r="HS44" s="34"/>
      <c r="HV44" s="5"/>
      <c r="HW44" s="18"/>
      <c r="HX44" s="56"/>
      <c r="HY44" s="57"/>
      <c r="HZ44" s="58"/>
      <c r="IA44" s="59"/>
      <c r="IB44" s="58"/>
      <c r="IC44" s="59"/>
      <c r="ID44" s="6"/>
      <c r="IE44" s="7"/>
      <c r="IF44" s="8"/>
      <c r="IG44" s="8"/>
      <c r="IH44" s="6"/>
      <c r="II44" s="16"/>
      <c r="IJ44" s="16"/>
      <c r="IK44" s="16"/>
      <c r="IL44" s="16"/>
      <c r="IM44" s="65"/>
      <c r="IN44" s="66"/>
      <c r="IO44" s="67"/>
      <c r="IP44" s="34"/>
      <c r="IS44" s="5"/>
      <c r="IT44" s="18"/>
      <c r="IU44" s="56"/>
      <c r="IV44" s="57"/>
      <c r="IW44" s="58"/>
      <c r="IX44" s="59"/>
      <c r="IY44" s="58"/>
      <c r="IZ44" s="59"/>
      <c r="JA44" s="6"/>
      <c r="JB44" s="7"/>
      <c r="JC44" s="8"/>
      <c r="JD44" s="8"/>
      <c r="JE44" s="6"/>
      <c r="JF44" s="16"/>
      <c r="JG44" s="16"/>
      <c r="JH44" s="16"/>
      <c r="JI44" s="16"/>
      <c r="JJ44" s="65"/>
      <c r="JK44" s="66"/>
      <c r="JL44" s="67"/>
      <c r="JM44" s="34"/>
      <c r="JP44" s="5"/>
      <c r="JQ44" s="18"/>
      <c r="JR44" s="56"/>
      <c r="JS44" s="57"/>
      <c r="JT44" s="58"/>
      <c r="JU44" s="59"/>
      <c r="JV44" s="58"/>
      <c r="JW44" s="59"/>
      <c r="JX44" s="6"/>
      <c r="JY44" s="7"/>
      <c r="JZ44" s="8"/>
      <c r="KA44" s="8"/>
      <c r="KB44" s="6"/>
      <c r="KC44" s="16"/>
      <c r="KD44" s="16"/>
      <c r="KE44" s="16"/>
      <c r="KF44" s="16"/>
      <c r="KG44" s="65"/>
      <c r="KH44" s="66"/>
      <c r="KI44" s="67"/>
      <c r="KJ44" s="34"/>
      <c r="KM44" s="5"/>
      <c r="KN44" s="18"/>
      <c r="KO44" s="56"/>
      <c r="KP44" s="57"/>
      <c r="KQ44" s="58"/>
      <c r="KR44" s="59"/>
      <c r="KS44" s="58"/>
      <c r="KT44" s="59"/>
      <c r="KU44" s="6"/>
      <c r="KV44" s="7"/>
      <c r="KW44" s="8"/>
      <c r="KX44" s="8"/>
      <c r="KY44" s="6"/>
      <c r="KZ44" s="16"/>
      <c r="LA44" s="16"/>
      <c r="LB44" s="16"/>
      <c r="LC44" s="16"/>
      <c r="LD44" s="65"/>
      <c r="LE44" s="66"/>
      <c r="LF44" s="67"/>
      <c r="LG44" s="34"/>
      <c r="LJ44" s="5"/>
      <c r="LK44" s="18"/>
      <c r="LL44" s="56"/>
      <c r="LM44" s="57"/>
      <c r="LN44" s="58"/>
      <c r="LO44" s="59"/>
      <c r="LP44" s="58"/>
      <c r="LQ44" s="59"/>
      <c r="LR44" s="6"/>
      <c r="LS44" s="7"/>
      <c r="LT44" s="8"/>
      <c r="LU44" s="8"/>
      <c r="LV44" s="6"/>
      <c r="LW44" s="16"/>
      <c r="LX44" s="16"/>
      <c r="LY44" s="16"/>
      <c r="LZ44" s="16"/>
      <c r="MA44" s="65"/>
      <c r="MB44" s="66"/>
      <c r="MC44" s="67"/>
      <c r="MD44" s="34"/>
      <c r="MG44" s="5"/>
      <c r="MH44" s="18"/>
      <c r="MI44" s="56"/>
      <c r="MJ44" s="57"/>
      <c r="MK44" s="58"/>
      <c r="ML44" s="59"/>
      <c r="MM44" s="58"/>
      <c r="MN44" s="59"/>
      <c r="MO44" s="6"/>
      <c r="MP44" s="7"/>
      <c r="MQ44" s="8"/>
      <c r="MR44" s="8"/>
      <c r="MS44" s="6"/>
      <c r="MT44" s="16"/>
      <c r="MU44" s="16"/>
      <c r="MV44" s="16"/>
      <c r="MW44" s="16"/>
      <c r="MX44" s="65"/>
      <c r="MY44" s="66"/>
      <c r="MZ44" s="67"/>
      <c r="NA44" s="34"/>
      <c r="ND44" s="5"/>
      <c r="NE44" s="18"/>
      <c r="NF44" s="56"/>
      <c r="NG44" s="57"/>
      <c r="NH44" s="58"/>
      <c r="NI44" s="59"/>
      <c r="NJ44" s="58"/>
      <c r="NK44" s="59"/>
      <c r="NL44" s="6"/>
      <c r="NM44" s="7"/>
      <c r="NN44" s="8"/>
      <c r="NO44" s="8"/>
      <c r="NP44" s="6"/>
      <c r="NQ44" s="16"/>
      <c r="NR44" s="16"/>
      <c r="NS44" s="16"/>
      <c r="NT44" s="16"/>
      <c r="NU44" s="65"/>
      <c r="NV44" s="66"/>
      <c r="NW44" s="67"/>
      <c r="NX44" s="34"/>
      <c r="OA44" s="5"/>
      <c r="OB44" s="18"/>
      <c r="OC44" s="56"/>
      <c r="OD44" s="57"/>
      <c r="OE44" s="58"/>
      <c r="OF44" s="59"/>
      <c r="OG44" s="58"/>
      <c r="OH44" s="59"/>
      <c r="OI44" s="6"/>
      <c r="OJ44" s="7"/>
      <c r="OK44" s="8"/>
      <c r="OL44" s="8"/>
      <c r="OM44" s="6"/>
      <c r="ON44" s="16"/>
      <c r="OO44" s="16"/>
      <c r="OP44" s="16"/>
      <c r="OQ44" s="16"/>
      <c r="OR44" s="65"/>
      <c r="OS44" s="66"/>
      <c r="OT44" s="67"/>
      <c r="OU44" s="34"/>
      <c r="OX44" s="5"/>
      <c r="OY44" s="18"/>
      <c r="OZ44" s="56"/>
      <c r="PA44" s="57"/>
      <c r="PB44" s="58"/>
      <c r="PC44" s="59"/>
      <c r="PD44" s="58"/>
      <c r="PE44" s="59"/>
      <c r="PF44" s="6"/>
      <c r="PG44" s="7"/>
      <c r="PH44" s="8"/>
      <c r="PI44" s="8"/>
      <c r="PJ44" s="6"/>
      <c r="PK44" s="16"/>
      <c r="PL44" s="16"/>
      <c r="PM44" s="16"/>
      <c r="PN44" s="16"/>
      <c r="PO44" s="65"/>
      <c r="PP44" s="66"/>
      <c r="PQ44" s="67"/>
      <c r="PR44" s="34"/>
      <c r="PU44" s="5"/>
      <c r="PV44" s="18"/>
      <c r="PW44" s="56"/>
      <c r="PX44" s="57"/>
      <c r="PY44" s="58"/>
      <c r="PZ44" s="59"/>
      <c r="QA44" s="58"/>
      <c r="QB44" s="59"/>
      <c r="QC44" s="6"/>
      <c r="QD44" s="7"/>
      <c r="QE44" s="8"/>
      <c r="QF44" s="8"/>
      <c r="QG44" s="6"/>
      <c r="QH44" s="16"/>
      <c r="QI44" s="16"/>
      <c r="QJ44" s="16"/>
      <c r="QK44" s="16"/>
      <c r="QL44" s="65"/>
      <c r="QM44" s="66"/>
      <c r="QN44" s="67"/>
      <c r="QO44" s="34"/>
      <c r="QR44" s="5"/>
      <c r="QS44" s="18"/>
      <c r="QT44" s="56"/>
      <c r="QU44" s="57"/>
      <c r="QV44" s="58"/>
      <c r="QW44" s="59"/>
      <c r="QX44" s="58"/>
      <c r="QY44" s="59"/>
      <c r="QZ44" s="6"/>
      <c r="RA44" s="7"/>
      <c r="RB44" s="8"/>
      <c r="RC44" s="8"/>
      <c r="RD44" s="6"/>
      <c r="RE44" s="16"/>
      <c r="RF44" s="16"/>
      <c r="RG44" s="16"/>
      <c r="RH44" s="16"/>
      <c r="RI44" s="65"/>
      <c r="RJ44" s="66"/>
      <c r="RK44" s="67"/>
      <c r="RL44" s="34"/>
      <c r="RO44" s="5"/>
      <c r="RP44" s="18"/>
      <c r="RQ44" s="56"/>
      <c r="RR44" s="57"/>
      <c r="RS44" s="58"/>
      <c r="RT44" s="59"/>
      <c r="RU44" s="58"/>
      <c r="RV44" s="59"/>
      <c r="RW44" s="6"/>
      <c r="RX44" s="7"/>
      <c r="RY44" s="8"/>
      <c r="RZ44" s="8"/>
      <c r="SA44" s="6"/>
      <c r="SB44" s="16"/>
      <c r="SC44" s="16"/>
      <c r="SD44" s="16"/>
      <c r="SE44" s="16"/>
      <c r="SF44" s="65"/>
      <c r="SG44" s="66"/>
      <c r="SH44" s="67"/>
      <c r="SI44" s="34"/>
      <c r="SL44" s="5"/>
      <c r="SM44" s="18"/>
      <c r="SN44" s="56"/>
      <c r="SO44" s="57"/>
      <c r="SP44" s="58"/>
      <c r="SQ44" s="59"/>
      <c r="SR44" s="58"/>
      <c r="SS44" s="59"/>
      <c r="ST44" s="6"/>
      <c r="SU44" s="7"/>
      <c r="SV44" s="8"/>
      <c r="SW44" s="8"/>
      <c r="SX44" s="6"/>
      <c r="SY44" s="16"/>
      <c r="SZ44" s="16"/>
      <c r="TA44" s="16"/>
      <c r="TB44" s="16"/>
      <c r="TC44" s="65"/>
      <c r="TD44" s="66"/>
      <c r="TE44" s="67"/>
      <c r="TF44" s="34"/>
      <c r="TI44" s="5"/>
      <c r="TJ44" s="18"/>
      <c r="TK44" s="56"/>
      <c r="TL44" s="57"/>
      <c r="TM44" s="58"/>
      <c r="TN44" s="59"/>
      <c r="TO44" s="58"/>
      <c r="TP44" s="59"/>
      <c r="TQ44" s="6"/>
      <c r="TR44" s="7"/>
      <c r="TS44" s="8"/>
      <c r="TT44" s="8"/>
      <c r="TU44" s="6"/>
      <c r="TV44" s="16"/>
      <c r="TW44" s="16"/>
      <c r="TX44" s="16"/>
      <c r="TY44" s="16"/>
      <c r="TZ44" s="65"/>
      <c r="UA44" s="66"/>
      <c r="UB44" s="67"/>
      <c r="UC44" s="34"/>
      <c r="UF44" s="5"/>
      <c r="UG44" s="18"/>
      <c r="UH44" s="56"/>
      <c r="UI44" s="57"/>
      <c r="UJ44" s="58"/>
      <c r="UK44" s="59"/>
      <c r="UL44" s="58"/>
      <c r="UM44" s="59"/>
      <c r="UN44" s="6"/>
      <c r="UO44" s="7"/>
      <c r="UP44" s="8"/>
      <c r="UQ44" s="8"/>
      <c r="UR44" s="6"/>
      <c r="US44" s="16"/>
      <c r="UT44" s="16"/>
      <c r="UU44" s="16"/>
      <c r="UV44" s="16"/>
      <c r="UW44" s="65"/>
      <c r="UX44" s="66"/>
      <c r="UY44" s="67"/>
      <c r="UZ44" s="34"/>
      <c r="VC44" s="5"/>
      <c r="VD44" s="18"/>
      <c r="VE44" s="56"/>
      <c r="VF44" s="57"/>
      <c r="VG44" s="58"/>
      <c r="VH44" s="59"/>
      <c r="VI44" s="58"/>
      <c r="VJ44" s="59"/>
      <c r="VK44" s="6"/>
      <c r="VL44" s="7"/>
      <c r="VM44" s="8"/>
      <c r="VN44" s="8"/>
      <c r="VO44" s="6"/>
      <c r="VP44" s="16"/>
      <c r="VQ44" s="16"/>
      <c r="VR44" s="16"/>
      <c r="VS44" s="16"/>
      <c r="VT44" s="65"/>
      <c r="VU44" s="66"/>
      <c r="VV44" s="67"/>
      <c r="VW44" s="34"/>
      <c r="VZ44" s="5"/>
      <c r="WA44" s="18"/>
      <c r="WB44" s="56"/>
      <c r="WC44" s="57"/>
      <c r="WD44" s="58"/>
      <c r="WE44" s="59"/>
      <c r="WF44" s="58"/>
      <c r="WG44" s="59"/>
      <c r="WH44" s="6"/>
      <c r="WI44" s="7"/>
      <c r="WJ44" s="8"/>
      <c r="WK44" s="8"/>
      <c r="WL44" s="6"/>
      <c r="WM44" s="16"/>
      <c r="WN44" s="16"/>
      <c r="WO44" s="16"/>
      <c r="WP44" s="16"/>
      <c r="WQ44" s="65"/>
      <c r="WR44" s="66"/>
      <c r="WS44" s="67"/>
      <c r="WT44" s="34"/>
      <c r="WW44" s="5"/>
      <c r="WX44" s="18"/>
      <c r="WY44" s="56"/>
      <c r="WZ44" s="57"/>
      <c r="XA44" s="58"/>
      <c r="XB44" s="59"/>
      <c r="XC44" s="58"/>
      <c r="XD44" s="59"/>
      <c r="XE44" s="6"/>
      <c r="XF44" s="7"/>
      <c r="XG44" s="8"/>
      <c r="XH44" s="8"/>
      <c r="XI44" s="6"/>
      <c r="XJ44" s="16"/>
      <c r="XK44" s="16"/>
      <c r="XL44" s="16"/>
      <c r="XM44" s="16"/>
      <c r="XN44" s="65"/>
      <c r="XO44" s="66"/>
      <c r="XP44" s="67"/>
      <c r="XQ44" s="34"/>
      <c r="XT44" s="5"/>
      <c r="XU44" s="18"/>
      <c r="XV44" s="56"/>
      <c r="XW44" s="57"/>
      <c r="XX44" s="58"/>
      <c r="XY44" s="59"/>
      <c r="XZ44" s="58"/>
      <c r="YA44" s="59"/>
      <c r="YB44" s="6"/>
      <c r="YC44" s="7"/>
      <c r="YD44" s="8"/>
      <c r="YE44" s="8"/>
      <c r="YF44" s="6"/>
      <c r="YG44" s="16"/>
      <c r="YH44" s="16"/>
      <c r="YI44" s="16"/>
      <c r="YJ44" s="16"/>
      <c r="YK44" s="65"/>
      <c r="YL44" s="66"/>
      <c r="YM44" s="67"/>
      <c r="YN44" s="34"/>
      <c r="YQ44" s="5"/>
      <c r="YR44" s="18"/>
      <c r="YS44" s="56"/>
      <c r="YT44" s="57"/>
      <c r="YU44" s="58"/>
      <c r="YV44" s="59"/>
      <c r="YW44" s="58"/>
      <c r="YX44" s="59"/>
      <c r="YY44" s="6"/>
      <c r="YZ44" s="7"/>
      <c r="ZA44" s="8"/>
      <c r="ZB44" s="8"/>
      <c r="ZC44" s="6"/>
      <c r="ZD44" s="16"/>
      <c r="ZE44" s="16"/>
      <c r="ZF44" s="16"/>
      <c r="ZG44" s="16"/>
      <c r="ZH44" s="65"/>
      <c r="ZI44" s="66"/>
      <c r="ZJ44" s="67"/>
      <c r="ZK44" s="34"/>
      <c r="ZN44" s="5"/>
      <c r="ZO44" s="18"/>
      <c r="ZP44" s="56"/>
      <c r="ZQ44" s="57"/>
      <c r="ZR44" s="58"/>
      <c r="ZS44" s="59"/>
      <c r="ZT44" s="58"/>
      <c r="ZU44" s="59"/>
      <c r="ZV44" s="6"/>
      <c r="ZW44" s="7"/>
      <c r="ZX44" s="8"/>
      <c r="ZY44" s="8"/>
      <c r="ZZ44" s="6"/>
      <c r="AAA44" s="16"/>
      <c r="AAB44" s="16"/>
      <c r="AAC44" s="16"/>
      <c r="AAD44" s="16"/>
      <c r="AAE44" s="65"/>
      <c r="AAF44" s="66"/>
      <c r="AAG44" s="67"/>
      <c r="AAH44" s="34"/>
      <c r="AAK44" s="5"/>
      <c r="AAL44" s="18"/>
      <c r="AAM44" s="56"/>
      <c r="AAN44" s="57"/>
      <c r="AAO44" s="58"/>
      <c r="AAP44" s="59"/>
      <c r="AAQ44" s="58"/>
      <c r="AAR44" s="59"/>
      <c r="AAS44" s="6"/>
      <c r="AAT44" s="7"/>
      <c r="AAU44" s="8"/>
      <c r="AAV44" s="8"/>
      <c r="AAW44" s="6"/>
      <c r="AAX44" s="16"/>
      <c r="AAY44" s="16"/>
      <c r="AAZ44" s="16"/>
      <c r="ABA44" s="16"/>
      <c r="ABB44" s="65"/>
      <c r="ABC44" s="66"/>
      <c r="ABD44" s="67"/>
      <c r="ABE44" s="34"/>
      <c r="ABH44" s="5"/>
      <c r="ABI44" s="18"/>
      <c r="ABJ44" s="56"/>
      <c r="ABK44" s="57"/>
      <c r="ABL44" s="58"/>
      <c r="ABM44" s="59"/>
      <c r="ABN44" s="58"/>
      <c r="ABO44" s="59"/>
      <c r="ABP44" s="6"/>
      <c r="ABQ44" s="7"/>
      <c r="ABR44" s="8"/>
      <c r="ABS44" s="8"/>
      <c r="ABT44" s="6"/>
      <c r="ABU44" s="16"/>
      <c r="ABV44" s="16"/>
      <c r="ABW44" s="16"/>
      <c r="ABX44" s="16"/>
      <c r="ABY44" s="65"/>
      <c r="ABZ44" s="66"/>
      <c r="ACA44" s="67"/>
      <c r="ACB44" s="34"/>
      <c r="ACE44" s="5"/>
      <c r="ACF44" s="18"/>
      <c r="ACG44" s="56"/>
      <c r="ACH44" s="57"/>
      <c r="ACI44" s="58"/>
      <c r="ACJ44" s="59"/>
      <c r="ACK44" s="58"/>
      <c r="ACL44" s="59"/>
      <c r="ACM44" s="6"/>
      <c r="ACN44" s="7"/>
      <c r="ACO44" s="8"/>
      <c r="ACP44" s="8"/>
      <c r="ACQ44" s="6"/>
      <c r="ACR44" s="16"/>
      <c r="ACS44" s="16"/>
      <c r="ACT44" s="16"/>
      <c r="ACU44" s="16"/>
      <c r="ACV44" s="65"/>
      <c r="ACW44" s="66"/>
      <c r="ACX44" s="67"/>
      <c r="ACY44" s="34"/>
      <c r="ADB44" s="5"/>
      <c r="ADC44" s="18"/>
      <c r="ADD44" s="56"/>
      <c r="ADE44" s="57"/>
      <c r="ADF44" s="58"/>
      <c r="ADG44" s="59"/>
      <c r="ADH44" s="58"/>
      <c r="ADI44" s="59"/>
      <c r="ADJ44" s="6"/>
      <c r="ADK44" s="7"/>
      <c r="ADL44" s="8"/>
      <c r="ADM44" s="8"/>
      <c r="ADN44" s="6"/>
      <c r="ADO44" s="16"/>
      <c r="ADP44" s="16"/>
      <c r="ADQ44" s="16"/>
      <c r="ADR44" s="16"/>
      <c r="ADS44" s="65"/>
      <c r="ADT44" s="66"/>
      <c r="ADU44" s="67"/>
      <c r="ADV44" s="34"/>
      <c r="ADY44" s="5"/>
      <c r="ADZ44" s="18"/>
      <c r="AEA44" s="56"/>
      <c r="AEB44" s="57"/>
      <c r="AEC44" s="58"/>
      <c r="AED44" s="59"/>
      <c r="AEE44" s="58"/>
      <c r="AEF44" s="59"/>
      <c r="AEG44" s="6"/>
      <c r="AEH44" s="7"/>
      <c r="AEI44" s="8"/>
      <c r="AEJ44" s="8"/>
      <c r="AEK44" s="6"/>
      <c r="AEL44" s="16"/>
      <c r="AEM44" s="16"/>
      <c r="AEN44" s="16"/>
      <c r="AEO44" s="16"/>
      <c r="AEP44" s="65"/>
      <c r="AEQ44" s="66"/>
      <c r="AER44" s="67"/>
      <c r="AES44" s="34"/>
      <c r="AEV44" s="5"/>
      <c r="AEW44" s="18"/>
      <c r="AEX44" s="56"/>
      <c r="AEY44" s="57"/>
      <c r="AEZ44" s="58"/>
      <c r="AFA44" s="59"/>
      <c r="AFB44" s="58"/>
      <c r="AFC44" s="59"/>
      <c r="AFD44" s="6"/>
      <c r="AFE44" s="7"/>
      <c r="AFF44" s="8"/>
      <c r="AFG44" s="8"/>
      <c r="AFH44" s="6"/>
      <c r="AFI44" s="16"/>
      <c r="AFJ44" s="16"/>
      <c r="AFK44" s="16"/>
      <c r="AFL44" s="16"/>
      <c r="AFM44" s="65"/>
      <c r="AFN44" s="66"/>
      <c r="AFO44" s="67"/>
      <c r="AFP44" s="34"/>
      <c r="AFS44" s="5"/>
      <c r="AFT44" s="18"/>
      <c r="AFU44" s="56"/>
      <c r="AFV44" s="57"/>
      <c r="AFW44" s="58"/>
      <c r="AFX44" s="59"/>
      <c r="AFY44" s="58"/>
      <c r="AFZ44" s="59"/>
      <c r="AGA44" s="6"/>
      <c r="AGB44" s="7"/>
      <c r="AGC44" s="8"/>
      <c r="AGD44" s="8"/>
      <c r="AGE44" s="6"/>
      <c r="AGF44" s="16"/>
      <c r="AGG44" s="16"/>
      <c r="AGH44" s="16"/>
      <c r="AGI44" s="16"/>
      <c r="AGJ44" s="65"/>
      <c r="AGK44" s="66"/>
      <c r="AGL44" s="67"/>
      <c r="AGM44" s="34"/>
      <c r="AGP44" s="5"/>
      <c r="AGQ44" s="18"/>
      <c r="AGR44" s="56"/>
      <c r="AGS44" s="57"/>
      <c r="AGT44" s="58"/>
      <c r="AGU44" s="59"/>
      <c r="AGV44" s="58"/>
      <c r="AGW44" s="59"/>
      <c r="AGX44" s="6"/>
      <c r="AGY44" s="7"/>
      <c r="AGZ44" s="8"/>
      <c r="AHA44" s="8"/>
      <c r="AHB44" s="6"/>
      <c r="AHC44" s="16"/>
      <c r="AHD44" s="16"/>
      <c r="AHE44" s="16"/>
      <c r="AHF44" s="16"/>
      <c r="AHG44" s="65"/>
      <c r="AHH44" s="66"/>
      <c r="AHI44" s="67"/>
      <c r="AHJ44" s="34"/>
      <c r="AHM44" s="5"/>
      <c r="AHN44" s="18"/>
      <c r="AHO44" s="56"/>
      <c r="AHP44" s="57"/>
      <c r="AHQ44" s="58"/>
      <c r="AHR44" s="59"/>
      <c r="AHS44" s="58"/>
      <c r="AHT44" s="59"/>
      <c r="AHU44" s="6"/>
      <c r="AHV44" s="7"/>
      <c r="AHW44" s="8"/>
      <c r="AHX44" s="8"/>
      <c r="AHY44" s="6"/>
      <c r="AHZ44" s="16"/>
      <c r="AIA44" s="16"/>
      <c r="AIB44" s="16"/>
      <c r="AIC44" s="16"/>
      <c r="AID44" s="65"/>
      <c r="AIE44" s="66"/>
      <c r="AIF44" s="67"/>
      <c r="AIG44" s="34"/>
      <c r="AIJ44" s="5"/>
      <c r="AIK44" s="18"/>
      <c r="AIL44" s="56"/>
      <c r="AIM44" s="57"/>
      <c r="AIN44" s="58"/>
      <c r="AIO44" s="59"/>
      <c r="AIP44" s="58"/>
      <c r="AIQ44" s="59"/>
      <c r="AIR44" s="6"/>
      <c r="AIS44" s="7"/>
      <c r="AIT44" s="8"/>
      <c r="AIU44" s="8"/>
      <c r="AIV44" s="6"/>
      <c r="AIW44" s="16"/>
      <c r="AIX44" s="16"/>
      <c r="AIY44" s="16"/>
      <c r="AIZ44" s="16"/>
      <c r="AJA44" s="65"/>
      <c r="AJB44" s="66"/>
      <c r="AJC44" s="67"/>
      <c r="AJD44" s="34"/>
      <c r="AJG44" s="5"/>
      <c r="AJH44" s="18"/>
      <c r="AJI44" s="56"/>
      <c r="AJJ44" s="57"/>
      <c r="AJK44" s="58"/>
      <c r="AJL44" s="59"/>
      <c r="AJM44" s="58"/>
      <c r="AJN44" s="59"/>
      <c r="AJO44" s="6"/>
      <c r="AJP44" s="7"/>
      <c r="AJQ44" s="8"/>
      <c r="AJR44" s="8"/>
      <c r="AJS44" s="6"/>
      <c r="AJT44" s="16"/>
      <c r="AJU44" s="16"/>
      <c r="AJV44" s="16"/>
      <c r="AJW44" s="16"/>
      <c r="AJX44" s="65"/>
      <c r="AJY44" s="66"/>
      <c r="AJZ44" s="67"/>
      <c r="AKA44" s="34"/>
      <c r="AKD44" s="5"/>
      <c r="AKE44" s="18"/>
      <c r="AKF44" s="56"/>
      <c r="AKG44" s="57"/>
      <c r="AKH44" s="58"/>
      <c r="AKI44" s="59"/>
      <c r="AKJ44" s="58"/>
      <c r="AKK44" s="59"/>
      <c r="AKL44" s="6"/>
      <c r="AKM44" s="7"/>
      <c r="AKN44" s="8"/>
      <c r="AKO44" s="8"/>
      <c r="AKP44" s="6"/>
      <c r="AKQ44" s="16"/>
      <c r="AKR44" s="16"/>
      <c r="AKS44" s="16"/>
      <c r="AKT44" s="16"/>
      <c r="AKU44" s="65"/>
      <c r="AKV44" s="66"/>
      <c r="AKW44" s="67"/>
      <c r="AKX44" s="34"/>
      <c r="ALA44" s="5"/>
      <c r="ALB44" s="18"/>
      <c r="ALC44" s="56"/>
      <c r="ALD44" s="57"/>
      <c r="ALE44" s="58"/>
      <c r="ALF44" s="59"/>
      <c r="ALG44" s="58"/>
      <c r="ALH44" s="59"/>
      <c r="ALI44" s="6"/>
      <c r="ALJ44" s="7"/>
      <c r="ALK44" s="8"/>
      <c r="ALL44" s="8"/>
      <c r="ALM44" s="6"/>
      <c r="ALN44" s="16"/>
      <c r="ALO44" s="16"/>
      <c r="ALP44" s="16"/>
      <c r="ALQ44" s="16"/>
      <c r="ALR44" s="65"/>
      <c r="ALS44" s="66"/>
      <c r="ALT44" s="67"/>
      <c r="ALU44" s="34"/>
      <c r="ALX44" s="5"/>
      <c r="ALY44" s="18"/>
      <c r="ALZ44" s="56"/>
      <c r="AMA44" s="57"/>
      <c r="AMB44" s="58"/>
      <c r="AMC44" s="59"/>
      <c r="AMD44" s="58"/>
      <c r="AME44" s="59"/>
      <c r="AMF44" s="6"/>
      <c r="AMG44" s="7"/>
      <c r="AMH44" s="8"/>
      <c r="AMI44" s="8"/>
      <c r="AMJ44" s="6"/>
      <c r="AMK44" s="16"/>
      <c r="AML44" s="16"/>
      <c r="AMM44" s="16"/>
      <c r="AMN44" s="16"/>
      <c r="AMO44" s="65"/>
      <c r="AMP44" s="66"/>
      <c r="AMQ44" s="67"/>
      <c r="AMR44" s="34"/>
      <c r="AMU44" s="5"/>
      <c r="AMV44" s="18"/>
      <c r="AMW44" s="56"/>
      <c r="AMX44" s="57"/>
      <c r="AMY44" s="58"/>
      <c r="AMZ44" s="59"/>
      <c r="ANA44" s="58"/>
      <c r="ANB44" s="59"/>
      <c r="ANC44" s="6"/>
      <c r="AND44" s="7"/>
      <c r="ANE44" s="8"/>
      <c r="ANF44" s="8"/>
      <c r="ANG44" s="6"/>
      <c r="ANH44" s="16"/>
      <c r="ANI44" s="16"/>
      <c r="ANJ44" s="16"/>
      <c r="ANK44" s="16"/>
      <c r="ANL44" s="65"/>
      <c r="ANM44" s="66"/>
      <c r="ANN44" s="67"/>
      <c r="ANO44" s="34"/>
      <c r="ANR44" s="5"/>
      <c r="ANS44" s="18"/>
      <c r="ANT44" s="56"/>
      <c r="ANU44" s="57"/>
      <c r="ANV44" s="58"/>
      <c r="ANW44" s="59"/>
      <c r="ANX44" s="58"/>
      <c r="ANY44" s="59"/>
      <c r="ANZ44" s="6"/>
      <c r="AOA44" s="7"/>
      <c r="AOB44" s="8"/>
      <c r="AOC44" s="8"/>
      <c r="AOD44" s="6"/>
      <c r="AOE44" s="16"/>
      <c r="AOF44" s="16"/>
      <c r="AOG44" s="16"/>
      <c r="AOH44" s="16"/>
      <c r="AOI44" s="65"/>
      <c r="AOJ44" s="66"/>
      <c r="AOK44" s="67"/>
      <c r="AOL44" s="34"/>
      <c r="AOO44" s="5"/>
      <c r="AOP44" s="18"/>
      <c r="AOQ44" s="56"/>
      <c r="AOR44" s="57"/>
      <c r="AOS44" s="58"/>
      <c r="AOT44" s="59"/>
      <c r="AOU44" s="58"/>
      <c r="AOV44" s="59"/>
      <c r="AOW44" s="6"/>
      <c r="AOX44" s="7"/>
      <c r="AOY44" s="8"/>
      <c r="AOZ44" s="8"/>
      <c r="APA44" s="6"/>
      <c r="APB44" s="16"/>
      <c r="APC44" s="16"/>
      <c r="APD44" s="16"/>
      <c r="APE44" s="16"/>
      <c r="APF44" s="65"/>
      <c r="APG44" s="66"/>
      <c r="APH44" s="67"/>
      <c r="API44" s="34"/>
      <c r="APL44" s="5"/>
      <c r="APM44" s="18"/>
      <c r="APN44" s="56"/>
      <c r="APO44" s="57"/>
      <c r="APP44" s="58"/>
      <c r="APQ44" s="59"/>
      <c r="APR44" s="58"/>
      <c r="APS44" s="59"/>
      <c r="APT44" s="6"/>
      <c r="APU44" s="7"/>
      <c r="APV44" s="8"/>
      <c r="APW44" s="8"/>
      <c r="APX44" s="6"/>
      <c r="APY44" s="16"/>
      <c r="APZ44" s="16"/>
      <c r="AQA44" s="16"/>
      <c r="AQB44" s="16"/>
      <c r="AQC44" s="65"/>
      <c r="AQD44" s="66"/>
      <c r="AQE44" s="67"/>
      <c r="AQF44" s="34"/>
      <c r="AQI44" s="5"/>
      <c r="AQJ44" s="18"/>
      <c r="AQK44" s="56"/>
      <c r="AQL44" s="57"/>
      <c r="AQM44" s="58"/>
      <c r="AQN44" s="59"/>
      <c r="AQO44" s="58"/>
      <c r="AQP44" s="59"/>
      <c r="AQQ44" s="6"/>
      <c r="AQR44" s="7"/>
      <c r="AQS44" s="8"/>
      <c r="AQT44" s="8"/>
      <c r="AQU44" s="6"/>
      <c r="AQV44" s="16"/>
      <c r="AQW44" s="16"/>
      <c r="AQX44" s="16"/>
      <c r="AQY44" s="16"/>
      <c r="AQZ44" s="65"/>
      <c r="ARA44" s="66"/>
      <c r="ARB44" s="67"/>
      <c r="ARC44" s="34"/>
      <c r="ARF44" s="5"/>
      <c r="ARG44" s="18"/>
      <c r="ARH44" s="56"/>
      <c r="ARI44" s="57"/>
      <c r="ARJ44" s="58"/>
      <c r="ARK44" s="59"/>
      <c r="ARL44" s="58"/>
      <c r="ARM44" s="59"/>
      <c r="ARN44" s="6"/>
      <c r="ARO44" s="7"/>
      <c r="ARP44" s="8"/>
      <c r="ARQ44" s="8"/>
      <c r="ARR44" s="6"/>
      <c r="ARS44" s="16"/>
      <c r="ART44" s="16"/>
      <c r="ARU44" s="16"/>
      <c r="ARV44" s="16"/>
      <c r="ARW44" s="65"/>
      <c r="ARX44" s="66"/>
      <c r="ARY44" s="67"/>
      <c r="ARZ44" s="34"/>
      <c r="ASC44" s="5"/>
      <c r="ASD44" s="18"/>
      <c r="ASE44" s="56"/>
      <c r="ASF44" s="57"/>
      <c r="ASG44" s="58"/>
      <c r="ASH44" s="59"/>
      <c r="ASI44" s="58"/>
      <c r="ASJ44" s="59"/>
      <c r="ASK44" s="6"/>
      <c r="ASL44" s="7"/>
      <c r="ASM44" s="8"/>
      <c r="ASN44" s="8"/>
      <c r="ASO44" s="6"/>
      <c r="ASP44" s="16"/>
      <c r="ASQ44" s="16"/>
      <c r="ASR44" s="16"/>
      <c r="ASS44" s="16"/>
      <c r="AST44" s="65"/>
      <c r="ASU44" s="66"/>
      <c r="ASV44" s="67"/>
      <c r="ASW44" s="34"/>
      <c r="ASZ44" s="5"/>
      <c r="ATA44" s="18"/>
      <c r="ATB44" s="56"/>
      <c r="ATC44" s="57"/>
      <c r="ATD44" s="58"/>
      <c r="ATE44" s="59"/>
      <c r="ATF44" s="58"/>
      <c r="ATG44" s="59"/>
      <c r="ATH44" s="6"/>
      <c r="ATI44" s="7"/>
      <c r="ATJ44" s="8"/>
      <c r="ATK44" s="8"/>
      <c r="ATL44" s="6"/>
      <c r="ATM44" s="16"/>
      <c r="ATN44" s="16"/>
      <c r="ATO44" s="16"/>
      <c r="ATP44" s="16"/>
      <c r="ATQ44" s="65"/>
      <c r="ATR44" s="66"/>
      <c r="ATS44" s="67"/>
      <c r="ATT44" s="34"/>
      <c r="ATW44" s="5"/>
      <c r="ATX44" s="18"/>
      <c r="ATY44" s="56"/>
      <c r="ATZ44" s="57"/>
      <c r="AUA44" s="58"/>
      <c r="AUB44" s="59"/>
      <c r="AUC44" s="58"/>
      <c r="AUD44" s="59"/>
      <c r="AUE44" s="6"/>
      <c r="AUF44" s="7"/>
      <c r="AUG44" s="8"/>
      <c r="AUH44" s="8"/>
      <c r="AUI44" s="6"/>
      <c r="AUJ44" s="16"/>
      <c r="AUK44" s="16"/>
      <c r="AUL44" s="16"/>
      <c r="AUM44" s="16"/>
      <c r="AUN44" s="65"/>
      <c r="AUO44" s="66"/>
      <c r="AUP44" s="67"/>
      <c r="AUQ44" s="34"/>
      <c r="AUT44" s="5"/>
      <c r="AUU44" s="18"/>
      <c r="AUV44" s="56"/>
      <c r="AUW44" s="57"/>
      <c r="AUX44" s="58"/>
      <c r="AUY44" s="59"/>
      <c r="AUZ44" s="58"/>
      <c r="AVA44" s="59"/>
      <c r="AVB44" s="6"/>
      <c r="AVC44" s="7"/>
      <c r="AVD44" s="8"/>
      <c r="AVE44" s="8"/>
      <c r="AVF44" s="6"/>
      <c r="AVG44" s="16"/>
      <c r="AVH44" s="16"/>
      <c r="AVI44" s="16"/>
      <c r="AVJ44" s="16"/>
      <c r="AVK44" s="65"/>
      <c r="AVL44" s="66"/>
      <c r="AVM44" s="67"/>
      <c r="AVN44" s="34"/>
      <c r="AVQ44" s="5"/>
      <c r="AVR44" s="18"/>
      <c r="AVS44" s="56"/>
      <c r="AVT44" s="57"/>
      <c r="AVU44" s="58"/>
      <c r="AVV44" s="59"/>
      <c r="AVW44" s="58"/>
      <c r="AVX44" s="59"/>
      <c r="AVY44" s="6"/>
      <c r="AVZ44" s="7"/>
      <c r="AWA44" s="8"/>
      <c r="AWB44" s="8"/>
      <c r="AWC44" s="6"/>
      <c r="AWD44" s="16"/>
      <c r="AWE44" s="16"/>
      <c r="AWF44" s="16"/>
      <c r="AWG44" s="16"/>
      <c r="AWH44" s="65"/>
      <c r="AWI44" s="66"/>
      <c r="AWJ44" s="67"/>
      <c r="AWK44" s="34"/>
      <c r="AWN44" s="5"/>
      <c r="AWO44" s="18"/>
      <c r="AWP44" s="56"/>
      <c r="AWQ44" s="57"/>
      <c r="AWR44" s="58"/>
      <c r="AWS44" s="59"/>
      <c r="AWT44" s="58"/>
      <c r="AWU44" s="59"/>
      <c r="AWV44" s="6"/>
      <c r="AWW44" s="7"/>
      <c r="AWX44" s="8"/>
      <c r="AWY44" s="8"/>
      <c r="AWZ44" s="6"/>
      <c r="AXA44" s="16"/>
      <c r="AXB44" s="16"/>
      <c r="AXC44" s="16"/>
      <c r="AXD44" s="16"/>
      <c r="AXE44" s="65"/>
      <c r="AXF44" s="66"/>
      <c r="AXG44" s="67"/>
      <c r="AXH44" s="34"/>
      <c r="AXK44" s="5"/>
      <c r="AXL44" s="18"/>
      <c r="AXM44" s="56"/>
      <c r="AXN44" s="57"/>
      <c r="AXO44" s="58"/>
      <c r="AXP44" s="59"/>
      <c r="AXQ44" s="58"/>
      <c r="AXR44" s="59"/>
      <c r="AXS44" s="6"/>
      <c r="AXT44" s="7"/>
      <c r="AXU44" s="8"/>
      <c r="AXV44" s="8"/>
      <c r="AXW44" s="6"/>
      <c r="AXX44" s="16"/>
      <c r="AXY44" s="16"/>
      <c r="AXZ44" s="16"/>
      <c r="AYA44" s="16"/>
      <c r="AYB44" s="65"/>
      <c r="AYC44" s="66"/>
      <c r="AYD44" s="67"/>
      <c r="AYE44" s="34"/>
      <c r="AYH44" s="5"/>
      <c r="AYI44" s="18"/>
      <c r="AYJ44" s="56"/>
      <c r="AYK44" s="57"/>
      <c r="AYL44" s="58"/>
      <c r="AYM44" s="59"/>
      <c r="AYN44" s="58"/>
      <c r="AYO44" s="59"/>
      <c r="AYP44" s="6"/>
      <c r="AYQ44" s="7"/>
      <c r="AYR44" s="8"/>
      <c r="AYS44" s="8"/>
      <c r="AYT44" s="6"/>
      <c r="AYU44" s="16"/>
      <c r="AYV44" s="16"/>
      <c r="AYW44" s="16"/>
      <c r="AYX44" s="16"/>
      <c r="AYY44" s="65"/>
      <c r="AYZ44" s="66"/>
      <c r="AZA44" s="67"/>
      <c r="AZB44" s="34"/>
      <c r="AZE44" s="5"/>
      <c r="AZF44" s="18"/>
      <c r="AZG44" s="56"/>
      <c r="AZH44" s="57"/>
      <c r="AZI44" s="58"/>
      <c r="AZJ44" s="59"/>
      <c r="AZK44" s="58"/>
      <c r="AZL44" s="59"/>
      <c r="AZM44" s="6"/>
      <c r="AZN44" s="7"/>
      <c r="AZO44" s="8"/>
      <c r="AZP44" s="8"/>
      <c r="AZQ44" s="6"/>
      <c r="AZR44" s="16"/>
      <c r="AZS44" s="16"/>
      <c r="AZT44" s="16"/>
      <c r="AZU44" s="16"/>
      <c r="AZV44" s="65"/>
      <c r="AZW44" s="66"/>
      <c r="AZX44" s="67"/>
      <c r="AZY44" s="34"/>
      <c r="BAB44" s="5"/>
      <c r="BAC44" s="18"/>
      <c r="BAD44" s="56"/>
      <c r="BAE44" s="57"/>
      <c r="BAF44" s="58"/>
      <c r="BAG44" s="59"/>
      <c r="BAH44" s="58"/>
      <c r="BAI44" s="59"/>
      <c r="BAJ44" s="6"/>
      <c r="BAK44" s="7"/>
      <c r="BAL44" s="8"/>
      <c r="BAM44" s="8"/>
      <c r="BAN44" s="6"/>
      <c r="BAO44" s="16"/>
      <c r="BAP44" s="16"/>
      <c r="BAQ44" s="16"/>
      <c r="BAR44" s="16"/>
      <c r="BAS44" s="65"/>
      <c r="BAT44" s="66"/>
      <c r="BAU44" s="67"/>
      <c r="BAV44" s="34"/>
      <c r="BAY44" s="5"/>
      <c r="BAZ44" s="18"/>
      <c r="BBA44" s="56"/>
      <c r="BBB44" s="57"/>
      <c r="BBC44" s="58"/>
      <c r="BBD44" s="59"/>
      <c r="BBE44" s="58"/>
      <c r="BBF44" s="59"/>
      <c r="BBG44" s="6"/>
      <c r="BBH44" s="7"/>
      <c r="BBI44" s="8"/>
      <c r="BBJ44" s="8"/>
      <c r="BBK44" s="6"/>
      <c r="BBL44" s="16"/>
      <c r="BBM44" s="16"/>
      <c r="BBN44" s="16"/>
      <c r="BBO44" s="16"/>
      <c r="BBP44" s="65"/>
      <c r="BBQ44" s="66"/>
      <c r="BBR44" s="67"/>
      <c r="BBS44" s="34"/>
      <c r="BBV44" s="5"/>
      <c r="BBW44" s="18"/>
      <c r="BBX44" s="56"/>
      <c r="BBY44" s="57"/>
      <c r="BBZ44" s="58"/>
      <c r="BCA44" s="59"/>
      <c r="BCB44" s="58"/>
      <c r="BCC44" s="59"/>
      <c r="BCD44" s="6"/>
      <c r="BCE44" s="7"/>
      <c r="BCF44" s="8"/>
      <c r="BCG44" s="8"/>
      <c r="BCH44" s="6"/>
      <c r="BCI44" s="16"/>
      <c r="BCJ44" s="16"/>
      <c r="BCK44" s="16"/>
      <c r="BCL44" s="16"/>
      <c r="BCM44" s="65"/>
      <c r="BCN44" s="66"/>
      <c r="BCO44" s="67"/>
      <c r="BCP44" s="34"/>
      <c r="BCS44" s="5"/>
      <c r="BCT44" s="18"/>
      <c r="BCU44" s="56"/>
      <c r="BCV44" s="57"/>
      <c r="BCW44" s="58"/>
      <c r="BCX44" s="59"/>
      <c r="BCY44" s="58"/>
      <c r="BCZ44" s="59"/>
      <c r="BDA44" s="6"/>
      <c r="BDB44" s="7"/>
      <c r="BDC44" s="8"/>
      <c r="BDD44" s="8"/>
      <c r="BDE44" s="6"/>
      <c r="BDF44" s="16"/>
      <c r="BDG44" s="16"/>
      <c r="BDH44" s="16"/>
      <c r="BDI44" s="16"/>
      <c r="BDJ44" s="65"/>
      <c r="BDK44" s="66"/>
      <c r="BDL44" s="67"/>
      <c r="BDM44" s="34"/>
      <c r="BDP44" s="5"/>
      <c r="BDQ44" s="18"/>
      <c r="BDR44" s="56"/>
      <c r="BDS44" s="57"/>
      <c r="BDT44" s="58"/>
      <c r="BDU44" s="59"/>
      <c r="BDV44" s="58"/>
      <c r="BDW44" s="59"/>
      <c r="BDX44" s="6"/>
      <c r="BDY44" s="7"/>
      <c r="BDZ44" s="8"/>
      <c r="BEA44" s="8"/>
      <c r="BEB44" s="6"/>
      <c r="BEC44" s="16"/>
      <c r="BED44" s="16"/>
      <c r="BEE44" s="16"/>
      <c r="BEF44" s="16"/>
      <c r="BEG44" s="65"/>
      <c r="BEH44" s="66"/>
      <c r="BEI44" s="67"/>
      <c r="BEJ44" s="34"/>
      <c r="BEM44" s="5"/>
      <c r="BEN44" s="18"/>
      <c r="BEO44" s="56"/>
      <c r="BEP44" s="57"/>
      <c r="BEQ44" s="58"/>
      <c r="BER44" s="59"/>
      <c r="BES44" s="58"/>
      <c r="BET44" s="59"/>
      <c r="BEU44" s="6"/>
      <c r="BEV44" s="7"/>
      <c r="BEW44" s="8"/>
      <c r="BEX44" s="8"/>
      <c r="BEY44" s="6"/>
      <c r="BEZ44" s="16"/>
      <c r="BFA44" s="16"/>
      <c r="BFB44" s="16"/>
      <c r="BFC44" s="16"/>
      <c r="BFD44" s="65"/>
      <c r="BFE44" s="66"/>
      <c r="BFF44" s="67"/>
      <c r="BFG44" s="34"/>
      <c r="BFJ44" s="5"/>
      <c r="BFK44" s="18"/>
      <c r="BFL44" s="56"/>
      <c r="BFM44" s="57"/>
      <c r="BFN44" s="58"/>
      <c r="BFO44" s="59"/>
      <c r="BFP44" s="58"/>
      <c r="BFQ44" s="59"/>
      <c r="BFR44" s="6"/>
      <c r="BFS44" s="7"/>
      <c r="BFT44" s="8"/>
      <c r="BFU44" s="8"/>
      <c r="BFV44" s="6"/>
      <c r="BFW44" s="16"/>
      <c r="BFX44" s="16"/>
      <c r="BFY44" s="16"/>
      <c r="BFZ44" s="16"/>
      <c r="BGA44" s="65"/>
      <c r="BGB44" s="66"/>
      <c r="BGC44" s="67"/>
      <c r="BGD44" s="34"/>
      <c r="BGG44" s="5"/>
      <c r="BGH44" s="18"/>
      <c r="BGI44" s="56"/>
      <c r="BGJ44" s="57"/>
      <c r="BGK44" s="58"/>
      <c r="BGL44" s="59"/>
      <c r="BGM44" s="58"/>
      <c r="BGN44" s="59"/>
      <c r="BGO44" s="6"/>
      <c r="BGP44" s="7"/>
      <c r="BGQ44" s="8"/>
      <c r="BGR44" s="8"/>
      <c r="BGS44" s="6"/>
      <c r="BGT44" s="16"/>
      <c r="BGU44" s="16"/>
      <c r="BGV44" s="16"/>
      <c r="BGW44" s="16"/>
      <c r="BGX44" s="65"/>
      <c r="BGY44" s="66"/>
      <c r="BGZ44" s="67"/>
      <c r="BHA44" s="34"/>
      <c r="BHD44" s="5"/>
      <c r="BHE44" s="18"/>
      <c r="BHF44" s="56"/>
      <c r="BHG44" s="57"/>
      <c r="BHH44" s="58"/>
      <c r="BHI44" s="59"/>
      <c r="BHJ44" s="58"/>
      <c r="BHK44" s="59"/>
      <c r="BHL44" s="6"/>
      <c r="BHM44" s="7"/>
      <c r="BHN44" s="8"/>
      <c r="BHO44" s="8"/>
      <c r="BHP44" s="6"/>
      <c r="BHQ44" s="16"/>
      <c r="BHR44" s="16"/>
      <c r="BHS44" s="16"/>
      <c r="BHT44" s="16"/>
      <c r="BHU44" s="65"/>
      <c r="BHV44" s="66"/>
      <c r="BHW44" s="67"/>
      <c r="BHX44" s="34"/>
      <c r="BIA44" s="5"/>
      <c r="BIB44" s="18"/>
      <c r="BIC44" s="56"/>
      <c r="BID44" s="57"/>
      <c r="BIE44" s="58"/>
      <c r="BIF44" s="59"/>
      <c r="BIG44" s="58"/>
      <c r="BIH44" s="59"/>
      <c r="BII44" s="6"/>
      <c r="BIJ44" s="7"/>
      <c r="BIK44" s="8"/>
      <c r="BIL44" s="8"/>
      <c r="BIM44" s="6"/>
      <c r="BIN44" s="16"/>
      <c r="BIO44" s="16"/>
      <c r="BIP44" s="16"/>
      <c r="BIQ44" s="16"/>
      <c r="BIR44" s="65"/>
      <c r="BIS44" s="66"/>
      <c r="BIT44" s="67"/>
      <c r="BIU44" s="34"/>
      <c r="BIX44" s="5"/>
      <c r="BIY44" s="18"/>
      <c r="BIZ44" s="56"/>
      <c r="BJA44" s="57"/>
      <c r="BJB44" s="58"/>
      <c r="BJC44" s="59"/>
      <c r="BJD44" s="58"/>
      <c r="BJE44" s="59"/>
      <c r="BJF44" s="6"/>
      <c r="BJG44" s="7"/>
      <c r="BJH44" s="8"/>
      <c r="BJI44" s="8"/>
      <c r="BJJ44" s="6"/>
      <c r="BJK44" s="16"/>
      <c r="BJL44" s="16"/>
      <c r="BJM44" s="16"/>
      <c r="BJN44" s="16"/>
      <c r="BJO44" s="65"/>
      <c r="BJP44" s="66"/>
      <c r="BJQ44" s="67"/>
      <c r="BJR44" s="34"/>
      <c r="BJU44" s="5"/>
      <c r="BJV44" s="18"/>
      <c r="BJW44" s="56"/>
      <c r="BJX44" s="57"/>
      <c r="BJY44" s="58"/>
      <c r="BJZ44" s="59"/>
      <c r="BKA44" s="58"/>
      <c r="BKB44" s="59"/>
      <c r="BKC44" s="6"/>
      <c r="BKD44" s="7"/>
      <c r="BKE44" s="8"/>
      <c r="BKF44" s="8"/>
      <c r="BKG44" s="6"/>
      <c r="BKH44" s="16"/>
      <c r="BKI44" s="16"/>
      <c r="BKJ44" s="16"/>
      <c r="BKK44" s="16"/>
      <c r="BKL44" s="65"/>
      <c r="BKM44" s="66"/>
      <c r="BKN44" s="67"/>
      <c r="BKO44" s="34"/>
      <c r="BKR44" s="5"/>
      <c r="BKS44" s="18"/>
      <c r="BKT44" s="56"/>
      <c r="BKU44" s="57"/>
      <c r="BKV44" s="58"/>
      <c r="BKW44" s="59"/>
      <c r="BKX44" s="58"/>
      <c r="BKY44" s="59"/>
      <c r="BKZ44" s="6"/>
      <c r="BLA44" s="7"/>
      <c r="BLB44" s="8"/>
      <c r="BLC44" s="8"/>
      <c r="BLD44" s="6"/>
      <c r="BLE44" s="16"/>
      <c r="BLF44" s="16"/>
      <c r="BLG44" s="16"/>
      <c r="BLH44" s="16"/>
      <c r="BLI44" s="65"/>
      <c r="BLJ44" s="66"/>
      <c r="BLK44" s="67"/>
      <c r="BLL44" s="34"/>
      <c r="BLO44" s="5"/>
      <c r="BLP44" s="18"/>
      <c r="BLQ44" s="56"/>
      <c r="BLR44" s="57"/>
      <c r="BLS44" s="58"/>
      <c r="BLT44" s="59"/>
      <c r="BLU44" s="58"/>
      <c r="BLV44" s="59"/>
      <c r="BLW44" s="6"/>
      <c r="BLX44" s="7"/>
      <c r="BLY44" s="8"/>
      <c r="BLZ44" s="8"/>
      <c r="BMA44" s="6"/>
      <c r="BMB44" s="16"/>
      <c r="BMC44" s="16"/>
      <c r="BMD44" s="16"/>
      <c r="BME44" s="16"/>
      <c r="BMF44" s="65"/>
      <c r="BMG44" s="66"/>
      <c r="BMH44" s="67"/>
      <c r="BMI44" s="34"/>
      <c r="BML44" s="5"/>
      <c r="BMM44" s="18"/>
      <c r="BMN44" s="56"/>
      <c r="BMO44" s="57"/>
      <c r="BMP44" s="58"/>
      <c r="BMQ44" s="59"/>
      <c r="BMR44" s="58"/>
      <c r="BMS44" s="59"/>
      <c r="BMT44" s="6"/>
      <c r="BMU44" s="7"/>
      <c r="BMV44" s="8"/>
      <c r="BMW44" s="8"/>
      <c r="BMX44" s="6"/>
      <c r="BMY44" s="16"/>
      <c r="BMZ44" s="16"/>
      <c r="BNA44" s="16"/>
      <c r="BNB44" s="16"/>
      <c r="BNC44" s="65"/>
      <c r="BND44" s="66"/>
      <c r="BNE44" s="67"/>
      <c r="BNF44" s="34"/>
      <c r="BNI44" s="5"/>
      <c r="BNJ44" s="18"/>
      <c r="BNK44" s="56"/>
      <c r="BNL44" s="57"/>
      <c r="BNM44" s="58"/>
      <c r="BNN44" s="59"/>
      <c r="BNO44" s="58"/>
      <c r="BNP44" s="59"/>
      <c r="BNQ44" s="6"/>
      <c r="BNR44" s="7"/>
      <c r="BNS44" s="8"/>
      <c r="BNT44" s="8"/>
      <c r="BNU44" s="6"/>
      <c r="BNV44" s="16"/>
      <c r="BNW44" s="16"/>
      <c r="BNX44" s="16"/>
      <c r="BNY44" s="16"/>
      <c r="BNZ44" s="65"/>
      <c r="BOA44" s="66"/>
      <c r="BOB44" s="67"/>
      <c r="BOC44" s="34"/>
      <c r="BOF44" s="5"/>
      <c r="BOG44" s="18"/>
      <c r="BOH44" s="56"/>
      <c r="BOI44" s="57"/>
      <c r="BOJ44" s="58"/>
      <c r="BOK44" s="59"/>
      <c r="BOL44" s="58"/>
      <c r="BOM44" s="59"/>
      <c r="BON44" s="6"/>
      <c r="BOO44" s="7"/>
      <c r="BOP44" s="8"/>
      <c r="BOQ44" s="8"/>
      <c r="BOR44" s="6"/>
      <c r="BOS44" s="16"/>
      <c r="BOT44" s="16"/>
      <c r="BOU44" s="16"/>
      <c r="BOV44" s="16"/>
      <c r="BOW44" s="65"/>
      <c r="BOX44" s="66"/>
      <c r="BOY44" s="67"/>
      <c r="BOZ44" s="34"/>
      <c r="BPC44" s="5"/>
      <c r="BPD44" s="18"/>
      <c r="BPE44" s="56"/>
      <c r="BPF44" s="57"/>
      <c r="BPG44" s="58"/>
      <c r="BPH44" s="59"/>
      <c r="BPI44" s="58"/>
      <c r="BPJ44" s="59"/>
      <c r="BPK44" s="6"/>
      <c r="BPL44" s="7"/>
      <c r="BPM44" s="8"/>
      <c r="BPN44" s="8"/>
      <c r="BPO44" s="6"/>
      <c r="BPP44" s="16"/>
      <c r="BPQ44" s="16"/>
      <c r="BPR44" s="16"/>
      <c r="BPS44" s="16"/>
      <c r="BPT44" s="65"/>
      <c r="BPU44" s="66"/>
      <c r="BPV44" s="67"/>
      <c r="BPW44" s="34"/>
      <c r="BPZ44" s="5"/>
      <c r="BQA44" s="18"/>
      <c r="BQB44" s="56"/>
      <c r="BQC44" s="57"/>
      <c r="BQD44" s="58"/>
      <c r="BQE44" s="59"/>
      <c r="BQF44" s="58"/>
      <c r="BQG44" s="59"/>
      <c r="BQH44" s="6"/>
      <c r="BQI44" s="7"/>
      <c r="BQJ44" s="8"/>
      <c r="BQK44" s="8"/>
      <c r="BQL44" s="6"/>
      <c r="BQM44" s="16"/>
      <c r="BQN44" s="16"/>
      <c r="BQO44" s="16"/>
      <c r="BQP44" s="16"/>
      <c r="BQQ44" s="65"/>
      <c r="BQR44" s="66"/>
      <c r="BQS44" s="67"/>
      <c r="BQT44" s="34"/>
      <c r="BQW44" s="5"/>
      <c r="BQX44" s="18"/>
      <c r="BQY44" s="56"/>
      <c r="BQZ44" s="57"/>
      <c r="BRA44" s="58"/>
      <c r="BRB44" s="59"/>
      <c r="BRC44" s="58"/>
      <c r="BRD44" s="59"/>
      <c r="BRE44" s="6"/>
      <c r="BRF44" s="7"/>
      <c r="BRG44" s="8"/>
      <c r="BRH44" s="8"/>
      <c r="BRI44" s="6"/>
      <c r="BRJ44" s="16"/>
      <c r="BRK44" s="16"/>
      <c r="BRL44" s="16"/>
      <c r="BRM44" s="16"/>
      <c r="BRN44" s="65"/>
      <c r="BRO44" s="66"/>
      <c r="BRP44" s="67"/>
      <c r="BRQ44" s="34"/>
      <c r="BRT44" s="5"/>
      <c r="BRU44" s="18"/>
      <c r="BRV44" s="56"/>
      <c r="BRW44" s="57"/>
      <c r="BRX44" s="58"/>
      <c r="BRY44" s="59"/>
      <c r="BRZ44" s="58"/>
      <c r="BSA44" s="59"/>
      <c r="BSB44" s="6"/>
      <c r="BSC44" s="7"/>
      <c r="BSD44" s="8"/>
      <c r="BSE44" s="8"/>
      <c r="BSF44" s="6"/>
      <c r="BSG44" s="16"/>
      <c r="BSH44" s="16"/>
      <c r="BSI44" s="16"/>
      <c r="BSJ44" s="16"/>
      <c r="BSK44" s="65"/>
      <c r="BSL44" s="66"/>
      <c r="BSM44" s="67"/>
      <c r="BSN44" s="34"/>
      <c r="BSQ44" s="5"/>
      <c r="BSR44" s="18"/>
      <c r="BSS44" s="56"/>
      <c r="BST44" s="57"/>
      <c r="BSU44" s="58"/>
      <c r="BSV44" s="59"/>
      <c r="BSW44" s="58"/>
      <c r="BSX44" s="59"/>
      <c r="BSY44" s="6"/>
      <c r="BSZ44" s="7"/>
      <c r="BTA44" s="8"/>
      <c r="BTB44" s="8"/>
      <c r="BTC44" s="6"/>
      <c r="BTD44" s="16"/>
      <c r="BTE44" s="16"/>
      <c r="BTF44" s="16"/>
      <c r="BTG44" s="16"/>
      <c r="BTH44" s="65"/>
      <c r="BTI44" s="66"/>
      <c r="BTJ44" s="67"/>
      <c r="BTK44" s="34"/>
      <c r="BTN44" s="5"/>
      <c r="BTO44" s="18"/>
      <c r="BTP44" s="56"/>
      <c r="BTQ44" s="57"/>
      <c r="BTR44" s="58"/>
      <c r="BTS44" s="59"/>
      <c r="BTT44" s="58"/>
      <c r="BTU44" s="59"/>
      <c r="BTV44" s="6"/>
      <c r="BTW44" s="7"/>
      <c r="BTX44" s="8"/>
      <c r="BTY44" s="8"/>
      <c r="BTZ44" s="6"/>
      <c r="BUA44" s="16"/>
      <c r="BUB44" s="16"/>
      <c r="BUC44" s="16"/>
      <c r="BUD44" s="16"/>
      <c r="BUE44" s="65"/>
      <c r="BUF44" s="66"/>
      <c r="BUG44" s="67"/>
      <c r="BUH44" s="34"/>
      <c r="BUK44" s="5"/>
      <c r="BUL44" s="18"/>
      <c r="BUM44" s="56"/>
      <c r="BUN44" s="57"/>
      <c r="BUO44" s="58"/>
      <c r="BUP44" s="59"/>
      <c r="BUQ44" s="58"/>
      <c r="BUR44" s="59"/>
      <c r="BUS44" s="6"/>
      <c r="BUT44" s="7"/>
      <c r="BUU44" s="8"/>
      <c r="BUV44" s="8"/>
      <c r="BUW44" s="6"/>
      <c r="BUX44" s="16"/>
      <c r="BUY44" s="16"/>
      <c r="BUZ44" s="16"/>
      <c r="BVA44" s="16"/>
      <c r="BVB44" s="65"/>
      <c r="BVC44" s="66"/>
      <c r="BVD44" s="67"/>
      <c r="BVE44" s="34"/>
      <c r="BVH44" s="5"/>
      <c r="BVI44" s="18"/>
      <c r="BVJ44" s="56"/>
      <c r="BVK44" s="57"/>
      <c r="BVL44" s="58"/>
      <c r="BVM44" s="59"/>
      <c r="BVN44" s="58"/>
      <c r="BVO44" s="59"/>
      <c r="BVP44" s="6"/>
      <c r="BVQ44" s="7"/>
      <c r="BVR44" s="8"/>
      <c r="BVS44" s="8"/>
      <c r="BVT44" s="6"/>
      <c r="BVU44" s="16"/>
      <c r="BVV44" s="16"/>
      <c r="BVW44" s="16"/>
      <c r="BVX44" s="16"/>
      <c r="BVY44" s="65"/>
      <c r="BVZ44" s="66"/>
      <c r="BWA44" s="67"/>
      <c r="BWB44" s="34"/>
      <c r="BWE44" s="5"/>
      <c r="BWF44" s="18"/>
      <c r="BWG44" s="56"/>
      <c r="BWH44" s="57"/>
      <c r="BWI44" s="58"/>
      <c r="BWJ44" s="59"/>
      <c r="BWK44" s="58"/>
      <c r="BWL44" s="59"/>
      <c r="BWM44" s="6"/>
      <c r="BWN44" s="7"/>
      <c r="BWO44" s="8"/>
      <c r="BWP44" s="8"/>
      <c r="BWQ44" s="6"/>
      <c r="BWR44" s="16"/>
      <c r="BWS44" s="16"/>
      <c r="BWT44" s="16"/>
      <c r="BWU44" s="16"/>
      <c r="BWV44" s="65"/>
      <c r="BWW44" s="66"/>
      <c r="BWX44" s="67"/>
      <c r="BWY44" s="34"/>
      <c r="BXB44" s="5"/>
      <c r="BXC44" s="18"/>
      <c r="BXD44" s="56"/>
      <c r="BXE44" s="57"/>
      <c r="BXF44" s="58"/>
      <c r="BXG44" s="59"/>
      <c r="BXH44" s="58"/>
      <c r="BXI44" s="59"/>
      <c r="BXJ44" s="6"/>
      <c r="BXK44" s="7"/>
      <c r="BXL44" s="8"/>
      <c r="BXM44" s="8"/>
      <c r="BXN44" s="6"/>
      <c r="BXO44" s="16"/>
      <c r="BXP44" s="16"/>
      <c r="BXQ44" s="16"/>
      <c r="BXR44" s="16"/>
      <c r="BXS44" s="65"/>
      <c r="BXT44" s="66"/>
      <c r="BXU44" s="67"/>
      <c r="BXV44" s="34"/>
      <c r="BXY44" s="5"/>
      <c r="BXZ44" s="18"/>
      <c r="BYA44" s="56"/>
      <c r="BYB44" s="57"/>
      <c r="BYC44" s="58"/>
      <c r="BYD44" s="59"/>
      <c r="BYE44" s="58"/>
      <c r="BYF44" s="59"/>
      <c r="BYG44" s="6"/>
      <c r="BYH44" s="7"/>
      <c r="BYI44" s="8"/>
      <c r="BYJ44" s="8"/>
      <c r="BYK44" s="6"/>
      <c r="BYL44" s="16"/>
      <c r="BYM44" s="16"/>
      <c r="BYN44" s="16"/>
      <c r="BYO44" s="16"/>
      <c r="BYP44" s="65"/>
      <c r="BYQ44" s="66"/>
      <c r="BYR44" s="67"/>
      <c r="BYS44" s="34"/>
      <c r="BYV44" s="5"/>
      <c r="BYW44" s="18"/>
      <c r="BYX44" s="56"/>
      <c r="BYY44" s="57"/>
      <c r="BYZ44" s="58"/>
      <c r="BZA44" s="59"/>
      <c r="BZB44" s="58"/>
      <c r="BZC44" s="59"/>
      <c r="BZD44" s="6"/>
      <c r="BZE44" s="7"/>
      <c r="BZF44" s="8"/>
      <c r="BZG44" s="8"/>
      <c r="BZH44" s="6"/>
      <c r="BZI44" s="16"/>
      <c r="BZJ44" s="16"/>
      <c r="BZK44" s="16"/>
      <c r="BZL44" s="16"/>
      <c r="BZM44" s="65"/>
      <c r="BZN44" s="66"/>
      <c r="BZO44" s="67"/>
      <c r="BZP44" s="34"/>
      <c r="BZS44" s="5"/>
      <c r="BZT44" s="18"/>
      <c r="BZU44" s="56"/>
      <c r="BZV44" s="57"/>
      <c r="BZW44" s="58"/>
      <c r="BZX44" s="59"/>
      <c r="BZY44" s="58"/>
      <c r="BZZ44" s="59"/>
      <c r="CAA44" s="6"/>
      <c r="CAB44" s="7"/>
      <c r="CAC44" s="8"/>
      <c r="CAD44" s="8"/>
      <c r="CAE44" s="6"/>
      <c r="CAF44" s="16"/>
      <c r="CAG44" s="16"/>
      <c r="CAH44" s="16"/>
      <c r="CAI44" s="16"/>
      <c r="CAJ44" s="65"/>
      <c r="CAK44" s="66"/>
      <c r="CAL44" s="67"/>
      <c r="CAM44" s="34"/>
      <c r="CAP44" s="5"/>
      <c r="CAQ44" s="18"/>
      <c r="CAR44" s="56"/>
      <c r="CAS44" s="57"/>
      <c r="CAT44" s="58"/>
      <c r="CAU44" s="59"/>
      <c r="CAV44" s="58"/>
      <c r="CAW44" s="59"/>
      <c r="CAX44" s="6"/>
      <c r="CAY44" s="7"/>
      <c r="CAZ44" s="8"/>
      <c r="CBA44" s="8"/>
      <c r="CBB44" s="6"/>
      <c r="CBC44" s="16"/>
      <c r="CBD44" s="16"/>
      <c r="CBE44" s="16"/>
      <c r="CBF44" s="16"/>
      <c r="CBG44" s="65"/>
      <c r="CBH44" s="66"/>
      <c r="CBI44" s="67"/>
      <c r="CBJ44" s="34"/>
      <c r="CBM44" s="5"/>
      <c r="CBN44" s="18"/>
      <c r="CBO44" s="56"/>
      <c r="CBP44" s="57"/>
      <c r="CBQ44" s="58"/>
      <c r="CBR44" s="59"/>
      <c r="CBS44" s="58"/>
      <c r="CBT44" s="59"/>
      <c r="CBU44" s="6"/>
      <c r="CBV44" s="7"/>
      <c r="CBW44" s="8"/>
      <c r="CBX44" s="8"/>
      <c r="CBY44" s="6"/>
      <c r="CBZ44" s="16"/>
      <c r="CCA44" s="16"/>
      <c r="CCB44" s="16"/>
      <c r="CCC44" s="16"/>
      <c r="CCD44" s="65"/>
      <c r="CCE44" s="66"/>
      <c r="CCF44" s="67"/>
      <c r="CCG44" s="34"/>
      <c r="CCJ44" s="5"/>
      <c r="CCK44" s="18"/>
      <c r="CCL44" s="56"/>
      <c r="CCM44" s="57"/>
      <c r="CCN44" s="58"/>
      <c r="CCO44" s="59"/>
      <c r="CCP44" s="58"/>
      <c r="CCQ44" s="59"/>
      <c r="CCR44" s="6"/>
      <c r="CCS44" s="7"/>
      <c r="CCT44" s="8"/>
      <c r="CCU44" s="8"/>
      <c r="CCV44" s="6"/>
      <c r="CCW44" s="16"/>
      <c r="CCX44" s="16"/>
      <c r="CCY44" s="16"/>
      <c r="CCZ44" s="16"/>
      <c r="CDA44" s="65"/>
      <c r="CDB44" s="66"/>
      <c r="CDC44" s="67"/>
      <c r="CDD44" s="34"/>
      <c r="CDG44" s="5"/>
      <c r="CDH44" s="18"/>
      <c r="CDI44" s="56"/>
      <c r="CDJ44" s="57"/>
      <c r="CDK44" s="58"/>
      <c r="CDL44" s="59"/>
      <c r="CDM44" s="58"/>
      <c r="CDN44" s="59"/>
      <c r="CDO44" s="6"/>
      <c r="CDP44" s="7"/>
      <c r="CDQ44" s="8"/>
      <c r="CDR44" s="8"/>
      <c r="CDS44" s="6"/>
      <c r="CDT44" s="16"/>
      <c r="CDU44" s="16"/>
      <c r="CDV44" s="16"/>
      <c r="CDW44" s="16"/>
      <c r="CDX44" s="65"/>
      <c r="CDY44" s="66"/>
      <c r="CDZ44" s="67"/>
      <c r="CEA44" s="34"/>
      <c r="CED44" s="5"/>
      <c r="CEE44" s="18"/>
      <c r="CEF44" s="56"/>
      <c r="CEG44" s="57"/>
      <c r="CEH44" s="58"/>
      <c r="CEI44" s="59"/>
      <c r="CEJ44" s="58"/>
      <c r="CEK44" s="59"/>
      <c r="CEL44" s="6"/>
      <c r="CEM44" s="7"/>
      <c r="CEN44" s="8"/>
      <c r="CEO44" s="8"/>
      <c r="CEP44" s="6"/>
      <c r="CEQ44" s="16"/>
      <c r="CER44" s="16"/>
      <c r="CES44" s="16"/>
      <c r="CET44" s="16"/>
      <c r="CEU44" s="65"/>
      <c r="CEV44" s="66"/>
      <c r="CEW44" s="67"/>
      <c r="CEX44" s="34"/>
      <c r="CFA44" s="5"/>
      <c r="CFB44" s="18"/>
      <c r="CFC44" s="56"/>
      <c r="CFD44" s="57"/>
      <c r="CFE44" s="58"/>
      <c r="CFF44" s="59"/>
      <c r="CFG44" s="58"/>
      <c r="CFH44" s="59"/>
      <c r="CFI44" s="6"/>
      <c r="CFJ44" s="7"/>
      <c r="CFK44" s="8"/>
      <c r="CFL44" s="8"/>
      <c r="CFM44" s="6"/>
      <c r="CFN44" s="16"/>
      <c r="CFO44" s="16"/>
      <c r="CFP44" s="16"/>
      <c r="CFQ44" s="16"/>
      <c r="CFR44" s="65"/>
      <c r="CFS44" s="66"/>
      <c r="CFT44" s="67"/>
      <c r="CFU44" s="34"/>
      <c r="CFX44" s="5"/>
      <c r="CFY44" s="18"/>
      <c r="CFZ44" s="56"/>
      <c r="CGA44" s="57"/>
      <c r="CGB44" s="58"/>
      <c r="CGC44" s="59"/>
      <c r="CGD44" s="58"/>
      <c r="CGE44" s="59"/>
      <c r="CGF44" s="6"/>
      <c r="CGG44" s="7"/>
      <c r="CGH44" s="8"/>
      <c r="CGI44" s="8"/>
      <c r="CGJ44" s="6"/>
      <c r="CGK44" s="16"/>
      <c r="CGL44" s="16"/>
      <c r="CGM44" s="16"/>
      <c r="CGN44" s="16"/>
      <c r="CGO44" s="65"/>
      <c r="CGP44" s="66"/>
      <c r="CGQ44" s="67"/>
      <c r="CGR44" s="34"/>
      <c r="CGU44" s="5"/>
      <c r="CGV44" s="18"/>
      <c r="CGW44" s="56"/>
      <c r="CGX44" s="57"/>
      <c r="CGY44" s="58"/>
      <c r="CGZ44" s="59"/>
      <c r="CHA44" s="58"/>
      <c r="CHB44" s="59"/>
      <c r="CHC44" s="6"/>
      <c r="CHD44" s="7"/>
      <c r="CHE44" s="8"/>
      <c r="CHF44" s="8"/>
      <c r="CHG44" s="6"/>
      <c r="CHH44" s="16"/>
      <c r="CHI44" s="16"/>
      <c r="CHJ44" s="16"/>
      <c r="CHK44" s="16"/>
      <c r="CHL44" s="65"/>
      <c r="CHM44" s="66"/>
      <c r="CHN44" s="67"/>
      <c r="CHO44" s="34"/>
      <c r="CHR44" s="5"/>
      <c r="CHS44" s="18"/>
      <c r="CHT44" s="56"/>
      <c r="CHU44" s="57"/>
      <c r="CHV44" s="58"/>
      <c r="CHW44" s="59"/>
      <c r="CHX44" s="58"/>
      <c r="CHY44" s="59"/>
      <c r="CHZ44" s="6"/>
      <c r="CIA44" s="7"/>
      <c r="CIB44" s="8"/>
      <c r="CIC44" s="8"/>
      <c r="CID44" s="6"/>
      <c r="CIE44" s="16"/>
      <c r="CIF44" s="16"/>
      <c r="CIG44" s="16"/>
      <c r="CIH44" s="16"/>
      <c r="CII44" s="65"/>
      <c r="CIJ44" s="66"/>
      <c r="CIK44" s="67"/>
      <c r="CIL44" s="34"/>
      <c r="CIO44" s="5"/>
      <c r="CIP44" s="18"/>
      <c r="CIQ44" s="56"/>
      <c r="CIR44" s="57"/>
      <c r="CIS44" s="58"/>
      <c r="CIT44" s="59"/>
      <c r="CIU44" s="58"/>
      <c r="CIV44" s="59"/>
      <c r="CIW44" s="6"/>
      <c r="CIX44" s="7"/>
      <c r="CIY44" s="8"/>
      <c r="CIZ44" s="8"/>
      <c r="CJA44" s="6"/>
      <c r="CJB44" s="16"/>
      <c r="CJC44" s="16"/>
      <c r="CJD44" s="16"/>
      <c r="CJE44" s="16"/>
      <c r="CJF44" s="65"/>
      <c r="CJG44" s="66"/>
      <c r="CJH44" s="67"/>
      <c r="CJI44" s="34"/>
      <c r="CJL44" s="5"/>
      <c r="CJM44" s="18"/>
      <c r="CJN44" s="56"/>
      <c r="CJO44" s="57"/>
      <c r="CJP44" s="58"/>
      <c r="CJQ44" s="59"/>
      <c r="CJR44" s="58"/>
      <c r="CJS44" s="59"/>
      <c r="CJT44" s="6"/>
      <c r="CJU44" s="7"/>
      <c r="CJV44" s="8"/>
      <c r="CJW44" s="8"/>
      <c r="CJX44" s="6"/>
      <c r="CJY44" s="16"/>
      <c r="CJZ44" s="16"/>
      <c r="CKA44" s="16"/>
      <c r="CKB44" s="16"/>
      <c r="CKC44" s="65"/>
      <c r="CKD44" s="66"/>
      <c r="CKE44" s="67"/>
      <c r="CKF44" s="34"/>
      <c r="CKI44" s="5"/>
      <c r="CKJ44" s="18"/>
      <c r="CKK44" s="56"/>
      <c r="CKL44" s="57"/>
      <c r="CKM44" s="58"/>
      <c r="CKN44" s="59"/>
      <c r="CKO44" s="58"/>
      <c r="CKP44" s="59"/>
      <c r="CKQ44" s="6"/>
      <c r="CKR44" s="7"/>
      <c r="CKS44" s="8"/>
      <c r="CKT44" s="8"/>
      <c r="CKU44" s="6"/>
      <c r="CKV44" s="16"/>
      <c r="CKW44" s="16"/>
      <c r="CKX44" s="16"/>
      <c r="CKY44" s="16"/>
      <c r="CKZ44" s="65"/>
      <c r="CLA44" s="66"/>
      <c r="CLB44" s="67"/>
      <c r="CLC44" s="34"/>
      <c r="CLF44" s="5"/>
      <c r="CLG44" s="18"/>
      <c r="CLH44" s="56"/>
      <c r="CLI44" s="57"/>
      <c r="CLJ44" s="58"/>
      <c r="CLK44" s="59"/>
      <c r="CLL44" s="58"/>
      <c r="CLM44" s="59"/>
      <c r="CLN44" s="6"/>
      <c r="CLO44" s="7"/>
      <c r="CLP44" s="8"/>
      <c r="CLQ44" s="8"/>
      <c r="CLR44" s="6"/>
      <c r="CLS44" s="16"/>
      <c r="CLT44" s="16"/>
      <c r="CLU44" s="16"/>
      <c r="CLV44" s="16"/>
      <c r="CLW44" s="65"/>
      <c r="CLX44" s="66"/>
      <c r="CLY44" s="67"/>
      <c r="CLZ44" s="34"/>
      <c r="CMC44" s="5"/>
      <c r="CMD44" s="18"/>
      <c r="CME44" s="56"/>
      <c r="CMF44" s="57"/>
      <c r="CMG44" s="58"/>
      <c r="CMH44" s="59"/>
      <c r="CMI44" s="58"/>
      <c r="CMJ44" s="59"/>
      <c r="CMK44" s="6"/>
      <c r="CML44" s="7"/>
      <c r="CMM44" s="8"/>
      <c r="CMN44" s="8"/>
      <c r="CMO44" s="6"/>
      <c r="CMP44" s="16"/>
      <c r="CMQ44" s="16"/>
      <c r="CMR44" s="16"/>
      <c r="CMS44" s="16"/>
      <c r="CMT44" s="65"/>
      <c r="CMU44" s="66"/>
      <c r="CMV44" s="67"/>
      <c r="CMW44" s="34"/>
      <c r="CMZ44" s="5"/>
      <c r="CNA44" s="18"/>
      <c r="CNB44" s="56"/>
      <c r="CNC44" s="57"/>
      <c r="CND44" s="58"/>
      <c r="CNE44" s="59"/>
      <c r="CNF44" s="58"/>
      <c r="CNG44" s="59"/>
      <c r="CNH44" s="6"/>
      <c r="CNI44" s="7"/>
      <c r="CNJ44" s="8"/>
      <c r="CNK44" s="8"/>
      <c r="CNL44" s="6"/>
      <c r="CNM44" s="16"/>
      <c r="CNN44" s="16"/>
      <c r="CNO44" s="16"/>
      <c r="CNP44" s="16"/>
      <c r="CNQ44" s="65"/>
      <c r="CNR44" s="66"/>
      <c r="CNS44" s="67"/>
      <c r="CNT44" s="34"/>
      <c r="CNW44" s="5"/>
      <c r="CNX44" s="18"/>
      <c r="CNY44" s="56"/>
      <c r="CNZ44" s="57"/>
      <c r="COA44" s="58"/>
      <c r="COB44" s="59"/>
      <c r="COC44" s="58"/>
      <c r="COD44" s="59"/>
      <c r="COE44" s="6"/>
      <c r="COF44" s="7"/>
      <c r="COG44" s="8"/>
      <c r="COH44" s="8"/>
      <c r="COI44" s="6"/>
      <c r="COJ44" s="16"/>
      <c r="COK44" s="16"/>
      <c r="COL44" s="16"/>
      <c r="COM44" s="16"/>
      <c r="CON44" s="65"/>
      <c r="COO44" s="66"/>
      <c r="COP44" s="67"/>
      <c r="COQ44" s="34"/>
      <c r="COT44" s="5"/>
      <c r="COU44" s="18"/>
      <c r="COV44" s="56"/>
      <c r="COW44" s="57"/>
      <c r="COX44" s="58"/>
      <c r="COY44" s="59"/>
      <c r="COZ44" s="58"/>
      <c r="CPA44" s="59"/>
      <c r="CPB44" s="6"/>
      <c r="CPC44" s="7"/>
      <c r="CPD44" s="8"/>
      <c r="CPE44" s="8"/>
      <c r="CPF44" s="6"/>
      <c r="CPG44" s="16"/>
      <c r="CPH44" s="16"/>
      <c r="CPI44" s="16"/>
      <c r="CPJ44" s="16"/>
      <c r="CPK44" s="65"/>
      <c r="CPL44" s="66"/>
      <c r="CPM44" s="67"/>
      <c r="CPN44" s="34"/>
      <c r="CPQ44" s="5"/>
      <c r="CPR44" s="18"/>
      <c r="CPS44" s="56"/>
      <c r="CPT44" s="57"/>
      <c r="CPU44" s="58"/>
      <c r="CPV44" s="59"/>
      <c r="CPW44" s="58"/>
      <c r="CPX44" s="59"/>
      <c r="CPY44" s="6"/>
      <c r="CPZ44" s="7"/>
      <c r="CQA44" s="8"/>
      <c r="CQB44" s="8"/>
      <c r="CQC44" s="6"/>
      <c r="CQD44" s="16"/>
      <c r="CQE44" s="16"/>
      <c r="CQF44" s="16"/>
      <c r="CQG44" s="16"/>
      <c r="CQH44" s="65"/>
      <c r="CQI44" s="66"/>
      <c r="CQJ44" s="67"/>
      <c r="CQK44" s="34"/>
      <c r="CQN44" s="5"/>
      <c r="CQO44" s="18"/>
      <c r="CQP44" s="56"/>
      <c r="CQQ44" s="57"/>
      <c r="CQR44" s="58"/>
      <c r="CQS44" s="59"/>
      <c r="CQT44" s="58"/>
      <c r="CQU44" s="59"/>
      <c r="CQV44" s="6"/>
      <c r="CQW44" s="7"/>
      <c r="CQX44" s="8"/>
      <c r="CQY44" s="8"/>
      <c r="CQZ44" s="6"/>
      <c r="CRA44" s="16"/>
      <c r="CRB44" s="16"/>
      <c r="CRC44" s="16"/>
      <c r="CRD44" s="16"/>
      <c r="CRE44" s="65"/>
      <c r="CRF44" s="66"/>
      <c r="CRG44" s="67"/>
      <c r="CRH44" s="34"/>
      <c r="CRK44" s="5"/>
      <c r="CRL44" s="18"/>
      <c r="CRM44" s="56"/>
      <c r="CRN44" s="57"/>
      <c r="CRO44" s="58"/>
      <c r="CRP44" s="59"/>
      <c r="CRQ44" s="58"/>
      <c r="CRR44" s="59"/>
      <c r="CRS44" s="6"/>
      <c r="CRT44" s="7"/>
      <c r="CRU44" s="8"/>
      <c r="CRV44" s="8"/>
      <c r="CRW44" s="6"/>
      <c r="CRX44" s="16"/>
      <c r="CRY44" s="16"/>
      <c r="CRZ44" s="16"/>
      <c r="CSA44" s="16"/>
      <c r="CSB44" s="65"/>
      <c r="CSC44" s="66"/>
      <c r="CSD44" s="67"/>
      <c r="CSE44" s="34"/>
      <c r="CSH44" s="5"/>
      <c r="CSI44" s="18"/>
      <c r="CSJ44" s="56"/>
      <c r="CSK44" s="57"/>
      <c r="CSL44" s="58"/>
      <c r="CSM44" s="59"/>
      <c r="CSN44" s="58"/>
      <c r="CSO44" s="59"/>
      <c r="CSP44" s="6"/>
      <c r="CSQ44" s="7"/>
      <c r="CSR44" s="8"/>
      <c r="CSS44" s="8"/>
      <c r="CST44" s="6"/>
      <c r="CSU44" s="16"/>
      <c r="CSV44" s="16"/>
      <c r="CSW44" s="16"/>
      <c r="CSX44" s="16"/>
      <c r="CSY44" s="65"/>
      <c r="CSZ44" s="66"/>
      <c r="CTA44" s="67"/>
      <c r="CTB44" s="34"/>
      <c r="CTE44" s="5"/>
      <c r="CTF44" s="18"/>
      <c r="CTG44" s="56"/>
      <c r="CTH44" s="57"/>
      <c r="CTI44" s="58"/>
      <c r="CTJ44" s="59"/>
      <c r="CTK44" s="58"/>
      <c r="CTL44" s="59"/>
      <c r="CTM44" s="6"/>
      <c r="CTN44" s="7"/>
      <c r="CTO44" s="8"/>
      <c r="CTP44" s="8"/>
      <c r="CTQ44" s="6"/>
      <c r="CTR44" s="16"/>
      <c r="CTS44" s="16"/>
      <c r="CTT44" s="16"/>
      <c r="CTU44" s="16"/>
      <c r="CTV44" s="65"/>
      <c r="CTW44" s="66"/>
      <c r="CTX44" s="67"/>
      <c r="CTY44" s="34"/>
      <c r="CUB44" s="5"/>
      <c r="CUC44" s="18"/>
      <c r="CUD44" s="56"/>
      <c r="CUE44" s="57"/>
      <c r="CUF44" s="58"/>
      <c r="CUG44" s="59"/>
      <c r="CUH44" s="58"/>
      <c r="CUI44" s="59"/>
      <c r="CUJ44" s="6"/>
      <c r="CUK44" s="7"/>
      <c r="CUL44" s="8"/>
      <c r="CUM44" s="8"/>
      <c r="CUN44" s="6"/>
      <c r="CUO44" s="16"/>
      <c r="CUP44" s="16"/>
      <c r="CUQ44" s="16"/>
      <c r="CUR44" s="16"/>
      <c r="CUS44" s="65"/>
      <c r="CUT44" s="66"/>
      <c r="CUU44" s="67"/>
      <c r="CUV44" s="34"/>
      <c r="CUY44" s="5"/>
      <c r="CUZ44" s="18"/>
      <c r="CVA44" s="56"/>
      <c r="CVB44" s="57"/>
      <c r="CVC44" s="58"/>
      <c r="CVD44" s="59"/>
      <c r="CVE44" s="58"/>
      <c r="CVF44" s="59"/>
      <c r="CVG44" s="6"/>
      <c r="CVH44" s="7"/>
      <c r="CVI44" s="8"/>
      <c r="CVJ44" s="8"/>
      <c r="CVK44" s="6"/>
      <c r="CVL44" s="16"/>
      <c r="CVM44" s="16"/>
      <c r="CVN44" s="16"/>
      <c r="CVO44" s="16"/>
      <c r="CVP44" s="65"/>
      <c r="CVQ44" s="66"/>
      <c r="CVR44" s="67"/>
      <c r="CVS44" s="34"/>
      <c r="CVV44" s="5"/>
      <c r="CVW44" s="18"/>
      <c r="CVX44" s="56"/>
      <c r="CVY44" s="57"/>
      <c r="CVZ44" s="58"/>
      <c r="CWA44" s="59"/>
      <c r="CWB44" s="58"/>
      <c r="CWC44" s="59"/>
      <c r="CWD44" s="6"/>
      <c r="CWE44" s="7"/>
      <c r="CWF44" s="8"/>
      <c r="CWG44" s="8"/>
      <c r="CWH44" s="6"/>
      <c r="CWI44" s="16"/>
      <c r="CWJ44" s="16"/>
      <c r="CWK44" s="16"/>
      <c r="CWL44" s="16"/>
      <c r="CWM44" s="65"/>
      <c r="CWN44" s="66"/>
      <c r="CWO44" s="67"/>
      <c r="CWP44" s="34"/>
      <c r="CWS44" s="5"/>
      <c r="CWT44" s="18"/>
      <c r="CWU44" s="56"/>
      <c r="CWV44" s="57"/>
      <c r="CWW44" s="58"/>
      <c r="CWX44" s="59"/>
      <c r="CWY44" s="58"/>
      <c r="CWZ44" s="59"/>
      <c r="CXA44" s="6"/>
      <c r="CXB44" s="7"/>
      <c r="CXC44" s="8"/>
      <c r="CXD44" s="8"/>
      <c r="CXE44" s="6"/>
      <c r="CXF44" s="16"/>
      <c r="CXG44" s="16"/>
      <c r="CXH44" s="16"/>
      <c r="CXI44" s="16"/>
      <c r="CXJ44" s="65"/>
      <c r="CXK44" s="66"/>
      <c r="CXL44" s="67"/>
      <c r="CXM44" s="34"/>
      <c r="CXP44" s="5"/>
      <c r="CXQ44" s="18"/>
      <c r="CXR44" s="56"/>
      <c r="CXS44" s="57"/>
      <c r="CXT44" s="58"/>
      <c r="CXU44" s="59"/>
      <c r="CXV44" s="58"/>
      <c r="CXW44" s="59"/>
      <c r="CXX44" s="6"/>
      <c r="CXY44" s="7"/>
      <c r="CXZ44" s="8"/>
      <c r="CYA44" s="8"/>
      <c r="CYB44" s="6"/>
      <c r="CYC44" s="16"/>
      <c r="CYD44" s="16"/>
      <c r="CYE44" s="16"/>
      <c r="CYF44" s="16"/>
      <c r="CYG44" s="65"/>
      <c r="CYH44" s="66"/>
      <c r="CYI44" s="67"/>
      <c r="CYJ44" s="34"/>
      <c r="CYM44" s="5"/>
      <c r="CYN44" s="18"/>
      <c r="CYO44" s="56"/>
      <c r="CYP44" s="57"/>
      <c r="CYQ44" s="58"/>
      <c r="CYR44" s="59"/>
      <c r="CYS44" s="58"/>
      <c r="CYT44" s="59"/>
      <c r="CYU44" s="6"/>
      <c r="CYV44" s="7"/>
      <c r="CYW44" s="8"/>
      <c r="CYX44" s="8"/>
      <c r="CYY44" s="6"/>
      <c r="CYZ44" s="16"/>
      <c r="CZA44" s="16"/>
      <c r="CZB44" s="16"/>
      <c r="CZC44" s="16"/>
      <c r="CZD44" s="65"/>
      <c r="CZE44" s="66"/>
      <c r="CZF44" s="67"/>
      <c r="CZG44" s="34"/>
      <c r="CZJ44" s="5"/>
      <c r="CZK44" s="18"/>
      <c r="CZL44" s="56"/>
      <c r="CZM44" s="57"/>
      <c r="CZN44" s="58"/>
      <c r="CZO44" s="59"/>
      <c r="CZP44" s="58"/>
      <c r="CZQ44" s="59"/>
      <c r="CZR44" s="6"/>
      <c r="CZS44" s="7"/>
      <c r="CZT44" s="8"/>
      <c r="CZU44" s="8"/>
      <c r="CZV44" s="6"/>
      <c r="CZW44" s="16"/>
      <c r="CZX44" s="16"/>
      <c r="CZY44" s="16"/>
      <c r="CZZ44" s="16"/>
      <c r="DAA44" s="65"/>
      <c r="DAB44" s="66"/>
      <c r="DAC44" s="67"/>
      <c r="DAD44" s="34"/>
      <c r="DAG44" s="5"/>
      <c r="DAH44" s="18"/>
      <c r="DAI44" s="56"/>
      <c r="DAJ44" s="57"/>
      <c r="DAK44" s="58"/>
      <c r="DAL44" s="59"/>
      <c r="DAM44" s="58"/>
      <c r="DAN44" s="59"/>
      <c r="DAO44" s="6"/>
      <c r="DAP44" s="7"/>
      <c r="DAQ44" s="8"/>
      <c r="DAR44" s="8"/>
      <c r="DAS44" s="6"/>
      <c r="DAT44" s="16"/>
      <c r="DAU44" s="16"/>
      <c r="DAV44" s="16"/>
      <c r="DAW44" s="16"/>
      <c r="DAX44" s="65"/>
      <c r="DAY44" s="66"/>
      <c r="DAZ44" s="67"/>
      <c r="DBA44" s="34"/>
      <c r="DBD44" s="5"/>
      <c r="DBE44" s="18"/>
      <c r="DBF44" s="56"/>
      <c r="DBG44" s="57"/>
      <c r="DBH44" s="58"/>
      <c r="DBI44" s="59"/>
      <c r="DBJ44" s="58"/>
      <c r="DBK44" s="59"/>
      <c r="DBL44" s="6"/>
      <c r="DBM44" s="7"/>
      <c r="DBN44" s="8"/>
      <c r="DBO44" s="8"/>
      <c r="DBP44" s="6"/>
      <c r="DBQ44" s="16"/>
      <c r="DBR44" s="16"/>
      <c r="DBS44" s="16"/>
      <c r="DBT44" s="16"/>
      <c r="DBU44" s="65"/>
      <c r="DBV44" s="66"/>
      <c r="DBW44" s="67"/>
      <c r="DBX44" s="34"/>
      <c r="DCA44" s="5"/>
      <c r="DCB44" s="18"/>
      <c r="DCC44" s="56"/>
      <c r="DCD44" s="57"/>
      <c r="DCE44" s="58"/>
      <c r="DCF44" s="59"/>
      <c r="DCG44" s="58"/>
      <c r="DCH44" s="59"/>
      <c r="DCI44" s="6"/>
      <c r="DCJ44" s="7"/>
      <c r="DCK44" s="8"/>
      <c r="DCL44" s="8"/>
      <c r="DCM44" s="6"/>
      <c r="DCN44" s="16"/>
      <c r="DCO44" s="16"/>
      <c r="DCP44" s="16"/>
      <c r="DCQ44" s="16"/>
      <c r="DCR44" s="65"/>
      <c r="DCS44" s="66"/>
      <c r="DCT44" s="67"/>
      <c r="DCU44" s="34"/>
      <c r="DCX44" s="5"/>
      <c r="DCY44" s="18"/>
      <c r="DCZ44" s="56"/>
      <c r="DDA44" s="57"/>
      <c r="DDB44" s="58"/>
      <c r="DDC44" s="59"/>
      <c r="DDD44" s="58"/>
      <c r="DDE44" s="59"/>
      <c r="DDF44" s="6"/>
      <c r="DDG44" s="7"/>
      <c r="DDH44" s="8"/>
      <c r="DDI44" s="8"/>
      <c r="DDJ44" s="6"/>
      <c r="DDK44" s="16"/>
      <c r="DDL44" s="16"/>
      <c r="DDM44" s="16"/>
      <c r="DDN44" s="16"/>
      <c r="DDO44" s="65"/>
      <c r="DDP44" s="66"/>
      <c r="DDQ44" s="67"/>
      <c r="DDR44" s="34"/>
      <c r="DDU44" s="5"/>
      <c r="DDV44" s="18"/>
      <c r="DDW44" s="56"/>
      <c r="DDX44" s="57"/>
      <c r="DDY44" s="58"/>
      <c r="DDZ44" s="59"/>
      <c r="DEA44" s="58"/>
      <c r="DEB44" s="59"/>
      <c r="DEC44" s="6"/>
      <c r="DED44" s="7"/>
      <c r="DEE44" s="8"/>
      <c r="DEF44" s="8"/>
      <c r="DEG44" s="6"/>
      <c r="DEH44" s="16"/>
      <c r="DEI44" s="16"/>
      <c r="DEJ44" s="16"/>
      <c r="DEK44" s="16"/>
      <c r="DEL44" s="65"/>
      <c r="DEM44" s="66"/>
      <c r="DEN44" s="67"/>
      <c r="DEO44" s="34"/>
      <c r="DER44" s="5"/>
      <c r="DES44" s="18"/>
      <c r="DET44" s="56"/>
      <c r="DEU44" s="57"/>
      <c r="DEV44" s="58"/>
      <c r="DEW44" s="59"/>
      <c r="DEX44" s="58"/>
      <c r="DEY44" s="59"/>
      <c r="DEZ44" s="6"/>
      <c r="DFA44" s="7"/>
      <c r="DFB44" s="8"/>
      <c r="DFC44" s="8"/>
      <c r="DFD44" s="6"/>
      <c r="DFE44" s="16"/>
      <c r="DFF44" s="16"/>
      <c r="DFG44" s="16"/>
      <c r="DFH44" s="16"/>
      <c r="DFI44" s="65"/>
      <c r="DFJ44" s="66"/>
      <c r="DFK44" s="67"/>
      <c r="DFL44" s="34"/>
      <c r="DFO44" s="5"/>
      <c r="DFP44" s="18"/>
      <c r="DFQ44" s="56"/>
      <c r="DFR44" s="57"/>
      <c r="DFS44" s="58"/>
      <c r="DFT44" s="59"/>
      <c r="DFU44" s="58"/>
      <c r="DFV44" s="59"/>
      <c r="DFW44" s="6"/>
      <c r="DFX44" s="7"/>
      <c r="DFY44" s="8"/>
      <c r="DFZ44" s="8"/>
      <c r="DGA44" s="6"/>
      <c r="DGB44" s="16"/>
      <c r="DGC44" s="16"/>
      <c r="DGD44" s="16"/>
      <c r="DGE44" s="16"/>
      <c r="DGF44" s="65"/>
      <c r="DGG44" s="66"/>
      <c r="DGH44" s="67"/>
      <c r="DGI44" s="34"/>
      <c r="DGL44" s="5"/>
      <c r="DGM44" s="18"/>
      <c r="DGN44" s="56"/>
      <c r="DGO44" s="57"/>
      <c r="DGP44" s="58"/>
      <c r="DGQ44" s="59"/>
      <c r="DGR44" s="58"/>
      <c r="DGS44" s="59"/>
      <c r="DGT44" s="6"/>
      <c r="DGU44" s="7"/>
      <c r="DGV44" s="8"/>
      <c r="DGW44" s="8"/>
      <c r="DGX44" s="6"/>
      <c r="DGY44" s="16"/>
      <c r="DGZ44" s="16"/>
      <c r="DHA44" s="16"/>
      <c r="DHB44" s="16"/>
      <c r="DHC44" s="65"/>
      <c r="DHD44" s="66"/>
      <c r="DHE44" s="67"/>
      <c r="DHF44" s="34"/>
      <c r="DHI44" s="5"/>
      <c r="DHJ44" s="18"/>
      <c r="DHK44" s="56"/>
      <c r="DHL44" s="57"/>
      <c r="DHM44" s="58"/>
      <c r="DHN44" s="59"/>
      <c r="DHO44" s="58"/>
      <c r="DHP44" s="59"/>
      <c r="DHQ44" s="6"/>
      <c r="DHR44" s="7"/>
      <c r="DHS44" s="8"/>
      <c r="DHT44" s="8"/>
      <c r="DHU44" s="6"/>
      <c r="DHV44" s="16"/>
      <c r="DHW44" s="16"/>
      <c r="DHX44" s="16"/>
      <c r="DHY44" s="16"/>
      <c r="DHZ44" s="65"/>
      <c r="DIA44" s="66"/>
      <c r="DIB44" s="67"/>
      <c r="DIC44" s="34"/>
      <c r="DIF44" s="5"/>
      <c r="DIG44" s="18"/>
      <c r="DIH44" s="56"/>
      <c r="DII44" s="57"/>
      <c r="DIJ44" s="58"/>
      <c r="DIK44" s="59"/>
      <c r="DIL44" s="58"/>
      <c r="DIM44" s="59"/>
      <c r="DIN44" s="6"/>
      <c r="DIO44" s="7"/>
      <c r="DIP44" s="8"/>
      <c r="DIQ44" s="8"/>
      <c r="DIR44" s="6"/>
      <c r="DIS44" s="16"/>
      <c r="DIT44" s="16"/>
      <c r="DIU44" s="16"/>
      <c r="DIV44" s="16"/>
      <c r="DIW44" s="65"/>
      <c r="DIX44" s="66"/>
      <c r="DIY44" s="67"/>
      <c r="DIZ44" s="34"/>
      <c r="DJC44" s="5"/>
      <c r="DJD44" s="18"/>
      <c r="DJE44" s="56"/>
      <c r="DJF44" s="57"/>
      <c r="DJG44" s="58"/>
      <c r="DJH44" s="59"/>
      <c r="DJI44" s="58"/>
      <c r="DJJ44" s="59"/>
      <c r="DJK44" s="6"/>
      <c r="DJL44" s="7"/>
      <c r="DJM44" s="8"/>
      <c r="DJN44" s="8"/>
      <c r="DJO44" s="6"/>
      <c r="DJP44" s="16"/>
      <c r="DJQ44" s="16"/>
      <c r="DJR44" s="16"/>
      <c r="DJS44" s="16"/>
      <c r="DJT44" s="65"/>
      <c r="DJU44" s="66"/>
      <c r="DJV44" s="67"/>
      <c r="DJW44" s="34"/>
      <c r="DJZ44" s="5"/>
      <c r="DKA44" s="18"/>
      <c r="DKB44" s="56"/>
      <c r="DKC44" s="57"/>
      <c r="DKD44" s="58"/>
      <c r="DKE44" s="59"/>
      <c r="DKF44" s="58"/>
      <c r="DKG44" s="59"/>
      <c r="DKH44" s="6"/>
      <c r="DKI44" s="7"/>
      <c r="DKJ44" s="8"/>
      <c r="DKK44" s="8"/>
      <c r="DKL44" s="6"/>
      <c r="DKM44" s="16"/>
      <c r="DKN44" s="16"/>
      <c r="DKO44" s="16"/>
      <c r="DKP44" s="16"/>
      <c r="DKQ44" s="65"/>
      <c r="DKR44" s="66"/>
      <c r="DKS44" s="67"/>
      <c r="DKT44" s="34"/>
      <c r="DKW44" s="5"/>
      <c r="DKX44" s="18"/>
      <c r="DKY44" s="56"/>
      <c r="DKZ44" s="57"/>
      <c r="DLA44" s="58"/>
      <c r="DLB44" s="59"/>
      <c r="DLC44" s="58"/>
      <c r="DLD44" s="59"/>
      <c r="DLE44" s="6"/>
      <c r="DLF44" s="7"/>
      <c r="DLG44" s="8"/>
      <c r="DLH44" s="8"/>
      <c r="DLI44" s="6"/>
      <c r="DLJ44" s="16"/>
      <c r="DLK44" s="16"/>
      <c r="DLL44" s="16"/>
      <c r="DLM44" s="16"/>
      <c r="DLN44" s="65"/>
      <c r="DLO44" s="66"/>
      <c r="DLP44" s="67"/>
      <c r="DLQ44" s="34"/>
      <c r="DLT44" s="5"/>
      <c r="DLU44" s="18"/>
      <c r="DLV44" s="56"/>
      <c r="DLW44" s="57"/>
      <c r="DLX44" s="58"/>
      <c r="DLY44" s="59"/>
      <c r="DLZ44" s="58"/>
      <c r="DMA44" s="59"/>
      <c r="DMB44" s="6"/>
      <c r="DMC44" s="7"/>
      <c r="DMD44" s="8"/>
      <c r="DME44" s="8"/>
      <c r="DMF44" s="6"/>
      <c r="DMG44" s="16"/>
      <c r="DMH44" s="16"/>
      <c r="DMI44" s="16"/>
      <c r="DMJ44" s="16"/>
      <c r="DMK44" s="65"/>
      <c r="DML44" s="66"/>
      <c r="DMM44" s="67"/>
      <c r="DMN44" s="34"/>
      <c r="DMQ44" s="5"/>
      <c r="DMR44" s="18"/>
      <c r="DMS44" s="56"/>
      <c r="DMT44" s="57"/>
      <c r="DMU44" s="58"/>
      <c r="DMV44" s="59"/>
      <c r="DMW44" s="58"/>
      <c r="DMX44" s="59"/>
      <c r="DMY44" s="6"/>
      <c r="DMZ44" s="7"/>
      <c r="DNA44" s="8"/>
      <c r="DNB44" s="8"/>
      <c r="DNC44" s="6"/>
      <c r="DND44" s="16"/>
      <c r="DNE44" s="16"/>
      <c r="DNF44" s="16"/>
      <c r="DNG44" s="16"/>
      <c r="DNH44" s="65"/>
      <c r="DNI44" s="66"/>
      <c r="DNJ44" s="67"/>
      <c r="DNK44" s="34"/>
      <c r="DNN44" s="5"/>
      <c r="DNO44" s="18"/>
      <c r="DNP44" s="56"/>
      <c r="DNQ44" s="57"/>
      <c r="DNR44" s="58"/>
      <c r="DNS44" s="59"/>
      <c r="DNT44" s="58"/>
      <c r="DNU44" s="59"/>
      <c r="DNV44" s="6"/>
      <c r="DNW44" s="7"/>
      <c r="DNX44" s="8"/>
      <c r="DNY44" s="8"/>
      <c r="DNZ44" s="6"/>
      <c r="DOA44" s="16"/>
      <c r="DOB44" s="16"/>
      <c r="DOC44" s="16"/>
      <c r="DOD44" s="16"/>
      <c r="DOE44" s="65"/>
      <c r="DOF44" s="66"/>
      <c r="DOG44" s="67"/>
      <c r="DOH44" s="34"/>
      <c r="DOK44" s="5"/>
      <c r="DOL44" s="18"/>
      <c r="DOM44" s="56"/>
      <c r="DON44" s="57"/>
      <c r="DOO44" s="58"/>
      <c r="DOP44" s="59"/>
      <c r="DOQ44" s="58"/>
      <c r="DOR44" s="59"/>
      <c r="DOS44" s="6"/>
      <c r="DOT44" s="7"/>
      <c r="DOU44" s="8"/>
      <c r="DOV44" s="8"/>
      <c r="DOW44" s="6"/>
      <c r="DOX44" s="16"/>
      <c r="DOY44" s="16"/>
      <c r="DOZ44" s="16"/>
      <c r="DPA44" s="16"/>
      <c r="DPB44" s="65"/>
      <c r="DPC44" s="66"/>
      <c r="DPD44" s="67"/>
      <c r="DPE44" s="34"/>
      <c r="DPH44" s="5"/>
      <c r="DPI44" s="18"/>
      <c r="DPJ44" s="56"/>
      <c r="DPK44" s="57"/>
      <c r="DPL44" s="58"/>
      <c r="DPM44" s="59"/>
      <c r="DPN44" s="58"/>
      <c r="DPO44" s="59"/>
      <c r="DPP44" s="6"/>
      <c r="DPQ44" s="7"/>
      <c r="DPR44" s="8"/>
      <c r="DPS44" s="8"/>
      <c r="DPT44" s="6"/>
      <c r="DPU44" s="16"/>
      <c r="DPV44" s="16"/>
      <c r="DPW44" s="16"/>
      <c r="DPX44" s="16"/>
      <c r="DPY44" s="65"/>
      <c r="DPZ44" s="66"/>
      <c r="DQA44" s="67"/>
      <c r="DQB44" s="34"/>
      <c r="DQE44" s="5"/>
      <c r="DQF44" s="18"/>
      <c r="DQG44" s="56"/>
      <c r="DQH44" s="57"/>
      <c r="DQI44" s="58"/>
      <c r="DQJ44" s="59"/>
      <c r="DQK44" s="58"/>
      <c r="DQL44" s="59"/>
      <c r="DQM44" s="6"/>
      <c r="DQN44" s="7"/>
      <c r="DQO44" s="8"/>
      <c r="DQP44" s="8"/>
      <c r="DQQ44" s="6"/>
      <c r="DQR44" s="16"/>
      <c r="DQS44" s="16"/>
      <c r="DQT44" s="16"/>
      <c r="DQU44" s="16"/>
      <c r="DQV44" s="65"/>
      <c r="DQW44" s="66"/>
      <c r="DQX44" s="67"/>
      <c r="DQY44" s="34"/>
      <c r="DRB44" s="5"/>
      <c r="DRC44" s="18"/>
      <c r="DRD44" s="56"/>
      <c r="DRE44" s="57"/>
      <c r="DRF44" s="58"/>
      <c r="DRG44" s="59"/>
      <c r="DRH44" s="58"/>
      <c r="DRI44" s="59"/>
      <c r="DRJ44" s="6"/>
      <c r="DRK44" s="7"/>
      <c r="DRL44" s="8"/>
      <c r="DRM44" s="8"/>
      <c r="DRN44" s="6"/>
      <c r="DRO44" s="16"/>
      <c r="DRP44" s="16"/>
      <c r="DRQ44" s="16"/>
      <c r="DRR44" s="16"/>
      <c r="DRS44" s="65"/>
      <c r="DRT44" s="66"/>
      <c r="DRU44" s="67"/>
      <c r="DRV44" s="34"/>
      <c r="DRY44" s="5"/>
      <c r="DRZ44" s="18"/>
      <c r="DSA44" s="56"/>
      <c r="DSB44" s="57"/>
      <c r="DSC44" s="58"/>
      <c r="DSD44" s="59"/>
      <c r="DSE44" s="58"/>
      <c r="DSF44" s="59"/>
      <c r="DSG44" s="6"/>
      <c r="DSH44" s="7"/>
      <c r="DSI44" s="8"/>
      <c r="DSJ44" s="8"/>
      <c r="DSK44" s="6"/>
      <c r="DSL44" s="16"/>
      <c r="DSM44" s="16"/>
      <c r="DSN44" s="16"/>
      <c r="DSO44" s="16"/>
      <c r="DSP44" s="65"/>
      <c r="DSQ44" s="66"/>
      <c r="DSR44" s="67"/>
      <c r="DSS44" s="34"/>
      <c r="DSV44" s="5"/>
      <c r="DSW44" s="18"/>
      <c r="DSX44" s="56"/>
      <c r="DSY44" s="57"/>
      <c r="DSZ44" s="58"/>
      <c r="DTA44" s="59"/>
      <c r="DTB44" s="58"/>
      <c r="DTC44" s="59"/>
      <c r="DTD44" s="6"/>
      <c r="DTE44" s="7"/>
      <c r="DTF44" s="8"/>
      <c r="DTG44" s="8"/>
      <c r="DTH44" s="6"/>
      <c r="DTI44" s="16"/>
      <c r="DTJ44" s="16"/>
      <c r="DTK44" s="16"/>
      <c r="DTL44" s="16"/>
      <c r="DTM44" s="65"/>
      <c r="DTN44" s="66"/>
      <c r="DTO44" s="67"/>
      <c r="DTP44" s="34"/>
      <c r="DTS44" s="5"/>
      <c r="DTT44" s="18"/>
      <c r="DTU44" s="56"/>
      <c r="DTV44" s="57"/>
      <c r="DTW44" s="58"/>
      <c r="DTX44" s="59"/>
      <c r="DTY44" s="58"/>
      <c r="DTZ44" s="59"/>
      <c r="DUA44" s="6"/>
      <c r="DUB44" s="7"/>
      <c r="DUC44" s="8"/>
      <c r="DUD44" s="8"/>
      <c r="DUE44" s="6"/>
      <c r="DUF44" s="16"/>
      <c r="DUG44" s="16"/>
      <c r="DUH44" s="16"/>
      <c r="DUI44" s="16"/>
      <c r="DUJ44" s="65"/>
      <c r="DUK44" s="66"/>
      <c r="DUL44" s="67"/>
      <c r="DUM44" s="34"/>
      <c r="DUP44" s="5"/>
      <c r="DUQ44" s="18"/>
      <c r="DUR44" s="56"/>
      <c r="DUS44" s="57"/>
      <c r="DUT44" s="58"/>
      <c r="DUU44" s="59"/>
      <c r="DUV44" s="58"/>
      <c r="DUW44" s="59"/>
      <c r="DUX44" s="6"/>
      <c r="DUY44" s="7"/>
      <c r="DUZ44" s="8"/>
      <c r="DVA44" s="8"/>
      <c r="DVB44" s="6"/>
      <c r="DVC44" s="16"/>
      <c r="DVD44" s="16"/>
      <c r="DVE44" s="16"/>
      <c r="DVF44" s="16"/>
      <c r="DVG44" s="65"/>
      <c r="DVH44" s="66"/>
      <c r="DVI44" s="67"/>
      <c r="DVJ44" s="34"/>
      <c r="DVM44" s="5"/>
      <c r="DVN44" s="18"/>
      <c r="DVO44" s="56"/>
      <c r="DVP44" s="57"/>
      <c r="DVQ44" s="58"/>
      <c r="DVR44" s="59"/>
      <c r="DVS44" s="58"/>
      <c r="DVT44" s="59"/>
      <c r="DVU44" s="6"/>
      <c r="DVV44" s="7"/>
      <c r="DVW44" s="8"/>
      <c r="DVX44" s="8"/>
      <c r="DVY44" s="6"/>
      <c r="DVZ44" s="16"/>
      <c r="DWA44" s="16"/>
      <c r="DWB44" s="16"/>
      <c r="DWC44" s="16"/>
      <c r="DWD44" s="65"/>
      <c r="DWE44" s="66"/>
      <c r="DWF44" s="67"/>
      <c r="DWG44" s="34"/>
      <c r="DWJ44" s="5"/>
      <c r="DWK44" s="18"/>
      <c r="DWL44" s="56"/>
      <c r="DWM44" s="57"/>
      <c r="DWN44" s="58"/>
      <c r="DWO44" s="59"/>
      <c r="DWP44" s="58"/>
      <c r="DWQ44" s="59"/>
      <c r="DWR44" s="6"/>
      <c r="DWS44" s="7"/>
      <c r="DWT44" s="8"/>
      <c r="DWU44" s="8"/>
      <c r="DWV44" s="6"/>
      <c r="DWW44" s="16"/>
      <c r="DWX44" s="16"/>
      <c r="DWY44" s="16"/>
      <c r="DWZ44" s="16"/>
      <c r="DXA44" s="65"/>
      <c r="DXB44" s="66"/>
      <c r="DXC44" s="67"/>
      <c r="DXD44" s="34"/>
      <c r="DXG44" s="5"/>
      <c r="DXH44" s="18"/>
      <c r="DXI44" s="56"/>
      <c r="DXJ44" s="57"/>
      <c r="DXK44" s="58"/>
      <c r="DXL44" s="59"/>
      <c r="DXM44" s="58"/>
      <c r="DXN44" s="59"/>
      <c r="DXO44" s="6"/>
      <c r="DXP44" s="7"/>
      <c r="DXQ44" s="8"/>
      <c r="DXR44" s="8"/>
      <c r="DXS44" s="6"/>
      <c r="DXT44" s="16"/>
      <c r="DXU44" s="16"/>
      <c r="DXV44" s="16"/>
      <c r="DXW44" s="16"/>
      <c r="DXX44" s="65"/>
      <c r="DXY44" s="66"/>
      <c r="DXZ44" s="67"/>
      <c r="DYA44" s="34"/>
      <c r="DYD44" s="5"/>
      <c r="DYE44" s="18"/>
      <c r="DYF44" s="56"/>
      <c r="DYG44" s="57"/>
      <c r="DYH44" s="58"/>
      <c r="DYI44" s="59"/>
      <c r="DYJ44" s="58"/>
      <c r="DYK44" s="59"/>
      <c r="DYL44" s="6"/>
      <c r="DYM44" s="7"/>
      <c r="DYN44" s="8"/>
      <c r="DYO44" s="8"/>
      <c r="DYP44" s="6"/>
      <c r="DYQ44" s="16"/>
      <c r="DYR44" s="16"/>
      <c r="DYS44" s="16"/>
      <c r="DYT44" s="16"/>
      <c r="DYU44" s="65"/>
      <c r="DYV44" s="66"/>
      <c r="DYW44" s="67"/>
      <c r="DYX44" s="34"/>
      <c r="DZA44" s="5"/>
      <c r="DZB44" s="18"/>
      <c r="DZC44" s="56"/>
      <c r="DZD44" s="57"/>
      <c r="DZE44" s="58"/>
      <c r="DZF44" s="59"/>
      <c r="DZG44" s="58"/>
      <c r="DZH44" s="59"/>
      <c r="DZI44" s="6"/>
      <c r="DZJ44" s="7"/>
      <c r="DZK44" s="8"/>
      <c r="DZL44" s="8"/>
      <c r="DZM44" s="6"/>
      <c r="DZN44" s="16"/>
      <c r="DZO44" s="16"/>
      <c r="DZP44" s="16"/>
      <c r="DZQ44" s="16"/>
      <c r="DZR44" s="65"/>
      <c r="DZS44" s="66"/>
      <c r="DZT44" s="67"/>
      <c r="DZU44" s="34"/>
      <c r="DZX44" s="5"/>
      <c r="DZY44" s="18"/>
      <c r="DZZ44" s="56"/>
      <c r="EAA44" s="57"/>
      <c r="EAB44" s="58"/>
      <c r="EAC44" s="59"/>
      <c r="EAD44" s="58"/>
      <c r="EAE44" s="59"/>
      <c r="EAF44" s="6"/>
      <c r="EAG44" s="7"/>
      <c r="EAH44" s="8"/>
      <c r="EAI44" s="8"/>
      <c r="EAJ44" s="6"/>
      <c r="EAK44" s="16"/>
      <c r="EAL44" s="16"/>
      <c r="EAM44" s="16"/>
      <c r="EAN44" s="16"/>
      <c r="EAO44" s="65"/>
      <c r="EAP44" s="66"/>
      <c r="EAQ44" s="67"/>
      <c r="EAR44" s="34"/>
      <c r="EAU44" s="5"/>
      <c r="EAV44" s="18"/>
      <c r="EAW44" s="56"/>
      <c r="EAX44" s="57"/>
      <c r="EAY44" s="58"/>
      <c r="EAZ44" s="59"/>
      <c r="EBA44" s="58"/>
      <c r="EBB44" s="59"/>
      <c r="EBC44" s="6"/>
      <c r="EBD44" s="7"/>
      <c r="EBE44" s="8"/>
      <c r="EBF44" s="8"/>
      <c r="EBG44" s="6"/>
      <c r="EBH44" s="16"/>
      <c r="EBI44" s="16"/>
      <c r="EBJ44" s="16"/>
      <c r="EBK44" s="16"/>
      <c r="EBL44" s="65"/>
      <c r="EBM44" s="66"/>
      <c r="EBN44" s="67"/>
      <c r="EBO44" s="34"/>
      <c r="EBR44" s="5"/>
      <c r="EBS44" s="18"/>
      <c r="EBT44" s="56"/>
      <c r="EBU44" s="57"/>
      <c r="EBV44" s="58"/>
      <c r="EBW44" s="59"/>
      <c r="EBX44" s="58"/>
      <c r="EBY44" s="59"/>
      <c r="EBZ44" s="6"/>
      <c r="ECA44" s="7"/>
      <c r="ECB44" s="8"/>
      <c r="ECC44" s="8"/>
      <c r="ECD44" s="6"/>
      <c r="ECE44" s="16"/>
      <c r="ECF44" s="16"/>
      <c r="ECG44" s="16"/>
      <c r="ECH44" s="16"/>
      <c r="ECI44" s="65"/>
      <c r="ECJ44" s="66"/>
      <c r="ECK44" s="67"/>
      <c r="ECL44" s="34"/>
      <c r="ECO44" s="5"/>
      <c r="ECP44" s="18"/>
      <c r="ECQ44" s="56"/>
      <c r="ECR44" s="57"/>
      <c r="ECS44" s="58"/>
      <c r="ECT44" s="59"/>
      <c r="ECU44" s="58"/>
      <c r="ECV44" s="59"/>
      <c r="ECW44" s="6"/>
      <c r="ECX44" s="7"/>
      <c r="ECY44" s="8"/>
      <c r="ECZ44" s="8"/>
      <c r="EDA44" s="6"/>
      <c r="EDB44" s="16"/>
      <c r="EDC44" s="16"/>
      <c r="EDD44" s="16"/>
      <c r="EDE44" s="16"/>
      <c r="EDF44" s="65"/>
      <c r="EDG44" s="66"/>
      <c r="EDH44" s="67"/>
      <c r="EDI44" s="34"/>
      <c r="EDL44" s="5"/>
      <c r="EDM44" s="18"/>
      <c r="EDN44" s="56"/>
      <c r="EDO44" s="57"/>
      <c r="EDP44" s="58"/>
      <c r="EDQ44" s="59"/>
      <c r="EDR44" s="58"/>
      <c r="EDS44" s="59"/>
      <c r="EDT44" s="6"/>
      <c r="EDU44" s="7"/>
      <c r="EDV44" s="8"/>
      <c r="EDW44" s="8"/>
      <c r="EDX44" s="6"/>
      <c r="EDY44" s="16"/>
      <c r="EDZ44" s="16"/>
      <c r="EEA44" s="16"/>
      <c r="EEB44" s="16"/>
      <c r="EEC44" s="65"/>
      <c r="EED44" s="66"/>
      <c r="EEE44" s="67"/>
      <c r="EEF44" s="34"/>
      <c r="EEI44" s="5"/>
      <c r="EEJ44" s="18"/>
      <c r="EEK44" s="56"/>
      <c r="EEL44" s="57"/>
      <c r="EEM44" s="58"/>
      <c r="EEN44" s="59"/>
      <c r="EEO44" s="58"/>
      <c r="EEP44" s="59"/>
      <c r="EEQ44" s="6"/>
      <c r="EER44" s="7"/>
      <c r="EES44" s="8"/>
      <c r="EET44" s="8"/>
      <c r="EEU44" s="6"/>
      <c r="EEV44" s="16"/>
      <c r="EEW44" s="16"/>
      <c r="EEX44" s="16"/>
      <c r="EEY44" s="16"/>
      <c r="EEZ44" s="65"/>
      <c r="EFA44" s="66"/>
      <c r="EFB44" s="67"/>
      <c r="EFC44" s="34"/>
      <c r="EFF44" s="5"/>
      <c r="EFG44" s="18"/>
      <c r="EFH44" s="56"/>
      <c r="EFI44" s="57"/>
      <c r="EFJ44" s="58"/>
      <c r="EFK44" s="59"/>
      <c r="EFL44" s="58"/>
      <c r="EFM44" s="59"/>
      <c r="EFN44" s="6"/>
      <c r="EFO44" s="7"/>
      <c r="EFP44" s="8"/>
      <c r="EFQ44" s="8"/>
      <c r="EFR44" s="6"/>
      <c r="EFS44" s="16"/>
      <c r="EFT44" s="16"/>
      <c r="EFU44" s="16"/>
      <c r="EFV44" s="16"/>
      <c r="EFW44" s="65"/>
      <c r="EFX44" s="66"/>
      <c r="EFY44" s="67"/>
      <c r="EFZ44" s="34"/>
      <c r="EGC44" s="5"/>
      <c r="EGD44" s="18"/>
      <c r="EGE44" s="56"/>
      <c r="EGF44" s="57"/>
      <c r="EGG44" s="58"/>
      <c r="EGH44" s="59"/>
      <c r="EGI44" s="58"/>
      <c r="EGJ44" s="59"/>
      <c r="EGK44" s="6"/>
      <c r="EGL44" s="7"/>
      <c r="EGM44" s="8"/>
      <c r="EGN44" s="8"/>
      <c r="EGO44" s="6"/>
      <c r="EGP44" s="16"/>
      <c r="EGQ44" s="16"/>
      <c r="EGR44" s="16"/>
      <c r="EGS44" s="16"/>
      <c r="EGT44" s="65"/>
      <c r="EGU44" s="66"/>
      <c r="EGV44" s="67"/>
      <c r="EGW44" s="34"/>
      <c r="EGZ44" s="5"/>
      <c r="EHA44" s="18"/>
      <c r="EHB44" s="56"/>
      <c r="EHC44" s="57"/>
      <c r="EHD44" s="58"/>
      <c r="EHE44" s="59"/>
      <c r="EHF44" s="58"/>
      <c r="EHG44" s="59"/>
      <c r="EHH44" s="6"/>
      <c r="EHI44" s="7"/>
      <c r="EHJ44" s="8"/>
      <c r="EHK44" s="8"/>
      <c r="EHL44" s="6"/>
      <c r="EHM44" s="16"/>
      <c r="EHN44" s="16"/>
      <c r="EHO44" s="16"/>
      <c r="EHP44" s="16"/>
      <c r="EHQ44" s="65"/>
      <c r="EHR44" s="66"/>
      <c r="EHS44" s="67"/>
      <c r="EHT44" s="34"/>
      <c r="EHW44" s="5"/>
      <c r="EHX44" s="18"/>
      <c r="EHY44" s="56"/>
      <c r="EHZ44" s="57"/>
      <c r="EIA44" s="58"/>
      <c r="EIB44" s="59"/>
      <c r="EIC44" s="58"/>
      <c r="EID44" s="59"/>
      <c r="EIE44" s="6"/>
      <c r="EIF44" s="7"/>
      <c r="EIG44" s="8"/>
      <c r="EIH44" s="8"/>
      <c r="EII44" s="6"/>
      <c r="EIJ44" s="16"/>
      <c r="EIK44" s="16"/>
      <c r="EIL44" s="16"/>
      <c r="EIM44" s="16"/>
      <c r="EIN44" s="65"/>
      <c r="EIO44" s="66"/>
      <c r="EIP44" s="67"/>
      <c r="EIQ44" s="34"/>
      <c r="EIT44" s="5"/>
      <c r="EIU44" s="18"/>
      <c r="EIV44" s="56"/>
      <c r="EIW44" s="57"/>
      <c r="EIX44" s="58"/>
      <c r="EIY44" s="59"/>
      <c r="EIZ44" s="58"/>
      <c r="EJA44" s="59"/>
      <c r="EJB44" s="6"/>
      <c r="EJC44" s="7"/>
      <c r="EJD44" s="8"/>
      <c r="EJE44" s="8"/>
      <c r="EJF44" s="6"/>
      <c r="EJG44" s="16"/>
      <c r="EJH44" s="16"/>
      <c r="EJI44" s="16"/>
      <c r="EJJ44" s="16"/>
      <c r="EJK44" s="65"/>
      <c r="EJL44" s="66"/>
      <c r="EJM44" s="67"/>
      <c r="EJN44" s="34"/>
      <c r="EJQ44" s="5"/>
      <c r="EJR44" s="18"/>
      <c r="EJS44" s="56"/>
      <c r="EJT44" s="57"/>
      <c r="EJU44" s="58"/>
      <c r="EJV44" s="59"/>
      <c r="EJW44" s="58"/>
      <c r="EJX44" s="59"/>
      <c r="EJY44" s="6"/>
      <c r="EJZ44" s="7"/>
      <c r="EKA44" s="8"/>
      <c r="EKB44" s="8"/>
      <c r="EKC44" s="6"/>
      <c r="EKD44" s="16"/>
      <c r="EKE44" s="16"/>
      <c r="EKF44" s="16"/>
      <c r="EKG44" s="16"/>
      <c r="EKH44" s="65"/>
      <c r="EKI44" s="66"/>
      <c r="EKJ44" s="67"/>
      <c r="EKK44" s="34"/>
      <c r="EKN44" s="5"/>
      <c r="EKO44" s="18"/>
      <c r="EKP44" s="56"/>
      <c r="EKQ44" s="57"/>
      <c r="EKR44" s="58"/>
      <c r="EKS44" s="59"/>
      <c r="EKT44" s="58"/>
      <c r="EKU44" s="59"/>
      <c r="EKV44" s="6"/>
      <c r="EKW44" s="7"/>
      <c r="EKX44" s="8"/>
      <c r="EKY44" s="8"/>
      <c r="EKZ44" s="6"/>
      <c r="ELA44" s="16"/>
      <c r="ELB44" s="16"/>
      <c r="ELC44" s="16"/>
      <c r="ELD44" s="16"/>
      <c r="ELE44" s="65"/>
      <c r="ELF44" s="66"/>
      <c r="ELG44" s="67"/>
      <c r="ELH44" s="34"/>
      <c r="ELK44" s="5"/>
      <c r="ELL44" s="18"/>
      <c r="ELM44" s="56"/>
      <c r="ELN44" s="57"/>
      <c r="ELO44" s="58"/>
      <c r="ELP44" s="59"/>
      <c r="ELQ44" s="58"/>
      <c r="ELR44" s="59"/>
      <c r="ELS44" s="6"/>
      <c r="ELT44" s="7"/>
      <c r="ELU44" s="8"/>
      <c r="ELV44" s="8"/>
      <c r="ELW44" s="6"/>
      <c r="ELX44" s="16"/>
      <c r="ELY44" s="16"/>
      <c r="ELZ44" s="16"/>
      <c r="EMA44" s="16"/>
      <c r="EMB44" s="65"/>
      <c r="EMC44" s="66"/>
      <c r="EMD44" s="67"/>
      <c r="EME44" s="34"/>
      <c r="EMH44" s="5"/>
      <c r="EMI44" s="18"/>
      <c r="EMJ44" s="56"/>
      <c r="EMK44" s="57"/>
      <c r="EML44" s="58"/>
      <c r="EMM44" s="59"/>
      <c r="EMN44" s="58"/>
      <c r="EMO44" s="59"/>
      <c r="EMP44" s="6"/>
      <c r="EMQ44" s="7"/>
      <c r="EMR44" s="8"/>
      <c r="EMS44" s="8"/>
      <c r="EMT44" s="6"/>
      <c r="EMU44" s="16"/>
      <c r="EMV44" s="16"/>
      <c r="EMW44" s="16"/>
      <c r="EMX44" s="16"/>
      <c r="EMY44" s="65"/>
      <c r="EMZ44" s="66"/>
      <c r="ENA44" s="67"/>
      <c r="ENB44" s="34"/>
      <c r="ENE44" s="5"/>
      <c r="ENF44" s="18"/>
      <c r="ENG44" s="56"/>
      <c r="ENH44" s="57"/>
      <c r="ENI44" s="58"/>
      <c r="ENJ44" s="59"/>
      <c r="ENK44" s="58"/>
      <c r="ENL44" s="59"/>
      <c r="ENM44" s="6"/>
      <c r="ENN44" s="7"/>
      <c r="ENO44" s="8"/>
      <c r="ENP44" s="8"/>
      <c r="ENQ44" s="6"/>
      <c r="ENR44" s="16"/>
      <c r="ENS44" s="16"/>
      <c r="ENT44" s="16"/>
      <c r="ENU44" s="16"/>
      <c r="ENV44" s="65"/>
      <c r="ENW44" s="66"/>
      <c r="ENX44" s="67"/>
      <c r="ENY44" s="34"/>
      <c r="EOB44" s="5"/>
      <c r="EOC44" s="18"/>
      <c r="EOD44" s="56"/>
      <c r="EOE44" s="57"/>
      <c r="EOF44" s="58"/>
      <c r="EOG44" s="59"/>
      <c r="EOH44" s="58"/>
      <c r="EOI44" s="59"/>
      <c r="EOJ44" s="6"/>
      <c r="EOK44" s="7"/>
      <c r="EOL44" s="8"/>
      <c r="EOM44" s="8"/>
      <c r="EON44" s="6"/>
      <c r="EOO44" s="16"/>
      <c r="EOP44" s="16"/>
      <c r="EOQ44" s="16"/>
      <c r="EOR44" s="16"/>
      <c r="EOS44" s="65"/>
      <c r="EOT44" s="66"/>
      <c r="EOU44" s="67"/>
      <c r="EOV44" s="34"/>
      <c r="EOY44" s="5"/>
      <c r="EOZ44" s="18"/>
      <c r="EPA44" s="56"/>
      <c r="EPB44" s="57"/>
      <c r="EPC44" s="58"/>
      <c r="EPD44" s="59"/>
      <c r="EPE44" s="58"/>
      <c r="EPF44" s="59"/>
      <c r="EPG44" s="6"/>
      <c r="EPH44" s="7"/>
      <c r="EPI44" s="8"/>
      <c r="EPJ44" s="8"/>
      <c r="EPK44" s="6"/>
      <c r="EPL44" s="16"/>
      <c r="EPM44" s="16"/>
      <c r="EPN44" s="16"/>
      <c r="EPO44" s="16"/>
      <c r="EPP44" s="65"/>
      <c r="EPQ44" s="66"/>
      <c r="EPR44" s="67"/>
      <c r="EPS44" s="34"/>
      <c r="EPV44" s="5"/>
      <c r="EPW44" s="18"/>
      <c r="EPX44" s="56"/>
      <c r="EPY44" s="57"/>
      <c r="EPZ44" s="58"/>
      <c r="EQA44" s="59"/>
      <c r="EQB44" s="58"/>
      <c r="EQC44" s="59"/>
      <c r="EQD44" s="6"/>
      <c r="EQE44" s="7"/>
      <c r="EQF44" s="8"/>
      <c r="EQG44" s="8"/>
      <c r="EQH44" s="6"/>
      <c r="EQI44" s="16"/>
      <c r="EQJ44" s="16"/>
      <c r="EQK44" s="16"/>
      <c r="EQL44" s="16"/>
      <c r="EQM44" s="65"/>
      <c r="EQN44" s="66"/>
      <c r="EQO44" s="67"/>
      <c r="EQP44" s="34"/>
      <c r="EQS44" s="5"/>
      <c r="EQT44" s="18"/>
      <c r="EQU44" s="56"/>
      <c r="EQV44" s="57"/>
      <c r="EQW44" s="58"/>
      <c r="EQX44" s="59"/>
      <c r="EQY44" s="58"/>
      <c r="EQZ44" s="59"/>
      <c r="ERA44" s="6"/>
      <c r="ERB44" s="7"/>
      <c r="ERC44" s="8"/>
      <c r="ERD44" s="8"/>
      <c r="ERE44" s="6"/>
      <c r="ERF44" s="16"/>
      <c r="ERG44" s="16"/>
      <c r="ERH44" s="16"/>
      <c r="ERI44" s="16"/>
      <c r="ERJ44" s="65"/>
      <c r="ERK44" s="66"/>
      <c r="ERL44" s="67"/>
      <c r="ERM44" s="34"/>
      <c r="ERP44" s="5"/>
      <c r="ERQ44" s="18"/>
      <c r="ERR44" s="56"/>
      <c r="ERS44" s="57"/>
      <c r="ERT44" s="58"/>
      <c r="ERU44" s="59"/>
      <c r="ERV44" s="58"/>
      <c r="ERW44" s="59"/>
      <c r="ERX44" s="6"/>
      <c r="ERY44" s="7"/>
      <c r="ERZ44" s="8"/>
      <c r="ESA44" s="8"/>
      <c r="ESB44" s="6"/>
      <c r="ESC44" s="16"/>
      <c r="ESD44" s="16"/>
      <c r="ESE44" s="16"/>
      <c r="ESF44" s="16"/>
      <c r="ESG44" s="65"/>
      <c r="ESH44" s="66"/>
      <c r="ESI44" s="67"/>
      <c r="ESJ44" s="34"/>
      <c r="ESM44" s="5"/>
      <c r="ESN44" s="18"/>
      <c r="ESO44" s="56"/>
      <c r="ESP44" s="57"/>
      <c r="ESQ44" s="58"/>
      <c r="ESR44" s="59"/>
      <c r="ESS44" s="58"/>
      <c r="EST44" s="59"/>
      <c r="ESU44" s="6"/>
      <c r="ESV44" s="7"/>
      <c r="ESW44" s="8"/>
      <c r="ESX44" s="8"/>
      <c r="ESY44" s="6"/>
      <c r="ESZ44" s="16"/>
      <c r="ETA44" s="16"/>
      <c r="ETB44" s="16"/>
      <c r="ETC44" s="16"/>
      <c r="ETD44" s="65"/>
      <c r="ETE44" s="66"/>
      <c r="ETF44" s="67"/>
      <c r="ETG44" s="34"/>
      <c r="ETJ44" s="5"/>
      <c r="ETK44" s="18"/>
      <c r="ETL44" s="56"/>
      <c r="ETM44" s="57"/>
      <c r="ETN44" s="58"/>
      <c r="ETO44" s="59"/>
      <c r="ETP44" s="58"/>
      <c r="ETQ44" s="59"/>
      <c r="ETR44" s="6"/>
      <c r="ETS44" s="7"/>
      <c r="ETT44" s="8"/>
      <c r="ETU44" s="8"/>
      <c r="ETV44" s="6"/>
      <c r="ETW44" s="16"/>
      <c r="ETX44" s="16"/>
      <c r="ETY44" s="16"/>
      <c r="ETZ44" s="16"/>
      <c r="EUA44" s="65"/>
      <c r="EUB44" s="66"/>
      <c r="EUC44" s="67"/>
      <c r="EUD44" s="34"/>
      <c r="EUG44" s="5"/>
      <c r="EUH44" s="18"/>
      <c r="EUI44" s="56"/>
      <c r="EUJ44" s="57"/>
      <c r="EUK44" s="58"/>
      <c r="EUL44" s="59"/>
      <c r="EUM44" s="58"/>
      <c r="EUN44" s="59"/>
      <c r="EUO44" s="6"/>
      <c r="EUP44" s="7"/>
      <c r="EUQ44" s="8"/>
      <c r="EUR44" s="8"/>
      <c r="EUS44" s="6"/>
      <c r="EUT44" s="16"/>
      <c r="EUU44" s="16"/>
      <c r="EUV44" s="16"/>
      <c r="EUW44" s="16"/>
      <c r="EUX44" s="65"/>
      <c r="EUY44" s="66"/>
      <c r="EUZ44" s="67"/>
      <c r="EVA44" s="34"/>
      <c r="EVD44" s="5"/>
      <c r="EVE44" s="18"/>
      <c r="EVF44" s="56"/>
      <c r="EVG44" s="57"/>
      <c r="EVH44" s="58"/>
      <c r="EVI44" s="59"/>
      <c r="EVJ44" s="58"/>
      <c r="EVK44" s="59"/>
      <c r="EVL44" s="6"/>
      <c r="EVM44" s="7"/>
      <c r="EVN44" s="8"/>
      <c r="EVO44" s="8"/>
      <c r="EVP44" s="6"/>
      <c r="EVQ44" s="16"/>
      <c r="EVR44" s="16"/>
      <c r="EVS44" s="16"/>
      <c r="EVT44" s="16"/>
      <c r="EVU44" s="65"/>
      <c r="EVV44" s="66"/>
      <c r="EVW44" s="67"/>
      <c r="EVX44" s="34"/>
      <c r="EWA44" s="5"/>
      <c r="EWB44" s="18"/>
      <c r="EWC44" s="56"/>
      <c r="EWD44" s="57"/>
      <c r="EWE44" s="58"/>
      <c r="EWF44" s="59"/>
      <c r="EWG44" s="58"/>
      <c r="EWH44" s="59"/>
      <c r="EWI44" s="6"/>
      <c r="EWJ44" s="7"/>
      <c r="EWK44" s="8"/>
      <c r="EWL44" s="8"/>
      <c r="EWM44" s="6"/>
      <c r="EWN44" s="16"/>
      <c r="EWO44" s="16"/>
      <c r="EWP44" s="16"/>
      <c r="EWQ44" s="16"/>
      <c r="EWR44" s="65"/>
      <c r="EWS44" s="66"/>
      <c r="EWT44" s="67"/>
      <c r="EWU44" s="34"/>
      <c r="EWX44" s="5"/>
      <c r="EWY44" s="18"/>
      <c r="EWZ44" s="56"/>
      <c r="EXA44" s="57"/>
      <c r="EXB44" s="58"/>
      <c r="EXC44" s="59"/>
      <c r="EXD44" s="58"/>
      <c r="EXE44" s="59"/>
      <c r="EXF44" s="6"/>
      <c r="EXG44" s="7"/>
      <c r="EXH44" s="8"/>
      <c r="EXI44" s="8"/>
      <c r="EXJ44" s="6"/>
      <c r="EXK44" s="16"/>
      <c r="EXL44" s="16"/>
      <c r="EXM44" s="16"/>
      <c r="EXN44" s="16"/>
      <c r="EXO44" s="65"/>
      <c r="EXP44" s="66"/>
      <c r="EXQ44" s="67"/>
      <c r="EXR44" s="34"/>
      <c r="EXU44" s="5"/>
      <c r="EXV44" s="18"/>
      <c r="EXW44" s="56"/>
      <c r="EXX44" s="57"/>
      <c r="EXY44" s="58"/>
      <c r="EXZ44" s="59"/>
      <c r="EYA44" s="58"/>
      <c r="EYB44" s="59"/>
      <c r="EYC44" s="6"/>
      <c r="EYD44" s="7"/>
      <c r="EYE44" s="8"/>
      <c r="EYF44" s="8"/>
      <c r="EYG44" s="6"/>
      <c r="EYH44" s="16"/>
      <c r="EYI44" s="16"/>
      <c r="EYJ44" s="16"/>
      <c r="EYK44" s="16"/>
      <c r="EYL44" s="65"/>
      <c r="EYM44" s="66"/>
      <c r="EYN44" s="67"/>
      <c r="EYO44" s="34"/>
      <c r="EYR44" s="5"/>
      <c r="EYS44" s="18"/>
      <c r="EYT44" s="56"/>
      <c r="EYU44" s="57"/>
      <c r="EYV44" s="58"/>
      <c r="EYW44" s="59"/>
      <c r="EYX44" s="58"/>
      <c r="EYY44" s="59"/>
      <c r="EYZ44" s="6"/>
      <c r="EZA44" s="7"/>
      <c r="EZB44" s="8"/>
      <c r="EZC44" s="8"/>
      <c r="EZD44" s="6"/>
      <c r="EZE44" s="16"/>
      <c r="EZF44" s="16"/>
      <c r="EZG44" s="16"/>
      <c r="EZH44" s="16"/>
      <c r="EZI44" s="65"/>
      <c r="EZJ44" s="66"/>
      <c r="EZK44" s="67"/>
      <c r="EZL44" s="34"/>
      <c r="EZO44" s="5"/>
      <c r="EZP44" s="18"/>
      <c r="EZQ44" s="56"/>
      <c r="EZR44" s="57"/>
      <c r="EZS44" s="58"/>
      <c r="EZT44" s="59"/>
      <c r="EZU44" s="58"/>
      <c r="EZV44" s="59"/>
      <c r="EZW44" s="6"/>
      <c r="EZX44" s="7"/>
      <c r="EZY44" s="8"/>
      <c r="EZZ44" s="8"/>
      <c r="FAA44" s="6"/>
      <c r="FAB44" s="16"/>
      <c r="FAC44" s="16"/>
      <c r="FAD44" s="16"/>
      <c r="FAE44" s="16"/>
      <c r="FAF44" s="65"/>
      <c r="FAG44" s="66"/>
      <c r="FAH44" s="67"/>
      <c r="FAI44" s="34"/>
      <c r="FAL44" s="5"/>
      <c r="FAM44" s="18"/>
      <c r="FAN44" s="56"/>
      <c r="FAO44" s="57"/>
      <c r="FAP44" s="58"/>
      <c r="FAQ44" s="59"/>
      <c r="FAR44" s="58"/>
      <c r="FAS44" s="59"/>
      <c r="FAT44" s="6"/>
      <c r="FAU44" s="7"/>
      <c r="FAV44" s="8"/>
      <c r="FAW44" s="8"/>
      <c r="FAX44" s="6"/>
      <c r="FAY44" s="16"/>
      <c r="FAZ44" s="16"/>
      <c r="FBA44" s="16"/>
      <c r="FBB44" s="16"/>
      <c r="FBC44" s="65"/>
      <c r="FBD44" s="66"/>
      <c r="FBE44" s="67"/>
      <c r="FBF44" s="34"/>
      <c r="FBI44" s="5"/>
      <c r="FBJ44" s="18"/>
      <c r="FBK44" s="56"/>
      <c r="FBL44" s="57"/>
      <c r="FBM44" s="58"/>
      <c r="FBN44" s="59"/>
      <c r="FBO44" s="58"/>
      <c r="FBP44" s="59"/>
      <c r="FBQ44" s="6"/>
      <c r="FBR44" s="7"/>
      <c r="FBS44" s="8"/>
      <c r="FBT44" s="8"/>
      <c r="FBU44" s="6"/>
      <c r="FBV44" s="16"/>
      <c r="FBW44" s="16"/>
      <c r="FBX44" s="16"/>
      <c r="FBY44" s="16"/>
      <c r="FBZ44" s="65"/>
      <c r="FCA44" s="66"/>
      <c r="FCB44" s="67"/>
      <c r="FCC44" s="34"/>
      <c r="FCF44" s="5"/>
      <c r="FCG44" s="18"/>
      <c r="FCH44" s="56"/>
      <c r="FCI44" s="57"/>
      <c r="FCJ44" s="58"/>
      <c r="FCK44" s="59"/>
      <c r="FCL44" s="58"/>
      <c r="FCM44" s="59"/>
      <c r="FCN44" s="6"/>
      <c r="FCO44" s="7"/>
      <c r="FCP44" s="8"/>
      <c r="FCQ44" s="8"/>
      <c r="FCR44" s="6"/>
      <c r="FCS44" s="16"/>
      <c r="FCT44" s="16"/>
      <c r="FCU44" s="16"/>
      <c r="FCV44" s="16"/>
      <c r="FCW44" s="65"/>
      <c r="FCX44" s="66"/>
      <c r="FCY44" s="67"/>
      <c r="FCZ44" s="34"/>
      <c r="FDC44" s="5"/>
      <c r="FDD44" s="18"/>
      <c r="FDE44" s="56"/>
      <c r="FDF44" s="57"/>
      <c r="FDG44" s="58"/>
      <c r="FDH44" s="59"/>
      <c r="FDI44" s="58"/>
      <c r="FDJ44" s="59"/>
      <c r="FDK44" s="6"/>
      <c r="FDL44" s="7"/>
      <c r="FDM44" s="8"/>
      <c r="FDN44" s="8"/>
      <c r="FDO44" s="6"/>
      <c r="FDP44" s="16"/>
      <c r="FDQ44" s="16"/>
      <c r="FDR44" s="16"/>
      <c r="FDS44" s="16"/>
      <c r="FDT44" s="65"/>
      <c r="FDU44" s="66"/>
      <c r="FDV44" s="67"/>
      <c r="FDW44" s="34"/>
      <c r="FDZ44" s="5"/>
      <c r="FEA44" s="18"/>
      <c r="FEB44" s="56"/>
      <c r="FEC44" s="57"/>
      <c r="FED44" s="58"/>
      <c r="FEE44" s="59"/>
      <c r="FEF44" s="58"/>
      <c r="FEG44" s="59"/>
      <c r="FEH44" s="6"/>
      <c r="FEI44" s="7"/>
      <c r="FEJ44" s="8"/>
      <c r="FEK44" s="8"/>
      <c r="FEL44" s="6"/>
      <c r="FEM44" s="16"/>
      <c r="FEN44" s="16"/>
      <c r="FEO44" s="16"/>
      <c r="FEP44" s="16"/>
      <c r="FEQ44" s="65"/>
      <c r="FER44" s="66"/>
      <c r="FES44" s="67"/>
      <c r="FET44" s="34"/>
      <c r="FEW44" s="5"/>
      <c r="FEX44" s="18"/>
      <c r="FEY44" s="56"/>
      <c r="FEZ44" s="57"/>
      <c r="FFA44" s="58"/>
      <c r="FFB44" s="59"/>
      <c r="FFC44" s="58"/>
      <c r="FFD44" s="59"/>
      <c r="FFE44" s="6"/>
      <c r="FFF44" s="7"/>
      <c r="FFG44" s="8"/>
      <c r="FFH44" s="8"/>
      <c r="FFI44" s="6"/>
      <c r="FFJ44" s="16"/>
      <c r="FFK44" s="16"/>
      <c r="FFL44" s="16"/>
      <c r="FFM44" s="16"/>
      <c r="FFN44" s="65"/>
      <c r="FFO44" s="66"/>
      <c r="FFP44" s="67"/>
      <c r="FFQ44" s="34"/>
      <c r="FFT44" s="5"/>
      <c r="FFU44" s="18"/>
      <c r="FFV44" s="56"/>
      <c r="FFW44" s="57"/>
      <c r="FFX44" s="58"/>
      <c r="FFY44" s="59"/>
      <c r="FFZ44" s="58"/>
      <c r="FGA44" s="59"/>
      <c r="FGB44" s="6"/>
      <c r="FGC44" s="7"/>
      <c r="FGD44" s="8"/>
      <c r="FGE44" s="8"/>
      <c r="FGF44" s="6"/>
      <c r="FGG44" s="16"/>
      <c r="FGH44" s="16"/>
      <c r="FGI44" s="16"/>
      <c r="FGJ44" s="16"/>
      <c r="FGK44" s="65"/>
      <c r="FGL44" s="66"/>
      <c r="FGM44" s="67"/>
      <c r="FGN44" s="34"/>
      <c r="FGQ44" s="5"/>
      <c r="FGR44" s="18"/>
      <c r="FGS44" s="56"/>
      <c r="FGT44" s="57"/>
      <c r="FGU44" s="58"/>
      <c r="FGV44" s="59"/>
      <c r="FGW44" s="58"/>
      <c r="FGX44" s="59"/>
      <c r="FGY44" s="6"/>
      <c r="FGZ44" s="7"/>
      <c r="FHA44" s="8"/>
      <c r="FHB44" s="8"/>
      <c r="FHC44" s="6"/>
      <c r="FHD44" s="16"/>
      <c r="FHE44" s="16"/>
      <c r="FHF44" s="16"/>
      <c r="FHG44" s="16"/>
      <c r="FHH44" s="65"/>
      <c r="FHI44" s="66"/>
      <c r="FHJ44" s="67"/>
      <c r="FHK44" s="34"/>
      <c r="FHN44" s="5"/>
      <c r="FHO44" s="18"/>
      <c r="FHP44" s="56"/>
      <c r="FHQ44" s="57"/>
      <c r="FHR44" s="58"/>
      <c r="FHS44" s="59"/>
      <c r="FHT44" s="58"/>
      <c r="FHU44" s="59"/>
      <c r="FHV44" s="6"/>
      <c r="FHW44" s="7"/>
      <c r="FHX44" s="8"/>
      <c r="FHY44" s="8"/>
      <c r="FHZ44" s="6"/>
      <c r="FIA44" s="16"/>
      <c r="FIB44" s="16"/>
      <c r="FIC44" s="16"/>
      <c r="FID44" s="16"/>
      <c r="FIE44" s="65"/>
      <c r="FIF44" s="66"/>
      <c r="FIG44" s="67"/>
      <c r="FIH44" s="34"/>
      <c r="FIK44" s="5"/>
      <c r="FIL44" s="18"/>
      <c r="FIM44" s="56"/>
      <c r="FIN44" s="57"/>
      <c r="FIO44" s="58"/>
      <c r="FIP44" s="59"/>
      <c r="FIQ44" s="58"/>
      <c r="FIR44" s="59"/>
      <c r="FIS44" s="6"/>
      <c r="FIT44" s="7"/>
      <c r="FIU44" s="8"/>
      <c r="FIV44" s="8"/>
      <c r="FIW44" s="6"/>
      <c r="FIX44" s="16"/>
      <c r="FIY44" s="16"/>
      <c r="FIZ44" s="16"/>
      <c r="FJA44" s="16"/>
      <c r="FJB44" s="65"/>
      <c r="FJC44" s="66"/>
      <c r="FJD44" s="67"/>
      <c r="FJE44" s="34"/>
      <c r="FJH44" s="5"/>
      <c r="FJI44" s="18"/>
      <c r="FJJ44" s="56"/>
      <c r="FJK44" s="57"/>
      <c r="FJL44" s="58"/>
      <c r="FJM44" s="59"/>
      <c r="FJN44" s="58"/>
      <c r="FJO44" s="59"/>
      <c r="FJP44" s="6"/>
      <c r="FJQ44" s="7"/>
      <c r="FJR44" s="8"/>
      <c r="FJS44" s="8"/>
      <c r="FJT44" s="6"/>
      <c r="FJU44" s="16"/>
      <c r="FJV44" s="16"/>
      <c r="FJW44" s="16"/>
      <c r="FJX44" s="16"/>
      <c r="FJY44" s="65"/>
      <c r="FJZ44" s="66"/>
      <c r="FKA44" s="67"/>
      <c r="FKB44" s="34"/>
      <c r="FKE44" s="5"/>
      <c r="FKF44" s="18"/>
      <c r="FKG44" s="56"/>
      <c r="FKH44" s="57"/>
      <c r="FKI44" s="58"/>
      <c r="FKJ44" s="59"/>
      <c r="FKK44" s="58"/>
      <c r="FKL44" s="59"/>
      <c r="FKM44" s="6"/>
      <c r="FKN44" s="7"/>
      <c r="FKO44" s="8"/>
      <c r="FKP44" s="8"/>
      <c r="FKQ44" s="6"/>
      <c r="FKR44" s="16"/>
      <c r="FKS44" s="16"/>
      <c r="FKT44" s="16"/>
      <c r="FKU44" s="16"/>
      <c r="FKV44" s="65"/>
      <c r="FKW44" s="66"/>
      <c r="FKX44" s="67"/>
      <c r="FKY44" s="34"/>
      <c r="FLB44" s="5"/>
      <c r="FLC44" s="18"/>
      <c r="FLD44" s="56"/>
      <c r="FLE44" s="57"/>
      <c r="FLF44" s="58"/>
      <c r="FLG44" s="59"/>
      <c r="FLH44" s="58"/>
      <c r="FLI44" s="59"/>
      <c r="FLJ44" s="6"/>
      <c r="FLK44" s="7"/>
      <c r="FLL44" s="8"/>
      <c r="FLM44" s="8"/>
      <c r="FLN44" s="6"/>
      <c r="FLO44" s="16"/>
      <c r="FLP44" s="16"/>
      <c r="FLQ44" s="16"/>
      <c r="FLR44" s="16"/>
      <c r="FLS44" s="65"/>
      <c r="FLT44" s="66"/>
      <c r="FLU44" s="67"/>
      <c r="FLV44" s="34"/>
      <c r="FLY44" s="5"/>
      <c r="FLZ44" s="18"/>
      <c r="FMA44" s="56"/>
      <c r="FMB44" s="57"/>
      <c r="FMC44" s="58"/>
      <c r="FMD44" s="59"/>
      <c r="FME44" s="58"/>
      <c r="FMF44" s="59"/>
      <c r="FMG44" s="6"/>
      <c r="FMH44" s="7"/>
      <c r="FMI44" s="8"/>
      <c r="FMJ44" s="8"/>
      <c r="FMK44" s="6"/>
      <c r="FML44" s="16"/>
      <c r="FMM44" s="16"/>
      <c r="FMN44" s="16"/>
      <c r="FMO44" s="16"/>
      <c r="FMP44" s="65"/>
      <c r="FMQ44" s="66"/>
      <c r="FMR44" s="67"/>
      <c r="FMS44" s="34"/>
      <c r="FMV44" s="5"/>
      <c r="FMW44" s="18"/>
      <c r="FMX44" s="56"/>
      <c r="FMY44" s="57"/>
      <c r="FMZ44" s="58"/>
      <c r="FNA44" s="59"/>
      <c r="FNB44" s="58"/>
      <c r="FNC44" s="59"/>
      <c r="FND44" s="6"/>
      <c r="FNE44" s="7"/>
      <c r="FNF44" s="8"/>
      <c r="FNG44" s="8"/>
      <c r="FNH44" s="6"/>
      <c r="FNI44" s="16"/>
      <c r="FNJ44" s="16"/>
      <c r="FNK44" s="16"/>
      <c r="FNL44" s="16"/>
      <c r="FNM44" s="65"/>
      <c r="FNN44" s="66"/>
      <c r="FNO44" s="67"/>
      <c r="FNP44" s="34"/>
      <c r="FNS44" s="5"/>
      <c r="FNT44" s="18"/>
      <c r="FNU44" s="56"/>
      <c r="FNV44" s="57"/>
      <c r="FNW44" s="58"/>
      <c r="FNX44" s="59"/>
      <c r="FNY44" s="58"/>
      <c r="FNZ44" s="59"/>
      <c r="FOA44" s="6"/>
      <c r="FOB44" s="7"/>
      <c r="FOC44" s="8"/>
      <c r="FOD44" s="8"/>
      <c r="FOE44" s="6"/>
      <c r="FOF44" s="16"/>
      <c r="FOG44" s="16"/>
      <c r="FOH44" s="16"/>
      <c r="FOI44" s="16"/>
      <c r="FOJ44" s="65"/>
      <c r="FOK44" s="66"/>
      <c r="FOL44" s="67"/>
      <c r="FOM44" s="34"/>
      <c r="FOP44" s="5"/>
      <c r="FOQ44" s="18"/>
      <c r="FOR44" s="56"/>
      <c r="FOS44" s="57"/>
      <c r="FOT44" s="58"/>
      <c r="FOU44" s="59"/>
      <c r="FOV44" s="58"/>
      <c r="FOW44" s="59"/>
      <c r="FOX44" s="6"/>
      <c r="FOY44" s="7"/>
      <c r="FOZ44" s="8"/>
      <c r="FPA44" s="8"/>
      <c r="FPB44" s="6"/>
      <c r="FPC44" s="16"/>
      <c r="FPD44" s="16"/>
      <c r="FPE44" s="16"/>
      <c r="FPF44" s="16"/>
      <c r="FPG44" s="65"/>
      <c r="FPH44" s="66"/>
      <c r="FPI44" s="67"/>
      <c r="FPJ44" s="34"/>
      <c r="FPM44" s="5"/>
      <c r="FPN44" s="18"/>
      <c r="FPO44" s="56"/>
      <c r="FPP44" s="57"/>
      <c r="FPQ44" s="58"/>
      <c r="FPR44" s="59"/>
      <c r="FPS44" s="58"/>
      <c r="FPT44" s="59"/>
      <c r="FPU44" s="6"/>
      <c r="FPV44" s="7"/>
      <c r="FPW44" s="8"/>
      <c r="FPX44" s="8"/>
      <c r="FPY44" s="6"/>
      <c r="FPZ44" s="16"/>
      <c r="FQA44" s="16"/>
      <c r="FQB44" s="16"/>
      <c r="FQC44" s="16"/>
      <c r="FQD44" s="65"/>
      <c r="FQE44" s="66"/>
      <c r="FQF44" s="67"/>
      <c r="FQG44" s="34"/>
      <c r="FQJ44" s="5"/>
      <c r="FQK44" s="18"/>
      <c r="FQL44" s="56"/>
      <c r="FQM44" s="57"/>
      <c r="FQN44" s="58"/>
      <c r="FQO44" s="59"/>
      <c r="FQP44" s="58"/>
      <c r="FQQ44" s="59"/>
      <c r="FQR44" s="6"/>
      <c r="FQS44" s="7"/>
      <c r="FQT44" s="8"/>
      <c r="FQU44" s="8"/>
      <c r="FQV44" s="6"/>
      <c r="FQW44" s="16"/>
      <c r="FQX44" s="16"/>
      <c r="FQY44" s="16"/>
      <c r="FQZ44" s="16"/>
      <c r="FRA44" s="65"/>
      <c r="FRB44" s="66"/>
      <c r="FRC44" s="67"/>
      <c r="FRD44" s="34"/>
      <c r="FRG44" s="5"/>
      <c r="FRH44" s="18"/>
      <c r="FRI44" s="56"/>
      <c r="FRJ44" s="57"/>
      <c r="FRK44" s="58"/>
      <c r="FRL44" s="59"/>
      <c r="FRM44" s="58"/>
      <c r="FRN44" s="59"/>
      <c r="FRO44" s="6"/>
      <c r="FRP44" s="7"/>
      <c r="FRQ44" s="8"/>
      <c r="FRR44" s="8"/>
      <c r="FRS44" s="6"/>
      <c r="FRT44" s="16"/>
      <c r="FRU44" s="16"/>
      <c r="FRV44" s="16"/>
      <c r="FRW44" s="16"/>
      <c r="FRX44" s="65"/>
      <c r="FRY44" s="66"/>
      <c r="FRZ44" s="67"/>
      <c r="FSA44" s="34"/>
      <c r="FSD44" s="5"/>
      <c r="FSE44" s="18"/>
      <c r="FSF44" s="56"/>
      <c r="FSG44" s="57"/>
      <c r="FSH44" s="58"/>
      <c r="FSI44" s="59"/>
      <c r="FSJ44" s="58"/>
      <c r="FSK44" s="59"/>
      <c r="FSL44" s="6"/>
      <c r="FSM44" s="7"/>
      <c r="FSN44" s="8"/>
      <c r="FSO44" s="8"/>
      <c r="FSP44" s="6"/>
      <c r="FSQ44" s="16"/>
      <c r="FSR44" s="16"/>
      <c r="FSS44" s="16"/>
      <c r="FST44" s="16"/>
      <c r="FSU44" s="65"/>
      <c r="FSV44" s="66"/>
      <c r="FSW44" s="67"/>
      <c r="FSX44" s="34"/>
      <c r="FTA44" s="5"/>
      <c r="FTB44" s="18"/>
      <c r="FTC44" s="56"/>
      <c r="FTD44" s="57"/>
      <c r="FTE44" s="58"/>
      <c r="FTF44" s="59"/>
      <c r="FTG44" s="58"/>
      <c r="FTH44" s="59"/>
      <c r="FTI44" s="6"/>
      <c r="FTJ44" s="7"/>
      <c r="FTK44" s="8"/>
      <c r="FTL44" s="8"/>
      <c r="FTM44" s="6"/>
      <c r="FTN44" s="16"/>
      <c r="FTO44" s="16"/>
      <c r="FTP44" s="16"/>
      <c r="FTQ44" s="16"/>
      <c r="FTR44" s="65"/>
      <c r="FTS44" s="66"/>
      <c r="FTT44" s="67"/>
      <c r="FTU44" s="34"/>
      <c r="FTX44" s="5"/>
      <c r="FTY44" s="18"/>
      <c r="FTZ44" s="56"/>
      <c r="FUA44" s="57"/>
      <c r="FUB44" s="58"/>
      <c r="FUC44" s="59"/>
      <c r="FUD44" s="58"/>
      <c r="FUE44" s="59"/>
      <c r="FUF44" s="6"/>
      <c r="FUG44" s="7"/>
      <c r="FUH44" s="8"/>
      <c r="FUI44" s="8"/>
      <c r="FUJ44" s="6"/>
      <c r="FUK44" s="16"/>
      <c r="FUL44" s="16"/>
      <c r="FUM44" s="16"/>
      <c r="FUN44" s="16"/>
      <c r="FUO44" s="65"/>
      <c r="FUP44" s="66"/>
      <c r="FUQ44" s="67"/>
      <c r="FUR44" s="34"/>
      <c r="FUU44" s="5"/>
      <c r="FUV44" s="18"/>
      <c r="FUW44" s="56"/>
      <c r="FUX44" s="57"/>
      <c r="FUY44" s="58"/>
      <c r="FUZ44" s="59"/>
      <c r="FVA44" s="58"/>
      <c r="FVB44" s="59"/>
      <c r="FVC44" s="6"/>
      <c r="FVD44" s="7"/>
      <c r="FVE44" s="8"/>
      <c r="FVF44" s="8"/>
      <c r="FVG44" s="6"/>
      <c r="FVH44" s="16"/>
      <c r="FVI44" s="16"/>
      <c r="FVJ44" s="16"/>
      <c r="FVK44" s="16"/>
      <c r="FVL44" s="65"/>
      <c r="FVM44" s="66"/>
      <c r="FVN44" s="67"/>
      <c r="FVO44" s="34"/>
      <c r="FVR44" s="5"/>
      <c r="FVS44" s="18"/>
      <c r="FVT44" s="56"/>
      <c r="FVU44" s="57"/>
      <c r="FVV44" s="58"/>
      <c r="FVW44" s="59"/>
      <c r="FVX44" s="58"/>
      <c r="FVY44" s="59"/>
      <c r="FVZ44" s="6"/>
      <c r="FWA44" s="7"/>
      <c r="FWB44" s="8"/>
      <c r="FWC44" s="8"/>
      <c r="FWD44" s="6"/>
      <c r="FWE44" s="16"/>
      <c r="FWF44" s="16"/>
      <c r="FWG44" s="16"/>
      <c r="FWH44" s="16"/>
      <c r="FWI44" s="65"/>
      <c r="FWJ44" s="66"/>
      <c r="FWK44" s="67"/>
      <c r="FWL44" s="34"/>
      <c r="FWO44" s="5"/>
      <c r="FWP44" s="18"/>
      <c r="FWQ44" s="56"/>
      <c r="FWR44" s="57"/>
      <c r="FWS44" s="58"/>
      <c r="FWT44" s="59"/>
      <c r="FWU44" s="58"/>
      <c r="FWV44" s="59"/>
      <c r="FWW44" s="6"/>
      <c r="FWX44" s="7"/>
      <c r="FWY44" s="8"/>
      <c r="FWZ44" s="8"/>
      <c r="FXA44" s="6"/>
      <c r="FXB44" s="16"/>
      <c r="FXC44" s="16"/>
      <c r="FXD44" s="16"/>
      <c r="FXE44" s="16"/>
      <c r="FXF44" s="65"/>
      <c r="FXG44" s="66"/>
      <c r="FXH44" s="67"/>
      <c r="FXI44" s="34"/>
      <c r="FXL44" s="5"/>
      <c r="FXM44" s="18"/>
      <c r="FXN44" s="56"/>
      <c r="FXO44" s="57"/>
      <c r="FXP44" s="58"/>
      <c r="FXQ44" s="59"/>
      <c r="FXR44" s="58"/>
      <c r="FXS44" s="59"/>
      <c r="FXT44" s="6"/>
      <c r="FXU44" s="7"/>
      <c r="FXV44" s="8"/>
      <c r="FXW44" s="8"/>
      <c r="FXX44" s="6"/>
      <c r="FXY44" s="16"/>
      <c r="FXZ44" s="16"/>
      <c r="FYA44" s="16"/>
      <c r="FYB44" s="16"/>
      <c r="FYC44" s="65"/>
      <c r="FYD44" s="66"/>
      <c r="FYE44" s="67"/>
      <c r="FYF44" s="34"/>
      <c r="FYI44" s="5"/>
      <c r="FYJ44" s="18"/>
      <c r="FYK44" s="56"/>
      <c r="FYL44" s="57"/>
      <c r="FYM44" s="58"/>
      <c r="FYN44" s="59"/>
      <c r="FYO44" s="58"/>
      <c r="FYP44" s="59"/>
      <c r="FYQ44" s="6"/>
      <c r="FYR44" s="7"/>
      <c r="FYS44" s="8"/>
      <c r="FYT44" s="8"/>
      <c r="FYU44" s="6"/>
      <c r="FYV44" s="16"/>
      <c r="FYW44" s="16"/>
      <c r="FYX44" s="16"/>
      <c r="FYY44" s="16"/>
      <c r="FYZ44" s="65"/>
      <c r="FZA44" s="66"/>
      <c r="FZB44" s="67"/>
      <c r="FZC44" s="34"/>
      <c r="FZF44" s="5"/>
      <c r="FZG44" s="18"/>
      <c r="FZH44" s="56"/>
      <c r="FZI44" s="57"/>
      <c r="FZJ44" s="58"/>
      <c r="FZK44" s="59"/>
      <c r="FZL44" s="58"/>
      <c r="FZM44" s="59"/>
      <c r="FZN44" s="6"/>
      <c r="FZO44" s="7"/>
      <c r="FZP44" s="8"/>
      <c r="FZQ44" s="8"/>
      <c r="FZR44" s="6"/>
      <c r="FZS44" s="16"/>
      <c r="FZT44" s="16"/>
      <c r="FZU44" s="16"/>
      <c r="FZV44" s="16"/>
      <c r="FZW44" s="65"/>
      <c r="FZX44" s="66"/>
      <c r="FZY44" s="67"/>
      <c r="FZZ44" s="34"/>
      <c r="GAC44" s="5"/>
      <c r="GAD44" s="18"/>
      <c r="GAE44" s="56"/>
      <c r="GAF44" s="57"/>
      <c r="GAG44" s="58"/>
      <c r="GAH44" s="59"/>
      <c r="GAI44" s="58"/>
      <c r="GAJ44" s="59"/>
      <c r="GAK44" s="6"/>
      <c r="GAL44" s="7"/>
      <c r="GAM44" s="8"/>
      <c r="GAN44" s="8"/>
      <c r="GAO44" s="6"/>
      <c r="GAP44" s="16"/>
      <c r="GAQ44" s="16"/>
      <c r="GAR44" s="16"/>
      <c r="GAS44" s="16"/>
      <c r="GAT44" s="65"/>
      <c r="GAU44" s="66"/>
      <c r="GAV44" s="67"/>
      <c r="GAW44" s="34"/>
      <c r="GAZ44" s="5"/>
      <c r="GBA44" s="18"/>
      <c r="GBB44" s="56"/>
      <c r="GBC44" s="57"/>
      <c r="GBD44" s="58"/>
      <c r="GBE44" s="59"/>
      <c r="GBF44" s="58"/>
      <c r="GBG44" s="59"/>
      <c r="GBH44" s="6"/>
      <c r="GBI44" s="7"/>
      <c r="GBJ44" s="8"/>
      <c r="GBK44" s="8"/>
      <c r="GBL44" s="6"/>
      <c r="GBM44" s="16"/>
      <c r="GBN44" s="16"/>
      <c r="GBO44" s="16"/>
      <c r="GBP44" s="16"/>
      <c r="GBQ44" s="65"/>
      <c r="GBR44" s="66"/>
      <c r="GBS44" s="67"/>
      <c r="GBT44" s="34"/>
      <c r="GBW44" s="5"/>
      <c r="GBX44" s="18"/>
      <c r="GBY44" s="56"/>
      <c r="GBZ44" s="57"/>
      <c r="GCA44" s="58"/>
      <c r="GCB44" s="59"/>
      <c r="GCC44" s="58"/>
      <c r="GCD44" s="59"/>
      <c r="GCE44" s="6"/>
      <c r="GCF44" s="7"/>
      <c r="GCG44" s="8"/>
      <c r="GCH44" s="8"/>
      <c r="GCI44" s="6"/>
      <c r="GCJ44" s="16"/>
      <c r="GCK44" s="16"/>
      <c r="GCL44" s="16"/>
      <c r="GCM44" s="16"/>
      <c r="GCN44" s="65"/>
      <c r="GCO44" s="66"/>
      <c r="GCP44" s="67"/>
      <c r="GCQ44" s="34"/>
      <c r="GCT44" s="5"/>
      <c r="GCU44" s="18"/>
      <c r="GCV44" s="56"/>
      <c r="GCW44" s="57"/>
      <c r="GCX44" s="58"/>
      <c r="GCY44" s="59"/>
      <c r="GCZ44" s="58"/>
      <c r="GDA44" s="59"/>
      <c r="GDB44" s="6"/>
      <c r="GDC44" s="7"/>
      <c r="GDD44" s="8"/>
      <c r="GDE44" s="8"/>
      <c r="GDF44" s="6"/>
      <c r="GDG44" s="16"/>
      <c r="GDH44" s="16"/>
      <c r="GDI44" s="16"/>
      <c r="GDJ44" s="16"/>
      <c r="GDK44" s="65"/>
      <c r="GDL44" s="66"/>
      <c r="GDM44" s="67"/>
      <c r="GDN44" s="34"/>
      <c r="GDQ44" s="5"/>
      <c r="GDR44" s="18"/>
      <c r="GDS44" s="56"/>
      <c r="GDT44" s="57"/>
      <c r="GDU44" s="58"/>
      <c r="GDV44" s="59"/>
      <c r="GDW44" s="58"/>
      <c r="GDX44" s="59"/>
      <c r="GDY44" s="6"/>
      <c r="GDZ44" s="7"/>
      <c r="GEA44" s="8"/>
      <c r="GEB44" s="8"/>
      <c r="GEC44" s="6"/>
      <c r="GED44" s="16"/>
      <c r="GEE44" s="16"/>
      <c r="GEF44" s="16"/>
      <c r="GEG44" s="16"/>
      <c r="GEH44" s="65"/>
      <c r="GEI44" s="66"/>
      <c r="GEJ44" s="67"/>
      <c r="GEK44" s="34"/>
      <c r="GEN44" s="5"/>
      <c r="GEO44" s="18"/>
      <c r="GEP44" s="56"/>
      <c r="GEQ44" s="57"/>
      <c r="GER44" s="58"/>
      <c r="GES44" s="59"/>
      <c r="GET44" s="58"/>
      <c r="GEU44" s="59"/>
      <c r="GEV44" s="6"/>
      <c r="GEW44" s="7"/>
      <c r="GEX44" s="8"/>
      <c r="GEY44" s="8"/>
      <c r="GEZ44" s="6"/>
      <c r="GFA44" s="16"/>
      <c r="GFB44" s="16"/>
      <c r="GFC44" s="16"/>
      <c r="GFD44" s="16"/>
      <c r="GFE44" s="65"/>
      <c r="GFF44" s="66"/>
      <c r="GFG44" s="67"/>
      <c r="GFH44" s="34"/>
      <c r="GFK44" s="5"/>
      <c r="GFL44" s="18"/>
      <c r="GFM44" s="56"/>
      <c r="GFN44" s="57"/>
      <c r="GFO44" s="58"/>
      <c r="GFP44" s="59"/>
      <c r="GFQ44" s="58"/>
      <c r="GFR44" s="59"/>
      <c r="GFS44" s="6"/>
      <c r="GFT44" s="7"/>
      <c r="GFU44" s="8"/>
      <c r="GFV44" s="8"/>
      <c r="GFW44" s="6"/>
      <c r="GFX44" s="16"/>
      <c r="GFY44" s="16"/>
      <c r="GFZ44" s="16"/>
      <c r="GGA44" s="16"/>
      <c r="GGB44" s="65"/>
      <c r="GGC44" s="66"/>
      <c r="GGD44" s="67"/>
      <c r="GGE44" s="34"/>
      <c r="GGH44" s="5"/>
      <c r="GGI44" s="18"/>
      <c r="GGJ44" s="56"/>
      <c r="GGK44" s="57"/>
      <c r="GGL44" s="58"/>
      <c r="GGM44" s="59"/>
      <c r="GGN44" s="58"/>
      <c r="GGO44" s="59"/>
      <c r="GGP44" s="6"/>
      <c r="GGQ44" s="7"/>
      <c r="GGR44" s="8"/>
      <c r="GGS44" s="8"/>
      <c r="GGT44" s="6"/>
      <c r="GGU44" s="16"/>
      <c r="GGV44" s="16"/>
      <c r="GGW44" s="16"/>
      <c r="GGX44" s="16"/>
      <c r="GGY44" s="65"/>
      <c r="GGZ44" s="66"/>
      <c r="GHA44" s="67"/>
      <c r="GHB44" s="34"/>
      <c r="GHE44" s="5"/>
      <c r="GHF44" s="18"/>
      <c r="GHG44" s="56"/>
      <c r="GHH44" s="57"/>
      <c r="GHI44" s="58"/>
      <c r="GHJ44" s="59"/>
      <c r="GHK44" s="58"/>
      <c r="GHL44" s="59"/>
      <c r="GHM44" s="6"/>
      <c r="GHN44" s="7"/>
      <c r="GHO44" s="8"/>
      <c r="GHP44" s="8"/>
      <c r="GHQ44" s="6"/>
      <c r="GHR44" s="16"/>
      <c r="GHS44" s="16"/>
      <c r="GHT44" s="16"/>
      <c r="GHU44" s="16"/>
      <c r="GHV44" s="65"/>
      <c r="GHW44" s="66"/>
      <c r="GHX44" s="67"/>
      <c r="GHY44" s="34"/>
      <c r="GIB44" s="5"/>
      <c r="GIC44" s="18"/>
      <c r="GID44" s="56"/>
      <c r="GIE44" s="57"/>
      <c r="GIF44" s="58"/>
      <c r="GIG44" s="59"/>
      <c r="GIH44" s="58"/>
      <c r="GII44" s="59"/>
      <c r="GIJ44" s="6"/>
      <c r="GIK44" s="7"/>
      <c r="GIL44" s="8"/>
      <c r="GIM44" s="8"/>
      <c r="GIN44" s="6"/>
      <c r="GIO44" s="16"/>
      <c r="GIP44" s="16"/>
      <c r="GIQ44" s="16"/>
      <c r="GIR44" s="16"/>
      <c r="GIS44" s="65"/>
      <c r="GIT44" s="66"/>
      <c r="GIU44" s="67"/>
      <c r="GIV44" s="34"/>
      <c r="GIY44" s="5"/>
      <c r="GIZ44" s="18"/>
      <c r="GJA44" s="56"/>
      <c r="GJB44" s="57"/>
      <c r="GJC44" s="58"/>
      <c r="GJD44" s="59"/>
      <c r="GJE44" s="58"/>
      <c r="GJF44" s="59"/>
      <c r="GJG44" s="6"/>
      <c r="GJH44" s="7"/>
      <c r="GJI44" s="8"/>
      <c r="GJJ44" s="8"/>
      <c r="GJK44" s="6"/>
      <c r="GJL44" s="16"/>
      <c r="GJM44" s="16"/>
      <c r="GJN44" s="16"/>
      <c r="GJO44" s="16"/>
      <c r="GJP44" s="65"/>
      <c r="GJQ44" s="66"/>
      <c r="GJR44" s="67"/>
      <c r="GJS44" s="34"/>
      <c r="GJV44" s="5"/>
      <c r="GJW44" s="18"/>
      <c r="GJX44" s="56"/>
      <c r="GJY44" s="57"/>
      <c r="GJZ44" s="58"/>
      <c r="GKA44" s="59"/>
      <c r="GKB44" s="58"/>
      <c r="GKC44" s="59"/>
      <c r="GKD44" s="6"/>
      <c r="GKE44" s="7"/>
      <c r="GKF44" s="8"/>
      <c r="GKG44" s="8"/>
      <c r="GKH44" s="6"/>
      <c r="GKI44" s="16"/>
      <c r="GKJ44" s="16"/>
      <c r="GKK44" s="16"/>
      <c r="GKL44" s="16"/>
      <c r="GKM44" s="65"/>
      <c r="GKN44" s="66"/>
      <c r="GKO44" s="67"/>
      <c r="GKP44" s="34"/>
      <c r="GKS44" s="5"/>
      <c r="GKT44" s="18"/>
      <c r="GKU44" s="56"/>
      <c r="GKV44" s="57"/>
      <c r="GKW44" s="58"/>
      <c r="GKX44" s="59"/>
      <c r="GKY44" s="58"/>
      <c r="GKZ44" s="59"/>
      <c r="GLA44" s="6"/>
      <c r="GLB44" s="7"/>
      <c r="GLC44" s="8"/>
      <c r="GLD44" s="8"/>
      <c r="GLE44" s="6"/>
      <c r="GLF44" s="16"/>
      <c r="GLG44" s="16"/>
      <c r="GLH44" s="16"/>
      <c r="GLI44" s="16"/>
      <c r="GLJ44" s="65"/>
      <c r="GLK44" s="66"/>
      <c r="GLL44" s="67"/>
      <c r="GLM44" s="34"/>
      <c r="GLP44" s="5"/>
      <c r="GLQ44" s="18"/>
      <c r="GLR44" s="56"/>
      <c r="GLS44" s="57"/>
      <c r="GLT44" s="58"/>
      <c r="GLU44" s="59"/>
      <c r="GLV44" s="58"/>
      <c r="GLW44" s="59"/>
      <c r="GLX44" s="6"/>
      <c r="GLY44" s="7"/>
      <c r="GLZ44" s="8"/>
      <c r="GMA44" s="8"/>
      <c r="GMB44" s="6"/>
      <c r="GMC44" s="16"/>
      <c r="GMD44" s="16"/>
      <c r="GME44" s="16"/>
      <c r="GMF44" s="16"/>
      <c r="GMG44" s="65"/>
      <c r="GMH44" s="66"/>
      <c r="GMI44" s="67"/>
      <c r="GMJ44" s="34"/>
      <c r="GMM44" s="5"/>
      <c r="GMN44" s="18"/>
      <c r="GMO44" s="56"/>
      <c r="GMP44" s="57"/>
      <c r="GMQ44" s="58"/>
      <c r="GMR44" s="59"/>
      <c r="GMS44" s="58"/>
      <c r="GMT44" s="59"/>
      <c r="GMU44" s="6"/>
      <c r="GMV44" s="7"/>
      <c r="GMW44" s="8"/>
      <c r="GMX44" s="8"/>
      <c r="GMY44" s="6"/>
      <c r="GMZ44" s="16"/>
      <c r="GNA44" s="16"/>
      <c r="GNB44" s="16"/>
      <c r="GNC44" s="16"/>
      <c r="GND44" s="65"/>
      <c r="GNE44" s="66"/>
      <c r="GNF44" s="67"/>
      <c r="GNG44" s="34"/>
      <c r="GNJ44" s="5"/>
      <c r="GNK44" s="18"/>
      <c r="GNL44" s="56"/>
      <c r="GNM44" s="57"/>
      <c r="GNN44" s="58"/>
      <c r="GNO44" s="59"/>
      <c r="GNP44" s="58"/>
      <c r="GNQ44" s="59"/>
      <c r="GNR44" s="6"/>
      <c r="GNS44" s="7"/>
      <c r="GNT44" s="8"/>
      <c r="GNU44" s="8"/>
      <c r="GNV44" s="6"/>
      <c r="GNW44" s="16"/>
      <c r="GNX44" s="16"/>
      <c r="GNY44" s="16"/>
      <c r="GNZ44" s="16"/>
      <c r="GOA44" s="65"/>
      <c r="GOB44" s="66"/>
      <c r="GOC44" s="67"/>
      <c r="GOD44" s="34"/>
      <c r="GOG44" s="5"/>
      <c r="GOH44" s="18"/>
      <c r="GOI44" s="56"/>
      <c r="GOJ44" s="57"/>
      <c r="GOK44" s="58"/>
      <c r="GOL44" s="59"/>
      <c r="GOM44" s="58"/>
      <c r="GON44" s="59"/>
      <c r="GOO44" s="6"/>
      <c r="GOP44" s="7"/>
      <c r="GOQ44" s="8"/>
      <c r="GOR44" s="8"/>
      <c r="GOS44" s="6"/>
      <c r="GOT44" s="16"/>
      <c r="GOU44" s="16"/>
      <c r="GOV44" s="16"/>
      <c r="GOW44" s="16"/>
      <c r="GOX44" s="65"/>
      <c r="GOY44" s="66"/>
      <c r="GOZ44" s="67"/>
      <c r="GPA44" s="34"/>
      <c r="GPD44" s="5"/>
      <c r="GPE44" s="18"/>
      <c r="GPF44" s="56"/>
      <c r="GPG44" s="57"/>
      <c r="GPH44" s="58"/>
      <c r="GPI44" s="59"/>
      <c r="GPJ44" s="58"/>
      <c r="GPK44" s="59"/>
      <c r="GPL44" s="6"/>
      <c r="GPM44" s="7"/>
      <c r="GPN44" s="8"/>
      <c r="GPO44" s="8"/>
      <c r="GPP44" s="6"/>
      <c r="GPQ44" s="16"/>
      <c r="GPR44" s="16"/>
      <c r="GPS44" s="16"/>
      <c r="GPT44" s="16"/>
      <c r="GPU44" s="65"/>
      <c r="GPV44" s="66"/>
      <c r="GPW44" s="67"/>
      <c r="GPX44" s="34"/>
      <c r="GQA44" s="5"/>
      <c r="GQB44" s="18"/>
      <c r="GQC44" s="56"/>
      <c r="GQD44" s="57"/>
      <c r="GQE44" s="58"/>
      <c r="GQF44" s="59"/>
      <c r="GQG44" s="58"/>
      <c r="GQH44" s="59"/>
      <c r="GQI44" s="6"/>
      <c r="GQJ44" s="7"/>
      <c r="GQK44" s="8"/>
      <c r="GQL44" s="8"/>
      <c r="GQM44" s="6"/>
      <c r="GQN44" s="16"/>
      <c r="GQO44" s="16"/>
      <c r="GQP44" s="16"/>
      <c r="GQQ44" s="16"/>
      <c r="GQR44" s="65"/>
      <c r="GQS44" s="66"/>
      <c r="GQT44" s="67"/>
      <c r="GQU44" s="34"/>
      <c r="GQX44" s="5"/>
      <c r="GQY44" s="18"/>
      <c r="GQZ44" s="56"/>
      <c r="GRA44" s="57"/>
      <c r="GRB44" s="58"/>
      <c r="GRC44" s="59"/>
      <c r="GRD44" s="58"/>
      <c r="GRE44" s="59"/>
      <c r="GRF44" s="6"/>
      <c r="GRG44" s="7"/>
      <c r="GRH44" s="8"/>
      <c r="GRI44" s="8"/>
      <c r="GRJ44" s="6"/>
      <c r="GRK44" s="16"/>
      <c r="GRL44" s="16"/>
      <c r="GRM44" s="16"/>
      <c r="GRN44" s="16"/>
      <c r="GRO44" s="65"/>
      <c r="GRP44" s="66"/>
      <c r="GRQ44" s="67"/>
      <c r="GRR44" s="34"/>
      <c r="GRU44" s="5"/>
      <c r="GRV44" s="18"/>
      <c r="GRW44" s="56"/>
      <c r="GRX44" s="57"/>
      <c r="GRY44" s="58"/>
      <c r="GRZ44" s="59"/>
      <c r="GSA44" s="58"/>
      <c r="GSB44" s="59"/>
      <c r="GSC44" s="6"/>
      <c r="GSD44" s="7"/>
      <c r="GSE44" s="8"/>
      <c r="GSF44" s="8"/>
      <c r="GSG44" s="6"/>
      <c r="GSH44" s="16"/>
      <c r="GSI44" s="16"/>
      <c r="GSJ44" s="16"/>
      <c r="GSK44" s="16"/>
      <c r="GSL44" s="65"/>
      <c r="GSM44" s="66"/>
      <c r="GSN44" s="67"/>
      <c r="GSO44" s="34"/>
      <c r="GSR44" s="5"/>
      <c r="GSS44" s="18"/>
      <c r="GST44" s="56"/>
      <c r="GSU44" s="57"/>
      <c r="GSV44" s="58"/>
      <c r="GSW44" s="59"/>
      <c r="GSX44" s="58"/>
      <c r="GSY44" s="59"/>
      <c r="GSZ44" s="6"/>
      <c r="GTA44" s="7"/>
      <c r="GTB44" s="8"/>
      <c r="GTC44" s="8"/>
      <c r="GTD44" s="6"/>
      <c r="GTE44" s="16"/>
      <c r="GTF44" s="16"/>
      <c r="GTG44" s="16"/>
      <c r="GTH44" s="16"/>
      <c r="GTI44" s="65"/>
      <c r="GTJ44" s="66"/>
      <c r="GTK44" s="67"/>
      <c r="GTL44" s="34"/>
      <c r="GTO44" s="5"/>
      <c r="GTP44" s="18"/>
      <c r="GTQ44" s="56"/>
      <c r="GTR44" s="57"/>
      <c r="GTS44" s="58"/>
      <c r="GTT44" s="59"/>
      <c r="GTU44" s="58"/>
      <c r="GTV44" s="59"/>
      <c r="GTW44" s="6"/>
      <c r="GTX44" s="7"/>
      <c r="GTY44" s="8"/>
      <c r="GTZ44" s="8"/>
      <c r="GUA44" s="6"/>
      <c r="GUB44" s="16"/>
      <c r="GUC44" s="16"/>
      <c r="GUD44" s="16"/>
      <c r="GUE44" s="16"/>
      <c r="GUF44" s="65"/>
      <c r="GUG44" s="66"/>
      <c r="GUH44" s="67"/>
      <c r="GUI44" s="34"/>
      <c r="GUL44" s="5"/>
      <c r="GUM44" s="18"/>
      <c r="GUN44" s="56"/>
      <c r="GUO44" s="57"/>
      <c r="GUP44" s="58"/>
      <c r="GUQ44" s="59"/>
      <c r="GUR44" s="58"/>
      <c r="GUS44" s="59"/>
      <c r="GUT44" s="6"/>
      <c r="GUU44" s="7"/>
      <c r="GUV44" s="8"/>
      <c r="GUW44" s="8"/>
      <c r="GUX44" s="6"/>
      <c r="GUY44" s="16"/>
      <c r="GUZ44" s="16"/>
      <c r="GVA44" s="16"/>
      <c r="GVB44" s="16"/>
      <c r="GVC44" s="65"/>
      <c r="GVD44" s="66"/>
      <c r="GVE44" s="67"/>
      <c r="GVF44" s="34"/>
      <c r="GVI44" s="5"/>
      <c r="GVJ44" s="18"/>
      <c r="GVK44" s="56"/>
      <c r="GVL44" s="57"/>
      <c r="GVM44" s="58"/>
      <c r="GVN44" s="59"/>
      <c r="GVO44" s="58"/>
      <c r="GVP44" s="59"/>
      <c r="GVQ44" s="6"/>
      <c r="GVR44" s="7"/>
      <c r="GVS44" s="8"/>
      <c r="GVT44" s="8"/>
      <c r="GVU44" s="6"/>
      <c r="GVV44" s="16"/>
      <c r="GVW44" s="16"/>
      <c r="GVX44" s="16"/>
      <c r="GVY44" s="16"/>
      <c r="GVZ44" s="65"/>
      <c r="GWA44" s="66"/>
      <c r="GWB44" s="67"/>
      <c r="GWC44" s="34"/>
      <c r="GWF44" s="5"/>
      <c r="GWG44" s="18"/>
      <c r="GWH44" s="56"/>
      <c r="GWI44" s="57"/>
      <c r="GWJ44" s="58"/>
      <c r="GWK44" s="59"/>
      <c r="GWL44" s="58"/>
      <c r="GWM44" s="59"/>
      <c r="GWN44" s="6"/>
      <c r="GWO44" s="7"/>
      <c r="GWP44" s="8"/>
      <c r="GWQ44" s="8"/>
      <c r="GWR44" s="6"/>
      <c r="GWS44" s="16"/>
      <c r="GWT44" s="16"/>
      <c r="GWU44" s="16"/>
      <c r="GWV44" s="16"/>
      <c r="GWW44" s="65"/>
      <c r="GWX44" s="66"/>
      <c r="GWY44" s="67"/>
      <c r="GWZ44" s="34"/>
      <c r="GXC44" s="5"/>
      <c r="GXD44" s="18"/>
      <c r="GXE44" s="56"/>
      <c r="GXF44" s="57"/>
      <c r="GXG44" s="58"/>
      <c r="GXH44" s="59"/>
      <c r="GXI44" s="58"/>
      <c r="GXJ44" s="59"/>
      <c r="GXK44" s="6"/>
      <c r="GXL44" s="7"/>
      <c r="GXM44" s="8"/>
      <c r="GXN44" s="8"/>
      <c r="GXO44" s="6"/>
      <c r="GXP44" s="16"/>
      <c r="GXQ44" s="16"/>
      <c r="GXR44" s="16"/>
      <c r="GXS44" s="16"/>
      <c r="GXT44" s="65"/>
      <c r="GXU44" s="66"/>
      <c r="GXV44" s="67"/>
      <c r="GXW44" s="34"/>
      <c r="GXZ44" s="5"/>
      <c r="GYA44" s="18"/>
      <c r="GYB44" s="56"/>
      <c r="GYC44" s="57"/>
      <c r="GYD44" s="58"/>
      <c r="GYE44" s="59"/>
      <c r="GYF44" s="58"/>
      <c r="GYG44" s="59"/>
      <c r="GYH44" s="6"/>
      <c r="GYI44" s="7"/>
      <c r="GYJ44" s="8"/>
      <c r="GYK44" s="8"/>
      <c r="GYL44" s="6"/>
      <c r="GYM44" s="16"/>
      <c r="GYN44" s="16"/>
      <c r="GYO44" s="16"/>
      <c r="GYP44" s="16"/>
      <c r="GYQ44" s="65"/>
      <c r="GYR44" s="66"/>
      <c r="GYS44" s="67"/>
      <c r="GYT44" s="34"/>
      <c r="GYW44" s="5"/>
      <c r="GYX44" s="18"/>
      <c r="GYY44" s="56"/>
      <c r="GYZ44" s="57"/>
      <c r="GZA44" s="58"/>
      <c r="GZB44" s="59"/>
      <c r="GZC44" s="58"/>
      <c r="GZD44" s="59"/>
      <c r="GZE44" s="6"/>
      <c r="GZF44" s="7"/>
      <c r="GZG44" s="8"/>
      <c r="GZH44" s="8"/>
      <c r="GZI44" s="6"/>
      <c r="GZJ44" s="16"/>
      <c r="GZK44" s="16"/>
      <c r="GZL44" s="16"/>
      <c r="GZM44" s="16"/>
      <c r="GZN44" s="65"/>
      <c r="GZO44" s="66"/>
      <c r="GZP44" s="67"/>
      <c r="GZQ44" s="34"/>
      <c r="GZT44" s="5"/>
      <c r="GZU44" s="18"/>
      <c r="GZV44" s="56"/>
      <c r="GZW44" s="57"/>
      <c r="GZX44" s="58"/>
      <c r="GZY44" s="59"/>
      <c r="GZZ44" s="58"/>
      <c r="HAA44" s="59"/>
      <c r="HAB44" s="6"/>
      <c r="HAC44" s="7"/>
      <c r="HAD44" s="8"/>
      <c r="HAE44" s="8"/>
      <c r="HAF44" s="6"/>
      <c r="HAG44" s="16"/>
      <c r="HAH44" s="16"/>
      <c r="HAI44" s="16"/>
      <c r="HAJ44" s="16"/>
      <c r="HAK44" s="65"/>
      <c r="HAL44" s="66"/>
      <c r="HAM44" s="67"/>
      <c r="HAN44" s="34"/>
      <c r="HAQ44" s="5"/>
      <c r="HAR44" s="18"/>
      <c r="HAS44" s="56"/>
      <c r="HAT44" s="57"/>
      <c r="HAU44" s="58"/>
      <c r="HAV44" s="59"/>
      <c r="HAW44" s="58"/>
      <c r="HAX44" s="59"/>
      <c r="HAY44" s="6"/>
      <c r="HAZ44" s="7"/>
      <c r="HBA44" s="8"/>
      <c r="HBB44" s="8"/>
      <c r="HBC44" s="6"/>
      <c r="HBD44" s="16"/>
      <c r="HBE44" s="16"/>
      <c r="HBF44" s="16"/>
      <c r="HBG44" s="16"/>
      <c r="HBH44" s="65"/>
      <c r="HBI44" s="66"/>
      <c r="HBJ44" s="67"/>
      <c r="HBK44" s="34"/>
      <c r="HBN44" s="5"/>
      <c r="HBO44" s="18"/>
      <c r="HBP44" s="56"/>
      <c r="HBQ44" s="57"/>
      <c r="HBR44" s="58"/>
      <c r="HBS44" s="59"/>
      <c r="HBT44" s="58"/>
      <c r="HBU44" s="59"/>
      <c r="HBV44" s="6"/>
      <c r="HBW44" s="7"/>
      <c r="HBX44" s="8"/>
      <c r="HBY44" s="8"/>
      <c r="HBZ44" s="6"/>
      <c r="HCA44" s="16"/>
      <c r="HCB44" s="16"/>
      <c r="HCC44" s="16"/>
      <c r="HCD44" s="16"/>
      <c r="HCE44" s="65"/>
      <c r="HCF44" s="66"/>
      <c r="HCG44" s="67"/>
      <c r="HCH44" s="34"/>
      <c r="HCK44" s="5"/>
      <c r="HCL44" s="18"/>
      <c r="HCM44" s="56"/>
      <c r="HCN44" s="57"/>
      <c r="HCO44" s="58"/>
      <c r="HCP44" s="59"/>
      <c r="HCQ44" s="58"/>
      <c r="HCR44" s="59"/>
      <c r="HCS44" s="6"/>
      <c r="HCT44" s="7"/>
      <c r="HCU44" s="8"/>
      <c r="HCV44" s="8"/>
      <c r="HCW44" s="6"/>
      <c r="HCX44" s="16"/>
      <c r="HCY44" s="16"/>
      <c r="HCZ44" s="16"/>
      <c r="HDA44" s="16"/>
      <c r="HDB44" s="65"/>
      <c r="HDC44" s="66"/>
      <c r="HDD44" s="67"/>
      <c r="HDE44" s="34"/>
      <c r="HDH44" s="5"/>
      <c r="HDI44" s="18"/>
      <c r="HDJ44" s="56"/>
      <c r="HDK44" s="57"/>
      <c r="HDL44" s="58"/>
      <c r="HDM44" s="59"/>
      <c r="HDN44" s="58"/>
      <c r="HDO44" s="59"/>
      <c r="HDP44" s="6"/>
      <c r="HDQ44" s="7"/>
      <c r="HDR44" s="8"/>
      <c r="HDS44" s="8"/>
      <c r="HDT44" s="6"/>
      <c r="HDU44" s="16"/>
      <c r="HDV44" s="16"/>
      <c r="HDW44" s="16"/>
      <c r="HDX44" s="16"/>
      <c r="HDY44" s="65"/>
      <c r="HDZ44" s="66"/>
      <c r="HEA44" s="67"/>
      <c r="HEB44" s="34"/>
      <c r="HEE44" s="5"/>
      <c r="HEF44" s="18"/>
      <c r="HEG44" s="56"/>
      <c r="HEH44" s="57"/>
      <c r="HEI44" s="58"/>
      <c r="HEJ44" s="59"/>
      <c r="HEK44" s="58"/>
      <c r="HEL44" s="59"/>
      <c r="HEM44" s="6"/>
      <c r="HEN44" s="7"/>
      <c r="HEO44" s="8"/>
      <c r="HEP44" s="8"/>
      <c r="HEQ44" s="6"/>
      <c r="HER44" s="16"/>
      <c r="HES44" s="16"/>
      <c r="HET44" s="16"/>
      <c r="HEU44" s="16"/>
      <c r="HEV44" s="65"/>
      <c r="HEW44" s="66"/>
      <c r="HEX44" s="67"/>
      <c r="HEY44" s="34"/>
      <c r="HFB44" s="5"/>
      <c r="HFC44" s="18"/>
      <c r="HFD44" s="56"/>
      <c r="HFE44" s="57"/>
      <c r="HFF44" s="58"/>
      <c r="HFG44" s="59"/>
      <c r="HFH44" s="58"/>
      <c r="HFI44" s="59"/>
      <c r="HFJ44" s="6"/>
      <c r="HFK44" s="7"/>
      <c r="HFL44" s="8"/>
      <c r="HFM44" s="8"/>
      <c r="HFN44" s="6"/>
      <c r="HFO44" s="16"/>
      <c r="HFP44" s="16"/>
      <c r="HFQ44" s="16"/>
      <c r="HFR44" s="16"/>
      <c r="HFS44" s="65"/>
      <c r="HFT44" s="66"/>
      <c r="HFU44" s="67"/>
      <c r="HFV44" s="34"/>
      <c r="HFY44" s="5"/>
      <c r="HFZ44" s="18"/>
      <c r="HGA44" s="56"/>
      <c r="HGB44" s="57"/>
      <c r="HGC44" s="58"/>
      <c r="HGD44" s="59"/>
      <c r="HGE44" s="58"/>
      <c r="HGF44" s="59"/>
      <c r="HGG44" s="6"/>
      <c r="HGH44" s="7"/>
      <c r="HGI44" s="8"/>
      <c r="HGJ44" s="8"/>
      <c r="HGK44" s="6"/>
      <c r="HGL44" s="16"/>
      <c r="HGM44" s="16"/>
      <c r="HGN44" s="16"/>
      <c r="HGO44" s="16"/>
      <c r="HGP44" s="65"/>
      <c r="HGQ44" s="66"/>
      <c r="HGR44" s="67"/>
      <c r="HGS44" s="34"/>
      <c r="HGV44" s="5"/>
      <c r="HGW44" s="18"/>
      <c r="HGX44" s="56"/>
      <c r="HGY44" s="57"/>
      <c r="HGZ44" s="58"/>
      <c r="HHA44" s="59"/>
      <c r="HHB44" s="58"/>
      <c r="HHC44" s="59"/>
      <c r="HHD44" s="6"/>
      <c r="HHE44" s="7"/>
      <c r="HHF44" s="8"/>
      <c r="HHG44" s="8"/>
      <c r="HHH44" s="6"/>
      <c r="HHI44" s="16"/>
      <c r="HHJ44" s="16"/>
      <c r="HHK44" s="16"/>
      <c r="HHL44" s="16"/>
      <c r="HHM44" s="65"/>
      <c r="HHN44" s="66"/>
      <c r="HHO44" s="67"/>
      <c r="HHP44" s="34"/>
      <c r="HHS44" s="5"/>
      <c r="HHT44" s="18"/>
      <c r="HHU44" s="56"/>
      <c r="HHV44" s="57"/>
      <c r="HHW44" s="58"/>
      <c r="HHX44" s="59"/>
      <c r="HHY44" s="58"/>
      <c r="HHZ44" s="59"/>
      <c r="HIA44" s="6"/>
      <c r="HIB44" s="7"/>
      <c r="HIC44" s="8"/>
      <c r="HID44" s="8"/>
      <c r="HIE44" s="6"/>
      <c r="HIF44" s="16"/>
      <c r="HIG44" s="16"/>
      <c r="HIH44" s="16"/>
      <c r="HII44" s="16"/>
      <c r="HIJ44" s="65"/>
      <c r="HIK44" s="66"/>
      <c r="HIL44" s="67"/>
      <c r="HIM44" s="34"/>
      <c r="HIP44" s="5"/>
      <c r="HIQ44" s="18"/>
      <c r="HIR44" s="56"/>
      <c r="HIS44" s="57"/>
      <c r="HIT44" s="58"/>
      <c r="HIU44" s="59"/>
      <c r="HIV44" s="58"/>
      <c r="HIW44" s="59"/>
      <c r="HIX44" s="6"/>
      <c r="HIY44" s="7"/>
      <c r="HIZ44" s="8"/>
      <c r="HJA44" s="8"/>
      <c r="HJB44" s="6"/>
      <c r="HJC44" s="16"/>
      <c r="HJD44" s="16"/>
      <c r="HJE44" s="16"/>
      <c r="HJF44" s="16"/>
      <c r="HJG44" s="65"/>
      <c r="HJH44" s="66"/>
      <c r="HJI44" s="67"/>
      <c r="HJJ44" s="34"/>
      <c r="HJM44" s="5"/>
      <c r="HJN44" s="18"/>
      <c r="HJO44" s="56"/>
      <c r="HJP44" s="57"/>
      <c r="HJQ44" s="58"/>
      <c r="HJR44" s="59"/>
      <c r="HJS44" s="58"/>
      <c r="HJT44" s="59"/>
      <c r="HJU44" s="6"/>
      <c r="HJV44" s="7"/>
      <c r="HJW44" s="8"/>
      <c r="HJX44" s="8"/>
      <c r="HJY44" s="6"/>
      <c r="HJZ44" s="16"/>
      <c r="HKA44" s="16"/>
      <c r="HKB44" s="16"/>
      <c r="HKC44" s="16"/>
      <c r="HKD44" s="65"/>
      <c r="HKE44" s="66"/>
      <c r="HKF44" s="67"/>
      <c r="HKG44" s="34"/>
      <c r="HKJ44" s="5"/>
      <c r="HKK44" s="18"/>
      <c r="HKL44" s="56"/>
      <c r="HKM44" s="57"/>
      <c r="HKN44" s="58"/>
      <c r="HKO44" s="59"/>
      <c r="HKP44" s="58"/>
      <c r="HKQ44" s="59"/>
      <c r="HKR44" s="6"/>
      <c r="HKS44" s="7"/>
      <c r="HKT44" s="8"/>
      <c r="HKU44" s="8"/>
      <c r="HKV44" s="6"/>
      <c r="HKW44" s="16"/>
      <c r="HKX44" s="16"/>
      <c r="HKY44" s="16"/>
      <c r="HKZ44" s="16"/>
      <c r="HLA44" s="65"/>
      <c r="HLB44" s="66"/>
      <c r="HLC44" s="67"/>
      <c r="HLD44" s="34"/>
      <c r="HLG44" s="5"/>
      <c r="HLH44" s="18"/>
      <c r="HLI44" s="56"/>
      <c r="HLJ44" s="57"/>
      <c r="HLK44" s="58"/>
      <c r="HLL44" s="59"/>
      <c r="HLM44" s="58"/>
      <c r="HLN44" s="59"/>
      <c r="HLO44" s="6"/>
      <c r="HLP44" s="7"/>
      <c r="HLQ44" s="8"/>
      <c r="HLR44" s="8"/>
      <c r="HLS44" s="6"/>
      <c r="HLT44" s="16"/>
      <c r="HLU44" s="16"/>
      <c r="HLV44" s="16"/>
      <c r="HLW44" s="16"/>
      <c r="HLX44" s="65"/>
      <c r="HLY44" s="66"/>
      <c r="HLZ44" s="67"/>
      <c r="HMA44" s="34"/>
      <c r="HMD44" s="5"/>
      <c r="HME44" s="18"/>
      <c r="HMF44" s="56"/>
      <c r="HMG44" s="57"/>
      <c r="HMH44" s="58"/>
      <c r="HMI44" s="59"/>
      <c r="HMJ44" s="58"/>
      <c r="HMK44" s="59"/>
      <c r="HML44" s="6"/>
      <c r="HMM44" s="7"/>
      <c r="HMN44" s="8"/>
      <c r="HMO44" s="8"/>
      <c r="HMP44" s="6"/>
      <c r="HMQ44" s="16"/>
      <c r="HMR44" s="16"/>
      <c r="HMS44" s="16"/>
      <c r="HMT44" s="16"/>
      <c r="HMU44" s="65"/>
      <c r="HMV44" s="66"/>
      <c r="HMW44" s="67"/>
      <c r="HMX44" s="34"/>
      <c r="HNA44" s="5"/>
      <c r="HNB44" s="18"/>
      <c r="HNC44" s="56"/>
      <c r="HND44" s="57"/>
      <c r="HNE44" s="58"/>
      <c r="HNF44" s="59"/>
      <c r="HNG44" s="58"/>
      <c r="HNH44" s="59"/>
      <c r="HNI44" s="6"/>
      <c r="HNJ44" s="7"/>
      <c r="HNK44" s="8"/>
      <c r="HNL44" s="8"/>
      <c r="HNM44" s="6"/>
      <c r="HNN44" s="16"/>
      <c r="HNO44" s="16"/>
      <c r="HNP44" s="16"/>
      <c r="HNQ44" s="16"/>
      <c r="HNR44" s="65"/>
      <c r="HNS44" s="66"/>
      <c r="HNT44" s="67"/>
      <c r="HNU44" s="34"/>
      <c r="HNX44" s="5"/>
      <c r="HNY44" s="18"/>
      <c r="HNZ44" s="56"/>
      <c r="HOA44" s="57"/>
      <c r="HOB44" s="58"/>
      <c r="HOC44" s="59"/>
      <c r="HOD44" s="58"/>
      <c r="HOE44" s="59"/>
      <c r="HOF44" s="6"/>
      <c r="HOG44" s="7"/>
      <c r="HOH44" s="8"/>
      <c r="HOI44" s="8"/>
      <c r="HOJ44" s="6"/>
      <c r="HOK44" s="16"/>
      <c r="HOL44" s="16"/>
      <c r="HOM44" s="16"/>
      <c r="HON44" s="16"/>
      <c r="HOO44" s="65"/>
      <c r="HOP44" s="66"/>
      <c r="HOQ44" s="67"/>
      <c r="HOR44" s="34"/>
      <c r="HOU44" s="5"/>
      <c r="HOV44" s="18"/>
      <c r="HOW44" s="56"/>
      <c r="HOX44" s="57"/>
      <c r="HOY44" s="58"/>
      <c r="HOZ44" s="59"/>
      <c r="HPA44" s="58"/>
      <c r="HPB44" s="59"/>
      <c r="HPC44" s="6"/>
      <c r="HPD44" s="7"/>
      <c r="HPE44" s="8"/>
      <c r="HPF44" s="8"/>
      <c r="HPG44" s="6"/>
      <c r="HPH44" s="16"/>
      <c r="HPI44" s="16"/>
      <c r="HPJ44" s="16"/>
      <c r="HPK44" s="16"/>
      <c r="HPL44" s="65"/>
      <c r="HPM44" s="66"/>
      <c r="HPN44" s="67"/>
      <c r="HPO44" s="34"/>
      <c r="HPR44" s="5"/>
      <c r="HPS44" s="18"/>
      <c r="HPT44" s="56"/>
      <c r="HPU44" s="57"/>
      <c r="HPV44" s="58"/>
      <c r="HPW44" s="59"/>
      <c r="HPX44" s="58"/>
      <c r="HPY44" s="59"/>
      <c r="HPZ44" s="6"/>
      <c r="HQA44" s="7"/>
      <c r="HQB44" s="8"/>
      <c r="HQC44" s="8"/>
      <c r="HQD44" s="6"/>
      <c r="HQE44" s="16"/>
      <c r="HQF44" s="16"/>
      <c r="HQG44" s="16"/>
      <c r="HQH44" s="16"/>
      <c r="HQI44" s="65"/>
      <c r="HQJ44" s="66"/>
      <c r="HQK44" s="67"/>
      <c r="HQL44" s="34"/>
      <c r="HQO44" s="5"/>
      <c r="HQP44" s="18"/>
      <c r="HQQ44" s="56"/>
      <c r="HQR44" s="57"/>
      <c r="HQS44" s="58"/>
      <c r="HQT44" s="59"/>
      <c r="HQU44" s="58"/>
      <c r="HQV44" s="59"/>
      <c r="HQW44" s="6"/>
      <c r="HQX44" s="7"/>
      <c r="HQY44" s="8"/>
      <c r="HQZ44" s="8"/>
      <c r="HRA44" s="6"/>
      <c r="HRB44" s="16"/>
      <c r="HRC44" s="16"/>
      <c r="HRD44" s="16"/>
      <c r="HRE44" s="16"/>
      <c r="HRF44" s="65"/>
      <c r="HRG44" s="66"/>
      <c r="HRH44" s="67"/>
      <c r="HRI44" s="34"/>
      <c r="HRL44" s="5"/>
      <c r="HRM44" s="18"/>
      <c r="HRN44" s="56"/>
      <c r="HRO44" s="57"/>
      <c r="HRP44" s="58"/>
      <c r="HRQ44" s="59"/>
      <c r="HRR44" s="58"/>
      <c r="HRS44" s="59"/>
      <c r="HRT44" s="6"/>
      <c r="HRU44" s="7"/>
      <c r="HRV44" s="8"/>
      <c r="HRW44" s="8"/>
      <c r="HRX44" s="6"/>
      <c r="HRY44" s="16"/>
      <c r="HRZ44" s="16"/>
      <c r="HSA44" s="16"/>
      <c r="HSB44" s="16"/>
      <c r="HSC44" s="65"/>
      <c r="HSD44" s="66"/>
      <c r="HSE44" s="67"/>
      <c r="HSF44" s="34"/>
      <c r="HSI44" s="5"/>
      <c r="HSJ44" s="18"/>
      <c r="HSK44" s="56"/>
      <c r="HSL44" s="57"/>
      <c r="HSM44" s="58"/>
      <c r="HSN44" s="59"/>
      <c r="HSO44" s="58"/>
      <c r="HSP44" s="59"/>
      <c r="HSQ44" s="6"/>
      <c r="HSR44" s="7"/>
      <c r="HSS44" s="8"/>
      <c r="HST44" s="8"/>
      <c r="HSU44" s="6"/>
      <c r="HSV44" s="16"/>
      <c r="HSW44" s="16"/>
      <c r="HSX44" s="16"/>
      <c r="HSY44" s="16"/>
      <c r="HSZ44" s="65"/>
      <c r="HTA44" s="66"/>
      <c r="HTB44" s="67"/>
      <c r="HTC44" s="34"/>
      <c r="HTF44" s="5"/>
      <c r="HTG44" s="18"/>
      <c r="HTH44" s="56"/>
      <c r="HTI44" s="57"/>
      <c r="HTJ44" s="58"/>
      <c r="HTK44" s="59"/>
      <c r="HTL44" s="58"/>
      <c r="HTM44" s="59"/>
      <c r="HTN44" s="6"/>
      <c r="HTO44" s="7"/>
      <c r="HTP44" s="8"/>
      <c r="HTQ44" s="8"/>
      <c r="HTR44" s="6"/>
      <c r="HTS44" s="16"/>
      <c r="HTT44" s="16"/>
      <c r="HTU44" s="16"/>
      <c r="HTV44" s="16"/>
      <c r="HTW44" s="65"/>
      <c r="HTX44" s="66"/>
      <c r="HTY44" s="67"/>
      <c r="HTZ44" s="34"/>
      <c r="HUC44" s="5"/>
      <c r="HUD44" s="18"/>
      <c r="HUE44" s="56"/>
      <c r="HUF44" s="57"/>
      <c r="HUG44" s="58"/>
      <c r="HUH44" s="59"/>
      <c r="HUI44" s="58"/>
      <c r="HUJ44" s="59"/>
      <c r="HUK44" s="6"/>
      <c r="HUL44" s="7"/>
      <c r="HUM44" s="8"/>
      <c r="HUN44" s="8"/>
      <c r="HUO44" s="6"/>
      <c r="HUP44" s="16"/>
      <c r="HUQ44" s="16"/>
      <c r="HUR44" s="16"/>
      <c r="HUS44" s="16"/>
      <c r="HUT44" s="65"/>
      <c r="HUU44" s="66"/>
      <c r="HUV44" s="67"/>
      <c r="HUW44" s="34"/>
      <c r="HUZ44" s="5"/>
      <c r="HVA44" s="18"/>
      <c r="HVB44" s="56"/>
      <c r="HVC44" s="57"/>
      <c r="HVD44" s="58"/>
      <c r="HVE44" s="59"/>
      <c r="HVF44" s="58"/>
      <c r="HVG44" s="59"/>
      <c r="HVH44" s="6"/>
      <c r="HVI44" s="7"/>
      <c r="HVJ44" s="8"/>
      <c r="HVK44" s="8"/>
      <c r="HVL44" s="6"/>
      <c r="HVM44" s="16"/>
      <c r="HVN44" s="16"/>
      <c r="HVO44" s="16"/>
      <c r="HVP44" s="16"/>
      <c r="HVQ44" s="65"/>
      <c r="HVR44" s="66"/>
      <c r="HVS44" s="67"/>
      <c r="HVT44" s="34"/>
      <c r="HVW44" s="5"/>
      <c r="HVX44" s="18"/>
      <c r="HVY44" s="56"/>
      <c r="HVZ44" s="57"/>
      <c r="HWA44" s="58"/>
      <c r="HWB44" s="59"/>
      <c r="HWC44" s="58"/>
      <c r="HWD44" s="59"/>
      <c r="HWE44" s="6"/>
      <c r="HWF44" s="7"/>
      <c r="HWG44" s="8"/>
      <c r="HWH44" s="8"/>
      <c r="HWI44" s="6"/>
      <c r="HWJ44" s="16"/>
      <c r="HWK44" s="16"/>
      <c r="HWL44" s="16"/>
      <c r="HWM44" s="16"/>
      <c r="HWN44" s="65"/>
      <c r="HWO44" s="66"/>
      <c r="HWP44" s="67"/>
      <c r="HWQ44" s="34"/>
      <c r="HWT44" s="5"/>
      <c r="HWU44" s="18"/>
      <c r="HWV44" s="56"/>
      <c r="HWW44" s="57"/>
      <c r="HWX44" s="58"/>
      <c r="HWY44" s="59"/>
      <c r="HWZ44" s="58"/>
      <c r="HXA44" s="59"/>
      <c r="HXB44" s="6"/>
      <c r="HXC44" s="7"/>
      <c r="HXD44" s="8"/>
      <c r="HXE44" s="8"/>
      <c r="HXF44" s="6"/>
      <c r="HXG44" s="16"/>
      <c r="HXH44" s="16"/>
      <c r="HXI44" s="16"/>
      <c r="HXJ44" s="16"/>
      <c r="HXK44" s="65"/>
      <c r="HXL44" s="66"/>
      <c r="HXM44" s="67"/>
      <c r="HXN44" s="34"/>
      <c r="HXQ44" s="5"/>
      <c r="HXR44" s="18"/>
      <c r="HXS44" s="56"/>
      <c r="HXT44" s="57"/>
      <c r="HXU44" s="58"/>
      <c r="HXV44" s="59"/>
      <c r="HXW44" s="58"/>
      <c r="HXX44" s="59"/>
      <c r="HXY44" s="6"/>
      <c r="HXZ44" s="7"/>
      <c r="HYA44" s="8"/>
      <c r="HYB44" s="8"/>
      <c r="HYC44" s="6"/>
      <c r="HYD44" s="16"/>
      <c r="HYE44" s="16"/>
      <c r="HYF44" s="16"/>
      <c r="HYG44" s="16"/>
      <c r="HYH44" s="65"/>
      <c r="HYI44" s="66"/>
      <c r="HYJ44" s="67"/>
      <c r="HYK44" s="34"/>
      <c r="HYN44" s="5"/>
      <c r="HYO44" s="18"/>
      <c r="HYP44" s="56"/>
      <c r="HYQ44" s="57"/>
      <c r="HYR44" s="58"/>
      <c r="HYS44" s="59"/>
      <c r="HYT44" s="58"/>
      <c r="HYU44" s="59"/>
      <c r="HYV44" s="6"/>
      <c r="HYW44" s="7"/>
      <c r="HYX44" s="8"/>
      <c r="HYY44" s="8"/>
      <c r="HYZ44" s="6"/>
      <c r="HZA44" s="16"/>
      <c r="HZB44" s="16"/>
      <c r="HZC44" s="16"/>
      <c r="HZD44" s="16"/>
      <c r="HZE44" s="65"/>
      <c r="HZF44" s="66"/>
      <c r="HZG44" s="67"/>
      <c r="HZH44" s="34"/>
      <c r="HZK44" s="5"/>
      <c r="HZL44" s="18"/>
      <c r="HZM44" s="56"/>
      <c r="HZN44" s="57"/>
      <c r="HZO44" s="58"/>
      <c r="HZP44" s="59"/>
      <c r="HZQ44" s="58"/>
      <c r="HZR44" s="59"/>
      <c r="HZS44" s="6"/>
      <c r="HZT44" s="7"/>
      <c r="HZU44" s="8"/>
      <c r="HZV44" s="8"/>
      <c r="HZW44" s="6"/>
      <c r="HZX44" s="16"/>
      <c r="HZY44" s="16"/>
      <c r="HZZ44" s="16"/>
      <c r="IAA44" s="16"/>
      <c r="IAB44" s="65"/>
      <c r="IAC44" s="66"/>
      <c r="IAD44" s="67"/>
      <c r="IAE44" s="34"/>
      <c r="IAH44" s="5"/>
      <c r="IAI44" s="18"/>
      <c r="IAJ44" s="56"/>
      <c r="IAK44" s="57"/>
      <c r="IAL44" s="58"/>
      <c r="IAM44" s="59"/>
      <c r="IAN44" s="58"/>
      <c r="IAO44" s="59"/>
      <c r="IAP44" s="6"/>
      <c r="IAQ44" s="7"/>
      <c r="IAR44" s="8"/>
      <c r="IAS44" s="8"/>
      <c r="IAT44" s="6"/>
      <c r="IAU44" s="16"/>
      <c r="IAV44" s="16"/>
      <c r="IAW44" s="16"/>
      <c r="IAX44" s="16"/>
      <c r="IAY44" s="65"/>
      <c r="IAZ44" s="66"/>
      <c r="IBA44" s="67"/>
      <c r="IBB44" s="34"/>
      <c r="IBE44" s="5"/>
      <c r="IBF44" s="18"/>
      <c r="IBG44" s="56"/>
      <c r="IBH44" s="57"/>
      <c r="IBI44" s="58"/>
      <c r="IBJ44" s="59"/>
      <c r="IBK44" s="58"/>
      <c r="IBL44" s="59"/>
      <c r="IBM44" s="6"/>
      <c r="IBN44" s="7"/>
      <c r="IBO44" s="8"/>
      <c r="IBP44" s="8"/>
      <c r="IBQ44" s="6"/>
      <c r="IBR44" s="16"/>
      <c r="IBS44" s="16"/>
      <c r="IBT44" s="16"/>
      <c r="IBU44" s="16"/>
      <c r="IBV44" s="65"/>
      <c r="IBW44" s="66"/>
      <c r="IBX44" s="67"/>
      <c r="IBY44" s="34"/>
      <c r="ICB44" s="5"/>
      <c r="ICC44" s="18"/>
      <c r="ICD44" s="56"/>
      <c r="ICE44" s="57"/>
      <c r="ICF44" s="58"/>
      <c r="ICG44" s="59"/>
      <c r="ICH44" s="58"/>
      <c r="ICI44" s="59"/>
      <c r="ICJ44" s="6"/>
      <c r="ICK44" s="7"/>
      <c r="ICL44" s="8"/>
      <c r="ICM44" s="8"/>
      <c r="ICN44" s="6"/>
      <c r="ICO44" s="16"/>
      <c r="ICP44" s="16"/>
      <c r="ICQ44" s="16"/>
      <c r="ICR44" s="16"/>
      <c r="ICS44" s="65"/>
      <c r="ICT44" s="66"/>
      <c r="ICU44" s="67"/>
      <c r="ICV44" s="34"/>
      <c r="ICY44" s="5"/>
      <c r="ICZ44" s="18"/>
      <c r="IDA44" s="56"/>
      <c r="IDB44" s="57"/>
      <c r="IDC44" s="58"/>
      <c r="IDD44" s="59"/>
      <c r="IDE44" s="58"/>
      <c r="IDF44" s="59"/>
      <c r="IDG44" s="6"/>
      <c r="IDH44" s="7"/>
      <c r="IDI44" s="8"/>
      <c r="IDJ44" s="8"/>
      <c r="IDK44" s="6"/>
      <c r="IDL44" s="16"/>
      <c r="IDM44" s="16"/>
      <c r="IDN44" s="16"/>
      <c r="IDO44" s="16"/>
      <c r="IDP44" s="65"/>
      <c r="IDQ44" s="66"/>
      <c r="IDR44" s="67"/>
      <c r="IDS44" s="34"/>
      <c r="IDV44" s="5"/>
      <c r="IDW44" s="18"/>
      <c r="IDX44" s="56"/>
      <c r="IDY44" s="57"/>
      <c r="IDZ44" s="58"/>
      <c r="IEA44" s="59"/>
      <c r="IEB44" s="58"/>
      <c r="IEC44" s="59"/>
      <c r="IED44" s="6"/>
      <c r="IEE44" s="7"/>
      <c r="IEF44" s="8"/>
      <c r="IEG44" s="8"/>
      <c r="IEH44" s="6"/>
      <c r="IEI44" s="16"/>
      <c r="IEJ44" s="16"/>
      <c r="IEK44" s="16"/>
      <c r="IEL44" s="16"/>
      <c r="IEM44" s="65"/>
      <c r="IEN44" s="66"/>
      <c r="IEO44" s="67"/>
      <c r="IEP44" s="34"/>
      <c r="IES44" s="5"/>
      <c r="IET44" s="18"/>
      <c r="IEU44" s="56"/>
      <c r="IEV44" s="57"/>
      <c r="IEW44" s="58"/>
      <c r="IEX44" s="59"/>
      <c r="IEY44" s="58"/>
      <c r="IEZ44" s="59"/>
      <c r="IFA44" s="6"/>
      <c r="IFB44" s="7"/>
      <c r="IFC44" s="8"/>
      <c r="IFD44" s="8"/>
      <c r="IFE44" s="6"/>
      <c r="IFF44" s="16"/>
      <c r="IFG44" s="16"/>
      <c r="IFH44" s="16"/>
      <c r="IFI44" s="16"/>
      <c r="IFJ44" s="65"/>
      <c r="IFK44" s="66"/>
      <c r="IFL44" s="67"/>
      <c r="IFM44" s="34"/>
      <c r="IFP44" s="5"/>
      <c r="IFQ44" s="18"/>
      <c r="IFR44" s="56"/>
      <c r="IFS44" s="57"/>
      <c r="IFT44" s="58"/>
      <c r="IFU44" s="59"/>
      <c r="IFV44" s="58"/>
      <c r="IFW44" s="59"/>
      <c r="IFX44" s="6"/>
      <c r="IFY44" s="7"/>
      <c r="IFZ44" s="8"/>
      <c r="IGA44" s="8"/>
      <c r="IGB44" s="6"/>
      <c r="IGC44" s="16"/>
      <c r="IGD44" s="16"/>
      <c r="IGE44" s="16"/>
      <c r="IGF44" s="16"/>
      <c r="IGG44" s="65"/>
      <c r="IGH44" s="66"/>
      <c r="IGI44" s="67"/>
      <c r="IGJ44" s="34"/>
      <c r="IGM44" s="5"/>
      <c r="IGN44" s="18"/>
      <c r="IGO44" s="56"/>
      <c r="IGP44" s="57"/>
      <c r="IGQ44" s="58"/>
      <c r="IGR44" s="59"/>
      <c r="IGS44" s="58"/>
      <c r="IGT44" s="59"/>
      <c r="IGU44" s="6"/>
      <c r="IGV44" s="7"/>
      <c r="IGW44" s="8"/>
      <c r="IGX44" s="8"/>
      <c r="IGY44" s="6"/>
      <c r="IGZ44" s="16"/>
      <c r="IHA44" s="16"/>
      <c r="IHB44" s="16"/>
      <c r="IHC44" s="16"/>
      <c r="IHD44" s="65"/>
      <c r="IHE44" s="66"/>
      <c r="IHF44" s="67"/>
      <c r="IHG44" s="34"/>
      <c r="IHJ44" s="5"/>
      <c r="IHK44" s="18"/>
      <c r="IHL44" s="56"/>
      <c r="IHM44" s="57"/>
      <c r="IHN44" s="58"/>
      <c r="IHO44" s="59"/>
      <c r="IHP44" s="58"/>
      <c r="IHQ44" s="59"/>
      <c r="IHR44" s="6"/>
      <c r="IHS44" s="7"/>
      <c r="IHT44" s="8"/>
      <c r="IHU44" s="8"/>
      <c r="IHV44" s="6"/>
      <c r="IHW44" s="16"/>
      <c r="IHX44" s="16"/>
      <c r="IHY44" s="16"/>
      <c r="IHZ44" s="16"/>
      <c r="IIA44" s="65"/>
      <c r="IIB44" s="66"/>
      <c r="IIC44" s="67"/>
      <c r="IID44" s="34"/>
      <c r="IIG44" s="5"/>
      <c r="IIH44" s="18"/>
      <c r="III44" s="56"/>
      <c r="IIJ44" s="57"/>
      <c r="IIK44" s="58"/>
      <c r="IIL44" s="59"/>
      <c r="IIM44" s="58"/>
      <c r="IIN44" s="59"/>
      <c r="IIO44" s="6"/>
      <c r="IIP44" s="7"/>
      <c r="IIQ44" s="8"/>
      <c r="IIR44" s="8"/>
      <c r="IIS44" s="6"/>
      <c r="IIT44" s="16"/>
      <c r="IIU44" s="16"/>
      <c r="IIV44" s="16"/>
      <c r="IIW44" s="16"/>
      <c r="IIX44" s="65"/>
      <c r="IIY44" s="66"/>
      <c r="IIZ44" s="67"/>
      <c r="IJA44" s="34"/>
      <c r="IJD44" s="5"/>
      <c r="IJE44" s="18"/>
      <c r="IJF44" s="56"/>
      <c r="IJG44" s="57"/>
      <c r="IJH44" s="58"/>
      <c r="IJI44" s="59"/>
      <c r="IJJ44" s="58"/>
      <c r="IJK44" s="59"/>
      <c r="IJL44" s="6"/>
      <c r="IJM44" s="7"/>
      <c r="IJN44" s="8"/>
      <c r="IJO44" s="8"/>
      <c r="IJP44" s="6"/>
      <c r="IJQ44" s="16"/>
      <c r="IJR44" s="16"/>
      <c r="IJS44" s="16"/>
      <c r="IJT44" s="16"/>
      <c r="IJU44" s="65"/>
      <c r="IJV44" s="66"/>
      <c r="IJW44" s="67"/>
      <c r="IJX44" s="34"/>
      <c r="IKA44" s="5"/>
      <c r="IKB44" s="18"/>
      <c r="IKC44" s="56"/>
      <c r="IKD44" s="57"/>
      <c r="IKE44" s="58"/>
      <c r="IKF44" s="59"/>
      <c r="IKG44" s="58"/>
      <c r="IKH44" s="59"/>
      <c r="IKI44" s="6"/>
      <c r="IKJ44" s="7"/>
      <c r="IKK44" s="8"/>
      <c r="IKL44" s="8"/>
      <c r="IKM44" s="6"/>
      <c r="IKN44" s="16"/>
      <c r="IKO44" s="16"/>
      <c r="IKP44" s="16"/>
      <c r="IKQ44" s="16"/>
      <c r="IKR44" s="65"/>
      <c r="IKS44" s="66"/>
      <c r="IKT44" s="67"/>
      <c r="IKU44" s="34"/>
      <c r="IKX44" s="5"/>
      <c r="IKY44" s="18"/>
      <c r="IKZ44" s="56"/>
      <c r="ILA44" s="57"/>
      <c r="ILB44" s="58"/>
      <c r="ILC44" s="59"/>
      <c r="ILD44" s="58"/>
      <c r="ILE44" s="59"/>
      <c r="ILF44" s="6"/>
      <c r="ILG44" s="7"/>
      <c r="ILH44" s="8"/>
      <c r="ILI44" s="8"/>
      <c r="ILJ44" s="6"/>
      <c r="ILK44" s="16"/>
      <c r="ILL44" s="16"/>
      <c r="ILM44" s="16"/>
      <c r="ILN44" s="16"/>
      <c r="ILO44" s="65"/>
      <c r="ILP44" s="66"/>
      <c r="ILQ44" s="67"/>
      <c r="ILR44" s="34"/>
      <c r="ILU44" s="5"/>
      <c r="ILV44" s="18"/>
      <c r="ILW44" s="56"/>
      <c r="ILX44" s="57"/>
      <c r="ILY44" s="58"/>
      <c r="ILZ44" s="59"/>
      <c r="IMA44" s="58"/>
      <c r="IMB44" s="59"/>
      <c r="IMC44" s="6"/>
      <c r="IMD44" s="7"/>
      <c r="IME44" s="8"/>
      <c r="IMF44" s="8"/>
      <c r="IMG44" s="6"/>
      <c r="IMH44" s="16"/>
      <c r="IMI44" s="16"/>
      <c r="IMJ44" s="16"/>
      <c r="IMK44" s="16"/>
      <c r="IML44" s="65"/>
      <c r="IMM44" s="66"/>
      <c r="IMN44" s="67"/>
      <c r="IMO44" s="34"/>
      <c r="IMR44" s="5"/>
      <c r="IMS44" s="18"/>
      <c r="IMT44" s="56"/>
      <c r="IMU44" s="57"/>
      <c r="IMV44" s="58"/>
      <c r="IMW44" s="59"/>
      <c r="IMX44" s="58"/>
      <c r="IMY44" s="59"/>
      <c r="IMZ44" s="6"/>
      <c r="INA44" s="7"/>
      <c r="INB44" s="8"/>
      <c r="INC44" s="8"/>
      <c r="IND44" s="6"/>
      <c r="INE44" s="16"/>
      <c r="INF44" s="16"/>
      <c r="ING44" s="16"/>
      <c r="INH44" s="16"/>
      <c r="INI44" s="65"/>
      <c r="INJ44" s="66"/>
      <c r="INK44" s="67"/>
      <c r="INL44" s="34"/>
      <c r="INO44" s="5"/>
      <c r="INP44" s="18"/>
      <c r="INQ44" s="56"/>
      <c r="INR44" s="57"/>
      <c r="INS44" s="58"/>
      <c r="INT44" s="59"/>
      <c r="INU44" s="58"/>
      <c r="INV44" s="59"/>
      <c r="INW44" s="6"/>
      <c r="INX44" s="7"/>
      <c r="INY44" s="8"/>
      <c r="INZ44" s="8"/>
      <c r="IOA44" s="6"/>
      <c r="IOB44" s="16"/>
      <c r="IOC44" s="16"/>
      <c r="IOD44" s="16"/>
      <c r="IOE44" s="16"/>
      <c r="IOF44" s="65"/>
      <c r="IOG44" s="66"/>
      <c r="IOH44" s="67"/>
      <c r="IOI44" s="34"/>
      <c r="IOL44" s="5"/>
      <c r="IOM44" s="18"/>
      <c r="ION44" s="56"/>
      <c r="IOO44" s="57"/>
      <c r="IOP44" s="58"/>
      <c r="IOQ44" s="59"/>
      <c r="IOR44" s="58"/>
      <c r="IOS44" s="59"/>
      <c r="IOT44" s="6"/>
      <c r="IOU44" s="7"/>
      <c r="IOV44" s="8"/>
      <c r="IOW44" s="8"/>
      <c r="IOX44" s="6"/>
      <c r="IOY44" s="16"/>
      <c r="IOZ44" s="16"/>
      <c r="IPA44" s="16"/>
      <c r="IPB44" s="16"/>
      <c r="IPC44" s="65"/>
      <c r="IPD44" s="66"/>
      <c r="IPE44" s="67"/>
      <c r="IPF44" s="34"/>
      <c r="IPI44" s="5"/>
      <c r="IPJ44" s="18"/>
      <c r="IPK44" s="56"/>
      <c r="IPL44" s="57"/>
      <c r="IPM44" s="58"/>
      <c r="IPN44" s="59"/>
      <c r="IPO44" s="58"/>
      <c r="IPP44" s="59"/>
      <c r="IPQ44" s="6"/>
      <c r="IPR44" s="7"/>
      <c r="IPS44" s="8"/>
      <c r="IPT44" s="8"/>
      <c r="IPU44" s="6"/>
      <c r="IPV44" s="16"/>
      <c r="IPW44" s="16"/>
      <c r="IPX44" s="16"/>
      <c r="IPY44" s="16"/>
      <c r="IPZ44" s="65"/>
      <c r="IQA44" s="66"/>
      <c r="IQB44" s="67"/>
      <c r="IQC44" s="34"/>
      <c r="IQF44" s="5"/>
      <c r="IQG44" s="18"/>
      <c r="IQH44" s="56"/>
      <c r="IQI44" s="57"/>
      <c r="IQJ44" s="58"/>
      <c r="IQK44" s="59"/>
      <c r="IQL44" s="58"/>
      <c r="IQM44" s="59"/>
      <c r="IQN44" s="6"/>
      <c r="IQO44" s="7"/>
      <c r="IQP44" s="8"/>
      <c r="IQQ44" s="8"/>
      <c r="IQR44" s="6"/>
      <c r="IQS44" s="16"/>
      <c r="IQT44" s="16"/>
      <c r="IQU44" s="16"/>
      <c r="IQV44" s="16"/>
      <c r="IQW44" s="65"/>
      <c r="IQX44" s="66"/>
      <c r="IQY44" s="67"/>
      <c r="IQZ44" s="34"/>
      <c r="IRC44" s="5"/>
      <c r="IRD44" s="18"/>
      <c r="IRE44" s="56"/>
      <c r="IRF44" s="57"/>
      <c r="IRG44" s="58"/>
      <c r="IRH44" s="59"/>
      <c r="IRI44" s="58"/>
      <c r="IRJ44" s="59"/>
      <c r="IRK44" s="6"/>
      <c r="IRL44" s="7"/>
      <c r="IRM44" s="8"/>
      <c r="IRN44" s="8"/>
      <c r="IRO44" s="6"/>
      <c r="IRP44" s="16"/>
      <c r="IRQ44" s="16"/>
      <c r="IRR44" s="16"/>
      <c r="IRS44" s="16"/>
      <c r="IRT44" s="65"/>
      <c r="IRU44" s="66"/>
      <c r="IRV44" s="67"/>
      <c r="IRW44" s="34"/>
      <c r="IRZ44" s="5"/>
      <c r="ISA44" s="18"/>
      <c r="ISB44" s="56"/>
      <c r="ISC44" s="57"/>
      <c r="ISD44" s="58"/>
      <c r="ISE44" s="59"/>
      <c r="ISF44" s="58"/>
      <c r="ISG44" s="59"/>
      <c r="ISH44" s="6"/>
      <c r="ISI44" s="7"/>
      <c r="ISJ44" s="8"/>
      <c r="ISK44" s="8"/>
      <c r="ISL44" s="6"/>
      <c r="ISM44" s="16"/>
      <c r="ISN44" s="16"/>
      <c r="ISO44" s="16"/>
      <c r="ISP44" s="16"/>
      <c r="ISQ44" s="65"/>
      <c r="ISR44" s="66"/>
      <c r="ISS44" s="67"/>
      <c r="IST44" s="34"/>
      <c r="ISW44" s="5"/>
      <c r="ISX44" s="18"/>
      <c r="ISY44" s="56"/>
      <c r="ISZ44" s="57"/>
      <c r="ITA44" s="58"/>
      <c r="ITB44" s="59"/>
      <c r="ITC44" s="58"/>
      <c r="ITD44" s="59"/>
      <c r="ITE44" s="6"/>
      <c r="ITF44" s="7"/>
      <c r="ITG44" s="8"/>
      <c r="ITH44" s="8"/>
      <c r="ITI44" s="6"/>
      <c r="ITJ44" s="16"/>
      <c r="ITK44" s="16"/>
      <c r="ITL44" s="16"/>
      <c r="ITM44" s="16"/>
      <c r="ITN44" s="65"/>
      <c r="ITO44" s="66"/>
      <c r="ITP44" s="67"/>
      <c r="ITQ44" s="34"/>
      <c r="ITT44" s="5"/>
      <c r="ITU44" s="18"/>
      <c r="ITV44" s="56"/>
      <c r="ITW44" s="57"/>
      <c r="ITX44" s="58"/>
      <c r="ITY44" s="59"/>
      <c r="ITZ44" s="58"/>
      <c r="IUA44" s="59"/>
      <c r="IUB44" s="6"/>
      <c r="IUC44" s="7"/>
      <c r="IUD44" s="8"/>
      <c r="IUE44" s="8"/>
      <c r="IUF44" s="6"/>
      <c r="IUG44" s="16"/>
      <c r="IUH44" s="16"/>
      <c r="IUI44" s="16"/>
      <c r="IUJ44" s="16"/>
      <c r="IUK44" s="65"/>
      <c r="IUL44" s="66"/>
      <c r="IUM44" s="67"/>
      <c r="IUN44" s="34"/>
      <c r="IUQ44" s="5"/>
      <c r="IUR44" s="18"/>
      <c r="IUS44" s="56"/>
      <c r="IUT44" s="57"/>
      <c r="IUU44" s="58"/>
      <c r="IUV44" s="59"/>
      <c r="IUW44" s="58"/>
      <c r="IUX44" s="59"/>
      <c r="IUY44" s="6"/>
      <c r="IUZ44" s="7"/>
      <c r="IVA44" s="8"/>
      <c r="IVB44" s="8"/>
      <c r="IVC44" s="6"/>
      <c r="IVD44" s="16"/>
      <c r="IVE44" s="16"/>
      <c r="IVF44" s="16"/>
      <c r="IVG44" s="16"/>
      <c r="IVH44" s="65"/>
      <c r="IVI44" s="66"/>
      <c r="IVJ44" s="67"/>
      <c r="IVK44" s="34"/>
      <c r="IVN44" s="5"/>
      <c r="IVO44" s="18"/>
      <c r="IVP44" s="56"/>
      <c r="IVQ44" s="57"/>
      <c r="IVR44" s="58"/>
      <c r="IVS44" s="59"/>
      <c r="IVT44" s="58"/>
      <c r="IVU44" s="59"/>
      <c r="IVV44" s="6"/>
      <c r="IVW44" s="7"/>
      <c r="IVX44" s="8"/>
      <c r="IVY44" s="8"/>
      <c r="IVZ44" s="6"/>
      <c r="IWA44" s="16"/>
      <c r="IWB44" s="16"/>
      <c r="IWC44" s="16"/>
      <c r="IWD44" s="16"/>
      <c r="IWE44" s="65"/>
      <c r="IWF44" s="66"/>
      <c r="IWG44" s="67"/>
      <c r="IWH44" s="34"/>
      <c r="IWK44" s="5"/>
      <c r="IWL44" s="18"/>
      <c r="IWM44" s="56"/>
      <c r="IWN44" s="57"/>
      <c r="IWO44" s="58"/>
      <c r="IWP44" s="59"/>
      <c r="IWQ44" s="58"/>
      <c r="IWR44" s="59"/>
      <c r="IWS44" s="6"/>
      <c r="IWT44" s="7"/>
      <c r="IWU44" s="8"/>
      <c r="IWV44" s="8"/>
      <c r="IWW44" s="6"/>
      <c r="IWX44" s="16"/>
      <c r="IWY44" s="16"/>
      <c r="IWZ44" s="16"/>
      <c r="IXA44" s="16"/>
      <c r="IXB44" s="65"/>
      <c r="IXC44" s="66"/>
      <c r="IXD44" s="67"/>
      <c r="IXE44" s="34"/>
      <c r="IXH44" s="5"/>
      <c r="IXI44" s="18"/>
      <c r="IXJ44" s="56"/>
      <c r="IXK44" s="57"/>
      <c r="IXL44" s="58"/>
      <c r="IXM44" s="59"/>
      <c r="IXN44" s="58"/>
      <c r="IXO44" s="59"/>
      <c r="IXP44" s="6"/>
      <c r="IXQ44" s="7"/>
      <c r="IXR44" s="8"/>
      <c r="IXS44" s="8"/>
      <c r="IXT44" s="6"/>
      <c r="IXU44" s="16"/>
      <c r="IXV44" s="16"/>
      <c r="IXW44" s="16"/>
      <c r="IXX44" s="16"/>
      <c r="IXY44" s="65"/>
      <c r="IXZ44" s="66"/>
      <c r="IYA44" s="67"/>
      <c r="IYB44" s="34"/>
      <c r="IYE44" s="5"/>
      <c r="IYF44" s="18"/>
      <c r="IYG44" s="56"/>
      <c r="IYH44" s="57"/>
      <c r="IYI44" s="58"/>
      <c r="IYJ44" s="59"/>
      <c r="IYK44" s="58"/>
      <c r="IYL44" s="59"/>
      <c r="IYM44" s="6"/>
      <c r="IYN44" s="7"/>
      <c r="IYO44" s="8"/>
      <c r="IYP44" s="8"/>
      <c r="IYQ44" s="6"/>
      <c r="IYR44" s="16"/>
      <c r="IYS44" s="16"/>
      <c r="IYT44" s="16"/>
      <c r="IYU44" s="16"/>
      <c r="IYV44" s="65"/>
      <c r="IYW44" s="66"/>
      <c r="IYX44" s="67"/>
      <c r="IYY44" s="34"/>
      <c r="IZB44" s="5"/>
      <c r="IZC44" s="18"/>
      <c r="IZD44" s="56"/>
      <c r="IZE44" s="57"/>
      <c r="IZF44" s="58"/>
      <c r="IZG44" s="59"/>
      <c r="IZH44" s="58"/>
      <c r="IZI44" s="59"/>
      <c r="IZJ44" s="6"/>
      <c r="IZK44" s="7"/>
      <c r="IZL44" s="8"/>
      <c r="IZM44" s="8"/>
      <c r="IZN44" s="6"/>
      <c r="IZO44" s="16"/>
      <c r="IZP44" s="16"/>
      <c r="IZQ44" s="16"/>
      <c r="IZR44" s="16"/>
      <c r="IZS44" s="65"/>
      <c r="IZT44" s="66"/>
      <c r="IZU44" s="67"/>
      <c r="IZV44" s="34"/>
      <c r="IZY44" s="5"/>
      <c r="IZZ44" s="18"/>
      <c r="JAA44" s="56"/>
      <c r="JAB44" s="57"/>
      <c r="JAC44" s="58"/>
      <c r="JAD44" s="59"/>
      <c r="JAE44" s="58"/>
      <c r="JAF44" s="59"/>
      <c r="JAG44" s="6"/>
      <c r="JAH44" s="7"/>
      <c r="JAI44" s="8"/>
      <c r="JAJ44" s="8"/>
      <c r="JAK44" s="6"/>
      <c r="JAL44" s="16"/>
      <c r="JAM44" s="16"/>
      <c r="JAN44" s="16"/>
      <c r="JAO44" s="16"/>
      <c r="JAP44" s="65"/>
      <c r="JAQ44" s="66"/>
      <c r="JAR44" s="67"/>
      <c r="JAS44" s="34"/>
      <c r="JAV44" s="5"/>
      <c r="JAW44" s="18"/>
      <c r="JAX44" s="56"/>
      <c r="JAY44" s="57"/>
      <c r="JAZ44" s="58"/>
      <c r="JBA44" s="59"/>
      <c r="JBB44" s="58"/>
      <c r="JBC44" s="59"/>
      <c r="JBD44" s="6"/>
      <c r="JBE44" s="7"/>
      <c r="JBF44" s="8"/>
      <c r="JBG44" s="8"/>
      <c r="JBH44" s="6"/>
      <c r="JBI44" s="16"/>
      <c r="JBJ44" s="16"/>
      <c r="JBK44" s="16"/>
      <c r="JBL44" s="16"/>
      <c r="JBM44" s="65"/>
      <c r="JBN44" s="66"/>
      <c r="JBO44" s="67"/>
      <c r="JBP44" s="34"/>
      <c r="JBS44" s="5"/>
      <c r="JBT44" s="18"/>
      <c r="JBU44" s="56"/>
      <c r="JBV44" s="57"/>
      <c r="JBW44" s="58"/>
      <c r="JBX44" s="59"/>
      <c r="JBY44" s="58"/>
      <c r="JBZ44" s="59"/>
      <c r="JCA44" s="6"/>
      <c r="JCB44" s="7"/>
      <c r="JCC44" s="8"/>
      <c r="JCD44" s="8"/>
      <c r="JCE44" s="6"/>
      <c r="JCF44" s="16"/>
      <c r="JCG44" s="16"/>
      <c r="JCH44" s="16"/>
      <c r="JCI44" s="16"/>
      <c r="JCJ44" s="65"/>
      <c r="JCK44" s="66"/>
      <c r="JCL44" s="67"/>
      <c r="JCM44" s="34"/>
      <c r="JCP44" s="5"/>
      <c r="JCQ44" s="18"/>
      <c r="JCR44" s="56"/>
      <c r="JCS44" s="57"/>
      <c r="JCT44" s="58"/>
      <c r="JCU44" s="59"/>
      <c r="JCV44" s="58"/>
      <c r="JCW44" s="59"/>
      <c r="JCX44" s="6"/>
      <c r="JCY44" s="7"/>
      <c r="JCZ44" s="8"/>
      <c r="JDA44" s="8"/>
      <c r="JDB44" s="6"/>
      <c r="JDC44" s="16"/>
      <c r="JDD44" s="16"/>
      <c r="JDE44" s="16"/>
      <c r="JDF44" s="16"/>
      <c r="JDG44" s="65"/>
      <c r="JDH44" s="66"/>
      <c r="JDI44" s="67"/>
      <c r="JDJ44" s="34"/>
      <c r="JDM44" s="5"/>
      <c r="JDN44" s="18"/>
      <c r="JDO44" s="56"/>
      <c r="JDP44" s="57"/>
      <c r="JDQ44" s="58"/>
      <c r="JDR44" s="59"/>
      <c r="JDS44" s="58"/>
      <c r="JDT44" s="59"/>
      <c r="JDU44" s="6"/>
      <c r="JDV44" s="7"/>
      <c r="JDW44" s="8"/>
      <c r="JDX44" s="8"/>
      <c r="JDY44" s="6"/>
      <c r="JDZ44" s="16"/>
      <c r="JEA44" s="16"/>
      <c r="JEB44" s="16"/>
      <c r="JEC44" s="16"/>
      <c r="JED44" s="65"/>
      <c r="JEE44" s="66"/>
      <c r="JEF44" s="67"/>
      <c r="JEG44" s="34"/>
      <c r="JEJ44" s="5"/>
      <c r="JEK44" s="18"/>
      <c r="JEL44" s="56"/>
      <c r="JEM44" s="57"/>
      <c r="JEN44" s="58"/>
      <c r="JEO44" s="59"/>
      <c r="JEP44" s="58"/>
      <c r="JEQ44" s="59"/>
      <c r="JER44" s="6"/>
      <c r="JES44" s="7"/>
      <c r="JET44" s="8"/>
      <c r="JEU44" s="8"/>
      <c r="JEV44" s="6"/>
      <c r="JEW44" s="16"/>
      <c r="JEX44" s="16"/>
      <c r="JEY44" s="16"/>
      <c r="JEZ44" s="16"/>
      <c r="JFA44" s="65"/>
      <c r="JFB44" s="66"/>
      <c r="JFC44" s="67"/>
      <c r="JFD44" s="34"/>
      <c r="JFG44" s="5"/>
      <c r="JFH44" s="18"/>
      <c r="JFI44" s="56"/>
      <c r="JFJ44" s="57"/>
      <c r="JFK44" s="58"/>
      <c r="JFL44" s="59"/>
      <c r="JFM44" s="58"/>
      <c r="JFN44" s="59"/>
      <c r="JFO44" s="6"/>
      <c r="JFP44" s="7"/>
      <c r="JFQ44" s="8"/>
      <c r="JFR44" s="8"/>
      <c r="JFS44" s="6"/>
      <c r="JFT44" s="16"/>
      <c r="JFU44" s="16"/>
      <c r="JFV44" s="16"/>
      <c r="JFW44" s="16"/>
      <c r="JFX44" s="65"/>
      <c r="JFY44" s="66"/>
      <c r="JFZ44" s="67"/>
      <c r="JGA44" s="34"/>
      <c r="JGD44" s="5"/>
      <c r="JGE44" s="18"/>
      <c r="JGF44" s="56"/>
      <c r="JGG44" s="57"/>
      <c r="JGH44" s="58"/>
      <c r="JGI44" s="59"/>
      <c r="JGJ44" s="58"/>
      <c r="JGK44" s="59"/>
      <c r="JGL44" s="6"/>
      <c r="JGM44" s="7"/>
      <c r="JGN44" s="8"/>
      <c r="JGO44" s="8"/>
      <c r="JGP44" s="6"/>
      <c r="JGQ44" s="16"/>
      <c r="JGR44" s="16"/>
      <c r="JGS44" s="16"/>
      <c r="JGT44" s="16"/>
      <c r="JGU44" s="65"/>
      <c r="JGV44" s="66"/>
      <c r="JGW44" s="67"/>
      <c r="JGX44" s="34"/>
      <c r="JHA44" s="5"/>
      <c r="JHB44" s="18"/>
      <c r="JHC44" s="56"/>
      <c r="JHD44" s="57"/>
      <c r="JHE44" s="58"/>
      <c r="JHF44" s="59"/>
      <c r="JHG44" s="58"/>
      <c r="JHH44" s="59"/>
      <c r="JHI44" s="6"/>
      <c r="JHJ44" s="7"/>
      <c r="JHK44" s="8"/>
      <c r="JHL44" s="8"/>
      <c r="JHM44" s="6"/>
      <c r="JHN44" s="16"/>
      <c r="JHO44" s="16"/>
      <c r="JHP44" s="16"/>
      <c r="JHQ44" s="16"/>
      <c r="JHR44" s="65"/>
      <c r="JHS44" s="66"/>
      <c r="JHT44" s="67"/>
      <c r="JHU44" s="34"/>
      <c r="JHX44" s="5"/>
      <c r="JHY44" s="18"/>
      <c r="JHZ44" s="56"/>
      <c r="JIA44" s="57"/>
      <c r="JIB44" s="58"/>
      <c r="JIC44" s="59"/>
      <c r="JID44" s="58"/>
      <c r="JIE44" s="59"/>
      <c r="JIF44" s="6"/>
      <c r="JIG44" s="7"/>
      <c r="JIH44" s="8"/>
      <c r="JII44" s="8"/>
      <c r="JIJ44" s="6"/>
      <c r="JIK44" s="16"/>
      <c r="JIL44" s="16"/>
      <c r="JIM44" s="16"/>
      <c r="JIN44" s="16"/>
      <c r="JIO44" s="65"/>
      <c r="JIP44" s="66"/>
      <c r="JIQ44" s="67"/>
      <c r="JIR44" s="34"/>
      <c r="JIU44" s="5"/>
      <c r="JIV44" s="18"/>
      <c r="JIW44" s="56"/>
      <c r="JIX44" s="57"/>
      <c r="JIY44" s="58"/>
      <c r="JIZ44" s="59"/>
      <c r="JJA44" s="58"/>
      <c r="JJB44" s="59"/>
      <c r="JJC44" s="6"/>
      <c r="JJD44" s="7"/>
      <c r="JJE44" s="8"/>
      <c r="JJF44" s="8"/>
      <c r="JJG44" s="6"/>
      <c r="JJH44" s="16"/>
      <c r="JJI44" s="16"/>
      <c r="JJJ44" s="16"/>
      <c r="JJK44" s="16"/>
      <c r="JJL44" s="65"/>
      <c r="JJM44" s="66"/>
      <c r="JJN44" s="67"/>
      <c r="JJO44" s="34"/>
      <c r="JJR44" s="5"/>
      <c r="JJS44" s="18"/>
      <c r="JJT44" s="56"/>
      <c r="JJU44" s="57"/>
      <c r="JJV44" s="58"/>
      <c r="JJW44" s="59"/>
      <c r="JJX44" s="58"/>
      <c r="JJY44" s="59"/>
      <c r="JJZ44" s="6"/>
      <c r="JKA44" s="7"/>
      <c r="JKB44" s="8"/>
      <c r="JKC44" s="8"/>
      <c r="JKD44" s="6"/>
      <c r="JKE44" s="16"/>
      <c r="JKF44" s="16"/>
      <c r="JKG44" s="16"/>
      <c r="JKH44" s="16"/>
      <c r="JKI44" s="65"/>
      <c r="JKJ44" s="66"/>
      <c r="JKK44" s="67"/>
      <c r="JKL44" s="34"/>
      <c r="JKO44" s="5"/>
      <c r="JKP44" s="18"/>
      <c r="JKQ44" s="56"/>
      <c r="JKR44" s="57"/>
      <c r="JKS44" s="58"/>
      <c r="JKT44" s="59"/>
      <c r="JKU44" s="58"/>
      <c r="JKV44" s="59"/>
      <c r="JKW44" s="6"/>
      <c r="JKX44" s="7"/>
      <c r="JKY44" s="8"/>
      <c r="JKZ44" s="8"/>
      <c r="JLA44" s="6"/>
      <c r="JLB44" s="16"/>
      <c r="JLC44" s="16"/>
      <c r="JLD44" s="16"/>
      <c r="JLE44" s="16"/>
      <c r="JLF44" s="65"/>
      <c r="JLG44" s="66"/>
      <c r="JLH44" s="67"/>
      <c r="JLI44" s="34"/>
      <c r="JLL44" s="5"/>
      <c r="JLM44" s="18"/>
      <c r="JLN44" s="56"/>
      <c r="JLO44" s="57"/>
      <c r="JLP44" s="58"/>
      <c r="JLQ44" s="59"/>
      <c r="JLR44" s="58"/>
      <c r="JLS44" s="59"/>
      <c r="JLT44" s="6"/>
      <c r="JLU44" s="7"/>
      <c r="JLV44" s="8"/>
      <c r="JLW44" s="8"/>
      <c r="JLX44" s="6"/>
      <c r="JLY44" s="16"/>
      <c r="JLZ44" s="16"/>
      <c r="JMA44" s="16"/>
      <c r="JMB44" s="16"/>
      <c r="JMC44" s="65"/>
      <c r="JMD44" s="66"/>
      <c r="JME44" s="67"/>
      <c r="JMF44" s="34"/>
      <c r="JMI44" s="5"/>
      <c r="JMJ44" s="18"/>
      <c r="JMK44" s="56"/>
      <c r="JML44" s="57"/>
      <c r="JMM44" s="58"/>
      <c r="JMN44" s="59"/>
      <c r="JMO44" s="58"/>
      <c r="JMP44" s="59"/>
      <c r="JMQ44" s="6"/>
      <c r="JMR44" s="7"/>
      <c r="JMS44" s="8"/>
      <c r="JMT44" s="8"/>
      <c r="JMU44" s="6"/>
      <c r="JMV44" s="16"/>
      <c r="JMW44" s="16"/>
      <c r="JMX44" s="16"/>
      <c r="JMY44" s="16"/>
      <c r="JMZ44" s="65"/>
      <c r="JNA44" s="66"/>
      <c r="JNB44" s="67"/>
      <c r="JNC44" s="34"/>
      <c r="JNF44" s="5"/>
      <c r="JNG44" s="18"/>
      <c r="JNH44" s="56"/>
      <c r="JNI44" s="57"/>
      <c r="JNJ44" s="58"/>
      <c r="JNK44" s="59"/>
      <c r="JNL44" s="58"/>
      <c r="JNM44" s="59"/>
      <c r="JNN44" s="6"/>
      <c r="JNO44" s="7"/>
      <c r="JNP44" s="8"/>
      <c r="JNQ44" s="8"/>
      <c r="JNR44" s="6"/>
      <c r="JNS44" s="16"/>
      <c r="JNT44" s="16"/>
      <c r="JNU44" s="16"/>
      <c r="JNV44" s="16"/>
      <c r="JNW44" s="65"/>
      <c r="JNX44" s="66"/>
      <c r="JNY44" s="67"/>
      <c r="JNZ44" s="34"/>
      <c r="JOC44" s="5"/>
      <c r="JOD44" s="18"/>
      <c r="JOE44" s="56"/>
      <c r="JOF44" s="57"/>
      <c r="JOG44" s="58"/>
      <c r="JOH44" s="59"/>
      <c r="JOI44" s="58"/>
      <c r="JOJ44" s="59"/>
      <c r="JOK44" s="6"/>
      <c r="JOL44" s="7"/>
      <c r="JOM44" s="8"/>
      <c r="JON44" s="8"/>
      <c r="JOO44" s="6"/>
      <c r="JOP44" s="16"/>
      <c r="JOQ44" s="16"/>
      <c r="JOR44" s="16"/>
      <c r="JOS44" s="16"/>
      <c r="JOT44" s="65"/>
      <c r="JOU44" s="66"/>
      <c r="JOV44" s="67"/>
      <c r="JOW44" s="34"/>
      <c r="JOZ44" s="5"/>
      <c r="JPA44" s="18"/>
      <c r="JPB44" s="56"/>
      <c r="JPC44" s="57"/>
      <c r="JPD44" s="58"/>
      <c r="JPE44" s="59"/>
      <c r="JPF44" s="58"/>
      <c r="JPG44" s="59"/>
      <c r="JPH44" s="6"/>
      <c r="JPI44" s="7"/>
      <c r="JPJ44" s="8"/>
      <c r="JPK44" s="8"/>
      <c r="JPL44" s="6"/>
      <c r="JPM44" s="16"/>
      <c r="JPN44" s="16"/>
      <c r="JPO44" s="16"/>
      <c r="JPP44" s="16"/>
      <c r="JPQ44" s="65"/>
      <c r="JPR44" s="66"/>
      <c r="JPS44" s="67"/>
      <c r="JPT44" s="34"/>
      <c r="JPW44" s="5"/>
      <c r="JPX44" s="18"/>
      <c r="JPY44" s="56"/>
      <c r="JPZ44" s="57"/>
      <c r="JQA44" s="58"/>
      <c r="JQB44" s="59"/>
      <c r="JQC44" s="58"/>
      <c r="JQD44" s="59"/>
      <c r="JQE44" s="6"/>
      <c r="JQF44" s="7"/>
      <c r="JQG44" s="8"/>
      <c r="JQH44" s="8"/>
      <c r="JQI44" s="6"/>
      <c r="JQJ44" s="16"/>
      <c r="JQK44" s="16"/>
      <c r="JQL44" s="16"/>
      <c r="JQM44" s="16"/>
      <c r="JQN44" s="65"/>
      <c r="JQO44" s="66"/>
      <c r="JQP44" s="67"/>
      <c r="JQQ44" s="34"/>
      <c r="JQT44" s="5"/>
      <c r="JQU44" s="18"/>
      <c r="JQV44" s="56"/>
      <c r="JQW44" s="57"/>
      <c r="JQX44" s="58"/>
      <c r="JQY44" s="59"/>
      <c r="JQZ44" s="58"/>
      <c r="JRA44" s="59"/>
      <c r="JRB44" s="6"/>
      <c r="JRC44" s="7"/>
      <c r="JRD44" s="8"/>
      <c r="JRE44" s="8"/>
      <c r="JRF44" s="6"/>
      <c r="JRG44" s="16"/>
      <c r="JRH44" s="16"/>
      <c r="JRI44" s="16"/>
      <c r="JRJ44" s="16"/>
      <c r="JRK44" s="65"/>
      <c r="JRL44" s="66"/>
      <c r="JRM44" s="67"/>
      <c r="JRN44" s="34"/>
      <c r="JRQ44" s="5"/>
      <c r="JRR44" s="18"/>
      <c r="JRS44" s="56"/>
      <c r="JRT44" s="57"/>
      <c r="JRU44" s="58"/>
      <c r="JRV44" s="59"/>
      <c r="JRW44" s="58"/>
      <c r="JRX44" s="59"/>
      <c r="JRY44" s="6"/>
      <c r="JRZ44" s="7"/>
      <c r="JSA44" s="8"/>
      <c r="JSB44" s="8"/>
      <c r="JSC44" s="6"/>
      <c r="JSD44" s="16"/>
      <c r="JSE44" s="16"/>
      <c r="JSF44" s="16"/>
      <c r="JSG44" s="16"/>
      <c r="JSH44" s="65"/>
      <c r="JSI44" s="66"/>
      <c r="JSJ44" s="67"/>
      <c r="JSK44" s="34"/>
      <c r="JSN44" s="5"/>
      <c r="JSO44" s="18"/>
      <c r="JSP44" s="56"/>
      <c r="JSQ44" s="57"/>
      <c r="JSR44" s="58"/>
      <c r="JSS44" s="59"/>
      <c r="JST44" s="58"/>
      <c r="JSU44" s="59"/>
      <c r="JSV44" s="6"/>
      <c r="JSW44" s="7"/>
      <c r="JSX44" s="8"/>
      <c r="JSY44" s="8"/>
      <c r="JSZ44" s="6"/>
      <c r="JTA44" s="16"/>
      <c r="JTB44" s="16"/>
      <c r="JTC44" s="16"/>
      <c r="JTD44" s="16"/>
      <c r="JTE44" s="65"/>
      <c r="JTF44" s="66"/>
      <c r="JTG44" s="67"/>
      <c r="JTH44" s="34"/>
      <c r="JTK44" s="5"/>
      <c r="JTL44" s="18"/>
      <c r="JTM44" s="56"/>
      <c r="JTN44" s="57"/>
      <c r="JTO44" s="58"/>
      <c r="JTP44" s="59"/>
      <c r="JTQ44" s="58"/>
      <c r="JTR44" s="59"/>
      <c r="JTS44" s="6"/>
      <c r="JTT44" s="7"/>
      <c r="JTU44" s="8"/>
      <c r="JTV44" s="8"/>
      <c r="JTW44" s="6"/>
      <c r="JTX44" s="16"/>
      <c r="JTY44" s="16"/>
      <c r="JTZ44" s="16"/>
      <c r="JUA44" s="16"/>
      <c r="JUB44" s="65"/>
      <c r="JUC44" s="66"/>
      <c r="JUD44" s="67"/>
      <c r="JUE44" s="34"/>
      <c r="JUH44" s="5"/>
      <c r="JUI44" s="18"/>
      <c r="JUJ44" s="56"/>
      <c r="JUK44" s="57"/>
      <c r="JUL44" s="58"/>
      <c r="JUM44" s="59"/>
      <c r="JUN44" s="58"/>
      <c r="JUO44" s="59"/>
      <c r="JUP44" s="6"/>
      <c r="JUQ44" s="7"/>
      <c r="JUR44" s="8"/>
      <c r="JUS44" s="8"/>
      <c r="JUT44" s="6"/>
      <c r="JUU44" s="16"/>
      <c r="JUV44" s="16"/>
      <c r="JUW44" s="16"/>
      <c r="JUX44" s="16"/>
      <c r="JUY44" s="65"/>
      <c r="JUZ44" s="66"/>
      <c r="JVA44" s="67"/>
      <c r="JVB44" s="34"/>
      <c r="JVE44" s="5"/>
      <c r="JVF44" s="18"/>
      <c r="JVG44" s="56"/>
      <c r="JVH44" s="57"/>
      <c r="JVI44" s="58"/>
      <c r="JVJ44" s="59"/>
      <c r="JVK44" s="58"/>
      <c r="JVL44" s="59"/>
      <c r="JVM44" s="6"/>
      <c r="JVN44" s="7"/>
      <c r="JVO44" s="8"/>
      <c r="JVP44" s="8"/>
      <c r="JVQ44" s="6"/>
      <c r="JVR44" s="16"/>
      <c r="JVS44" s="16"/>
      <c r="JVT44" s="16"/>
      <c r="JVU44" s="16"/>
      <c r="JVV44" s="65"/>
      <c r="JVW44" s="66"/>
      <c r="JVX44" s="67"/>
      <c r="JVY44" s="34"/>
      <c r="JWB44" s="5"/>
      <c r="JWC44" s="18"/>
      <c r="JWD44" s="56"/>
      <c r="JWE44" s="57"/>
      <c r="JWF44" s="58"/>
      <c r="JWG44" s="59"/>
      <c r="JWH44" s="58"/>
      <c r="JWI44" s="59"/>
      <c r="JWJ44" s="6"/>
      <c r="JWK44" s="7"/>
      <c r="JWL44" s="8"/>
      <c r="JWM44" s="8"/>
      <c r="JWN44" s="6"/>
      <c r="JWO44" s="16"/>
      <c r="JWP44" s="16"/>
      <c r="JWQ44" s="16"/>
      <c r="JWR44" s="16"/>
      <c r="JWS44" s="65"/>
      <c r="JWT44" s="66"/>
      <c r="JWU44" s="67"/>
      <c r="JWV44" s="34"/>
      <c r="JWY44" s="5"/>
      <c r="JWZ44" s="18"/>
      <c r="JXA44" s="56"/>
      <c r="JXB44" s="57"/>
      <c r="JXC44" s="58"/>
      <c r="JXD44" s="59"/>
      <c r="JXE44" s="58"/>
      <c r="JXF44" s="59"/>
      <c r="JXG44" s="6"/>
      <c r="JXH44" s="7"/>
      <c r="JXI44" s="8"/>
      <c r="JXJ44" s="8"/>
      <c r="JXK44" s="6"/>
      <c r="JXL44" s="16"/>
      <c r="JXM44" s="16"/>
      <c r="JXN44" s="16"/>
      <c r="JXO44" s="16"/>
      <c r="JXP44" s="65"/>
      <c r="JXQ44" s="66"/>
      <c r="JXR44" s="67"/>
      <c r="JXS44" s="34"/>
      <c r="JXV44" s="5"/>
      <c r="JXW44" s="18"/>
      <c r="JXX44" s="56"/>
      <c r="JXY44" s="57"/>
      <c r="JXZ44" s="58"/>
      <c r="JYA44" s="59"/>
      <c r="JYB44" s="58"/>
      <c r="JYC44" s="59"/>
      <c r="JYD44" s="6"/>
      <c r="JYE44" s="7"/>
      <c r="JYF44" s="8"/>
      <c r="JYG44" s="8"/>
      <c r="JYH44" s="6"/>
      <c r="JYI44" s="16"/>
      <c r="JYJ44" s="16"/>
      <c r="JYK44" s="16"/>
      <c r="JYL44" s="16"/>
      <c r="JYM44" s="65"/>
      <c r="JYN44" s="66"/>
      <c r="JYO44" s="67"/>
      <c r="JYP44" s="34"/>
      <c r="JYS44" s="5"/>
      <c r="JYT44" s="18"/>
      <c r="JYU44" s="56"/>
      <c r="JYV44" s="57"/>
      <c r="JYW44" s="58"/>
      <c r="JYX44" s="59"/>
      <c r="JYY44" s="58"/>
      <c r="JYZ44" s="59"/>
      <c r="JZA44" s="6"/>
      <c r="JZB44" s="7"/>
      <c r="JZC44" s="8"/>
      <c r="JZD44" s="8"/>
      <c r="JZE44" s="6"/>
      <c r="JZF44" s="16"/>
      <c r="JZG44" s="16"/>
      <c r="JZH44" s="16"/>
      <c r="JZI44" s="16"/>
      <c r="JZJ44" s="65"/>
      <c r="JZK44" s="66"/>
      <c r="JZL44" s="67"/>
      <c r="JZM44" s="34"/>
      <c r="JZP44" s="5"/>
      <c r="JZQ44" s="18"/>
      <c r="JZR44" s="56"/>
      <c r="JZS44" s="57"/>
      <c r="JZT44" s="58"/>
      <c r="JZU44" s="59"/>
      <c r="JZV44" s="58"/>
      <c r="JZW44" s="59"/>
      <c r="JZX44" s="6"/>
      <c r="JZY44" s="7"/>
      <c r="JZZ44" s="8"/>
      <c r="KAA44" s="8"/>
      <c r="KAB44" s="6"/>
      <c r="KAC44" s="16"/>
      <c r="KAD44" s="16"/>
      <c r="KAE44" s="16"/>
      <c r="KAF44" s="16"/>
      <c r="KAG44" s="65"/>
      <c r="KAH44" s="66"/>
      <c r="KAI44" s="67"/>
      <c r="KAJ44" s="34"/>
      <c r="KAM44" s="5"/>
      <c r="KAN44" s="18"/>
      <c r="KAO44" s="56"/>
      <c r="KAP44" s="57"/>
      <c r="KAQ44" s="58"/>
      <c r="KAR44" s="59"/>
      <c r="KAS44" s="58"/>
      <c r="KAT44" s="59"/>
      <c r="KAU44" s="6"/>
      <c r="KAV44" s="7"/>
      <c r="KAW44" s="8"/>
      <c r="KAX44" s="8"/>
      <c r="KAY44" s="6"/>
      <c r="KAZ44" s="16"/>
      <c r="KBA44" s="16"/>
      <c r="KBB44" s="16"/>
      <c r="KBC44" s="16"/>
      <c r="KBD44" s="65"/>
      <c r="KBE44" s="66"/>
      <c r="KBF44" s="67"/>
      <c r="KBG44" s="34"/>
      <c r="KBJ44" s="5"/>
      <c r="KBK44" s="18"/>
      <c r="KBL44" s="56"/>
      <c r="KBM44" s="57"/>
      <c r="KBN44" s="58"/>
      <c r="KBO44" s="59"/>
      <c r="KBP44" s="58"/>
      <c r="KBQ44" s="59"/>
      <c r="KBR44" s="6"/>
      <c r="KBS44" s="7"/>
      <c r="KBT44" s="8"/>
      <c r="KBU44" s="8"/>
      <c r="KBV44" s="6"/>
      <c r="KBW44" s="16"/>
      <c r="KBX44" s="16"/>
      <c r="KBY44" s="16"/>
      <c r="KBZ44" s="16"/>
      <c r="KCA44" s="65"/>
      <c r="KCB44" s="66"/>
      <c r="KCC44" s="67"/>
      <c r="KCD44" s="34"/>
      <c r="KCG44" s="5"/>
      <c r="KCH44" s="18"/>
      <c r="KCI44" s="56"/>
      <c r="KCJ44" s="57"/>
      <c r="KCK44" s="58"/>
      <c r="KCL44" s="59"/>
      <c r="KCM44" s="58"/>
      <c r="KCN44" s="59"/>
      <c r="KCO44" s="6"/>
      <c r="KCP44" s="7"/>
      <c r="KCQ44" s="8"/>
      <c r="KCR44" s="8"/>
      <c r="KCS44" s="6"/>
      <c r="KCT44" s="16"/>
      <c r="KCU44" s="16"/>
      <c r="KCV44" s="16"/>
      <c r="KCW44" s="16"/>
      <c r="KCX44" s="65"/>
      <c r="KCY44" s="66"/>
      <c r="KCZ44" s="67"/>
      <c r="KDA44" s="34"/>
      <c r="KDD44" s="5"/>
      <c r="KDE44" s="18"/>
      <c r="KDF44" s="56"/>
      <c r="KDG44" s="57"/>
      <c r="KDH44" s="58"/>
      <c r="KDI44" s="59"/>
      <c r="KDJ44" s="58"/>
      <c r="KDK44" s="59"/>
      <c r="KDL44" s="6"/>
      <c r="KDM44" s="7"/>
      <c r="KDN44" s="8"/>
      <c r="KDO44" s="8"/>
      <c r="KDP44" s="6"/>
      <c r="KDQ44" s="16"/>
      <c r="KDR44" s="16"/>
      <c r="KDS44" s="16"/>
      <c r="KDT44" s="16"/>
      <c r="KDU44" s="65"/>
      <c r="KDV44" s="66"/>
      <c r="KDW44" s="67"/>
      <c r="KDX44" s="34"/>
      <c r="KEA44" s="5"/>
      <c r="KEB44" s="18"/>
      <c r="KEC44" s="56"/>
      <c r="KED44" s="57"/>
      <c r="KEE44" s="58"/>
      <c r="KEF44" s="59"/>
      <c r="KEG44" s="58"/>
      <c r="KEH44" s="59"/>
      <c r="KEI44" s="6"/>
      <c r="KEJ44" s="7"/>
      <c r="KEK44" s="8"/>
      <c r="KEL44" s="8"/>
      <c r="KEM44" s="6"/>
      <c r="KEN44" s="16"/>
      <c r="KEO44" s="16"/>
      <c r="KEP44" s="16"/>
      <c r="KEQ44" s="16"/>
      <c r="KER44" s="65"/>
      <c r="KES44" s="66"/>
      <c r="KET44" s="67"/>
      <c r="KEU44" s="34"/>
      <c r="KEX44" s="5"/>
      <c r="KEY44" s="18"/>
      <c r="KEZ44" s="56"/>
      <c r="KFA44" s="57"/>
      <c r="KFB44" s="58"/>
      <c r="KFC44" s="59"/>
      <c r="KFD44" s="58"/>
      <c r="KFE44" s="59"/>
      <c r="KFF44" s="6"/>
      <c r="KFG44" s="7"/>
      <c r="KFH44" s="8"/>
      <c r="KFI44" s="8"/>
      <c r="KFJ44" s="6"/>
      <c r="KFK44" s="16"/>
      <c r="KFL44" s="16"/>
      <c r="KFM44" s="16"/>
      <c r="KFN44" s="16"/>
      <c r="KFO44" s="65"/>
      <c r="KFP44" s="66"/>
      <c r="KFQ44" s="67"/>
      <c r="KFR44" s="34"/>
      <c r="KFU44" s="5"/>
      <c r="KFV44" s="18"/>
      <c r="KFW44" s="56"/>
      <c r="KFX44" s="57"/>
      <c r="KFY44" s="58"/>
      <c r="KFZ44" s="59"/>
      <c r="KGA44" s="58"/>
      <c r="KGB44" s="59"/>
      <c r="KGC44" s="6"/>
      <c r="KGD44" s="7"/>
      <c r="KGE44" s="8"/>
      <c r="KGF44" s="8"/>
      <c r="KGG44" s="6"/>
      <c r="KGH44" s="16"/>
      <c r="KGI44" s="16"/>
      <c r="KGJ44" s="16"/>
      <c r="KGK44" s="16"/>
      <c r="KGL44" s="65"/>
      <c r="KGM44" s="66"/>
      <c r="KGN44" s="67"/>
      <c r="KGO44" s="34"/>
      <c r="KGR44" s="5"/>
      <c r="KGS44" s="18"/>
      <c r="KGT44" s="56"/>
      <c r="KGU44" s="57"/>
      <c r="KGV44" s="58"/>
      <c r="KGW44" s="59"/>
      <c r="KGX44" s="58"/>
      <c r="KGY44" s="59"/>
      <c r="KGZ44" s="6"/>
      <c r="KHA44" s="7"/>
      <c r="KHB44" s="8"/>
      <c r="KHC44" s="8"/>
      <c r="KHD44" s="6"/>
      <c r="KHE44" s="16"/>
      <c r="KHF44" s="16"/>
      <c r="KHG44" s="16"/>
      <c r="KHH44" s="16"/>
      <c r="KHI44" s="65"/>
      <c r="KHJ44" s="66"/>
      <c r="KHK44" s="67"/>
      <c r="KHL44" s="34"/>
      <c r="KHO44" s="5"/>
      <c r="KHP44" s="18"/>
      <c r="KHQ44" s="56"/>
      <c r="KHR44" s="57"/>
      <c r="KHS44" s="58"/>
      <c r="KHT44" s="59"/>
      <c r="KHU44" s="58"/>
      <c r="KHV44" s="59"/>
      <c r="KHW44" s="6"/>
      <c r="KHX44" s="7"/>
      <c r="KHY44" s="8"/>
      <c r="KHZ44" s="8"/>
      <c r="KIA44" s="6"/>
      <c r="KIB44" s="16"/>
      <c r="KIC44" s="16"/>
      <c r="KID44" s="16"/>
      <c r="KIE44" s="16"/>
      <c r="KIF44" s="65"/>
      <c r="KIG44" s="66"/>
      <c r="KIH44" s="67"/>
      <c r="KII44" s="34"/>
      <c r="KIL44" s="5"/>
      <c r="KIM44" s="18"/>
      <c r="KIN44" s="56"/>
      <c r="KIO44" s="57"/>
      <c r="KIP44" s="58"/>
      <c r="KIQ44" s="59"/>
      <c r="KIR44" s="58"/>
      <c r="KIS44" s="59"/>
      <c r="KIT44" s="6"/>
      <c r="KIU44" s="7"/>
      <c r="KIV44" s="8"/>
      <c r="KIW44" s="8"/>
      <c r="KIX44" s="6"/>
      <c r="KIY44" s="16"/>
      <c r="KIZ44" s="16"/>
      <c r="KJA44" s="16"/>
      <c r="KJB44" s="16"/>
      <c r="KJC44" s="65"/>
      <c r="KJD44" s="66"/>
      <c r="KJE44" s="67"/>
      <c r="KJF44" s="34"/>
      <c r="KJI44" s="5"/>
      <c r="KJJ44" s="18"/>
      <c r="KJK44" s="56"/>
      <c r="KJL44" s="57"/>
      <c r="KJM44" s="58"/>
      <c r="KJN44" s="59"/>
      <c r="KJO44" s="58"/>
      <c r="KJP44" s="59"/>
      <c r="KJQ44" s="6"/>
      <c r="KJR44" s="7"/>
      <c r="KJS44" s="8"/>
      <c r="KJT44" s="8"/>
      <c r="KJU44" s="6"/>
      <c r="KJV44" s="16"/>
      <c r="KJW44" s="16"/>
      <c r="KJX44" s="16"/>
      <c r="KJY44" s="16"/>
      <c r="KJZ44" s="65"/>
      <c r="KKA44" s="66"/>
      <c r="KKB44" s="67"/>
      <c r="KKC44" s="34"/>
      <c r="KKF44" s="5"/>
      <c r="KKG44" s="18"/>
      <c r="KKH44" s="56"/>
      <c r="KKI44" s="57"/>
      <c r="KKJ44" s="58"/>
      <c r="KKK44" s="59"/>
      <c r="KKL44" s="58"/>
      <c r="KKM44" s="59"/>
      <c r="KKN44" s="6"/>
      <c r="KKO44" s="7"/>
      <c r="KKP44" s="8"/>
      <c r="KKQ44" s="8"/>
      <c r="KKR44" s="6"/>
      <c r="KKS44" s="16"/>
      <c r="KKT44" s="16"/>
      <c r="KKU44" s="16"/>
      <c r="KKV44" s="16"/>
      <c r="KKW44" s="65"/>
      <c r="KKX44" s="66"/>
      <c r="KKY44" s="67"/>
      <c r="KKZ44" s="34"/>
      <c r="KLC44" s="5"/>
      <c r="KLD44" s="18"/>
      <c r="KLE44" s="56"/>
      <c r="KLF44" s="57"/>
      <c r="KLG44" s="58"/>
      <c r="KLH44" s="59"/>
      <c r="KLI44" s="58"/>
      <c r="KLJ44" s="59"/>
      <c r="KLK44" s="6"/>
      <c r="KLL44" s="7"/>
      <c r="KLM44" s="8"/>
      <c r="KLN44" s="8"/>
      <c r="KLO44" s="6"/>
      <c r="KLP44" s="16"/>
      <c r="KLQ44" s="16"/>
      <c r="KLR44" s="16"/>
      <c r="KLS44" s="16"/>
      <c r="KLT44" s="65"/>
      <c r="KLU44" s="66"/>
      <c r="KLV44" s="67"/>
      <c r="KLW44" s="34"/>
      <c r="KLZ44" s="5"/>
      <c r="KMA44" s="18"/>
      <c r="KMB44" s="56"/>
      <c r="KMC44" s="57"/>
      <c r="KMD44" s="58"/>
      <c r="KME44" s="59"/>
      <c r="KMF44" s="58"/>
      <c r="KMG44" s="59"/>
      <c r="KMH44" s="6"/>
      <c r="KMI44" s="7"/>
      <c r="KMJ44" s="8"/>
      <c r="KMK44" s="8"/>
      <c r="KML44" s="6"/>
      <c r="KMM44" s="16"/>
      <c r="KMN44" s="16"/>
      <c r="KMO44" s="16"/>
      <c r="KMP44" s="16"/>
      <c r="KMQ44" s="65"/>
      <c r="KMR44" s="66"/>
      <c r="KMS44" s="67"/>
      <c r="KMT44" s="34"/>
      <c r="KMW44" s="5"/>
      <c r="KMX44" s="18"/>
      <c r="KMY44" s="56"/>
      <c r="KMZ44" s="57"/>
      <c r="KNA44" s="58"/>
      <c r="KNB44" s="59"/>
      <c r="KNC44" s="58"/>
      <c r="KND44" s="59"/>
      <c r="KNE44" s="6"/>
      <c r="KNF44" s="7"/>
      <c r="KNG44" s="8"/>
      <c r="KNH44" s="8"/>
      <c r="KNI44" s="6"/>
      <c r="KNJ44" s="16"/>
      <c r="KNK44" s="16"/>
      <c r="KNL44" s="16"/>
      <c r="KNM44" s="16"/>
      <c r="KNN44" s="65"/>
      <c r="KNO44" s="66"/>
      <c r="KNP44" s="67"/>
      <c r="KNQ44" s="34"/>
      <c r="KNT44" s="5"/>
      <c r="KNU44" s="18"/>
      <c r="KNV44" s="56"/>
      <c r="KNW44" s="57"/>
      <c r="KNX44" s="58"/>
      <c r="KNY44" s="59"/>
      <c r="KNZ44" s="58"/>
      <c r="KOA44" s="59"/>
      <c r="KOB44" s="6"/>
      <c r="KOC44" s="7"/>
      <c r="KOD44" s="8"/>
      <c r="KOE44" s="8"/>
      <c r="KOF44" s="6"/>
      <c r="KOG44" s="16"/>
      <c r="KOH44" s="16"/>
      <c r="KOI44" s="16"/>
      <c r="KOJ44" s="16"/>
      <c r="KOK44" s="65"/>
      <c r="KOL44" s="66"/>
      <c r="KOM44" s="67"/>
      <c r="KON44" s="34"/>
      <c r="KOQ44" s="5"/>
      <c r="KOR44" s="18"/>
      <c r="KOS44" s="56"/>
      <c r="KOT44" s="57"/>
      <c r="KOU44" s="58"/>
      <c r="KOV44" s="59"/>
      <c r="KOW44" s="58"/>
      <c r="KOX44" s="59"/>
      <c r="KOY44" s="6"/>
      <c r="KOZ44" s="7"/>
      <c r="KPA44" s="8"/>
      <c r="KPB44" s="8"/>
      <c r="KPC44" s="6"/>
      <c r="KPD44" s="16"/>
      <c r="KPE44" s="16"/>
      <c r="KPF44" s="16"/>
      <c r="KPG44" s="16"/>
      <c r="KPH44" s="65"/>
      <c r="KPI44" s="66"/>
      <c r="KPJ44" s="67"/>
      <c r="KPK44" s="34"/>
      <c r="KPN44" s="5"/>
      <c r="KPO44" s="18"/>
      <c r="KPP44" s="56"/>
      <c r="KPQ44" s="57"/>
      <c r="KPR44" s="58"/>
      <c r="KPS44" s="59"/>
      <c r="KPT44" s="58"/>
      <c r="KPU44" s="59"/>
      <c r="KPV44" s="6"/>
      <c r="KPW44" s="7"/>
      <c r="KPX44" s="8"/>
      <c r="KPY44" s="8"/>
      <c r="KPZ44" s="6"/>
      <c r="KQA44" s="16"/>
      <c r="KQB44" s="16"/>
      <c r="KQC44" s="16"/>
      <c r="KQD44" s="16"/>
      <c r="KQE44" s="65"/>
      <c r="KQF44" s="66"/>
      <c r="KQG44" s="67"/>
      <c r="KQH44" s="34"/>
      <c r="KQK44" s="5"/>
      <c r="KQL44" s="18"/>
      <c r="KQM44" s="56"/>
      <c r="KQN44" s="57"/>
      <c r="KQO44" s="58"/>
      <c r="KQP44" s="59"/>
      <c r="KQQ44" s="58"/>
      <c r="KQR44" s="59"/>
      <c r="KQS44" s="6"/>
      <c r="KQT44" s="7"/>
      <c r="KQU44" s="8"/>
      <c r="KQV44" s="8"/>
      <c r="KQW44" s="6"/>
      <c r="KQX44" s="16"/>
      <c r="KQY44" s="16"/>
      <c r="KQZ44" s="16"/>
      <c r="KRA44" s="16"/>
      <c r="KRB44" s="65"/>
      <c r="KRC44" s="66"/>
      <c r="KRD44" s="67"/>
      <c r="KRE44" s="34"/>
      <c r="KRH44" s="5"/>
      <c r="KRI44" s="18"/>
      <c r="KRJ44" s="56"/>
      <c r="KRK44" s="57"/>
      <c r="KRL44" s="58"/>
      <c r="KRM44" s="59"/>
      <c r="KRN44" s="58"/>
      <c r="KRO44" s="59"/>
      <c r="KRP44" s="6"/>
      <c r="KRQ44" s="7"/>
      <c r="KRR44" s="8"/>
      <c r="KRS44" s="8"/>
      <c r="KRT44" s="6"/>
      <c r="KRU44" s="16"/>
      <c r="KRV44" s="16"/>
      <c r="KRW44" s="16"/>
      <c r="KRX44" s="16"/>
      <c r="KRY44" s="65"/>
      <c r="KRZ44" s="66"/>
      <c r="KSA44" s="67"/>
      <c r="KSB44" s="34"/>
      <c r="KSE44" s="5"/>
      <c r="KSF44" s="18"/>
      <c r="KSG44" s="56"/>
      <c r="KSH44" s="57"/>
      <c r="KSI44" s="58"/>
      <c r="KSJ44" s="59"/>
      <c r="KSK44" s="58"/>
      <c r="KSL44" s="59"/>
      <c r="KSM44" s="6"/>
      <c r="KSN44" s="7"/>
      <c r="KSO44" s="8"/>
      <c r="KSP44" s="8"/>
      <c r="KSQ44" s="6"/>
      <c r="KSR44" s="16"/>
      <c r="KSS44" s="16"/>
      <c r="KST44" s="16"/>
      <c r="KSU44" s="16"/>
      <c r="KSV44" s="65"/>
      <c r="KSW44" s="66"/>
      <c r="KSX44" s="67"/>
      <c r="KSY44" s="34"/>
      <c r="KTB44" s="5"/>
      <c r="KTC44" s="18"/>
      <c r="KTD44" s="56"/>
      <c r="KTE44" s="57"/>
      <c r="KTF44" s="58"/>
      <c r="KTG44" s="59"/>
      <c r="KTH44" s="58"/>
      <c r="KTI44" s="59"/>
      <c r="KTJ44" s="6"/>
      <c r="KTK44" s="7"/>
      <c r="KTL44" s="8"/>
      <c r="KTM44" s="8"/>
      <c r="KTN44" s="6"/>
      <c r="KTO44" s="16"/>
      <c r="KTP44" s="16"/>
      <c r="KTQ44" s="16"/>
      <c r="KTR44" s="16"/>
      <c r="KTS44" s="65"/>
      <c r="KTT44" s="66"/>
      <c r="KTU44" s="67"/>
      <c r="KTV44" s="34"/>
      <c r="KTY44" s="5"/>
      <c r="KTZ44" s="18"/>
      <c r="KUA44" s="56"/>
      <c r="KUB44" s="57"/>
      <c r="KUC44" s="58"/>
      <c r="KUD44" s="59"/>
      <c r="KUE44" s="58"/>
      <c r="KUF44" s="59"/>
      <c r="KUG44" s="6"/>
      <c r="KUH44" s="7"/>
      <c r="KUI44" s="8"/>
      <c r="KUJ44" s="8"/>
      <c r="KUK44" s="6"/>
      <c r="KUL44" s="16"/>
      <c r="KUM44" s="16"/>
      <c r="KUN44" s="16"/>
      <c r="KUO44" s="16"/>
      <c r="KUP44" s="65"/>
      <c r="KUQ44" s="66"/>
      <c r="KUR44" s="67"/>
      <c r="KUS44" s="34"/>
      <c r="KUV44" s="5"/>
      <c r="KUW44" s="18"/>
      <c r="KUX44" s="56"/>
      <c r="KUY44" s="57"/>
      <c r="KUZ44" s="58"/>
      <c r="KVA44" s="59"/>
      <c r="KVB44" s="58"/>
      <c r="KVC44" s="59"/>
      <c r="KVD44" s="6"/>
      <c r="KVE44" s="7"/>
      <c r="KVF44" s="8"/>
      <c r="KVG44" s="8"/>
      <c r="KVH44" s="6"/>
      <c r="KVI44" s="16"/>
      <c r="KVJ44" s="16"/>
      <c r="KVK44" s="16"/>
      <c r="KVL44" s="16"/>
      <c r="KVM44" s="65"/>
      <c r="KVN44" s="66"/>
      <c r="KVO44" s="67"/>
      <c r="KVP44" s="34"/>
      <c r="KVS44" s="5"/>
      <c r="KVT44" s="18"/>
      <c r="KVU44" s="56"/>
      <c r="KVV44" s="57"/>
      <c r="KVW44" s="58"/>
      <c r="KVX44" s="59"/>
      <c r="KVY44" s="58"/>
      <c r="KVZ44" s="59"/>
      <c r="KWA44" s="6"/>
      <c r="KWB44" s="7"/>
      <c r="KWC44" s="8"/>
      <c r="KWD44" s="8"/>
      <c r="KWE44" s="6"/>
      <c r="KWF44" s="16"/>
      <c r="KWG44" s="16"/>
      <c r="KWH44" s="16"/>
      <c r="KWI44" s="16"/>
      <c r="KWJ44" s="65"/>
      <c r="KWK44" s="66"/>
      <c r="KWL44" s="67"/>
      <c r="KWM44" s="34"/>
      <c r="KWP44" s="5"/>
      <c r="KWQ44" s="18"/>
      <c r="KWR44" s="56"/>
      <c r="KWS44" s="57"/>
      <c r="KWT44" s="58"/>
      <c r="KWU44" s="59"/>
      <c r="KWV44" s="58"/>
      <c r="KWW44" s="59"/>
      <c r="KWX44" s="6"/>
      <c r="KWY44" s="7"/>
      <c r="KWZ44" s="8"/>
      <c r="KXA44" s="8"/>
      <c r="KXB44" s="6"/>
      <c r="KXC44" s="16"/>
      <c r="KXD44" s="16"/>
      <c r="KXE44" s="16"/>
      <c r="KXF44" s="16"/>
      <c r="KXG44" s="65"/>
      <c r="KXH44" s="66"/>
      <c r="KXI44" s="67"/>
      <c r="KXJ44" s="34"/>
      <c r="KXM44" s="5"/>
      <c r="KXN44" s="18"/>
      <c r="KXO44" s="56"/>
      <c r="KXP44" s="57"/>
      <c r="KXQ44" s="58"/>
      <c r="KXR44" s="59"/>
      <c r="KXS44" s="58"/>
      <c r="KXT44" s="59"/>
      <c r="KXU44" s="6"/>
      <c r="KXV44" s="7"/>
      <c r="KXW44" s="8"/>
      <c r="KXX44" s="8"/>
      <c r="KXY44" s="6"/>
      <c r="KXZ44" s="16"/>
      <c r="KYA44" s="16"/>
      <c r="KYB44" s="16"/>
      <c r="KYC44" s="16"/>
      <c r="KYD44" s="65"/>
      <c r="KYE44" s="66"/>
      <c r="KYF44" s="67"/>
      <c r="KYG44" s="34"/>
      <c r="KYJ44" s="5"/>
      <c r="KYK44" s="18"/>
      <c r="KYL44" s="56"/>
      <c r="KYM44" s="57"/>
      <c r="KYN44" s="58"/>
      <c r="KYO44" s="59"/>
      <c r="KYP44" s="58"/>
      <c r="KYQ44" s="59"/>
      <c r="KYR44" s="6"/>
      <c r="KYS44" s="7"/>
      <c r="KYT44" s="8"/>
      <c r="KYU44" s="8"/>
      <c r="KYV44" s="6"/>
      <c r="KYW44" s="16"/>
      <c r="KYX44" s="16"/>
      <c r="KYY44" s="16"/>
      <c r="KYZ44" s="16"/>
      <c r="KZA44" s="65"/>
      <c r="KZB44" s="66"/>
      <c r="KZC44" s="67"/>
      <c r="KZD44" s="34"/>
      <c r="KZG44" s="5"/>
      <c r="KZH44" s="18"/>
      <c r="KZI44" s="56"/>
      <c r="KZJ44" s="57"/>
      <c r="KZK44" s="58"/>
      <c r="KZL44" s="59"/>
      <c r="KZM44" s="58"/>
      <c r="KZN44" s="59"/>
      <c r="KZO44" s="6"/>
      <c r="KZP44" s="7"/>
      <c r="KZQ44" s="8"/>
      <c r="KZR44" s="8"/>
      <c r="KZS44" s="6"/>
      <c r="KZT44" s="16"/>
      <c r="KZU44" s="16"/>
      <c r="KZV44" s="16"/>
      <c r="KZW44" s="16"/>
      <c r="KZX44" s="65"/>
      <c r="KZY44" s="66"/>
      <c r="KZZ44" s="67"/>
      <c r="LAA44" s="34"/>
      <c r="LAD44" s="5"/>
      <c r="LAE44" s="18"/>
      <c r="LAF44" s="56"/>
      <c r="LAG44" s="57"/>
      <c r="LAH44" s="58"/>
      <c r="LAI44" s="59"/>
      <c r="LAJ44" s="58"/>
      <c r="LAK44" s="59"/>
      <c r="LAL44" s="6"/>
      <c r="LAM44" s="7"/>
      <c r="LAN44" s="8"/>
      <c r="LAO44" s="8"/>
      <c r="LAP44" s="6"/>
      <c r="LAQ44" s="16"/>
      <c r="LAR44" s="16"/>
      <c r="LAS44" s="16"/>
      <c r="LAT44" s="16"/>
      <c r="LAU44" s="65"/>
      <c r="LAV44" s="66"/>
      <c r="LAW44" s="67"/>
      <c r="LAX44" s="34"/>
      <c r="LBA44" s="5"/>
      <c r="LBB44" s="18"/>
      <c r="LBC44" s="56"/>
      <c r="LBD44" s="57"/>
      <c r="LBE44" s="58"/>
      <c r="LBF44" s="59"/>
      <c r="LBG44" s="58"/>
      <c r="LBH44" s="59"/>
      <c r="LBI44" s="6"/>
      <c r="LBJ44" s="7"/>
      <c r="LBK44" s="8"/>
      <c r="LBL44" s="8"/>
      <c r="LBM44" s="6"/>
      <c r="LBN44" s="16"/>
      <c r="LBO44" s="16"/>
      <c r="LBP44" s="16"/>
      <c r="LBQ44" s="16"/>
      <c r="LBR44" s="65"/>
      <c r="LBS44" s="66"/>
      <c r="LBT44" s="67"/>
      <c r="LBU44" s="34"/>
      <c r="LBX44" s="5"/>
      <c r="LBY44" s="18"/>
      <c r="LBZ44" s="56"/>
      <c r="LCA44" s="57"/>
      <c r="LCB44" s="58"/>
      <c r="LCC44" s="59"/>
      <c r="LCD44" s="58"/>
      <c r="LCE44" s="59"/>
      <c r="LCF44" s="6"/>
      <c r="LCG44" s="7"/>
      <c r="LCH44" s="8"/>
      <c r="LCI44" s="8"/>
      <c r="LCJ44" s="6"/>
      <c r="LCK44" s="16"/>
      <c r="LCL44" s="16"/>
      <c r="LCM44" s="16"/>
      <c r="LCN44" s="16"/>
      <c r="LCO44" s="65"/>
      <c r="LCP44" s="66"/>
      <c r="LCQ44" s="67"/>
      <c r="LCR44" s="34"/>
      <c r="LCU44" s="5"/>
      <c r="LCV44" s="18"/>
      <c r="LCW44" s="56"/>
      <c r="LCX44" s="57"/>
      <c r="LCY44" s="58"/>
      <c r="LCZ44" s="59"/>
      <c r="LDA44" s="58"/>
      <c r="LDB44" s="59"/>
      <c r="LDC44" s="6"/>
      <c r="LDD44" s="7"/>
      <c r="LDE44" s="8"/>
      <c r="LDF44" s="8"/>
      <c r="LDG44" s="6"/>
      <c r="LDH44" s="16"/>
      <c r="LDI44" s="16"/>
      <c r="LDJ44" s="16"/>
      <c r="LDK44" s="16"/>
      <c r="LDL44" s="65"/>
      <c r="LDM44" s="66"/>
      <c r="LDN44" s="67"/>
      <c r="LDO44" s="34"/>
      <c r="LDR44" s="5"/>
      <c r="LDS44" s="18"/>
      <c r="LDT44" s="56"/>
      <c r="LDU44" s="57"/>
      <c r="LDV44" s="58"/>
      <c r="LDW44" s="59"/>
      <c r="LDX44" s="58"/>
      <c r="LDY44" s="59"/>
      <c r="LDZ44" s="6"/>
      <c r="LEA44" s="7"/>
      <c r="LEB44" s="8"/>
      <c r="LEC44" s="8"/>
      <c r="LED44" s="6"/>
      <c r="LEE44" s="16"/>
      <c r="LEF44" s="16"/>
      <c r="LEG44" s="16"/>
      <c r="LEH44" s="16"/>
      <c r="LEI44" s="65"/>
      <c r="LEJ44" s="66"/>
      <c r="LEK44" s="67"/>
      <c r="LEL44" s="34"/>
      <c r="LEO44" s="5"/>
      <c r="LEP44" s="18"/>
      <c r="LEQ44" s="56"/>
      <c r="LER44" s="57"/>
      <c r="LES44" s="58"/>
      <c r="LET44" s="59"/>
      <c r="LEU44" s="58"/>
      <c r="LEV44" s="59"/>
      <c r="LEW44" s="6"/>
      <c r="LEX44" s="7"/>
      <c r="LEY44" s="8"/>
      <c r="LEZ44" s="8"/>
      <c r="LFA44" s="6"/>
      <c r="LFB44" s="16"/>
      <c r="LFC44" s="16"/>
      <c r="LFD44" s="16"/>
      <c r="LFE44" s="16"/>
      <c r="LFF44" s="65"/>
      <c r="LFG44" s="66"/>
      <c r="LFH44" s="67"/>
      <c r="LFI44" s="34"/>
      <c r="LFL44" s="5"/>
      <c r="LFM44" s="18"/>
      <c r="LFN44" s="56"/>
      <c r="LFO44" s="57"/>
      <c r="LFP44" s="58"/>
      <c r="LFQ44" s="59"/>
      <c r="LFR44" s="58"/>
      <c r="LFS44" s="59"/>
      <c r="LFT44" s="6"/>
      <c r="LFU44" s="7"/>
      <c r="LFV44" s="8"/>
      <c r="LFW44" s="8"/>
      <c r="LFX44" s="6"/>
      <c r="LFY44" s="16"/>
      <c r="LFZ44" s="16"/>
      <c r="LGA44" s="16"/>
      <c r="LGB44" s="16"/>
      <c r="LGC44" s="65"/>
      <c r="LGD44" s="66"/>
      <c r="LGE44" s="67"/>
      <c r="LGF44" s="34"/>
      <c r="LGI44" s="5"/>
      <c r="LGJ44" s="18"/>
      <c r="LGK44" s="56"/>
      <c r="LGL44" s="57"/>
      <c r="LGM44" s="58"/>
      <c r="LGN44" s="59"/>
      <c r="LGO44" s="58"/>
      <c r="LGP44" s="59"/>
      <c r="LGQ44" s="6"/>
      <c r="LGR44" s="7"/>
      <c r="LGS44" s="8"/>
      <c r="LGT44" s="8"/>
      <c r="LGU44" s="6"/>
      <c r="LGV44" s="16"/>
      <c r="LGW44" s="16"/>
      <c r="LGX44" s="16"/>
      <c r="LGY44" s="16"/>
      <c r="LGZ44" s="65"/>
      <c r="LHA44" s="66"/>
      <c r="LHB44" s="67"/>
      <c r="LHC44" s="34"/>
      <c r="LHF44" s="5"/>
      <c r="LHG44" s="18"/>
      <c r="LHH44" s="56"/>
      <c r="LHI44" s="57"/>
      <c r="LHJ44" s="58"/>
      <c r="LHK44" s="59"/>
      <c r="LHL44" s="58"/>
      <c r="LHM44" s="59"/>
      <c r="LHN44" s="6"/>
      <c r="LHO44" s="7"/>
      <c r="LHP44" s="8"/>
      <c r="LHQ44" s="8"/>
      <c r="LHR44" s="6"/>
      <c r="LHS44" s="16"/>
      <c r="LHT44" s="16"/>
      <c r="LHU44" s="16"/>
      <c r="LHV44" s="16"/>
      <c r="LHW44" s="65"/>
      <c r="LHX44" s="66"/>
      <c r="LHY44" s="67"/>
      <c r="LHZ44" s="34"/>
      <c r="LIC44" s="5"/>
      <c r="LID44" s="18"/>
      <c r="LIE44" s="56"/>
      <c r="LIF44" s="57"/>
      <c r="LIG44" s="58"/>
      <c r="LIH44" s="59"/>
      <c r="LII44" s="58"/>
      <c r="LIJ44" s="59"/>
      <c r="LIK44" s="6"/>
      <c r="LIL44" s="7"/>
      <c r="LIM44" s="8"/>
      <c r="LIN44" s="8"/>
      <c r="LIO44" s="6"/>
      <c r="LIP44" s="16"/>
      <c r="LIQ44" s="16"/>
      <c r="LIR44" s="16"/>
      <c r="LIS44" s="16"/>
      <c r="LIT44" s="65"/>
      <c r="LIU44" s="66"/>
      <c r="LIV44" s="67"/>
      <c r="LIW44" s="34"/>
      <c r="LIZ44" s="5"/>
      <c r="LJA44" s="18"/>
      <c r="LJB44" s="56"/>
      <c r="LJC44" s="57"/>
      <c r="LJD44" s="58"/>
      <c r="LJE44" s="59"/>
      <c r="LJF44" s="58"/>
      <c r="LJG44" s="59"/>
      <c r="LJH44" s="6"/>
      <c r="LJI44" s="7"/>
      <c r="LJJ44" s="8"/>
      <c r="LJK44" s="8"/>
      <c r="LJL44" s="6"/>
      <c r="LJM44" s="16"/>
      <c r="LJN44" s="16"/>
      <c r="LJO44" s="16"/>
      <c r="LJP44" s="16"/>
      <c r="LJQ44" s="65"/>
      <c r="LJR44" s="66"/>
      <c r="LJS44" s="67"/>
      <c r="LJT44" s="34"/>
      <c r="LJW44" s="5"/>
      <c r="LJX44" s="18"/>
      <c r="LJY44" s="56"/>
      <c r="LJZ44" s="57"/>
      <c r="LKA44" s="58"/>
      <c r="LKB44" s="59"/>
      <c r="LKC44" s="58"/>
      <c r="LKD44" s="59"/>
      <c r="LKE44" s="6"/>
      <c r="LKF44" s="7"/>
      <c r="LKG44" s="8"/>
      <c r="LKH44" s="8"/>
      <c r="LKI44" s="6"/>
      <c r="LKJ44" s="16"/>
      <c r="LKK44" s="16"/>
      <c r="LKL44" s="16"/>
      <c r="LKM44" s="16"/>
      <c r="LKN44" s="65"/>
      <c r="LKO44" s="66"/>
      <c r="LKP44" s="67"/>
      <c r="LKQ44" s="34"/>
      <c r="LKT44" s="5"/>
      <c r="LKU44" s="18"/>
      <c r="LKV44" s="56"/>
      <c r="LKW44" s="57"/>
      <c r="LKX44" s="58"/>
      <c r="LKY44" s="59"/>
      <c r="LKZ44" s="58"/>
      <c r="LLA44" s="59"/>
      <c r="LLB44" s="6"/>
      <c r="LLC44" s="7"/>
      <c r="LLD44" s="8"/>
      <c r="LLE44" s="8"/>
      <c r="LLF44" s="6"/>
      <c r="LLG44" s="16"/>
      <c r="LLH44" s="16"/>
      <c r="LLI44" s="16"/>
      <c r="LLJ44" s="16"/>
      <c r="LLK44" s="65"/>
      <c r="LLL44" s="66"/>
      <c r="LLM44" s="67"/>
      <c r="LLN44" s="34"/>
      <c r="LLQ44" s="5"/>
      <c r="LLR44" s="18"/>
      <c r="LLS44" s="56"/>
      <c r="LLT44" s="57"/>
      <c r="LLU44" s="58"/>
      <c r="LLV44" s="59"/>
      <c r="LLW44" s="58"/>
      <c r="LLX44" s="59"/>
      <c r="LLY44" s="6"/>
      <c r="LLZ44" s="7"/>
      <c r="LMA44" s="8"/>
      <c r="LMB44" s="8"/>
      <c r="LMC44" s="6"/>
      <c r="LMD44" s="16"/>
      <c r="LME44" s="16"/>
      <c r="LMF44" s="16"/>
      <c r="LMG44" s="16"/>
      <c r="LMH44" s="65"/>
      <c r="LMI44" s="66"/>
      <c r="LMJ44" s="67"/>
      <c r="LMK44" s="34"/>
      <c r="LMN44" s="5"/>
      <c r="LMO44" s="18"/>
      <c r="LMP44" s="56"/>
      <c r="LMQ44" s="57"/>
      <c r="LMR44" s="58"/>
      <c r="LMS44" s="59"/>
      <c r="LMT44" s="58"/>
      <c r="LMU44" s="59"/>
      <c r="LMV44" s="6"/>
      <c r="LMW44" s="7"/>
      <c r="LMX44" s="8"/>
      <c r="LMY44" s="8"/>
      <c r="LMZ44" s="6"/>
      <c r="LNA44" s="16"/>
      <c r="LNB44" s="16"/>
      <c r="LNC44" s="16"/>
      <c r="LND44" s="16"/>
      <c r="LNE44" s="65"/>
      <c r="LNF44" s="66"/>
      <c r="LNG44" s="67"/>
      <c r="LNH44" s="34"/>
      <c r="LNK44" s="5"/>
      <c r="LNL44" s="18"/>
      <c r="LNM44" s="56"/>
      <c r="LNN44" s="57"/>
      <c r="LNO44" s="58"/>
      <c r="LNP44" s="59"/>
      <c r="LNQ44" s="58"/>
      <c r="LNR44" s="59"/>
      <c r="LNS44" s="6"/>
      <c r="LNT44" s="7"/>
      <c r="LNU44" s="8"/>
      <c r="LNV44" s="8"/>
      <c r="LNW44" s="6"/>
      <c r="LNX44" s="16"/>
      <c r="LNY44" s="16"/>
      <c r="LNZ44" s="16"/>
      <c r="LOA44" s="16"/>
      <c r="LOB44" s="65"/>
      <c r="LOC44" s="66"/>
      <c r="LOD44" s="67"/>
      <c r="LOE44" s="34"/>
      <c r="LOH44" s="5"/>
      <c r="LOI44" s="18"/>
      <c r="LOJ44" s="56"/>
      <c r="LOK44" s="57"/>
      <c r="LOL44" s="58"/>
      <c r="LOM44" s="59"/>
      <c r="LON44" s="58"/>
      <c r="LOO44" s="59"/>
      <c r="LOP44" s="6"/>
      <c r="LOQ44" s="7"/>
      <c r="LOR44" s="8"/>
      <c r="LOS44" s="8"/>
      <c r="LOT44" s="6"/>
      <c r="LOU44" s="16"/>
      <c r="LOV44" s="16"/>
      <c r="LOW44" s="16"/>
      <c r="LOX44" s="16"/>
      <c r="LOY44" s="65"/>
      <c r="LOZ44" s="66"/>
      <c r="LPA44" s="67"/>
      <c r="LPB44" s="34"/>
      <c r="LPE44" s="5"/>
      <c r="LPF44" s="18"/>
      <c r="LPG44" s="56"/>
      <c r="LPH44" s="57"/>
      <c r="LPI44" s="58"/>
      <c r="LPJ44" s="59"/>
      <c r="LPK44" s="58"/>
      <c r="LPL44" s="59"/>
      <c r="LPM44" s="6"/>
      <c r="LPN44" s="7"/>
      <c r="LPO44" s="8"/>
      <c r="LPP44" s="8"/>
      <c r="LPQ44" s="6"/>
      <c r="LPR44" s="16"/>
      <c r="LPS44" s="16"/>
      <c r="LPT44" s="16"/>
      <c r="LPU44" s="16"/>
      <c r="LPV44" s="65"/>
      <c r="LPW44" s="66"/>
      <c r="LPX44" s="67"/>
      <c r="LPY44" s="34"/>
      <c r="LQB44" s="5"/>
      <c r="LQC44" s="18"/>
      <c r="LQD44" s="56"/>
      <c r="LQE44" s="57"/>
      <c r="LQF44" s="58"/>
      <c r="LQG44" s="59"/>
      <c r="LQH44" s="58"/>
      <c r="LQI44" s="59"/>
      <c r="LQJ44" s="6"/>
      <c r="LQK44" s="7"/>
      <c r="LQL44" s="8"/>
      <c r="LQM44" s="8"/>
      <c r="LQN44" s="6"/>
      <c r="LQO44" s="16"/>
      <c r="LQP44" s="16"/>
      <c r="LQQ44" s="16"/>
      <c r="LQR44" s="16"/>
      <c r="LQS44" s="65"/>
      <c r="LQT44" s="66"/>
      <c r="LQU44" s="67"/>
      <c r="LQV44" s="34"/>
      <c r="LQY44" s="5"/>
      <c r="LQZ44" s="18"/>
      <c r="LRA44" s="56"/>
      <c r="LRB44" s="57"/>
      <c r="LRC44" s="58"/>
      <c r="LRD44" s="59"/>
      <c r="LRE44" s="58"/>
      <c r="LRF44" s="59"/>
      <c r="LRG44" s="6"/>
      <c r="LRH44" s="7"/>
      <c r="LRI44" s="8"/>
      <c r="LRJ44" s="8"/>
      <c r="LRK44" s="6"/>
      <c r="LRL44" s="16"/>
      <c r="LRM44" s="16"/>
      <c r="LRN44" s="16"/>
      <c r="LRO44" s="16"/>
      <c r="LRP44" s="65"/>
      <c r="LRQ44" s="66"/>
      <c r="LRR44" s="67"/>
      <c r="LRS44" s="34"/>
      <c r="LRV44" s="5"/>
      <c r="LRW44" s="18"/>
      <c r="LRX44" s="56"/>
      <c r="LRY44" s="57"/>
      <c r="LRZ44" s="58"/>
      <c r="LSA44" s="59"/>
      <c r="LSB44" s="58"/>
      <c r="LSC44" s="59"/>
      <c r="LSD44" s="6"/>
      <c r="LSE44" s="7"/>
      <c r="LSF44" s="8"/>
      <c r="LSG44" s="8"/>
      <c r="LSH44" s="6"/>
      <c r="LSI44" s="16"/>
      <c r="LSJ44" s="16"/>
      <c r="LSK44" s="16"/>
      <c r="LSL44" s="16"/>
      <c r="LSM44" s="65"/>
      <c r="LSN44" s="66"/>
      <c r="LSO44" s="67"/>
      <c r="LSP44" s="34"/>
      <c r="LSS44" s="5"/>
      <c r="LST44" s="18"/>
      <c r="LSU44" s="56"/>
      <c r="LSV44" s="57"/>
      <c r="LSW44" s="58"/>
      <c r="LSX44" s="59"/>
      <c r="LSY44" s="58"/>
      <c r="LSZ44" s="59"/>
      <c r="LTA44" s="6"/>
      <c r="LTB44" s="7"/>
      <c r="LTC44" s="8"/>
      <c r="LTD44" s="8"/>
      <c r="LTE44" s="6"/>
      <c r="LTF44" s="16"/>
      <c r="LTG44" s="16"/>
      <c r="LTH44" s="16"/>
      <c r="LTI44" s="16"/>
      <c r="LTJ44" s="65"/>
      <c r="LTK44" s="66"/>
      <c r="LTL44" s="67"/>
      <c r="LTM44" s="34"/>
      <c r="LTP44" s="5"/>
      <c r="LTQ44" s="18"/>
      <c r="LTR44" s="56"/>
      <c r="LTS44" s="57"/>
      <c r="LTT44" s="58"/>
      <c r="LTU44" s="59"/>
      <c r="LTV44" s="58"/>
      <c r="LTW44" s="59"/>
      <c r="LTX44" s="6"/>
      <c r="LTY44" s="7"/>
      <c r="LTZ44" s="8"/>
      <c r="LUA44" s="8"/>
      <c r="LUB44" s="6"/>
      <c r="LUC44" s="16"/>
      <c r="LUD44" s="16"/>
      <c r="LUE44" s="16"/>
      <c r="LUF44" s="16"/>
      <c r="LUG44" s="65"/>
      <c r="LUH44" s="66"/>
      <c r="LUI44" s="67"/>
      <c r="LUJ44" s="34"/>
      <c r="LUM44" s="5"/>
      <c r="LUN44" s="18"/>
      <c r="LUO44" s="56"/>
      <c r="LUP44" s="57"/>
      <c r="LUQ44" s="58"/>
      <c r="LUR44" s="59"/>
      <c r="LUS44" s="58"/>
      <c r="LUT44" s="59"/>
      <c r="LUU44" s="6"/>
      <c r="LUV44" s="7"/>
      <c r="LUW44" s="8"/>
      <c r="LUX44" s="8"/>
      <c r="LUY44" s="6"/>
      <c r="LUZ44" s="16"/>
      <c r="LVA44" s="16"/>
      <c r="LVB44" s="16"/>
      <c r="LVC44" s="16"/>
      <c r="LVD44" s="65"/>
      <c r="LVE44" s="66"/>
      <c r="LVF44" s="67"/>
      <c r="LVG44" s="34"/>
      <c r="LVJ44" s="5"/>
      <c r="LVK44" s="18"/>
      <c r="LVL44" s="56"/>
      <c r="LVM44" s="57"/>
      <c r="LVN44" s="58"/>
      <c r="LVO44" s="59"/>
      <c r="LVP44" s="58"/>
      <c r="LVQ44" s="59"/>
      <c r="LVR44" s="6"/>
      <c r="LVS44" s="7"/>
      <c r="LVT44" s="8"/>
      <c r="LVU44" s="8"/>
      <c r="LVV44" s="6"/>
      <c r="LVW44" s="16"/>
      <c r="LVX44" s="16"/>
      <c r="LVY44" s="16"/>
      <c r="LVZ44" s="16"/>
      <c r="LWA44" s="65"/>
      <c r="LWB44" s="66"/>
      <c r="LWC44" s="67"/>
      <c r="LWD44" s="34"/>
      <c r="LWG44" s="5"/>
      <c r="LWH44" s="18"/>
      <c r="LWI44" s="56"/>
      <c r="LWJ44" s="57"/>
      <c r="LWK44" s="58"/>
      <c r="LWL44" s="59"/>
      <c r="LWM44" s="58"/>
      <c r="LWN44" s="59"/>
      <c r="LWO44" s="6"/>
      <c r="LWP44" s="7"/>
      <c r="LWQ44" s="8"/>
      <c r="LWR44" s="8"/>
      <c r="LWS44" s="6"/>
      <c r="LWT44" s="16"/>
      <c r="LWU44" s="16"/>
      <c r="LWV44" s="16"/>
      <c r="LWW44" s="16"/>
      <c r="LWX44" s="65"/>
      <c r="LWY44" s="66"/>
      <c r="LWZ44" s="67"/>
      <c r="LXA44" s="34"/>
      <c r="LXD44" s="5"/>
      <c r="LXE44" s="18"/>
      <c r="LXF44" s="56"/>
      <c r="LXG44" s="57"/>
      <c r="LXH44" s="58"/>
      <c r="LXI44" s="59"/>
      <c r="LXJ44" s="58"/>
      <c r="LXK44" s="59"/>
      <c r="LXL44" s="6"/>
      <c r="LXM44" s="7"/>
      <c r="LXN44" s="8"/>
      <c r="LXO44" s="8"/>
      <c r="LXP44" s="6"/>
      <c r="LXQ44" s="16"/>
      <c r="LXR44" s="16"/>
      <c r="LXS44" s="16"/>
      <c r="LXT44" s="16"/>
      <c r="LXU44" s="65"/>
      <c r="LXV44" s="66"/>
      <c r="LXW44" s="67"/>
      <c r="LXX44" s="34"/>
      <c r="LYA44" s="5"/>
      <c r="LYB44" s="18"/>
      <c r="LYC44" s="56"/>
      <c r="LYD44" s="57"/>
      <c r="LYE44" s="58"/>
      <c r="LYF44" s="59"/>
      <c r="LYG44" s="58"/>
      <c r="LYH44" s="59"/>
      <c r="LYI44" s="6"/>
      <c r="LYJ44" s="7"/>
      <c r="LYK44" s="8"/>
      <c r="LYL44" s="8"/>
      <c r="LYM44" s="6"/>
      <c r="LYN44" s="16"/>
      <c r="LYO44" s="16"/>
      <c r="LYP44" s="16"/>
      <c r="LYQ44" s="16"/>
      <c r="LYR44" s="65"/>
      <c r="LYS44" s="66"/>
      <c r="LYT44" s="67"/>
      <c r="LYU44" s="34"/>
      <c r="LYX44" s="5"/>
      <c r="LYY44" s="18"/>
      <c r="LYZ44" s="56"/>
      <c r="LZA44" s="57"/>
      <c r="LZB44" s="58"/>
      <c r="LZC44" s="59"/>
      <c r="LZD44" s="58"/>
      <c r="LZE44" s="59"/>
      <c r="LZF44" s="6"/>
      <c r="LZG44" s="7"/>
      <c r="LZH44" s="8"/>
      <c r="LZI44" s="8"/>
      <c r="LZJ44" s="6"/>
      <c r="LZK44" s="16"/>
      <c r="LZL44" s="16"/>
      <c r="LZM44" s="16"/>
      <c r="LZN44" s="16"/>
      <c r="LZO44" s="65"/>
      <c r="LZP44" s="66"/>
      <c r="LZQ44" s="67"/>
      <c r="LZR44" s="34"/>
      <c r="LZU44" s="5"/>
      <c r="LZV44" s="18"/>
      <c r="LZW44" s="56"/>
      <c r="LZX44" s="57"/>
      <c r="LZY44" s="58"/>
      <c r="LZZ44" s="59"/>
      <c r="MAA44" s="58"/>
      <c r="MAB44" s="59"/>
      <c r="MAC44" s="6"/>
      <c r="MAD44" s="7"/>
      <c r="MAE44" s="8"/>
      <c r="MAF44" s="8"/>
      <c r="MAG44" s="6"/>
      <c r="MAH44" s="16"/>
      <c r="MAI44" s="16"/>
      <c r="MAJ44" s="16"/>
      <c r="MAK44" s="16"/>
      <c r="MAL44" s="65"/>
      <c r="MAM44" s="66"/>
      <c r="MAN44" s="67"/>
      <c r="MAO44" s="34"/>
      <c r="MAR44" s="5"/>
      <c r="MAS44" s="18"/>
      <c r="MAT44" s="56"/>
      <c r="MAU44" s="57"/>
      <c r="MAV44" s="58"/>
      <c r="MAW44" s="59"/>
      <c r="MAX44" s="58"/>
      <c r="MAY44" s="59"/>
      <c r="MAZ44" s="6"/>
      <c r="MBA44" s="7"/>
      <c r="MBB44" s="8"/>
      <c r="MBC44" s="8"/>
      <c r="MBD44" s="6"/>
      <c r="MBE44" s="16"/>
      <c r="MBF44" s="16"/>
      <c r="MBG44" s="16"/>
      <c r="MBH44" s="16"/>
      <c r="MBI44" s="65"/>
      <c r="MBJ44" s="66"/>
      <c r="MBK44" s="67"/>
      <c r="MBL44" s="34"/>
      <c r="MBO44" s="5"/>
      <c r="MBP44" s="18"/>
      <c r="MBQ44" s="56"/>
      <c r="MBR44" s="57"/>
      <c r="MBS44" s="58"/>
      <c r="MBT44" s="59"/>
      <c r="MBU44" s="58"/>
      <c r="MBV44" s="59"/>
      <c r="MBW44" s="6"/>
      <c r="MBX44" s="7"/>
      <c r="MBY44" s="8"/>
      <c r="MBZ44" s="8"/>
      <c r="MCA44" s="6"/>
      <c r="MCB44" s="16"/>
      <c r="MCC44" s="16"/>
      <c r="MCD44" s="16"/>
      <c r="MCE44" s="16"/>
      <c r="MCF44" s="65"/>
      <c r="MCG44" s="66"/>
      <c r="MCH44" s="67"/>
      <c r="MCI44" s="34"/>
      <c r="MCL44" s="5"/>
      <c r="MCM44" s="18"/>
      <c r="MCN44" s="56"/>
      <c r="MCO44" s="57"/>
      <c r="MCP44" s="58"/>
      <c r="MCQ44" s="59"/>
      <c r="MCR44" s="58"/>
      <c r="MCS44" s="59"/>
      <c r="MCT44" s="6"/>
      <c r="MCU44" s="7"/>
      <c r="MCV44" s="8"/>
      <c r="MCW44" s="8"/>
      <c r="MCX44" s="6"/>
      <c r="MCY44" s="16"/>
      <c r="MCZ44" s="16"/>
      <c r="MDA44" s="16"/>
      <c r="MDB44" s="16"/>
      <c r="MDC44" s="65"/>
      <c r="MDD44" s="66"/>
      <c r="MDE44" s="67"/>
      <c r="MDF44" s="34"/>
      <c r="MDI44" s="5"/>
      <c r="MDJ44" s="18"/>
      <c r="MDK44" s="56"/>
      <c r="MDL44" s="57"/>
      <c r="MDM44" s="58"/>
      <c r="MDN44" s="59"/>
      <c r="MDO44" s="58"/>
      <c r="MDP44" s="59"/>
      <c r="MDQ44" s="6"/>
      <c r="MDR44" s="7"/>
      <c r="MDS44" s="8"/>
      <c r="MDT44" s="8"/>
      <c r="MDU44" s="6"/>
      <c r="MDV44" s="16"/>
      <c r="MDW44" s="16"/>
      <c r="MDX44" s="16"/>
      <c r="MDY44" s="16"/>
      <c r="MDZ44" s="65"/>
      <c r="MEA44" s="66"/>
      <c r="MEB44" s="67"/>
      <c r="MEC44" s="34"/>
      <c r="MEF44" s="5"/>
      <c r="MEG44" s="18"/>
      <c r="MEH44" s="56"/>
      <c r="MEI44" s="57"/>
      <c r="MEJ44" s="58"/>
      <c r="MEK44" s="59"/>
      <c r="MEL44" s="58"/>
      <c r="MEM44" s="59"/>
      <c r="MEN44" s="6"/>
      <c r="MEO44" s="7"/>
      <c r="MEP44" s="8"/>
      <c r="MEQ44" s="8"/>
      <c r="MER44" s="6"/>
      <c r="MES44" s="16"/>
      <c r="MET44" s="16"/>
      <c r="MEU44" s="16"/>
      <c r="MEV44" s="16"/>
      <c r="MEW44" s="65"/>
      <c r="MEX44" s="66"/>
      <c r="MEY44" s="67"/>
      <c r="MEZ44" s="34"/>
      <c r="MFC44" s="5"/>
      <c r="MFD44" s="18"/>
      <c r="MFE44" s="56"/>
      <c r="MFF44" s="57"/>
      <c r="MFG44" s="58"/>
      <c r="MFH44" s="59"/>
      <c r="MFI44" s="58"/>
      <c r="MFJ44" s="59"/>
      <c r="MFK44" s="6"/>
      <c r="MFL44" s="7"/>
      <c r="MFM44" s="8"/>
      <c r="MFN44" s="8"/>
      <c r="MFO44" s="6"/>
      <c r="MFP44" s="16"/>
      <c r="MFQ44" s="16"/>
      <c r="MFR44" s="16"/>
      <c r="MFS44" s="16"/>
      <c r="MFT44" s="65"/>
      <c r="MFU44" s="66"/>
      <c r="MFV44" s="67"/>
      <c r="MFW44" s="34"/>
      <c r="MFZ44" s="5"/>
      <c r="MGA44" s="18"/>
      <c r="MGB44" s="56"/>
      <c r="MGC44" s="57"/>
      <c r="MGD44" s="58"/>
      <c r="MGE44" s="59"/>
      <c r="MGF44" s="58"/>
      <c r="MGG44" s="59"/>
      <c r="MGH44" s="6"/>
      <c r="MGI44" s="7"/>
      <c r="MGJ44" s="8"/>
      <c r="MGK44" s="8"/>
      <c r="MGL44" s="6"/>
      <c r="MGM44" s="16"/>
      <c r="MGN44" s="16"/>
      <c r="MGO44" s="16"/>
      <c r="MGP44" s="16"/>
      <c r="MGQ44" s="65"/>
      <c r="MGR44" s="66"/>
      <c r="MGS44" s="67"/>
      <c r="MGT44" s="34"/>
      <c r="MGW44" s="5"/>
      <c r="MGX44" s="18"/>
      <c r="MGY44" s="56"/>
      <c r="MGZ44" s="57"/>
      <c r="MHA44" s="58"/>
      <c r="MHB44" s="59"/>
      <c r="MHC44" s="58"/>
      <c r="MHD44" s="59"/>
      <c r="MHE44" s="6"/>
      <c r="MHF44" s="7"/>
      <c r="MHG44" s="8"/>
      <c r="MHH44" s="8"/>
      <c r="MHI44" s="6"/>
      <c r="MHJ44" s="16"/>
      <c r="MHK44" s="16"/>
      <c r="MHL44" s="16"/>
      <c r="MHM44" s="16"/>
      <c r="MHN44" s="65"/>
      <c r="MHO44" s="66"/>
      <c r="MHP44" s="67"/>
      <c r="MHQ44" s="34"/>
      <c r="MHT44" s="5"/>
      <c r="MHU44" s="18"/>
      <c r="MHV44" s="56"/>
      <c r="MHW44" s="57"/>
      <c r="MHX44" s="58"/>
      <c r="MHY44" s="59"/>
      <c r="MHZ44" s="58"/>
      <c r="MIA44" s="59"/>
      <c r="MIB44" s="6"/>
      <c r="MIC44" s="7"/>
      <c r="MID44" s="8"/>
      <c r="MIE44" s="8"/>
      <c r="MIF44" s="6"/>
      <c r="MIG44" s="16"/>
      <c r="MIH44" s="16"/>
      <c r="MII44" s="16"/>
      <c r="MIJ44" s="16"/>
      <c r="MIK44" s="65"/>
      <c r="MIL44" s="66"/>
      <c r="MIM44" s="67"/>
      <c r="MIN44" s="34"/>
      <c r="MIQ44" s="5"/>
      <c r="MIR44" s="18"/>
      <c r="MIS44" s="56"/>
      <c r="MIT44" s="57"/>
      <c r="MIU44" s="58"/>
      <c r="MIV44" s="59"/>
      <c r="MIW44" s="58"/>
      <c r="MIX44" s="59"/>
      <c r="MIY44" s="6"/>
      <c r="MIZ44" s="7"/>
      <c r="MJA44" s="8"/>
      <c r="MJB44" s="8"/>
      <c r="MJC44" s="6"/>
      <c r="MJD44" s="16"/>
      <c r="MJE44" s="16"/>
      <c r="MJF44" s="16"/>
      <c r="MJG44" s="16"/>
      <c r="MJH44" s="65"/>
      <c r="MJI44" s="66"/>
      <c r="MJJ44" s="67"/>
      <c r="MJK44" s="34"/>
      <c r="MJN44" s="5"/>
      <c r="MJO44" s="18"/>
      <c r="MJP44" s="56"/>
      <c r="MJQ44" s="57"/>
      <c r="MJR44" s="58"/>
      <c r="MJS44" s="59"/>
      <c r="MJT44" s="58"/>
      <c r="MJU44" s="59"/>
      <c r="MJV44" s="6"/>
      <c r="MJW44" s="7"/>
      <c r="MJX44" s="8"/>
      <c r="MJY44" s="8"/>
      <c r="MJZ44" s="6"/>
      <c r="MKA44" s="16"/>
      <c r="MKB44" s="16"/>
      <c r="MKC44" s="16"/>
      <c r="MKD44" s="16"/>
      <c r="MKE44" s="65"/>
      <c r="MKF44" s="66"/>
      <c r="MKG44" s="67"/>
      <c r="MKH44" s="34"/>
      <c r="MKK44" s="5"/>
      <c r="MKL44" s="18"/>
      <c r="MKM44" s="56"/>
      <c r="MKN44" s="57"/>
      <c r="MKO44" s="58"/>
      <c r="MKP44" s="59"/>
      <c r="MKQ44" s="58"/>
      <c r="MKR44" s="59"/>
      <c r="MKS44" s="6"/>
      <c r="MKT44" s="7"/>
      <c r="MKU44" s="8"/>
      <c r="MKV44" s="8"/>
      <c r="MKW44" s="6"/>
      <c r="MKX44" s="16"/>
      <c r="MKY44" s="16"/>
      <c r="MKZ44" s="16"/>
      <c r="MLA44" s="16"/>
      <c r="MLB44" s="65"/>
      <c r="MLC44" s="66"/>
      <c r="MLD44" s="67"/>
      <c r="MLE44" s="34"/>
      <c r="MLH44" s="5"/>
      <c r="MLI44" s="18"/>
      <c r="MLJ44" s="56"/>
      <c r="MLK44" s="57"/>
      <c r="MLL44" s="58"/>
      <c r="MLM44" s="59"/>
      <c r="MLN44" s="58"/>
      <c r="MLO44" s="59"/>
      <c r="MLP44" s="6"/>
      <c r="MLQ44" s="7"/>
      <c r="MLR44" s="8"/>
      <c r="MLS44" s="8"/>
      <c r="MLT44" s="6"/>
      <c r="MLU44" s="16"/>
      <c r="MLV44" s="16"/>
      <c r="MLW44" s="16"/>
      <c r="MLX44" s="16"/>
      <c r="MLY44" s="65"/>
      <c r="MLZ44" s="66"/>
      <c r="MMA44" s="67"/>
      <c r="MMB44" s="34"/>
      <c r="MME44" s="5"/>
      <c r="MMF44" s="18"/>
      <c r="MMG44" s="56"/>
      <c r="MMH44" s="57"/>
      <c r="MMI44" s="58"/>
      <c r="MMJ44" s="59"/>
      <c r="MMK44" s="58"/>
      <c r="MML44" s="59"/>
      <c r="MMM44" s="6"/>
      <c r="MMN44" s="7"/>
      <c r="MMO44" s="8"/>
      <c r="MMP44" s="8"/>
      <c r="MMQ44" s="6"/>
      <c r="MMR44" s="16"/>
      <c r="MMS44" s="16"/>
      <c r="MMT44" s="16"/>
      <c r="MMU44" s="16"/>
      <c r="MMV44" s="65"/>
      <c r="MMW44" s="66"/>
      <c r="MMX44" s="67"/>
      <c r="MMY44" s="34"/>
      <c r="MNB44" s="5"/>
      <c r="MNC44" s="18"/>
      <c r="MND44" s="56"/>
      <c r="MNE44" s="57"/>
      <c r="MNF44" s="58"/>
      <c r="MNG44" s="59"/>
      <c r="MNH44" s="58"/>
      <c r="MNI44" s="59"/>
      <c r="MNJ44" s="6"/>
      <c r="MNK44" s="7"/>
      <c r="MNL44" s="8"/>
      <c r="MNM44" s="8"/>
      <c r="MNN44" s="6"/>
      <c r="MNO44" s="16"/>
      <c r="MNP44" s="16"/>
      <c r="MNQ44" s="16"/>
      <c r="MNR44" s="16"/>
      <c r="MNS44" s="65"/>
      <c r="MNT44" s="66"/>
      <c r="MNU44" s="67"/>
      <c r="MNV44" s="34"/>
      <c r="MNY44" s="5"/>
      <c r="MNZ44" s="18"/>
      <c r="MOA44" s="56"/>
      <c r="MOB44" s="57"/>
      <c r="MOC44" s="58"/>
      <c r="MOD44" s="59"/>
      <c r="MOE44" s="58"/>
      <c r="MOF44" s="59"/>
      <c r="MOG44" s="6"/>
      <c r="MOH44" s="7"/>
      <c r="MOI44" s="8"/>
      <c r="MOJ44" s="8"/>
      <c r="MOK44" s="6"/>
      <c r="MOL44" s="16"/>
      <c r="MOM44" s="16"/>
      <c r="MON44" s="16"/>
      <c r="MOO44" s="16"/>
      <c r="MOP44" s="65"/>
      <c r="MOQ44" s="66"/>
      <c r="MOR44" s="67"/>
      <c r="MOS44" s="34"/>
      <c r="MOV44" s="5"/>
      <c r="MOW44" s="18"/>
      <c r="MOX44" s="56"/>
      <c r="MOY44" s="57"/>
      <c r="MOZ44" s="58"/>
      <c r="MPA44" s="59"/>
      <c r="MPB44" s="58"/>
      <c r="MPC44" s="59"/>
      <c r="MPD44" s="6"/>
      <c r="MPE44" s="7"/>
      <c r="MPF44" s="8"/>
      <c r="MPG44" s="8"/>
      <c r="MPH44" s="6"/>
      <c r="MPI44" s="16"/>
      <c r="MPJ44" s="16"/>
      <c r="MPK44" s="16"/>
      <c r="MPL44" s="16"/>
      <c r="MPM44" s="65"/>
      <c r="MPN44" s="66"/>
      <c r="MPO44" s="67"/>
      <c r="MPP44" s="34"/>
      <c r="MPS44" s="5"/>
      <c r="MPT44" s="18"/>
      <c r="MPU44" s="56"/>
      <c r="MPV44" s="57"/>
      <c r="MPW44" s="58"/>
      <c r="MPX44" s="59"/>
      <c r="MPY44" s="58"/>
      <c r="MPZ44" s="59"/>
      <c r="MQA44" s="6"/>
      <c r="MQB44" s="7"/>
      <c r="MQC44" s="8"/>
      <c r="MQD44" s="8"/>
      <c r="MQE44" s="6"/>
      <c r="MQF44" s="16"/>
      <c r="MQG44" s="16"/>
      <c r="MQH44" s="16"/>
      <c r="MQI44" s="16"/>
      <c r="MQJ44" s="65"/>
      <c r="MQK44" s="66"/>
      <c r="MQL44" s="67"/>
      <c r="MQM44" s="34"/>
      <c r="MQP44" s="5"/>
      <c r="MQQ44" s="18"/>
      <c r="MQR44" s="56"/>
      <c r="MQS44" s="57"/>
      <c r="MQT44" s="58"/>
      <c r="MQU44" s="59"/>
      <c r="MQV44" s="58"/>
      <c r="MQW44" s="59"/>
      <c r="MQX44" s="6"/>
      <c r="MQY44" s="7"/>
      <c r="MQZ44" s="8"/>
      <c r="MRA44" s="8"/>
      <c r="MRB44" s="6"/>
      <c r="MRC44" s="16"/>
      <c r="MRD44" s="16"/>
      <c r="MRE44" s="16"/>
      <c r="MRF44" s="16"/>
      <c r="MRG44" s="65"/>
      <c r="MRH44" s="66"/>
      <c r="MRI44" s="67"/>
      <c r="MRJ44" s="34"/>
      <c r="MRM44" s="5"/>
      <c r="MRN44" s="18"/>
      <c r="MRO44" s="56"/>
      <c r="MRP44" s="57"/>
      <c r="MRQ44" s="58"/>
      <c r="MRR44" s="59"/>
      <c r="MRS44" s="58"/>
      <c r="MRT44" s="59"/>
      <c r="MRU44" s="6"/>
      <c r="MRV44" s="7"/>
      <c r="MRW44" s="8"/>
      <c r="MRX44" s="8"/>
      <c r="MRY44" s="6"/>
      <c r="MRZ44" s="16"/>
      <c r="MSA44" s="16"/>
      <c r="MSB44" s="16"/>
      <c r="MSC44" s="16"/>
      <c r="MSD44" s="65"/>
      <c r="MSE44" s="66"/>
      <c r="MSF44" s="67"/>
      <c r="MSG44" s="34"/>
      <c r="MSJ44" s="5"/>
      <c r="MSK44" s="18"/>
      <c r="MSL44" s="56"/>
      <c r="MSM44" s="57"/>
      <c r="MSN44" s="58"/>
      <c r="MSO44" s="59"/>
      <c r="MSP44" s="58"/>
      <c r="MSQ44" s="59"/>
      <c r="MSR44" s="6"/>
      <c r="MSS44" s="7"/>
      <c r="MST44" s="8"/>
      <c r="MSU44" s="8"/>
      <c r="MSV44" s="6"/>
      <c r="MSW44" s="16"/>
      <c r="MSX44" s="16"/>
      <c r="MSY44" s="16"/>
      <c r="MSZ44" s="16"/>
      <c r="MTA44" s="65"/>
      <c r="MTB44" s="66"/>
      <c r="MTC44" s="67"/>
      <c r="MTD44" s="34"/>
      <c r="MTG44" s="5"/>
      <c r="MTH44" s="18"/>
      <c r="MTI44" s="56"/>
      <c r="MTJ44" s="57"/>
      <c r="MTK44" s="58"/>
      <c r="MTL44" s="59"/>
      <c r="MTM44" s="58"/>
      <c r="MTN44" s="59"/>
      <c r="MTO44" s="6"/>
      <c r="MTP44" s="7"/>
      <c r="MTQ44" s="8"/>
      <c r="MTR44" s="8"/>
      <c r="MTS44" s="6"/>
      <c r="MTT44" s="16"/>
      <c r="MTU44" s="16"/>
      <c r="MTV44" s="16"/>
      <c r="MTW44" s="16"/>
      <c r="MTX44" s="65"/>
      <c r="MTY44" s="66"/>
      <c r="MTZ44" s="67"/>
      <c r="MUA44" s="34"/>
      <c r="MUD44" s="5"/>
      <c r="MUE44" s="18"/>
      <c r="MUF44" s="56"/>
      <c r="MUG44" s="57"/>
      <c r="MUH44" s="58"/>
      <c r="MUI44" s="59"/>
      <c r="MUJ44" s="58"/>
      <c r="MUK44" s="59"/>
      <c r="MUL44" s="6"/>
      <c r="MUM44" s="7"/>
      <c r="MUN44" s="8"/>
      <c r="MUO44" s="8"/>
      <c r="MUP44" s="6"/>
      <c r="MUQ44" s="16"/>
      <c r="MUR44" s="16"/>
      <c r="MUS44" s="16"/>
      <c r="MUT44" s="16"/>
      <c r="MUU44" s="65"/>
      <c r="MUV44" s="66"/>
      <c r="MUW44" s="67"/>
      <c r="MUX44" s="34"/>
      <c r="MVA44" s="5"/>
      <c r="MVB44" s="18"/>
      <c r="MVC44" s="56"/>
      <c r="MVD44" s="57"/>
      <c r="MVE44" s="58"/>
      <c r="MVF44" s="59"/>
      <c r="MVG44" s="58"/>
      <c r="MVH44" s="59"/>
      <c r="MVI44" s="6"/>
      <c r="MVJ44" s="7"/>
      <c r="MVK44" s="8"/>
      <c r="MVL44" s="8"/>
      <c r="MVM44" s="6"/>
      <c r="MVN44" s="16"/>
      <c r="MVO44" s="16"/>
      <c r="MVP44" s="16"/>
      <c r="MVQ44" s="16"/>
      <c r="MVR44" s="65"/>
      <c r="MVS44" s="66"/>
      <c r="MVT44" s="67"/>
      <c r="MVU44" s="34"/>
      <c r="MVX44" s="5"/>
      <c r="MVY44" s="18"/>
      <c r="MVZ44" s="56"/>
      <c r="MWA44" s="57"/>
      <c r="MWB44" s="58"/>
      <c r="MWC44" s="59"/>
      <c r="MWD44" s="58"/>
      <c r="MWE44" s="59"/>
      <c r="MWF44" s="6"/>
      <c r="MWG44" s="7"/>
      <c r="MWH44" s="8"/>
      <c r="MWI44" s="8"/>
      <c r="MWJ44" s="6"/>
      <c r="MWK44" s="16"/>
      <c r="MWL44" s="16"/>
      <c r="MWM44" s="16"/>
      <c r="MWN44" s="16"/>
      <c r="MWO44" s="65"/>
      <c r="MWP44" s="66"/>
      <c r="MWQ44" s="67"/>
      <c r="MWR44" s="34"/>
      <c r="MWU44" s="5"/>
      <c r="MWV44" s="18"/>
      <c r="MWW44" s="56"/>
      <c r="MWX44" s="57"/>
      <c r="MWY44" s="58"/>
      <c r="MWZ44" s="59"/>
      <c r="MXA44" s="58"/>
      <c r="MXB44" s="59"/>
      <c r="MXC44" s="6"/>
      <c r="MXD44" s="7"/>
      <c r="MXE44" s="8"/>
      <c r="MXF44" s="8"/>
      <c r="MXG44" s="6"/>
      <c r="MXH44" s="16"/>
      <c r="MXI44" s="16"/>
      <c r="MXJ44" s="16"/>
      <c r="MXK44" s="16"/>
      <c r="MXL44" s="65"/>
      <c r="MXM44" s="66"/>
      <c r="MXN44" s="67"/>
      <c r="MXO44" s="34"/>
      <c r="MXR44" s="5"/>
      <c r="MXS44" s="18"/>
      <c r="MXT44" s="56"/>
      <c r="MXU44" s="57"/>
      <c r="MXV44" s="58"/>
      <c r="MXW44" s="59"/>
      <c r="MXX44" s="58"/>
      <c r="MXY44" s="59"/>
      <c r="MXZ44" s="6"/>
      <c r="MYA44" s="7"/>
      <c r="MYB44" s="8"/>
      <c r="MYC44" s="8"/>
      <c r="MYD44" s="6"/>
      <c r="MYE44" s="16"/>
      <c r="MYF44" s="16"/>
      <c r="MYG44" s="16"/>
      <c r="MYH44" s="16"/>
      <c r="MYI44" s="65"/>
      <c r="MYJ44" s="66"/>
      <c r="MYK44" s="67"/>
      <c r="MYL44" s="34"/>
      <c r="MYO44" s="5"/>
      <c r="MYP44" s="18"/>
      <c r="MYQ44" s="56"/>
      <c r="MYR44" s="57"/>
      <c r="MYS44" s="58"/>
      <c r="MYT44" s="59"/>
      <c r="MYU44" s="58"/>
      <c r="MYV44" s="59"/>
      <c r="MYW44" s="6"/>
      <c r="MYX44" s="7"/>
      <c r="MYY44" s="8"/>
      <c r="MYZ44" s="8"/>
      <c r="MZA44" s="6"/>
      <c r="MZB44" s="16"/>
      <c r="MZC44" s="16"/>
      <c r="MZD44" s="16"/>
      <c r="MZE44" s="16"/>
      <c r="MZF44" s="65"/>
      <c r="MZG44" s="66"/>
      <c r="MZH44" s="67"/>
      <c r="MZI44" s="34"/>
      <c r="MZL44" s="5"/>
      <c r="MZM44" s="18"/>
      <c r="MZN44" s="56"/>
      <c r="MZO44" s="57"/>
      <c r="MZP44" s="58"/>
      <c r="MZQ44" s="59"/>
      <c r="MZR44" s="58"/>
      <c r="MZS44" s="59"/>
      <c r="MZT44" s="6"/>
      <c r="MZU44" s="7"/>
      <c r="MZV44" s="8"/>
      <c r="MZW44" s="8"/>
      <c r="MZX44" s="6"/>
      <c r="MZY44" s="16"/>
      <c r="MZZ44" s="16"/>
      <c r="NAA44" s="16"/>
      <c r="NAB44" s="16"/>
      <c r="NAC44" s="65"/>
      <c r="NAD44" s="66"/>
      <c r="NAE44" s="67"/>
      <c r="NAF44" s="34"/>
      <c r="NAI44" s="5"/>
      <c r="NAJ44" s="18"/>
      <c r="NAK44" s="56"/>
      <c r="NAL44" s="57"/>
      <c r="NAM44" s="58"/>
      <c r="NAN44" s="59"/>
      <c r="NAO44" s="58"/>
      <c r="NAP44" s="59"/>
      <c r="NAQ44" s="6"/>
      <c r="NAR44" s="7"/>
      <c r="NAS44" s="8"/>
      <c r="NAT44" s="8"/>
      <c r="NAU44" s="6"/>
      <c r="NAV44" s="16"/>
      <c r="NAW44" s="16"/>
      <c r="NAX44" s="16"/>
      <c r="NAY44" s="16"/>
      <c r="NAZ44" s="65"/>
      <c r="NBA44" s="66"/>
      <c r="NBB44" s="67"/>
      <c r="NBC44" s="34"/>
      <c r="NBF44" s="5"/>
      <c r="NBG44" s="18"/>
      <c r="NBH44" s="56"/>
      <c r="NBI44" s="57"/>
      <c r="NBJ44" s="58"/>
      <c r="NBK44" s="59"/>
      <c r="NBL44" s="58"/>
      <c r="NBM44" s="59"/>
      <c r="NBN44" s="6"/>
      <c r="NBO44" s="7"/>
      <c r="NBP44" s="8"/>
      <c r="NBQ44" s="8"/>
      <c r="NBR44" s="6"/>
      <c r="NBS44" s="16"/>
      <c r="NBT44" s="16"/>
      <c r="NBU44" s="16"/>
      <c r="NBV44" s="16"/>
      <c r="NBW44" s="65"/>
      <c r="NBX44" s="66"/>
      <c r="NBY44" s="67"/>
      <c r="NBZ44" s="34"/>
      <c r="NCC44" s="5"/>
      <c r="NCD44" s="18"/>
      <c r="NCE44" s="56"/>
      <c r="NCF44" s="57"/>
      <c r="NCG44" s="58"/>
      <c r="NCH44" s="59"/>
      <c r="NCI44" s="58"/>
      <c r="NCJ44" s="59"/>
      <c r="NCK44" s="6"/>
      <c r="NCL44" s="7"/>
      <c r="NCM44" s="8"/>
      <c r="NCN44" s="8"/>
      <c r="NCO44" s="6"/>
      <c r="NCP44" s="16"/>
      <c r="NCQ44" s="16"/>
      <c r="NCR44" s="16"/>
      <c r="NCS44" s="16"/>
      <c r="NCT44" s="65"/>
      <c r="NCU44" s="66"/>
      <c r="NCV44" s="67"/>
      <c r="NCW44" s="34"/>
      <c r="NCZ44" s="5"/>
      <c r="NDA44" s="18"/>
      <c r="NDB44" s="56"/>
      <c r="NDC44" s="57"/>
      <c r="NDD44" s="58"/>
      <c r="NDE44" s="59"/>
      <c r="NDF44" s="58"/>
      <c r="NDG44" s="59"/>
      <c r="NDH44" s="6"/>
      <c r="NDI44" s="7"/>
      <c r="NDJ44" s="8"/>
      <c r="NDK44" s="8"/>
      <c r="NDL44" s="6"/>
      <c r="NDM44" s="16"/>
      <c r="NDN44" s="16"/>
      <c r="NDO44" s="16"/>
      <c r="NDP44" s="16"/>
      <c r="NDQ44" s="65"/>
      <c r="NDR44" s="66"/>
      <c r="NDS44" s="67"/>
      <c r="NDT44" s="34"/>
      <c r="NDW44" s="5"/>
      <c r="NDX44" s="18"/>
      <c r="NDY44" s="56"/>
      <c r="NDZ44" s="57"/>
      <c r="NEA44" s="58"/>
      <c r="NEB44" s="59"/>
      <c r="NEC44" s="58"/>
      <c r="NED44" s="59"/>
      <c r="NEE44" s="6"/>
      <c r="NEF44" s="7"/>
      <c r="NEG44" s="8"/>
      <c r="NEH44" s="8"/>
      <c r="NEI44" s="6"/>
      <c r="NEJ44" s="16"/>
      <c r="NEK44" s="16"/>
      <c r="NEL44" s="16"/>
      <c r="NEM44" s="16"/>
      <c r="NEN44" s="65"/>
      <c r="NEO44" s="66"/>
      <c r="NEP44" s="67"/>
      <c r="NEQ44" s="34"/>
      <c r="NET44" s="5"/>
      <c r="NEU44" s="18"/>
      <c r="NEV44" s="56"/>
      <c r="NEW44" s="57"/>
      <c r="NEX44" s="58"/>
      <c r="NEY44" s="59"/>
      <c r="NEZ44" s="58"/>
      <c r="NFA44" s="59"/>
      <c r="NFB44" s="6"/>
      <c r="NFC44" s="7"/>
      <c r="NFD44" s="8"/>
      <c r="NFE44" s="8"/>
      <c r="NFF44" s="6"/>
      <c r="NFG44" s="16"/>
      <c r="NFH44" s="16"/>
      <c r="NFI44" s="16"/>
      <c r="NFJ44" s="16"/>
      <c r="NFK44" s="65"/>
      <c r="NFL44" s="66"/>
      <c r="NFM44" s="67"/>
      <c r="NFN44" s="34"/>
      <c r="NFQ44" s="5"/>
      <c r="NFR44" s="18"/>
      <c r="NFS44" s="56"/>
      <c r="NFT44" s="57"/>
      <c r="NFU44" s="58"/>
      <c r="NFV44" s="59"/>
      <c r="NFW44" s="58"/>
      <c r="NFX44" s="59"/>
      <c r="NFY44" s="6"/>
      <c r="NFZ44" s="7"/>
      <c r="NGA44" s="8"/>
      <c r="NGB44" s="8"/>
      <c r="NGC44" s="6"/>
      <c r="NGD44" s="16"/>
      <c r="NGE44" s="16"/>
      <c r="NGF44" s="16"/>
      <c r="NGG44" s="16"/>
      <c r="NGH44" s="65"/>
      <c r="NGI44" s="66"/>
      <c r="NGJ44" s="67"/>
      <c r="NGK44" s="34"/>
      <c r="NGN44" s="5"/>
      <c r="NGO44" s="18"/>
      <c r="NGP44" s="56"/>
      <c r="NGQ44" s="57"/>
      <c r="NGR44" s="58"/>
      <c r="NGS44" s="59"/>
      <c r="NGT44" s="58"/>
      <c r="NGU44" s="59"/>
      <c r="NGV44" s="6"/>
      <c r="NGW44" s="7"/>
      <c r="NGX44" s="8"/>
      <c r="NGY44" s="8"/>
      <c r="NGZ44" s="6"/>
      <c r="NHA44" s="16"/>
      <c r="NHB44" s="16"/>
      <c r="NHC44" s="16"/>
      <c r="NHD44" s="16"/>
      <c r="NHE44" s="65"/>
      <c r="NHF44" s="66"/>
      <c r="NHG44" s="67"/>
      <c r="NHH44" s="34"/>
      <c r="NHK44" s="5"/>
      <c r="NHL44" s="18"/>
      <c r="NHM44" s="56"/>
      <c r="NHN44" s="57"/>
      <c r="NHO44" s="58"/>
      <c r="NHP44" s="59"/>
      <c r="NHQ44" s="58"/>
      <c r="NHR44" s="59"/>
      <c r="NHS44" s="6"/>
      <c r="NHT44" s="7"/>
      <c r="NHU44" s="8"/>
      <c r="NHV44" s="8"/>
      <c r="NHW44" s="6"/>
      <c r="NHX44" s="16"/>
      <c r="NHY44" s="16"/>
      <c r="NHZ44" s="16"/>
      <c r="NIA44" s="16"/>
      <c r="NIB44" s="65"/>
      <c r="NIC44" s="66"/>
      <c r="NID44" s="67"/>
      <c r="NIE44" s="34"/>
      <c r="NIH44" s="5"/>
      <c r="NII44" s="18"/>
      <c r="NIJ44" s="56"/>
      <c r="NIK44" s="57"/>
      <c r="NIL44" s="58"/>
      <c r="NIM44" s="59"/>
      <c r="NIN44" s="58"/>
      <c r="NIO44" s="59"/>
      <c r="NIP44" s="6"/>
      <c r="NIQ44" s="7"/>
      <c r="NIR44" s="8"/>
      <c r="NIS44" s="8"/>
      <c r="NIT44" s="6"/>
      <c r="NIU44" s="16"/>
      <c r="NIV44" s="16"/>
      <c r="NIW44" s="16"/>
      <c r="NIX44" s="16"/>
      <c r="NIY44" s="65"/>
      <c r="NIZ44" s="66"/>
      <c r="NJA44" s="67"/>
      <c r="NJB44" s="34"/>
      <c r="NJE44" s="5"/>
      <c r="NJF44" s="18"/>
      <c r="NJG44" s="56"/>
      <c r="NJH44" s="57"/>
      <c r="NJI44" s="58"/>
      <c r="NJJ44" s="59"/>
      <c r="NJK44" s="58"/>
      <c r="NJL44" s="59"/>
      <c r="NJM44" s="6"/>
      <c r="NJN44" s="7"/>
      <c r="NJO44" s="8"/>
      <c r="NJP44" s="8"/>
      <c r="NJQ44" s="6"/>
      <c r="NJR44" s="16"/>
      <c r="NJS44" s="16"/>
      <c r="NJT44" s="16"/>
      <c r="NJU44" s="16"/>
      <c r="NJV44" s="65"/>
      <c r="NJW44" s="66"/>
      <c r="NJX44" s="67"/>
      <c r="NJY44" s="34"/>
      <c r="NKB44" s="5"/>
      <c r="NKC44" s="18"/>
      <c r="NKD44" s="56"/>
      <c r="NKE44" s="57"/>
      <c r="NKF44" s="58"/>
      <c r="NKG44" s="59"/>
      <c r="NKH44" s="58"/>
      <c r="NKI44" s="59"/>
      <c r="NKJ44" s="6"/>
      <c r="NKK44" s="7"/>
      <c r="NKL44" s="8"/>
      <c r="NKM44" s="8"/>
      <c r="NKN44" s="6"/>
      <c r="NKO44" s="16"/>
      <c r="NKP44" s="16"/>
      <c r="NKQ44" s="16"/>
      <c r="NKR44" s="16"/>
      <c r="NKS44" s="65"/>
      <c r="NKT44" s="66"/>
      <c r="NKU44" s="67"/>
      <c r="NKV44" s="34"/>
      <c r="NKY44" s="5"/>
      <c r="NKZ44" s="18"/>
      <c r="NLA44" s="56"/>
      <c r="NLB44" s="57"/>
      <c r="NLC44" s="58"/>
      <c r="NLD44" s="59"/>
      <c r="NLE44" s="58"/>
      <c r="NLF44" s="59"/>
      <c r="NLG44" s="6"/>
      <c r="NLH44" s="7"/>
      <c r="NLI44" s="8"/>
      <c r="NLJ44" s="8"/>
      <c r="NLK44" s="6"/>
      <c r="NLL44" s="16"/>
      <c r="NLM44" s="16"/>
      <c r="NLN44" s="16"/>
      <c r="NLO44" s="16"/>
      <c r="NLP44" s="65"/>
      <c r="NLQ44" s="66"/>
      <c r="NLR44" s="67"/>
      <c r="NLS44" s="34"/>
      <c r="NLV44" s="5"/>
      <c r="NLW44" s="18"/>
      <c r="NLX44" s="56"/>
      <c r="NLY44" s="57"/>
      <c r="NLZ44" s="58"/>
      <c r="NMA44" s="59"/>
      <c r="NMB44" s="58"/>
      <c r="NMC44" s="59"/>
      <c r="NMD44" s="6"/>
      <c r="NME44" s="7"/>
      <c r="NMF44" s="8"/>
      <c r="NMG44" s="8"/>
      <c r="NMH44" s="6"/>
      <c r="NMI44" s="16"/>
      <c r="NMJ44" s="16"/>
      <c r="NMK44" s="16"/>
      <c r="NML44" s="16"/>
      <c r="NMM44" s="65"/>
      <c r="NMN44" s="66"/>
      <c r="NMO44" s="67"/>
      <c r="NMP44" s="34"/>
      <c r="NMS44" s="5"/>
      <c r="NMT44" s="18"/>
      <c r="NMU44" s="56"/>
      <c r="NMV44" s="57"/>
      <c r="NMW44" s="58"/>
      <c r="NMX44" s="59"/>
      <c r="NMY44" s="58"/>
      <c r="NMZ44" s="59"/>
      <c r="NNA44" s="6"/>
      <c r="NNB44" s="7"/>
      <c r="NNC44" s="8"/>
      <c r="NND44" s="8"/>
      <c r="NNE44" s="6"/>
      <c r="NNF44" s="16"/>
      <c r="NNG44" s="16"/>
      <c r="NNH44" s="16"/>
      <c r="NNI44" s="16"/>
      <c r="NNJ44" s="65"/>
      <c r="NNK44" s="66"/>
      <c r="NNL44" s="67"/>
      <c r="NNM44" s="34"/>
      <c r="NNP44" s="5"/>
      <c r="NNQ44" s="18"/>
      <c r="NNR44" s="56"/>
      <c r="NNS44" s="57"/>
      <c r="NNT44" s="58"/>
      <c r="NNU44" s="59"/>
      <c r="NNV44" s="58"/>
      <c r="NNW44" s="59"/>
      <c r="NNX44" s="6"/>
      <c r="NNY44" s="7"/>
      <c r="NNZ44" s="8"/>
      <c r="NOA44" s="8"/>
      <c r="NOB44" s="6"/>
      <c r="NOC44" s="16"/>
      <c r="NOD44" s="16"/>
      <c r="NOE44" s="16"/>
      <c r="NOF44" s="16"/>
      <c r="NOG44" s="65"/>
      <c r="NOH44" s="66"/>
      <c r="NOI44" s="67"/>
      <c r="NOJ44" s="34"/>
      <c r="NOM44" s="5"/>
      <c r="NON44" s="18"/>
      <c r="NOO44" s="56"/>
      <c r="NOP44" s="57"/>
      <c r="NOQ44" s="58"/>
      <c r="NOR44" s="59"/>
      <c r="NOS44" s="58"/>
      <c r="NOT44" s="59"/>
      <c r="NOU44" s="6"/>
      <c r="NOV44" s="7"/>
      <c r="NOW44" s="8"/>
      <c r="NOX44" s="8"/>
      <c r="NOY44" s="6"/>
      <c r="NOZ44" s="16"/>
      <c r="NPA44" s="16"/>
      <c r="NPB44" s="16"/>
      <c r="NPC44" s="16"/>
      <c r="NPD44" s="65"/>
      <c r="NPE44" s="66"/>
      <c r="NPF44" s="67"/>
      <c r="NPG44" s="34"/>
      <c r="NPJ44" s="5"/>
      <c r="NPK44" s="18"/>
      <c r="NPL44" s="56"/>
      <c r="NPM44" s="57"/>
      <c r="NPN44" s="58"/>
      <c r="NPO44" s="59"/>
      <c r="NPP44" s="58"/>
      <c r="NPQ44" s="59"/>
      <c r="NPR44" s="6"/>
      <c r="NPS44" s="7"/>
      <c r="NPT44" s="8"/>
      <c r="NPU44" s="8"/>
      <c r="NPV44" s="6"/>
      <c r="NPW44" s="16"/>
      <c r="NPX44" s="16"/>
      <c r="NPY44" s="16"/>
      <c r="NPZ44" s="16"/>
      <c r="NQA44" s="65"/>
      <c r="NQB44" s="66"/>
      <c r="NQC44" s="67"/>
      <c r="NQD44" s="34"/>
      <c r="NQG44" s="5"/>
      <c r="NQH44" s="18"/>
      <c r="NQI44" s="56"/>
      <c r="NQJ44" s="57"/>
      <c r="NQK44" s="58"/>
      <c r="NQL44" s="59"/>
      <c r="NQM44" s="58"/>
      <c r="NQN44" s="59"/>
      <c r="NQO44" s="6"/>
      <c r="NQP44" s="7"/>
      <c r="NQQ44" s="8"/>
      <c r="NQR44" s="8"/>
      <c r="NQS44" s="6"/>
      <c r="NQT44" s="16"/>
      <c r="NQU44" s="16"/>
      <c r="NQV44" s="16"/>
      <c r="NQW44" s="16"/>
      <c r="NQX44" s="65"/>
      <c r="NQY44" s="66"/>
      <c r="NQZ44" s="67"/>
      <c r="NRA44" s="34"/>
      <c r="NRD44" s="5"/>
      <c r="NRE44" s="18"/>
      <c r="NRF44" s="56"/>
      <c r="NRG44" s="57"/>
      <c r="NRH44" s="58"/>
      <c r="NRI44" s="59"/>
      <c r="NRJ44" s="58"/>
      <c r="NRK44" s="59"/>
      <c r="NRL44" s="6"/>
      <c r="NRM44" s="7"/>
      <c r="NRN44" s="8"/>
      <c r="NRO44" s="8"/>
      <c r="NRP44" s="6"/>
      <c r="NRQ44" s="16"/>
      <c r="NRR44" s="16"/>
      <c r="NRS44" s="16"/>
      <c r="NRT44" s="16"/>
      <c r="NRU44" s="65"/>
      <c r="NRV44" s="66"/>
      <c r="NRW44" s="67"/>
      <c r="NRX44" s="34"/>
      <c r="NSA44" s="5"/>
      <c r="NSB44" s="18"/>
      <c r="NSC44" s="56"/>
      <c r="NSD44" s="57"/>
      <c r="NSE44" s="58"/>
      <c r="NSF44" s="59"/>
      <c r="NSG44" s="58"/>
      <c r="NSH44" s="59"/>
      <c r="NSI44" s="6"/>
      <c r="NSJ44" s="7"/>
      <c r="NSK44" s="8"/>
      <c r="NSL44" s="8"/>
      <c r="NSM44" s="6"/>
      <c r="NSN44" s="16"/>
      <c r="NSO44" s="16"/>
      <c r="NSP44" s="16"/>
      <c r="NSQ44" s="16"/>
      <c r="NSR44" s="65"/>
      <c r="NSS44" s="66"/>
      <c r="NST44" s="67"/>
      <c r="NSU44" s="34"/>
      <c r="NSX44" s="5"/>
      <c r="NSY44" s="18"/>
      <c r="NSZ44" s="56"/>
      <c r="NTA44" s="57"/>
      <c r="NTB44" s="58"/>
      <c r="NTC44" s="59"/>
      <c r="NTD44" s="58"/>
      <c r="NTE44" s="59"/>
      <c r="NTF44" s="6"/>
      <c r="NTG44" s="7"/>
      <c r="NTH44" s="8"/>
      <c r="NTI44" s="8"/>
      <c r="NTJ44" s="6"/>
      <c r="NTK44" s="16"/>
      <c r="NTL44" s="16"/>
      <c r="NTM44" s="16"/>
      <c r="NTN44" s="16"/>
      <c r="NTO44" s="65"/>
      <c r="NTP44" s="66"/>
      <c r="NTQ44" s="67"/>
      <c r="NTR44" s="34"/>
      <c r="NTU44" s="5"/>
      <c r="NTV44" s="18"/>
      <c r="NTW44" s="56"/>
      <c r="NTX44" s="57"/>
      <c r="NTY44" s="58"/>
      <c r="NTZ44" s="59"/>
      <c r="NUA44" s="58"/>
      <c r="NUB44" s="59"/>
      <c r="NUC44" s="6"/>
      <c r="NUD44" s="7"/>
      <c r="NUE44" s="8"/>
      <c r="NUF44" s="8"/>
      <c r="NUG44" s="6"/>
      <c r="NUH44" s="16"/>
      <c r="NUI44" s="16"/>
      <c r="NUJ44" s="16"/>
      <c r="NUK44" s="16"/>
      <c r="NUL44" s="65"/>
      <c r="NUM44" s="66"/>
      <c r="NUN44" s="67"/>
      <c r="NUO44" s="34"/>
      <c r="NUR44" s="5"/>
      <c r="NUS44" s="18"/>
      <c r="NUT44" s="56"/>
      <c r="NUU44" s="57"/>
      <c r="NUV44" s="58"/>
      <c r="NUW44" s="59"/>
      <c r="NUX44" s="58"/>
      <c r="NUY44" s="59"/>
      <c r="NUZ44" s="6"/>
      <c r="NVA44" s="7"/>
      <c r="NVB44" s="8"/>
      <c r="NVC44" s="8"/>
      <c r="NVD44" s="6"/>
      <c r="NVE44" s="16"/>
      <c r="NVF44" s="16"/>
      <c r="NVG44" s="16"/>
      <c r="NVH44" s="16"/>
      <c r="NVI44" s="65"/>
      <c r="NVJ44" s="66"/>
      <c r="NVK44" s="67"/>
      <c r="NVL44" s="34"/>
      <c r="NVO44" s="5"/>
      <c r="NVP44" s="18"/>
      <c r="NVQ44" s="56"/>
      <c r="NVR44" s="57"/>
      <c r="NVS44" s="58"/>
      <c r="NVT44" s="59"/>
      <c r="NVU44" s="58"/>
      <c r="NVV44" s="59"/>
      <c r="NVW44" s="6"/>
      <c r="NVX44" s="7"/>
      <c r="NVY44" s="8"/>
      <c r="NVZ44" s="8"/>
      <c r="NWA44" s="6"/>
      <c r="NWB44" s="16"/>
      <c r="NWC44" s="16"/>
      <c r="NWD44" s="16"/>
      <c r="NWE44" s="16"/>
      <c r="NWF44" s="65"/>
      <c r="NWG44" s="66"/>
      <c r="NWH44" s="67"/>
      <c r="NWI44" s="34"/>
      <c r="NWL44" s="5"/>
      <c r="NWM44" s="18"/>
      <c r="NWN44" s="56"/>
      <c r="NWO44" s="57"/>
      <c r="NWP44" s="58"/>
      <c r="NWQ44" s="59"/>
      <c r="NWR44" s="58"/>
      <c r="NWS44" s="59"/>
      <c r="NWT44" s="6"/>
      <c r="NWU44" s="7"/>
      <c r="NWV44" s="8"/>
      <c r="NWW44" s="8"/>
      <c r="NWX44" s="6"/>
      <c r="NWY44" s="16"/>
      <c r="NWZ44" s="16"/>
      <c r="NXA44" s="16"/>
      <c r="NXB44" s="16"/>
      <c r="NXC44" s="65"/>
      <c r="NXD44" s="66"/>
      <c r="NXE44" s="67"/>
      <c r="NXF44" s="34"/>
      <c r="NXI44" s="5"/>
      <c r="NXJ44" s="18"/>
      <c r="NXK44" s="56"/>
      <c r="NXL44" s="57"/>
      <c r="NXM44" s="58"/>
      <c r="NXN44" s="59"/>
      <c r="NXO44" s="58"/>
      <c r="NXP44" s="59"/>
      <c r="NXQ44" s="6"/>
      <c r="NXR44" s="7"/>
      <c r="NXS44" s="8"/>
      <c r="NXT44" s="8"/>
      <c r="NXU44" s="6"/>
      <c r="NXV44" s="16"/>
      <c r="NXW44" s="16"/>
      <c r="NXX44" s="16"/>
      <c r="NXY44" s="16"/>
      <c r="NXZ44" s="65"/>
      <c r="NYA44" s="66"/>
      <c r="NYB44" s="67"/>
      <c r="NYC44" s="34"/>
      <c r="NYF44" s="5"/>
      <c r="NYG44" s="18"/>
      <c r="NYH44" s="56"/>
      <c r="NYI44" s="57"/>
      <c r="NYJ44" s="58"/>
      <c r="NYK44" s="59"/>
      <c r="NYL44" s="58"/>
      <c r="NYM44" s="59"/>
      <c r="NYN44" s="6"/>
      <c r="NYO44" s="7"/>
      <c r="NYP44" s="8"/>
      <c r="NYQ44" s="8"/>
      <c r="NYR44" s="6"/>
      <c r="NYS44" s="16"/>
      <c r="NYT44" s="16"/>
      <c r="NYU44" s="16"/>
      <c r="NYV44" s="16"/>
      <c r="NYW44" s="65"/>
      <c r="NYX44" s="66"/>
      <c r="NYY44" s="67"/>
      <c r="NYZ44" s="34"/>
      <c r="NZC44" s="5"/>
      <c r="NZD44" s="18"/>
      <c r="NZE44" s="56"/>
      <c r="NZF44" s="57"/>
      <c r="NZG44" s="58"/>
      <c r="NZH44" s="59"/>
      <c r="NZI44" s="58"/>
      <c r="NZJ44" s="59"/>
      <c r="NZK44" s="6"/>
      <c r="NZL44" s="7"/>
      <c r="NZM44" s="8"/>
      <c r="NZN44" s="8"/>
      <c r="NZO44" s="6"/>
      <c r="NZP44" s="16"/>
      <c r="NZQ44" s="16"/>
      <c r="NZR44" s="16"/>
      <c r="NZS44" s="16"/>
      <c r="NZT44" s="65"/>
      <c r="NZU44" s="66"/>
      <c r="NZV44" s="67"/>
      <c r="NZW44" s="34"/>
      <c r="NZZ44" s="5"/>
      <c r="OAA44" s="18"/>
      <c r="OAB44" s="56"/>
      <c r="OAC44" s="57"/>
      <c r="OAD44" s="58"/>
      <c r="OAE44" s="59"/>
      <c r="OAF44" s="58"/>
      <c r="OAG44" s="59"/>
      <c r="OAH44" s="6"/>
      <c r="OAI44" s="7"/>
      <c r="OAJ44" s="8"/>
      <c r="OAK44" s="8"/>
      <c r="OAL44" s="6"/>
      <c r="OAM44" s="16"/>
      <c r="OAN44" s="16"/>
      <c r="OAO44" s="16"/>
      <c r="OAP44" s="16"/>
      <c r="OAQ44" s="65"/>
      <c r="OAR44" s="66"/>
      <c r="OAS44" s="67"/>
      <c r="OAT44" s="34"/>
      <c r="OAW44" s="5"/>
      <c r="OAX44" s="18"/>
      <c r="OAY44" s="56"/>
      <c r="OAZ44" s="57"/>
      <c r="OBA44" s="58"/>
      <c r="OBB44" s="59"/>
      <c r="OBC44" s="58"/>
      <c r="OBD44" s="59"/>
      <c r="OBE44" s="6"/>
      <c r="OBF44" s="7"/>
      <c r="OBG44" s="8"/>
      <c r="OBH44" s="8"/>
      <c r="OBI44" s="6"/>
      <c r="OBJ44" s="16"/>
      <c r="OBK44" s="16"/>
      <c r="OBL44" s="16"/>
      <c r="OBM44" s="16"/>
      <c r="OBN44" s="65"/>
      <c r="OBO44" s="66"/>
      <c r="OBP44" s="67"/>
      <c r="OBQ44" s="34"/>
      <c r="OBT44" s="5"/>
      <c r="OBU44" s="18"/>
      <c r="OBV44" s="56"/>
      <c r="OBW44" s="57"/>
      <c r="OBX44" s="58"/>
      <c r="OBY44" s="59"/>
      <c r="OBZ44" s="58"/>
      <c r="OCA44" s="59"/>
      <c r="OCB44" s="6"/>
      <c r="OCC44" s="7"/>
      <c r="OCD44" s="8"/>
      <c r="OCE44" s="8"/>
      <c r="OCF44" s="6"/>
      <c r="OCG44" s="16"/>
      <c r="OCH44" s="16"/>
      <c r="OCI44" s="16"/>
      <c r="OCJ44" s="16"/>
      <c r="OCK44" s="65"/>
      <c r="OCL44" s="66"/>
      <c r="OCM44" s="67"/>
      <c r="OCN44" s="34"/>
      <c r="OCQ44" s="5"/>
      <c r="OCR44" s="18"/>
      <c r="OCS44" s="56"/>
      <c r="OCT44" s="57"/>
      <c r="OCU44" s="58"/>
      <c r="OCV44" s="59"/>
      <c r="OCW44" s="58"/>
      <c r="OCX44" s="59"/>
      <c r="OCY44" s="6"/>
      <c r="OCZ44" s="7"/>
      <c r="ODA44" s="8"/>
      <c r="ODB44" s="8"/>
      <c r="ODC44" s="6"/>
      <c r="ODD44" s="16"/>
      <c r="ODE44" s="16"/>
      <c r="ODF44" s="16"/>
      <c r="ODG44" s="16"/>
      <c r="ODH44" s="65"/>
      <c r="ODI44" s="66"/>
      <c r="ODJ44" s="67"/>
      <c r="ODK44" s="34"/>
      <c r="ODN44" s="5"/>
      <c r="ODO44" s="18"/>
      <c r="ODP44" s="56"/>
      <c r="ODQ44" s="57"/>
      <c r="ODR44" s="58"/>
      <c r="ODS44" s="59"/>
      <c r="ODT44" s="58"/>
      <c r="ODU44" s="59"/>
      <c r="ODV44" s="6"/>
      <c r="ODW44" s="7"/>
      <c r="ODX44" s="8"/>
      <c r="ODY44" s="8"/>
      <c r="ODZ44" s="6"/>
      <c r="OEA44" s="16"/>
      <c r="OEB44" s="16"/>
      <c r="OEC44" s="16"/>
      <c r="OED44" s="16"/>
      <c r="OEE44" s="65"/>
      <c r="OEF44" s="66"/>
      <c r="OEG44" s="67"/>
      <c r="OEH44" s="34"/>
      <c r="OEK44" s="5"/>
      <c r="OEL44" s="18"/>
      <c r="OEM44" s="56"/>
      <c r="OEN44" s="57"/>
      <c r="OEO44" s="58"/>
      <c r="OEP44" s="59"/>
      <c r="OEQ44" s="58"/>
      <c r="OER44" s="59"/>
      <c r="OES44" s="6"/>
      <c r="OET44" s="7"/>
      <c r="OEU44" s="8"/>
      <c r="OEV44" s="8"/>
      <c r="OEW44" s="6"/>
      <c r="OEX44" s="16"/>
      <c r="OEY44" s="16"/>
      <c r="OEZ44" s="16"/>
      <c r="OFA44" s="16"/>
      <c r="OFB44" s="65"/>
      <c r="OFC44" s="66"/>
      <c r="OFD44" s="67"/>
      <c r="OFE44" s="34"/>
      <c r="OFH44" s="5"/>
      <c r="OFI44" s="18"/>
      <c r="OFJ44" s="56"/>
      <c r="OFK44" s="57"/>
      <c r="OFL44" s="58"/>
      <c r="OFM44" s="59"/>
      <c r="OFN44" s="58"/>
      <c r="OFO44" s="59"/>
      <c r="OFP44" s="6"/>
      <c r="OFQ44" s="7"/>
      <c r="OFR44" s="8"/>
      <c r="OFS44" s="8"/>
      <c r="OFT44" s="6"/>
      <c r="OFU44" s="16"/>
      <c r="OFV44" s="16"/>
      <c r="OFW44" s="16"/>
      <c r="OFX44" s="16"/>
      <c r="OFY44" s="65"/>
      <c r="OFZ44" s="66"/>
      <c r="OGA44" s="67"/>
      <c r="OGB44" s="34"/>
      <c r="OGE44" s="5"/>
      <c r="OGF44" s="18"/>
      <c r="OGG44" s="56"/>
      <c r="OGH44" s="57"/>
      <c r="OGI44" s="58"/>
      <c r="OGJ44" s="59"/>
      <c r="OGK44" s="58"/>
      <c r="OGL44" s="59"/>
      <c r="OGM44" s="6"/>
      <c r="OGN44" s="7"/>
      <c r="OGO44" s="8"/>
      <c r="OGP44" s="8"/>
      <c r="OGQ44" s="6"/>
      <c r="OGR44" s="16"/>
      <c r="OGS44" s="16"/>
      <c r="OGT44" s="16"/>
      <c r="OGU44" s="16"/>
      <c r="OGV44" s="65"/>
      <c r="OGW44" s="66"/>
      <c r="OGX44" s="67"/>
      <c r="OGY44" s="34"/>
      <c r="OHB44" s="5"/>
      <c r="OHC44" s="18"/>
      <c r="OHD44" s="56"/>
      <c r="OHE44" s="57"/>
      <c r="OHF44" s="58"/>
      <c r="OHG44" s="59"/>
      <c r="OHH44" s="58"/>
      <c r="OHI44" s="59"/>
      <c r="OHJ44" s="6"/>
      <c r="OHK44" s="7"/>
      <c r="OHL44" s="8"/>
      <c r="OHM44" s="8"/>
      <c r="OHN44" s="6"/>
      <c r="OHO44" s="16"/>
      <c r="OHP44" s="16"/>
      <c r="OHQ44" s="16"/>
      <c r="OHR44" s="16"/>
      <c r="OHS44" s="65"/>
      <c r="OHT44" s="66"/>
      <c r="OHU44" s="67"/>
      <c r="OHV44" s="34"/>
      <c r="OHY44" s="5"/>
      <c r="OHZ44" s="18"/>
      <c r="OIA44" s="56"/>
      <c r="OIB44" s="57"/>
      <c r="OIC44" s="58"/>
      <c r="OID44" s="59"/>
      <c r="OIE44" s="58"/>
      <c r="OIF44" s="59"/>
      <c r="OIG44" s="6"/>
      <c r="OIH44" s="7"/>
      <c r="OII44" s="8"/>
      <c r="OIJ44" s="8"/>
      <c r="OIK44" s="6"/>
      <c r="OIL44" s="16"/>
      <c r="OIM44" s="16"/>
      <c r="OIN44" s="16"/>
      <c r="OIO44" s="16"/>
      <c r="OIP44" s="65"/>
      <c r="OIQ44" s="66"/>
      <c r="OIR44" s="67"/>
      <c r="OIS44" s="34"/>
      <c r="OIV44" s="5"/>
      <c r="OIW44" s="18"/>
      <c r="OIX44" s="56"/>
      <c r="OIY44" s="57"/>
      <c r="OIZ44" s="58"/>
      <c r="OJA44" s="59"/>
      <c r="OJB44" s="58"/>
      <c r="OJC44" s="59"/>
      <c r="OJD44" s="6"/>
      <c r="OJE44" s="7"/>
      <c r="OJF44" s="8"/>
      <c r="OJG44" s="8"/>
      <c r="OJH44" s="6"/>
      <c r="OJI44" s="16"/>
      <c r="OJJ44" s="16"/>
      <c r="OJK44" s="16"/>
      <c r="OJL44" s="16"/>
      <c r="OJM44" s="65"/>
      <c r="OJN44" s="66"/>
      <c r="OJO44" s="67"/>
      <c r="OJP44" s="34"/>
      <c r="OJS44" s="5"/>
      <c r="OJT44" s="18"/>
      <c r="OJU44" s="56"/>
      <c r="OJV44" s="57"/>
      <c r="OJW44" s="58"/>
      <c r="OJX44" s="59"/>
      <c r="OJY44" s="58"/>
      <c r="OJZ44" s="59"/>
      <c r="OKA44" s="6"/>
      <c r="OKB44" s="7"/>
      <c r="OKC44" s="8"/>
      <c r="OKD44" s="8"/>
      <c r="OKE44" s="6"/>
      <c r="OKF44" s="16"/>
      <c r="OKG44" s="16"/>
      <c r="OKH44" s="16"/>
      <c r="OKI44" s="16"/>
      <c r="OKJ44" s="65"/>
      <c r="OKK44" s="66"/>
      <c r="OKL44" s="67"/>
      <c r="OKM44" s="34"/>
      <c r="OKP44" s="5"/>
      <c r="OKQ44" s="18"/>
      <c r="OKR44" s="56"/>
      <c r="OKS44" s="57"/>
      <c r="OKT44" s="58"/>
      <c r="OKU44" s="59"/>
      <c r="OKV44" s="58"/>
      <c r="OKW44" s="59"/>
      <c r="OKX44" s="6"/>
      <c r="OKY44" s="7"/>
      <c r="OKZ44" s="8"/>
      <c r="OLA44" s="8"/>
      <c r="OLB44" s="6"/>
      <c r="OLC44" s="16"/>
      <c r="OLD44" s="16"/>
      <c r="OLE44" s="16"/>
      <c r="OLF44" s="16"/>
      <c r="OLG44" s="65"/>
      <c r="OLH44" s="66"/>
      <c r="OLI44" s="67"/>
      <c r="OLJ44" s="34"/>
      <c r="OLM44" s="5"/>
      <c r="OLN44" s="18"/>
      <c r="OLO44" s="56"/>
      <c r="OLP44" s="57"/>
      <c r="OLQ44" s="58"/>
      <c r="OLR44" s="59"/>
      <c r="OLS44" s="58"/>
      <c r="OLT44" s="59"/>
      <c r="OLU44" s="6"/>
      <c r="OLV44" s="7"/>
      <c r="OLW44" s="8"/>
      <c r="OLX44" s="8"/>
      <c r="OLY44" s="6"/>
      <c r="OLZ44" s="16"/>
      <c r="OMA44" s="16"/>
      <c r="OMB44" s="16"/>
      <c r="OMC44" s="16"/>
      <c r="OMD44" s="65"/>
      <c r="OME44" s="66"/>
      <c r="OMF44" s="67"/>
      <c r="OMG44" s="34"/>
      <c r="OMJ44" s="5"/>
      <c r="OMK44" s="18"/>
      <c r="OML44" s="56"/>
      <c r="OMM44" s="57"/>
      <c r="OMN44" s="58"/>
      <c r="OMO44" s="59"/>
      <c r="OMP44" s="58"/>
      <c r="OMQ44" s="59"/>
      <c r="OMR44" s="6"/>
      <c r="OMS44" s="7"/>
      <c r="OMT44" s="8"/>
      <c r="OMU44" s="8"/>
      <c r="OMV44" s="6"/>
      <c r="OMW44" s="16"/>
      <c r="OMX44" s="16"/>
      <c r="OMY44" s="16"/>
      <c r="OMZ44" s="16"/>
      <c r="ONA44" s="65"/>
      <c r="ONB44" s="66"/>
      <c r="ONC44" s="67"/>
      <c r="OND44" s="34"/>
      <c r="ONG44" s="5"/>
      <c r="ONH44" s="18"/>
      <c r="ONI44" s="56"/>
      <c r="ONJ44" s="57"/>
      <c r="ONK44" s="58"/>
      <c r="ONL44" s="59"/>
      <c r="ONM44" s="58"/>
      <c r="ONN44" s="59"/>
      <c r="ONO44" s="6"/>
      <c r="ONP44" s="7"/>
      <c r="ONQ44" s="8"/>
      <c r="ONR44" s="8"/>
      <c r="ONS44" s="6"/>
      <c r="ONT44" s="16"/>
      <c r="ONU44" s="16"/>
      <c r="ONV44" s="16"/>
      <c r="ONW44" s="16"/>
      <c r="ONX44" s="65"/>
      <c r="ONY44" s="66"/>
      <c r="ONZ44" s="67"/>
      <c r="OOA44" s="34"/>
      <c r="OOD44" s="5"/>
      <c r="OOE44" s="18"/>
      <c r="OOF44" s="56"/>
      <c r="OOG44" s="57"/>
      <c r="OOH44" s="58"/>
      <c r="OOI44" s="59"/>
      <c r="OOJ44" s="58"/>
      <c r="OOK44" s="59"/>
      <c r="OOL44" s="6"/>
      <c r="OOM44" s="7"/>
      <c r="OON44" s="8"/>
      <c r="OOO44" s="8"/>
      <c r="OOP44" s="6"/>
      <c r="OOQ44" s="16"/>
      <c r="OOR44" s="16"/>
      <c r="OOS44" s="16"/>
      <c r="OOT44" s="16"/>
      <c r="OOU44" s="65"/>
      <c r="OOV44" s="66"/>
      <c r="OOW44" s="67"/>
      <c r="OOX44" s="34"/>
      <c r="OPA44" s="5"/>
      <c r="OPB44" s="18"/>
      <c r="OPC44" s="56"/>
      <c r="OPD44" s="57"/>
      <c r="OPE44" s="58"/>
      <c r="OPF44" s="59"/>
      <c r="OPG44" s="58"/>
      <c r="OPH44" s="59"/>
      <c r="OPI44" s="6"/>
      <c r="OPJ44" s="7"/>
      <c r="OPK44" s="8"/>
      <c r="OPL44" s="8"/>
      <c r="OPM44" s="6"/>
      <c r="OPN44" s="16"/>
      <c r="OPO44" s="16"/>
      <c r="OPP44" s="16"/>
      <c r="OPQ44" s="16"/>
      <c r="OPR44" s="65"/>
      <c r="OPS44" s="66"/>
      <c r="OPT44" s="67"/>
      <c r="OPU44" s="34"/>
      <c r="OPX44" s="5"/>
      <c r="OPY44" s="18"/>
      <c r="OPZ44" s="56"/>
      <c r="OQA44" s="57"/>
      <c r="OQB44" s="58"/>
      <c r="OQC44" s="59"/>
      <c r="OQD44" s="58"/>
      <c r="OQE44" s="59"/>
      <c r="OQF44" s="6"/>
      <c r="OQG44" s="7"/>
      <c r="OQH44" s="8"/>
      <c r="OQI44" s="8"/>
      <c r="OQJ44" s="6"/>
      <c r="OQK44" s="16"/>
      <c r="OQL44" s="16"/>
      <c r="OQM44" s="16"/>
      <c r="OQN44" s="16"/>
      <c r="OQO44" s="65"/>
      <c r="OQP44" s="66"/>
      <c r="OQQ44" s="67"/>
      <c r="OQR44" s="34"/>
      <c r="OQU44" s="5"/>
      <c r="OQV44" s="18"/>
      <c r="OQW44" s="56"/>
      <c r="OQX44" s="57"/>
      <c r="OQY44" s="58"/>
      <c r="OQZ44" s="59"/>
      <c r="ORA44" s="58"/>
      <c r="ORB44" s="59"/>
      <c r="ORC44" s="6"/>
      <c r="ORD44" s="7"/>
      <c r="ORE44" s="8"/>
      <c r="ORF44" s="8"/>
      <c r="ORG44" s="6"/>
      <c r="ORH44" s="16"/>
      <c r="ORI44" s="16"/>
      <c r="ORJ44" s="16"/>
      <c r="ORK44" s="16"/>
      <c r="ORL44" s="65"/>
      <c r="ORM44" s="66"/>
      <c r="ORN44" s="67"/>
      <c r="ORO44" s="34"/>
      <c r="ORR44" s="5"/>
      <c r="ORS44" s="18"/>
      <c r="ORT44" s="56"/>
      <c r="ORU44" s="57"/>
      <c r="ORV44" s="58"/>
      <c r="ORW44" s="59"/>
      <c r="ORX44" s="58"/>
      <c r="ORY44" s="59"/>
      <c r="ORZ44" s="6"/>
      <c r="OSA44" s="7"/>
      <c r="OSB44" s="8"/>
      <c r="OSC44" s="8"/>
      <c r="OSD44" s="6"/>
      <c r="OSE44" s="16"/>
      <c r="OSF44" s="16"/>
      <c r="OSG44" s="16"/>
      <c r="OSH44" s="16"/>
      <c r="OSI44" s="65"/>
      <c r="OSJ44" s="66"/>
      <c r="OSK44" s="67"/>
      <c r="OSL44" s="34"/>
      <c r="OSO44" s="5"/>
      <c r="OSP44" s="18"/>
      <c r="OSQ44" s="56"/>
      <c r="OSR44" s="57"/>
      <c r="OSS44" s="58"/>
      <c r="OST44" s="59"/>
      <c r="OSU44" s="58"/>
      <c r="OSV44" s="59"/>
      <c r="OSW44" s="6"/>
      <c r="OSX44" s="7"/>
      <c r="OSY44" s="8"/>
      <c r="OSZ44" s="8"/>
      <c r="OTA44" s="6"/>
      <c r="OTB44" s="16"/>
      <c r="OTC44" s="16"/>
      <c r="OTD44" s="16"/>
      <c r="OTE44" s="16"/>
      <c r="OTF44" s="65"/>
      <c r="OTG44" s="66"/>
      <c r="OTH44" s="67"/>
      <c r="OTI44" s="34"/>
      <c r="OTL44" s="5"/>
      <c r="OTM44" s="18"/>
      <c r="OTN44" s="56"/>
      <c r="OTO44" s="57"/>
      <c r="OTP44" s="58"/>
      <c r="OTQ44" s="59"/>
      <c r="OTR44" s="58"/>
      <c r="OTS44" s="59"/>
      <c r="OTT44" s="6"/>
      <c r="OTU44" s="7"/>
      <c r="OTV44" s="8"/>
      <c r="OTW44" s="8"/>
      <c r="OTX44" s="6"/>
      <c r="OTY44" s="16"/>
      <c r="OTZ44" s="16"/>
      <c r="OUA44" s="16"/>
      <c r="OUB44" s="16"/>
      <c r="OUC44" s="65"/>
      <c r="OUD44" s="66"/>
      <c r="OUE44" s="67"/>
      <c r="OUF44" s="34"/>
      <c r="OUI44" s="5"/>
      <c r="OUJ44" s="18"/>
      <c r="OUK44" s="56"/>
      <c r="OUL44" s="57"/>
      <c r="OUM44" s="58"/>
      <c r="OUN44" s="59"/>
      <c r="OUO44" s="58"/>
      <c r="OUP44" s="59"/>
      <c r="OUQ44" s="6"/>
      <c r="OUR44" s="7"/>
      <c r="OUS44" s="8"/>
      <c r="OUT44" s="8"/>
      <c r="OUU44" s="6"/>
      <c r="OUV44" s="16"/>
      <c r="OUW44" s="16"/>
      <c r="OUX44" s="16"/>
      <c r="OUY44" s="16"/>
      <c r="OUZ44" s="65"/>
      <c r="OVA44" s="66"/>
      <c r="OVB44" s="67"/>
      <c r="OVC44" s="34"/>
      <c r="OVF44" s="5"/>
      <c r="OVG44" s="18"/>
      <c r="OVH44" s="56"/>
      <c r="OVI44" s="57"/>
      <c r="OVJ44" s="58"/>
      <c r="OVK44" s="59"/>
      <c r="OVL44" s="58"/>
      <c r="OVM44" s="59"/>
      <c r="OVN44" s="6"/>
      <c r="OVO44" s="7"/>
      <c r="OVP44" s="8"/>
      <c r="OVQ44" s="8"/>
      <c r="OVR44" s="6"/>
      <c r="OVS44" s="16"/>
      <c r="OVT44" s="16"/>
      <c r="OVU44" s="16"/>
      <c r="OVV44" s="16"/>
      <c r="OVW44" s="65"/>
      <c r="OVX44" s="66"/>
      <c r="OVY44" s="67"/>
      <c r="OVZ44" s="34"/>
      <c r="OWC44" s="5"/>
      <c r="OWD44" s="18"/>
      <c r="OWE44" s="56"/>
      <c r="OWF44" s="57"/>
      <c r="OWG44" s="58"/>
      <c r="OWH44" s="59"/>
      <c r="OWI44" s="58"/>
      <c r="OWJ44" s="59"/>
      <c r="OWK44" s="6"/>
      <c r="OWL44" s="7"/>
      <c r="OWM44" s="8"/>
      <c r="OWN44" s="8"/>
      <c r="OWO44" s="6"/>
      <c r="OWP44" s="16"/>
      <c r="OWQ44" s="16"/>
      <c r="OWR44" s="16"/>
      <c r="OWS44" s="16"/>
      <c r="OWT44" s="65"/>
      <c r="OWU44" s="66"/>
      <c r="OWV44" s="67"/>
      <c r="OWW44" s="34"/>
      <c r="OWZ44" s="5"/>
      <c r="OXA44" s="18"/>
      <c r="OXB44" s="56"/>
      <c r="OXC44" s="57"/>
      <c r="OXD44" s="58"/>
      <c r="OXE44" s="59"/>
      <c r="OXF44" s="58"/>
      <c r="OXG44" s="59"/>
      <c r="OXH44" s="6"/>
      <c r="OXI44" s="7"/>
      <c r="OXJ44" s="8"/>
      <c r="OXK44" s="8"/>
      <c r="OXL44" s="6"/>
      <c r="OXM44" s="16"/>
      <c r="OXN44" s="16"/>
      <c r="OXO44" s="16"/>
      <c r="OXP44" s="16"/>
      <c r="OXQ44" s="65"/>
      <c r="OXR44" s="66"/>
      <c r="OXS44" s="67"/>
      <c r="OXT44" s="34"/>
      <c r="OXW44" s="5"/>
      <c r="OXX44" s="18"/>
      <c r="OXY44" s="56"/>
      <c r="OXZ44" s="57"/>
      <c r="OYA44" s="58"/>
      <c r="OYB44" s="59"/>
      <c r="OYC44" s="58"/>
      <c r="OYD44" s="59"/>
      <c r="OYE44" s="6"/>
      <c r="OYF44" s="7"/>
      <c r="OYG44" s="8"/>
      <c r="OYH44" s="8"/>
      <c r="OYI44" s="6"/>
      <c r="OYJ44" s="16"/>
      <c r="OYK44" s="16"/>
      <c r="OYL44" s="16"/>
      <c r="OYM44" s="16"/>
      <c r="OYN44" s="65"/>
      <c r="OYO44" s="66"/>
      <c r="OYP44" s="67"/>
      <c r="OYQ44" s="34"/>
      <c r="OYT44" s="5"/>
      <c r="OYU44" s="18"/>
      <c r="OYV44" s="56"/>
      <c r="OYW44" s="57"/>
      <c r="OYX44" s="58"/>
      <c r="OYY44" s="59"/>
      <c r="OYZ44" s="58"/>
      <c r="OZA44" s="59"/>
      <c r="OZB44" s="6"/>
      <c r="OZC44" s="7"/>
      <c r="OZD44" s="8"/>
      <c r="OZE44" s="8"/>
      <c r="OZF44" s="6"/>
      <c r="OZG44" s="16"/>
      <c r="OZH44" s="16"/>
      <c r="OZI44" s="16"/>
      <c r="OZJ44" s="16"/>
      <c r="OZK44" s="65"/>
      <c r="OZL44" s="66"/>
      <c r="OZM44" s="67"/>
      <c r="OZN44" s="34"/>
      <c r="OZQ44" s="5"/>
      <c r="OZR44" s="18"/>
      <c r="OZS44" s="56"/>
      <c r="OZT44" s="57"/>
      <c r="OZU44" s="58"/>
      <c r="OZV44" s="59"/>
      <c r="OZW44" s="58"/>
      <c r="OZX44" s="59"/>
      <c r="OZY44" s="6"/>
      <c r="OZZ44" s="7"/>
      <c r="PAA44" s="8"/>
      <c r="PAB44" s="8"/>
      <c r="PAC44" s="6"/>
      <c r="PAD44" s="16"/>
      <c r="PAE44" s="16"/>
      <c r="PAF44" s="16"/>
      <c r="PAG44" s="16"/>
      <c r="PAH44" s="65"/>
      <c r="PAI44" s="66"/>
      <c r="PAJ44" s="67"/>
      <c r="PAK44" s="34"/>
      <c r="PAN44" s="5"/>
      <c r="PAO44" s="18"/>
      <c r="PAP44" s="56"/>
      <c r="PAQ44" s="57"/>
      <c r="PAR44" s="58"/>
      <c r="PAS44" s="59"/>
      <c r="PAT44" s="58"/>
      <c r="PAU44" s="59"/>
      <c r="PAV44" s="6"/>
      <c r="PAW44" s="7"/>
      <c r="PAX44" s="8"/>
      <c r="PAY44" s="8"/>
      <c r="PAZ44" s="6"/>
      <c r="PBA44" s="16"/>
      <c r="PBB44" s="16"/>
      <c r="PBC44" s="16"/>
      <c r="PBD44" s="16"/>
      <c r="PBE44" s="65"/>
      <c r="PBF44" s="66"/>
      <c r="PBG44" s="67"/>
      <c r="PBH44" s="34"/>
      <c r="PBK44" s="5"/>
      <c r="PBL44" s="18"/>
      <c r="PBM44" s="56"/>
      <c r="PBN44" s="57"/>
      <c r="PBO44" s="58"/>
      <c r="PBP44" s="59"/>
      <c r="PBQ44" s="58"/>
      <c r="PBR44" s="59"/>
      <c r="PBS44" s="6"/>
      <c r="PBT44" s="7"/>
      <c r="PBU44" s="8"/>
      <c r="PBV44" s="8"/>
      <c r="PBW44" s="6"/>
      <c r="PBX44" s="16"/>
      <c r="PBY44" s="16"/>
      <c r="PBZ44" s="16"/>
      <c r="PCA44" s="16"/>
      <c r="PCB44" s="65"/>
      <c r="PCC44" s="66"/>
      <c r="PCD44" s="67"/>
      <c r="PCE44" s="34"/>
      <c r="PCH44" s="5"/>
      <c r="PCI44" s="18"/>
      <c r="PCJ44" s="56"/>
      <c r="PCK44" s="57"/>
      <c r="PCL44" s="58"/>
      <c r="PCM44" s="59"/>
      <c r="PCN44" s="58"/>
      <c r="PCO44" s="59"/>
      <c r="PCP44" s="6"/>
      <c r="PCQ44" s="7"/>
      <c r="PCR44" s="8"/>
      <c r="PCS44" s="8"/>
      <c r="PCT44" s="6"/>
      <c r="PCU44" s="16"/>
      <c r="PCV44" s="16"/>
      <c r="PCW44" s="16"/>
      <c r="PCX44" s="16"/>
      <c r="PCY44" s="65"/>
      <c r="PCZ44" s="66"/>
      <c r="PDA44" s="67"/>
      <c r="PDB44" s="34"/>
      <c r="PDE44" s="5"/>
      <c r="PDF44" s="18"/>
      <c r="PDG44" s="56"/>
      <c r="PDH44" s="57"/>
      <c r="PDI44" s="58"/>
      <c r="PDJ44" s="59"/>
      <c r="PDK44" s="58"/>
      <c r="PDL44" s="59"/>
      <c r="PDM44" s="6"/>
      <c r="PDN44" s="7"/>
      <c r="PDO44" s="8"/>
      <c r="PDP44" s="8"/>
      <c r="PDQ44" s="6"/>
      <c r="PDR44" s="16"/>
      <c r="PDS44" s="16"/>
      <c r="PDT44" s="16"/>
      <c r="PDU44" s="16"/>
      <c r="PDV44" s="65"/>
      <c r="PDW44" s="66"/>
      <c r="PDX44" s="67"/>
      <c r="PDY44" s="34"/>
      <c r="PEB44" s="5"/>
      <c r="PEC44" s="18"/>
      <c r="PED44" s="56"/>
      <c r="PEE44" s="57"/>
      <c r="PEF44" s="58"/>
      <c r="PEG44" s="59"/>
      <c r="PEH44" s="58"/>
      <c r="PEI44" s="59"/>
      <c r="PEJ44" s="6"/>
      <c r="PEK44" s="7"/>
      <c r="PEL44" s="8"/>
      <c r="PEM44" s="8"/>
      <c r="PEN44" s="6"/>
      <c r="PEO44" s="16"/>
      <c r="PEP44" s="16"/>
      <c r="PEQ44" s="16"/>
      <c r="PER44" s="16"/>
      <c r="PES44" s="65"/>
      <c r="PET44" s="66"/>
      <c r="PEU44" s="67"/>
      <c r="PEV44" s="34"/>
      <c r="PEY44" s="5"/>
      <c r="PEZ44" s="18"/>
      <c r="PFA44" s="56"/>
      <c r="PFB44" s="57"/>
      <c r="PFC44" s="58"/>
      <c r="PFD44" s="59"/>
      <c r="PFE44" s="58"/>
      <c r="PFF44" s="59"/>
      <c r="PFG44" s="6"/>
      <c r="PFH44" s="7"/>
      <c r="PFI44" s="8"/>
      <c r="PFJ44" s="8"/>
      <c r="PFK44" s="6"/>
      <c r="PFL44" s="16"/>
      <c r="PFM44" s="16"/>
      <c r="PFN44" s="16"/>
      <c r="PFO44" s="16"/>
      <c r="PFP44" s="65"/>
      <c r="PFQ44" s="66"/>
      <c r="PFR44" s="67"/>
      <c r="PFS44" s="34"/>
      <c r="PFV44" s="5"/>
      <c r="PFW44" s="18"/>
      <c r="PFX44" s="56"/>
      <c r="PFY44" s="57"/>
      <c r="PFZ44" s="58"/>
      <c r="PGA44" s="59"/>
      <c r="PGB44" s="58"/>
      <c r="PGC44" s="59"/>
      <c r="PGD44" s="6"/>
      <c r="PGE44" s="7"/>
      <c r="PGF44" s="8"/>
      <c r="PGG44" s="8"/>
      <c r="PGH44" s="6"/>
      <c r="PGI44" s="16"/>
      <c r="PGJ44" s="16"/>
      <c r="PGK44" s="16"/>
      <c r="PGL44" s="16"/>
      <c r="PGM44" s="65"/>
      <c r="PGN44" s="66"/>
      <c r="PGO44" s="67"/>
      <c r="PGP44" s="34"/>
      <c r="PGS44" s="5"/>
      <c r="PGT44" s="18"/>
      <c r="PGU44" s="56"/>
      <c r="PGV44" s="57"/>
      <c r="PGW44" s="58"/>
      <c r="PGX44" s="59"/>
      <c r="PGY44" s="58"/>
      <c r="PGZ44" s="59"/>
      <c r="PHA44" s="6"/>
      <c r="PHB44" s="7"/>
      <c r="PHC44" s="8"/>
      <c r="PHD44" s="8"/>
      <c r="PHE44" s="6"/>
      <c r="PHF44" s="16"/>
      <c r="PHG44" s="16"/>
      <c r="PHH44" s="16"/>
      <c r="PHI44" s="16"/>
      <c r="PHJ44" s="65"/>
      <c r="PHK44" s="66"/>
      <c r="PHL44" s="67"/>
      <c r="PHM44" s="34"/>
      <c r="PHP44" s="5"/>
      <c r="PHQ44" s="18"/>
      <c r="PHR44" s="56"/>
      <c r="PHS44" s="57"/>
      <c r="PHT44" s="58"/>
      <c r="PHU44" s="59"/>
      <c r="PHV44" s="58"/>
      <c r="PHW44" s="59"/>
      <c r="PHX44" s="6"/>
      <c r="PHY44" s="7"/>
      <c r="PHZ44" s="8"/>
      <c r="PIA44" s="8"/>
      <c r="PIB44" s="6"/>
      <c r="PIC44" s="16"/>
      <c r="PID44" s="16"/>
      <c r="PIE44" s="16"/>
      <c r="PIF44" s="16"/>
      <c r="PIG44" s="65"/>
      <c r="PIH44" s="66"/>
      <c r="PII44" s="67"/>
      <c r="PIJ44" s="34"/>
      <c r="PIM44" s="5"/>
      <c r="PIN44" s="18"/>
      <c r="PIO44" s="56"/>
      <c r="PIP44" s="57"/>
      <c r="PIQ44" s="58"/>
      <c r="PIR44" s="59"/>
      <c r="PIS44" s="58"/>
      <c r="PIT44" s="59"/>
      <c r="PIU44" s="6"/>
      <c r="PIV44" s="7"/>
      <c r="PIW44" s="8"/>
      <c r="PIX44" s="8"/>
      <c r="PIY44" s="6"/>
      <c r="PIZ44" s="16"/>
      <c r="PJA44" s="16"/>
      <c r="PJB44" s="16"/>
      <c r="PJC44" s="16"/>
      <c r="PJD44" s="65"/>
      <c r="PJE44" s="66"/>
      <c r="PJF44" s="67"/>
      <c r="PJG44" s="34"/>
      <c r="PJJ44" s="5"/>
      <c r="PJK44" s="18"/>
      <c r="PJL44" s="56"/>
      <c r="PJM44" s="57"/>
      <c r="PJN44" s="58"/>
      <c r="PJO44" s="59"/>
      <c r="PJP44" s="58"/>
      <c r="PJQ44" s="59"/>
      <c r="PJR44" s="6"/>
      <c r="PJS44" s="7"/>
      <c r="PJT44" s="8"/>
      <c r="PJU44" s="8"/>
      <c r="PJV44" s="6"/>
      <c r="PJW44" s="16"/>
      <c r="PJX44" s="16"/>
      <c r="PJY44" s="16"/>
      <c r="PJZ44" s="16"/>
      <c r="PKA44" s="65"/>
      <c r="PKB44" s="66"/>
      <c r="PKC44" s="67"/>
      <c r="PKD44" s="34"/>
      <c r="PKG44" s="5"/>
      <c r="PKH44" s="18"/>
      <c r="PKI44" s="56"/>
      <c r="PKJ44" s="57"/>
      <c r="PKK44" s="58"/>
      <c r="PKL44" s="59"/>
      <c r="PKM44" s="58"/>
      <c r="PKN44" s="59"/>
      <c r="PKO44" s="6"/>
      <c r="PKP44" s="7"/>
      <c r="PKQ44" s="8"/>
      <c r="PKR44" s="8"/>
      <c r="PKS44" s="6"/>
      <c r="PKT44" s="16"/>
      <c r="PKU44" s="16"/>
      <c r="PKV44" s="16"/>
      <c r="PKW44" s="16"/>
      <c r="PKX44" s="65"/>
      <c r="PKY44" s="66"/>
      <c r="PKZ44" s="67"/>
      <c r="PLA44" s="34"/>
      <c r="PLD44" s="5"/>
      <c r="PLE44" s="18"/>
      <c r="PLF44" s="56"/>
      <c r="PLG44" s="57"/>
      <c r="PLH44" s="58"/>
      <c r="PLI44" s="59"/>
      <c r="PLJ44" s="58"/>
      <c r="PLK44" s="59"/>
      <c r="PLL44" s="6"/>
      <c r="PLM44" s="7"/>
      <c r="PLN44" s="8"/>
      <c r="PLO44" s="8"/>
      <c r="PLP44" s="6"/>
      <c r="PLQ44" s="16"/>
      <c r="PLR44" s="16"/>
      <c r="PLS44" s="16"/>
      <c r="PLT44" s="16"/>
      <c r="PLU44" s="65"/>
      <c r="PLV44" s="66"/>
      <c r="PLW44" s="67"/>
      <c r="PLX44" s="34"/>
      <c r="PMA44" s="5"/>
      <c r="PMB44" s="18"/>
      <c r="PMC44" s="56"/>
      <c r="PMD44" s="57"/>
      <c r="PME44" s="58"/>
      <c r="PMF44" s="59"/>
      <c r="PMG44" s="58"/>
      <c r="PMH44" s="59"/>
      <c r="PMI44" s="6"/>
      <c r="PMJ44" s="7"/>
      <c r="PMK44" s="8"/>
      <c r="PML44" s="8"/>
      <c r="PMM44" s="6"/>
      <c r="PMN44" s="16"/>
      <c r="PMO44" s="16"/>
      <c r="PMP44" s="16"/>
      <c r="PMQ44" s="16"/>
      <c r="PMR44" s="65"/>
      <c r="PMS44" s="66"/>
      <c r="PMT44" s="67"/>
      <c r="PMU44" s="34"/>
      <c r="PMX44" s="5"/>
      <c r="PMY44" s="18"/>
      <c r="PMZ44" s="56"/>
      <c r="PNA44" s="57"/>
      <c r="PNB44" s="58"/>
      <c r="PNC44" s="59"/>
      <c r="PND44" s="58"/>
      <c r="PNE44" s="59"/>
      <c r="PNF44" s="6"/>
      <c r="PNG44" s="7"/>
      <c r="PNH44" s="8"/>
      <c r="PNI44" s="8"/>
      <c r="PNJ44" s="6"/>
      <c r="PNK44" s="16"/>
      <c r="PNL44" s="16"/>
      <c r="PNM44" s="16"/>
      <c r="PNN44" s="16"/>
      <c r="PNO44" s="65"/>
      <c r="PNP44" s="66"/>
      <c r="PNQ44" s="67"/>
      <c r="PNR44" s="34"/>
      <c r="PNU44" s="5"/>
      <c r="PNV44" s="18"/>
      <c r="PNW44" s="56"/>
      <c r="PNX44" s="57"/>
      <c r="PNY44" s="58"/>
      <c r="PNZ44" s="59"/>
      <c r="POA44" s="58"/>
      <c r="POB44" s="59"/>
      <c r="POC44" s="6"/>
      <c r="POD44" s="7"/>
      <c r="POE44" s="8"/>
      <c r="POF44" s="8"/>
      <c r="POG44" s="6"/>
      <c r="POH44" s="16"/>
      <c r="POI44" s="16"/>
      <c r="POJ44" s="16"/>
      <c r="POK44" s="16"/>
      <c r="POL44" s="65"/>
      <c r="POM44" s="66"/>
      <c r="PON44" s="67"/>
      <c r="POO44" s="34"/>
      <c r="POR44" s="5"/>
      <c r="POS44" s="18"/>
      <c r="POT44" s="56"/>
      <c r="POU44" s="57"/>
      <c r="POV44" s="58"/>
      <c r="POW44" s="59"/>
      <c r="POX44" s="58"/>
      <c r="POY44" s="59"/>
      <c r="POZ44" s="6"/>
      <c r="PPA44" s="7"/>
      <c r="PPB44" s="8"/>
      <c r="PPC44" s="8"/>
      <c r="PPD44" s="6"/>
      <c r="PPE44" s="16"/>
      <c r="PPF44" s="16"/>
      <c r="PPG44" s="16"/>
      <c r="PPH44" s="16"/>
      <c r="PPI44" s="65"/>
      <c r="PPJ44" s="66"/>
      <c r="PPK44" s="67"/>
      <c r="PPL44" s="34"/>
      <c r="PPO44" s="5"/>
      <c r="PPP44" s="18"/>
      <c r="PPQ44" s="56"/>
      <c r="PPR44" s="57"/>
      <c r="PPS44" s="58"/>
      <c r="PPT44" s="59"/>
      <c r="PPU44" s="58"/>
      <c r="PPV44" s="59"/>
      <c r="PPW44" s="6"/>
      <c r="PPX44" s="7"/>
      <c r="PPY44" s="8"/>
      <c r="PPZ44" s="8"/>
      <c r="PQA44" s="6"/>
      <c r="PQB44" s="16"/>
      <c r="PQC44" s="16"/>
      <c r="PQD44" s="16"/>
      <c r="PQE44" s="16"/>
      <c r="PQF44" s="65"/>
      <c r="PQG44" s="66"/>
      <c r="PQH44" s="67"/>
      <c r="PQI44" s="34"/>
      <c r="PQL44" s="5"/>
      <c r="PQM44" s="18"/>
      <c r="PQN44" s="56"/>
      <c r="PQO44" s="57"/>
      <c r="PQP44" s="58"/>
      <c r="PQQ44" s="59"/>
      <c r="PQR44" s="58"/>
      <c r="PQS44" s="59"/>
      <c r="PQT44" s="6"/>
      <c r="PQU44" s="7"/>
      <c r="PQV44" s="8"/>
      <c r="PQW44" s="8"/>
      <c r="PQX44" s="6"/>
      <c r="PQY44" s="16"/>
      <c r="PQZ44" s="16"/>
      <c r="PRA44" s="16"/>
      <c r="PRB44" s="16"/>
      <c r="PRC44" s="65"/>
      <c r="PRD44" s="66"/>
      <c r="PRE44" s="67"/>
      <c r="PRF44" s="34"/>
      <c r="PRI44" s="5"/>
      <c r="PRJ44" s="18"/>
      <c r="PRK44" s="56"/>
      <c r="PRL44" s="57"/>
      <c r="PRM44" s="58"/>
      <c r="PRN44" s="59"/>
      <c r="PRO44" s="58"/>
      <c r="PRP44" s="59"/>
      <c r="PRQ44" s="6"/>
      <c r="PRR44" s="7"/>
      <c r="PRS44" s="8"/>
      <c r="PRT44" s="8"/>
      <c r="PRU44" s="6"/>
      <c r="PRV44" s="16"/>
      <c r="PRW44" s="16"/>
      <c r="PRX44" s="16"/>
      <c r="PRY44" s="16"/>
      <c r="PRZ44" s="65"/>
      <c r="PSA44" s="66"/>
      <c r="PSB44" s="67"/>
      <c r="PSC44" s="34"/>
      <c r="PSF44" s="5"/>
      <c r="PSG44" s="18"/>
      <c r="PSH44" s="56"/>
      <c r="PSI44" s="57"/>
      <c r="PSJ44" s="58"/>
      <c r="PSK44" s="59"/>
      <c r="PSL44" s="58"/>
      <c r="PSM44" s="59"/>
      <c r="PSN44" s="6"/>
      <c r="PSO44" s="7"/>
      <c r="PSP44" s="8"/>
      <c r="PSQ44" s="8"/>
      <c r="PSR44" s="6"/>
      <c r="PSS44" s="16"/>
      <c r="PST44" s="16"/>
      <c r="PSU44" s="16"/>
      <c r="PSV44" s="16"/>
      <c r="PSW44" s="65"/>
      <c r="PSX44" s="66"/>
      <c r="PSY44" s="67"/>
      <c r="PSZ44" s="34"/>
      <c r="PTC44" s="5"/>
      <c r="PTD44" s="18"/>
      <c r="PTE44" s="56"/>
      <c r="PTF44" s="57"/>
      <c r="PTG44" s="58"/>
      <c r="PTH44" s="59"/>
      <c r="PTI44" s="58"/>
      <c r="PTJ44" s="59"/>
      <c r="PTK44" s="6"/>
      <c r="PTL44" s="7"/>
      <c r="PTM44" s="8"/>
      <c r="PTN44" s="8"/>
      <c r="PTO44" s="6"/>
      <c r="PTP44" s="16"/>
      <c r="PTQ44" s="16"/>
      <c r="PTR44" s="16"/>
      <c r="PTS44" s="16"/>
      <c r="PTT44" s="65"/>
      <c r="PTU44" s="66"/>
      <c r="PTV44" s="67"/>
      <c r="PTW44" s="34"/>
      <c r="PTZ44" s="5"/>
      <c r="PUA44" s="18"/>
      <c r="PUB44" s="56"/>
      <c r="PUC44" s="57"/>
      <c r="PUD44" s="58"/>
      <c r="PUE44" s="59"/>
      <c r="PUF44" s="58"/>
      <c r="PUG44" s="59"/>
      <c r="PUH44" s="6"/>
      <c r="PUI44" s="7"/>
      <c r="PUJ44" s="8"/>
      <c r="PUK44" s="8"/>
      <c r="PUL44" s="6"/>
      <c r="PUM44" s="16"/>
      <c r="PUN44" s="16"/>
      <c r="PUO44" s="16"/>
      <c r="PUP44" s="16"/>
      <c r="PUQ44" s="65"/>
      <c r="PUR44" s="66"/>
      <c r="PUS44" s="67"/>
      <c r="PUT44" s="34"/>
      <c r="PUW44" s="5"/>
      <c r="PUX44" s="18"/>
      <c r="PUY44" s="56"/>
      <c r="PUZ44" s="57"/>
      <c r="PVA44" s="58"/>
      <c r="PVB44" s="59"/>
      <c r="PVC44" s="58"/>
      <c r="PVD44" s="59"/>
      <c r="PVE44" s="6"/>
      <c r="PVF44" s="7"/>
      <c r="PVG44" s="8"/>
      <c r="PVH44" s="8"/>
      <c r="PVI44" s="6"/>
      <c r="PVJ44" s="16"/>
      <c r="PVK44" s="16"/>
      <c r="PVL44" s="16"/>
      <c r="PVM44" s="16"/>
      <c r="PVN44" s="65"/>
      <c r="PVO44" s="66"/>
      <c r="PVP44" s="67"/>
      <c r="PVQ44" s="34"/>
      <c r="PVT44" s="5"/>
      <c r="PVU44" s="18"/>
      <c r="PVV44" s="56"/>
      <c r="PVW44" s="57"/>
      <c r="PVX44" s="58"/>
      <c r="PVY44" s="59"/>
      <c r="PVZ44" s="58"/>
      <c r="PWA44" s="59"/>
      <c r="PWB44" s="6"/>
      <c r="PWC44" s="7"/>
      <c r="PWD44" s="8"/>
      <c r="PWE44" s="8"/>
      <c r="PWF44" s="6"/>
      <c r="PWG44" s="16"/>
      <c r="PWH44" s="16"/>
      <c r="PWI44" s="16"/>
      <c r="PWJ44" s="16"/>
      <c r="PWK44" s="65"/>
      <c r="PWL44" s="66"/>
      <c r="PWM44" s="67"/>
      <c r="PWN44" s="34"/>
      <c r="PWQ44" s="5"/>
      <c r="PWR44" s="18"/>
      <c r="PWS44" s="56"/>
      <c r="PWT44" s="57"/>
      <c r="PWU44" s="58"/>
      <c r="PWV44" s="59"/>
      <c r="PWW44" s="58"/>
      <c r="PWX44" s="59"/>
      <c r="PWY44" s="6"/>
      <c r="PWZ44" s="7"/>
      <c r="PXA44" s="8"/>
      <c r="PXB44" s="8"/>
      <c r="PXC44" s="6"/>
      <c r="PXD44" s="16"/>
      <c r="PXE44" s="16"/>
      <c r="PXF44" s="16"/>
      <c r="PXG44" s="16"/>
      <c r="PXH44" s="65"/>
      <c r="PXI44" s="66"/>
      <c r="PXJ44" s="67"/>
      <c r="PXK44" s="34"/>
      <c r="PXN44" s="5"/>
      <c r="PXO44" s="18"/>
      <c r="PXP44" s="56"/>
      <c r="PXQ44" s="57"/>
      <c r="PXR44" s="58"/>
      <c r="PXS44" s="59"/>
      <c r="PXT44" s="58"/>
      <c r="PXU44" s="59"/>
      <c r="PXV44" s="6"/>
      <c r="PXW44" s="7"/>
      <c r="PXX44" s="8"/>
      <c r="PXY44" s="8"/>
      <c r="PXZ44" s="6"/>
      <c r="PYA44" s="16"/>
      <c r="PYB44" s="16"/>
      <c r="PYC44" s="16"/>
      <c r="PYD44" s="16"/>
      <c r="PYE44" s="65"/>
      <c r="PYF44" s="66"/>
      <c r="PYG44" s="67"/>
      <c r="PYH44" s="34"/>
      <c r="PYK44" s="5"/>
      <c r="PYL44" s="18"/>
      <c r="PYM44" s="56"/>
      <c r="PYN44" s="57"/>
      <c r="PYO44" s="58"/>
      <c r="PYP44" s="59"/>
      <c r="PYQ44" s="58"/>
      <c r="PYR44" s="59"/>
      <c r="PYS44" s="6"/>
      <c r="PYT44" s="7"/>
      <c r="PYU44" s="8"/>
      <c r="PYV44" s="8"/>
      <c r="PYW44" s="6"/>
      <c r="PYX44" s="16"/>
      <c r="PYY44" s="16"/>
      <c r="PYZ44" s="16"/>
      <c r="PZA44" s="16"/>
      <c r="PZB44" s="65"/>
      <c r="PZC44" s="66"/>
      <c r="PZD44" s="67"/>
      <c r="PZE44" s="34"/>
      <c r="PZH44" s="5"/>
      <c r="PZI44" s="18"/>
      <c r="PZJ44" s="56"/>
      <c r="PZK44" s="57"/>
      <c r="PZL44" s="58"/>
      <c r="PZM44" s="59"/>
      <c r="PZN44" s="58"/>
      <c r="PZO44" s="59"/>
      <c r="PZP44" s="6"/>
      <c r="PZQ44" s="7"/>
      <c r="PZR44" s="8"/>
      <c r="PZS44" s="8"/>
      <c r="PZT44" s="6"/>
      <c r="PZU44" s="16"/>
      <c r="PZV44" s="16"/>
      <c r="PZW44" s="16"/>
      <c r="PZX44" s="16"/>
      <c r="PZY44" s="65"/>
      <c r="PZZ44" s="66"/>
      <c r="QAA44" s="67"/>
      <c r="QAB44" s="34"/>
      <c r="QAE44" s="5"/>
      <c r="QAF44" s="18"/>
      <c r="QAG44" s="56"/>
      <c r="QAH44" s="57"/>
      <c r="QAI44" s="58"/>
      <c r="QAJ44" s="59"/>
      <c r="QAK44" s="58"/>
      <c r="QAL44" s="59"/>
      <c r="QAM44" s="6"/>
      <c r="QAN44" s="7"/>
      <c r="QAO44" s="8"/>
      <c r="QAP44" s="8"/>
      <c r="QAQ44" s="6"/>
      <c r="QAR44" s="16"/>
      <c r="QAS44" s="16"/>
      <c r="QAT44" s="16"/>
      <c r="QAU44" s="16"/>
      <c r="QAV44" s="65"/>
      <c r="QAW44" s="66"/>
      <c r="QAX44" s="67"/>
      <c r="QAY44" s="34"/>
      <c r="QBB44" s="5"/>
      <c r="QBC44" s="18"/>
      <c r="QBD44" s="56"/>
      <c r="QBE44" s="57"/>
      <c r="QBF44" s="58"/>
      <c r="QBG44" s="59"/>
      <c r="QBH44" s="58"/>
      <c r="QBI44" s="59"/>
      <c r="QBJ44" s="6"/>
      <c r="QBK44" s="7"/>
      <c r="QBL44" s="8"/>
      <c r="QBM44" s="8"/>
      <c r="QBN44" s="6"/>
      <c r="QBO44" s="16"/>
      <c r="QBP44" s="16"/>
      <c r="QBQ44" s="16"/>
      <c r="QBR44" s="16"/>
      <c r="QBS44" s="65"/>
      <c r="QBT44" s="66"/>
      <c r="QBU44" s="67"/>
      <c r="QBV44" s="34"/>
      <c r="QBY44" s="5"/>
      <c r="QBZ44" s="18"/>
      <c r="QCA44" s="56"/>
      <c r="QCB44" s="57"/>
      <c r="QCC44" s="58"/>
      <c r="QCD44" s="59"/>
      <c r="QCE44" s="58"/>
      <c r="QCF44" s="59"/>
      <c r="QCG44" s="6"/>
      <c r="QCH44" s="7"/>
      <c r="QCI44" s="8"/>
      <c r="QCJ44" s="8"/>
      <c r="QCK44" s="6"/>
      <c r="QCL44" s="16"/>
      <c r="QCM44" s="16"/>
      <c r="QCN44" s="16"/>
      <c r="QCO44" s="16"/>
      <c r="QCP44" s="65"/>
      <c r="QCQ44" s="66"/>
      <c r="QCR44" s="67"/>
      <c r="QCS44" s="34"/>
      <c r="QCV44" s="5"/>
      <c r="QCW44" s="18"/>
      <c r="QCX44" s="56"/>
      <c r="QCY44" s="57"/>
      <c r="QCZ44" s="58"/>
      <c r="QDA44" s="59"/>
      <c r="QDB44" s="58"/>
      <c r="QDC44" s="59"/>
      <c r="QDD44" s="6"/>
      <c r="QDE44" s="7"/>
      <c r="QDF44" s="8"/>
      <c r="QDG44" s="8"/>
      <c r="QDH44" s="6"/>
      <c r="QDI44" s="16"/>
      <c r="QDJ44" s="16"/>
      <c r="QDK44" s="16"/>
      <c r="QDL44" s="16"/>
      <c r="QDM44" s="65"/>
      <c r="QDN44" s="66"/>
      <c r="QDO44" s="67"/>
      <c r="QDP44" s="34"/>
      <c r="QDS44" s="5"/>
      <c r="QDT44" s="18"/>
      <c r="QDU44" s="56"/>
      <c r="QDV44" s="57"/>
      <c r="QDW44" s="58"/>
      <c r="QDX44" s="59"/>
      <c r="QDY44" s="58"/>
      <c r="QDZ44" s="59"/>
      <c r="QEA44" s="6"/>
      <c r="QEB44" s="7"/>
      <c r="QEC44" s="8"/>
      <c r="QED44" s="8"/>
      <c r="QEE44" s="6"/>
      <c r="QEF44" s="16"/>
      <c r="QEG44" s="16"/>
      <c r="QEH44" s="16"/>
      <c r="QEI44" s="16"/>
      <c r="QEJ44" s="65"/>
      <c r="QEK44" s="66"/>
      <c r="QEL44" s="67"/>
      <c r="QEM44" s="34"/>
      <c r="QEP44" s="5"/>
      <c r="QEQ44" s="18"/>
      <c r="QER44" s="56"/>
      <c r="QES44" s="57"/>
      <c r="QET44" s="58"/>
      <c r="QEU44" s="59"/>
      <c r="QEV44" s="58"/>
      <c r="QEW44" s="59"/>
      <c r="QEX44" s="6"/>
      <c r="QEY44" s="7"/>
      <c r="QEZ44" s="8"/>
      <c r="QFA44" s="8"/>
      <c r="QFB44" s="6"/>
      <c r="QFC44" s="16"/>
      <c r="QFD44" s="16"/>
      <c r="QFE44" s="16"/>
      <c r="QFF44" s="16"/>
      <c r="QFG44" s="65"/>
      <c r="QFH44" s="66"/>
      <c r="QFI44" s="67"/>
      <c r="QFJ44" s="34"/>
      <c r="QFM44" s="5"/>
      <c r="QFN44" s="18"/>
      <c r="QFO44" s="56"/>
      <c r="QFP44" s="57"/>
      <c r="QFQ44" s="58"/>
      <c r="QFR44" s="59"/>
      <c r="QFS44" s="58"/>
      <c r="QFT44" s="59"/>
      <c r="QFU44" s="6"/>
      <c r="QFV44" s="7"/>
      <c r="QFW44" s="8"/>
      <c r="QFX44" s="8"/>
      <c r="QFY44" s="6"/>
      <c r="QFZ44" s="16"/>
      <c r="QGA44" s="16"/>
      <c r="QGB44" s="16"/>
      <c r="QGC44" s="16"/>
      <c r="QGD44" s="65"/>
      <c r="QGE44" s="66"/>
      <c r="QGF44" s="67"/>
      <c r="QGG44" s="34"/>
      <c r="QGJ44" s="5"/>
      <c r="QGK44" s="18"/>
      <c r="QGL44" s="56"/>
      <c r="QGM44" s="57"/>
      <c r="QGN44" s="58"/>
      <c r="QGO44" s="59"/>
      <c r="QGP44" s="58"/>
      <c r="QGQ44" s="59"/>
      <c r="QGR44" s="6"/>
      <c r="QGS44" s="7"/>
      <c r="QGT44" s="8"/>
      <c r="QGU44" s="8"/>
      <c r="QGV44" s="6"/>
      <c r="QGW44" s="16"/>
      <c r="QGX44" s="16"/>
      <c r="QGY44" s="16"/>
      <c r="QGZ44" s="16"/>
      <c r="QHA44" s="65"/>
      <c r="QHB44" s="66"/>
      <c r="QHC44" s="67"/>
      <c r="QHD44" s="34"/>
      <c r="QHG44" s="5"/>
      <c r="QHH44" s="18"/>
      <c r="QHI44" s="56"/>
      <c r="QHJ44" s="57"/>
      <c r="QHK44" s="58"/>
      <c r="QHL44" s="59"/>
      <c r="QHM44" s="58"/>
      <c r="QHN44" s="59"/>
      <c r="QHO44" s="6"/>
      <c r="QHP44" s="7"/>
      <c r="QHQ44" s="8"/>
      <c r="QHR44" s="8"/>
      <c r="QHS44" s="6"/>
      <c r="QHT44" s="16"/>
      <c r="QHU44" s="16"/>
      <c r="QHV44" s="16"/>
      <c r="QHW44" s="16"/>
      <c r="QHX44" s="65"/>
      <c r="QHY44" s="66"/>
      <c r="QHZ44" s="67"/>
      <c r="QIA44" s="34"/>
      <c r="QID44" s="5"/>
      <c r="QIE44" s="18"/>
      <c r="QIF44" s="56"/>
      <c r="QIG44" s="57"/>
      <c r="QIH44" s="58"/>
      <c r="QII44" s="59"/>
      <c r="QIJ44" s="58"/>
      <c r="QIK44" s="59"/>
      <c r="QIL44" s="6"/>
      <c r="QIM44" s="7"/>
      <c r="QIN44" s="8"/>
      <c r="QIO44" s="8"/>
      <c r="QIP44" s="6"/>
      <c r="QIQ44" s="16"/>
      <c r="QIR44" s="16"/>
      <c r="QIS44" s="16"/>
      <c r="QIT44" s="16"/>
      <c r="QIU44" s="65"/>
      <c r="QIV44" s="66"/>
      <c r="QIW44" s="67"/>
      <c r="QIX44" s="34"/>
      <c r="QJA44" s="5"/>
      <c r="QJB44" s="18"/>
      <c r="QJC44" s="56"/>
      <c r="QJD44" s="57"/>
      <c r="QJE44" s="58"/>
      <c r="QJF44" s="59"/>
      <c r="QJG44" s="58"/>
      <c r="QJH44" s="59"/>
      <c r="QJI44" s="6"/>
      <c r="QJJ44" s="7"/>
      <c r="QJK44" s="8"/>
      <c r="QJL44" s="8"/>
      <c r="QJM44" s="6"/>
      <c r="QJN44" s="16"/>
      <c r="QJO44" s="16"/>
      <c r="QJP44" s="16"/>
      <c r="QJQ44" s="16"/>
      <c r="QJR44" s="65"/>
      <c r="QJS44" s="66"/>
      <c r="QJT44" s="67"/>
      <c r="QJU44" s="34"/>
      <c r="QJX44" s="5"/>
      <c r="QJY44" s="18"/>
      <c r="QJZ44" s="56"/>
      <c r="QKA44" s="57"/>
      <c r="QKB44" s="58"/>
      <c r="QKC44" s="59"/>
      <c r="QKD44" s="58"/>
      <c r="QKE44" s="59"/>
      <c r="QKF44" s="6"/>
      <c r="QKG44" s="7"/>
      <c r="QKH44" s="8"/>
      <c r="QKI44" s="8"/>
      <c r="QKJ44" s="6"/>
      <c r="QKK44" s="16"/>
      <c r="QKL44" s="16"/>
      <c r="QKM44" s="16"/>
      <c r="QKN44" s="16"/>
      <c r="QKO44" s="65"/>
      <c r="QKP44" s="66"/>
      <c r="QKQ44" s="67"/>
      <c r="QKR44" s="34"/>
      <c r="QKU44" s="5"/>
      <c r="QKV44" s="18"/>
      <c r="QKW44" s="56"/>
      <c r="QKX44" s="57"/>
      <c r="QKY44" s="58"/>
      <c r="QKZ44" s="59"/>
      <c r="QLA44" s="58"/>
      <c r="QLB44" s="59"/>
      <c r="QLC44" s="6"/>
      <c r="QLD44" s="7"/>
      <c r="QLE44" s="8"/>
      <c r="QLF44" s="8"/>
      <c r="QLG44" s="6"/>
      <c r="QLH44" s="16"/>
      <c r="QLI44" s="16"/>
      <c r="QLJ44" s="16"/>
      <c r="QLK44" s="16"/>
      <c r="QLL44" s="65"/>
      <c r="QLM44" s="66"/>
      <c r="QLN44" s="67"/>
      <c r="QLO44" s="34"/>
      <c r="QLR44" s="5"/>
      <c r="QLS44" s="18"/>
      <c r="QLT44" s="56"/>
      <c r="QLU44" s="57"/>
      <c r="QLV44" s="58"/>
      <c r="QLW44" s="59"/>
      <c r="QLX44" s="58"/>
      <c r="QLY44" s="59"/>
      <c r="QLZ44" s="6"/>
      <c r="QMA44" s="7"/>
      <c r="QMB44" s="8"/>
      <c r="QMC44" s="8"/>
      <c r="QMD44" s="6"/>
      <c r="QME44" s="16"/>
      <c r="QMF44" s="16"/>
      <c r="QMG44" s="16"/>
      <c r="QMH44" s="16"/>
      <c r="QMI44" s="65"/>
      <c r="QMJ44" s="66"/>
      <c r="QMK44" s="67"/>
      <c r="QML44" s="34"/>
      <c r="QMO44" s="5"/>
      <c r="QMP44" s="18"/>
      <c r="QMQ44" s="56"/>
      <c r="QMR44" s="57"/>
      <c r="QMS44" s="58"/>
      <c r="QMT44" s="59"/>
      <c r="QMU44" s="58"/>
      <c r="QMV44" s="59"/>
      <c r="QMW44" s="6"/>
      <c r="QMX44" s="7"/>
      <c r="QMY44" s="8"/>
      <c r="QMZ44" s="8"/>
      <c r="QNA44" s="6"/>
      <c r="QNB44" s="16"/>
      <c r="QNC44" s="16"/>
      <c r="QND44" s="16"/>
      <c r="QNE44" s="16"/>
      <c r="QNF44" s="65"/>
      <c r="QNG44" s="66"/>
      <c r="QNH44" s="67"/>
      <c r="QNI44" s="34"/>
      <c r="QNL44" s="5"/>
      <c r="QNM44" s="18"/>
      <c r="QNN44" s="56"/>
      <c r="QNO44" s="57"/>
      <c r="QNP44" s="58"/>
      <c r="QNQ44" s="59"/>
      <c r="QNR44" s="58"/>
      <c r="QNS44" s="59"/>
      <c r="QNT44" s="6"/>
      <c r="QNU44" s="7"/>
      <c r="QNV44" s="8"/>
      <c r="QNW44" s="8"/>
      <c r="QNX44" s="6"/>
      <c r="QNY44" s="16"/>
      <c r="QNZ44" s="16"/>
      <c r="QOA44" s="16"/>
      <c r="QOB44" s="16"/>
      <c r="QOC44" s="65"/>
      <c r="QOD44" s="66"/>
      <c r="QOE44" s="67"/>
      <c r="QOF44" s="34"/>
      <c r="QOI44" s="5"/>
      <c r="QOJ44" s="18"/>
      <c r="QOK44" s="56"/>
      <c r="QOL44" s="57"/>
      <c r="QOM44" s="58"/>
      <c r="QON44" s="59"/>
      <c r="QOO44" s="58"/>
      <c r="QOP44" s="59"/>
      <c r="QOQ44" s="6"/>
      <c r="QOR44" s="7"/>
      <c r="QOS44" s="8"/>
      <c r="QOT44" s="8"/>
      <c r="QOU44" s="6"/>
      <c r="QOV44" s="16"/>
      <c r="QOW44" s="16"/>
      <c r="QOX44" s="16"/>
      <c r="QOY44" s="16"/>
      <c r="QOZ44" s="65"/>
      <c r="QPA44" s="66"/>
      <c r="QPB44" s="67"/>
      <c r="QPC44" s="34"/>
      <c r="QPF44" s="5"/>
      <c r="QPG44" s="18"/>
      <c r="QPH44" s="56"/>
      <c r="QPI44" s="57"/>
      <c r="QPJ44" s="58"/>
      <c r="QPK44" s="59"/>
      <c r="QPL44" s="58"/>
      <c r="QPM44" s="59"/>
      <c r="QPN44" s="6"/>
      <c r="QPO44" s="7"/>
      <c r="QPP44" s="8"/>
      <c r="QPQ44" s="8"/>
      <c r="QPR44" s="6"/>
      <c r="QPS44" s="16"/>
      <c r="QPT44" s="16"/>
      <c r="QPU44" s="16"/>
      <c r="QPV44" s="16"/>
      <c r="QPW44" s="65"/>
      <c r="QPX44" s="66"/>
      <c r="QPY44" s="67"/>
      <c r="QPZ44" s="34"/>
      <c r="QQC44" s="5"/>
      <c r="QQD44" s="18"/>
      <c r="QQE44" s="56"/>
      <c r="QQF44" s="57"/>
      <c r="QQG44" s="58"/>
      <c r="QQH44" s="59"/>
      <c r="QQI44" s="58"/>
      <c r="QQJ44" s="59"/>
      <c r="QQK44" s="6"/>
      <c r="QQL44" s="7"/>
      <c r="QQM44" s="8"/>
      <c r="QQN44" s="8"/>
      <c r="QQO44" s="6"/>
      <c r="QQP44" s="16"/>
      <c r="QQQ44" s="16"/>
      <c r="QQR44" s="16"/>
      <c r="QQS44" s="16"/>
      <c r="QQT44" s="65"/>
      <c r="QQU44" s="66"/>
      <c r="QQV44" s="67"/>
      <c r="QQW44" s="34"/>
      <c r="QQZ44" s="5"/>
      <c r="QRA44" s="18"/>
      <c r="QRB44" s="56"/>
      <c r="QRC44" s="57"/>
      <c r="QRD44" s="58"/>
      <c r="QRE44" s="59"/>
      <c r="QRF44" s="58"/>
      <c r="QRG44" s="59"/>
      <c r="QRH44" s="6"/>
      <c r="QRI44" s="7"/>
      <c r="QRJ44" s="8"/>
      <c r="QRK44" s="8"/>
      <c r="QRL44" s="6"/>
      <c r="QRM44" s="16"/>
      <c r="QRN44" s="16"/>
      <c r="QRO44" s="16"/>
      <c r="QRP44" s="16"/>
      <c r="QRQ44" s="65"/>
      <c r="QRR44" s="66"/>
      <c r="QRS44" s="67"/>
      <c r="QRT44" s="34"/>
      <c r="QRW44" s="5"/>
      <c r="QRX44" s="18"/>
      <c r="QRY44" s="56"/>
      <c r="QRZ44" s="57"/>
      <c r="QSA44" s="58"/>
      <c r="QSB44" s="59"/>
      <c r="QSC44" s="58"/>
      <c r="QSD44" s="59"/>
      <c r="QSE44" s="6"/>
      <c r="QSF44" s="7"/>
      <c r="QSG44" s="8"/>
      <c r="QSH44" s="8"/>
      <c r="QSI44" s="6"/>
      <c r="QSJ44" s="16"/>
      <c r="QSK44" s="16"/>
      <c r="QSL44" s="16"/>
      <c r="QSM44" s="16"/>
      <c r="QSN44" s="65"/>
      <c r="QSO44" s="66"/>
      <c r="QSP44" s="67"/>
      <c r="QSQ44" s="34"/>
      <c r="QST44" s="5"/>
      <c r="QSU44" s="18"/>
      <c r="QSV44" s="56"/>
      <c r="QSW44" s="57"/>
      <c r="QSX44" s="58"/>
      <c r="QSY44" s="59"/>
      <c r="QSZ44" s="58"/>
      <c r="QTA44" s="59"/>
      <c r="QTB44" s="6"/>
      <c r="QTC44" s="7"/>
      <c r="QTD44" s="8"/>
      <c r="QTE44" s="8"/>
      <c r="QTF44" s="6"/>
      <c r="QTG44" s="16"/>
      <c r="QTH44" s="16"/>
      <c r="QTI44" s="16"/>
      <c r="QTJ44" s="16"/>
      <c r="QTK44" s="65"/>
      <c r="QTL44" s="66"/>
      <c r="QTM44" s="67"/>
      <c r="QTN44" s="34"/>
      <c r="QTQ44" s="5"/>
      <c r="QTR44" s="18"/>
      <c r="QTS44" s="56"/>
      <c r="QTT44" s="57"/>
      <c r="QTU44" s="58"/>
      <c r="QTV44" s="59"/>
      <c r="QTW44" s="58"/>
      <c r="QTX44" s="59"/>
      <c r="QTY44" s="6"/>
      <c r="QTZ44" s="7"/>
      <c r="QUA44" s="8"/>
      <c r="QUB44" s="8"/>
      <c r="QUC44" s="6"/>
      <c r="QUD44" s="16"/>
      <c r="QUE44" s="16"/>
      <c r="QUF44" s="16"/>
      <c r="QUG44" s="16"/>
      <c r="QUH44" s="65"/>
      <c r="QUI44" s="66"/>
      <c r="QUJ44" s="67"/>
      <c r="QUK44" s="34"/>
      <c r="QUN44" s="5"/>
      <c r="QUO44" s="18"/>
      <c r="QUP44" s="56"/>
      <c r="QUQ44" s="57"/>
      <c r="QUR44" s="58"/>
      <c r="QUS44" s="59"/>
      <c r="QUT44" s="58"/>
      <c r="QUU44" s="59"/>
      <c r="QUV44" s="6"/>
      <c r="QUW44" s="7"/>
      <c r="QUX44" s="8"/>
      <c r="QUY44" s="8"/>
      <c r="QUZ44" s="6"/>
      <c r="QVA44" s="16"/>
      <c r="QVB44" s="16"/>
      <c r="QVC44" s="16"/>
      <c r="QVD44" s="16"/>
      <c r="QVE44" s="65"/>
      <c r="QVF44" s="66"/>
      <c r="QVG44" s="67"/>
      <c r="QVH44" s="34"/>
      <c r="QVK44" s="5"/>
      <c r="QVL44" s="18"/>
      <c r="QVM44" s="56"/>
      <c r="QVN44" s="57"/>
      <c r="QVO44" s="58"/>
      <c r="QVP44" s="59"/>
      <c r="QVQ44" s="58"/>
      <c r="QVR44" s="59"/>
      <c r="QVS44" s="6"/>
      <c r="QVT44" s="7"/>
      <c r="QVU44" s="8"/>
      <c r="QVV44" s="8"/>
      <c r="QVW44" s="6"/>
      <c r="QVX44" s="16"/>
      <c r="QVY44" s="16"/>
      <c r="QVZ44" s="16"/>
      <c r="QWA44" s="16"/>
      <c r="QWB44" s="65"/>
      <c r="QWC44" s="66"/>
      <c r="QWD44" s="67"/>
      <c r="QWE44" s="34"/>
      <c r="QWH44" s="5"/>
      <c r="QWI44" s="18"/>
      <c r="QWJ44" s="56"/>
      <c r="QWK44" s="57"/>
      <c r="QWL44" s="58"/>
      <c r="QWM44" s="59"/>
      <c r="QWN44" s="58"/>
      <c r="QWO44" s="59"/>
      <c r="QWP44" s="6"/>
      <c r="QWQ44" s="7"/>
      <c r="QWR44" s="8"/>
      <c r="QWS44" s="8"/>
      <c r="QWT44" s="6"/>
      <c r="QWU44" s="16"/>
      <c r="QWV44" s="16"/>
      <c r="QWW44" s="16"/>
      <c r="QWX44" s="16"/>
      <c r="QWY44" s="65"/>
      <c r="QWZ44" s="66"/>
      <c r="QXA44" s="67"/>
      <c r="QXB44" s="34"/>
      <c r="QXE44" s="5"/>
      <c r="QXF44" s="18"/>
      <c r="QXG44" s="56"/>
      <c r="QXH44" s="57"/>
      <c r="QXI44" s="58"/>
      <c r="QXJ44" s="59"/>
      <c r="QXK44" s="58"/>
      <c r="QXL44" s="59"/>
      <c r="QXM44" s="6"/>
      <c r="QXN44" s="7"/>
      <c r="QXO44" s="8"/>
      <c r="QXP44" s="8"/>
      <c r="QXQ44" s="6"/>
      <c r="QXR44" s="16"/>
      <c r="QXS44" s="16"/>
      <c r="QXT44" s="16"/>
      <c r="QXU44" s="16"/>
      <c r="QXV44" s="65"/>
      <c r="QXW44" s="66"/>
      <c r="QXX44" s="67"/>
      <c r="QXY44" s="34"/>
      <c r="QYB44" s="5"/>
      <c r="QYC44" s="18"/>
      <c r="QYD44" s="56"/>
      <c r="QYE44" s="57"/>
      <c r="QYF44" s="58"/>
      <c r="QYG44" s="59"/>
      <c r="QYH44" s="58"/>
      <c r="QYI44" s="59"/>
      <c r="QYJ44" s="6"/>
      <c r="QYK44" s="7"/>
      <c r="QYL44" s="8"/>
      <c r="QYM44" s="8"/>
      <c r="QYN44" s="6"/>
      <c r="QYO44" s="16"/>
      <c r="QYP44" s="16"/>
      <c r="QYQ44" s="16"/>
      <c r="QYR44" s="16"/>
      <c r="QYS44" s="65"/>
      <c r="QYT44" s="66"/>
      <c r="QYU44" s="67"/>
      <c r="QYV44" s="34"/>
      <c r="QYY44" s="5"/>
      <c r="QYZ44" s="18"/>
      <c r="QZA44" s="56"/>
      <c r="QZB44" s="57"/>
      <c r="QZC44" s="58"/>
      <c r="QZD44" s="59"/>
      <c r="QZE44" s="58"/>
      <c r="QZF44" s="59"/>
      <c r="QZG44" s="6"/>
      <c r="QZH44" s="7"/>
      <c r="QZI44" s="8"/>
      <c r="QZJ44" s="8"/>
      <c r="QZK44" s="6"/>
      <c r="QZL44" s="16"/>
      <c r="QZM44" s="16"/>
      <c r="QZN44" s="16"/>
      <c r="QZO44" s="16"/>
      <c r="QZP44" s="65"/>
      <c r="QZQ44" s="66"/>
      <c r="QZR44" s="67"/>
      <c r="QZS44" s="34"/>
      <c r="QZV44" s="5"/>
      <c r="QZW44" s="18"/>
      <c r="QZX44" s="56"/>
      <c r="QZY44" s="57"/>
      <c r="QZZ44" s="58"/>
      <c r="RAA44" s="59"/>
      <c r="RAB44" s="58"/>
      <c r="RAC44" s="59"/>
      <c r="RAD44" s="6"/>
      <c r="RAE44" s="7"/>
      <c r="RAF44" s="8"/>
      <c r="RAG44" s="8"/>
      <c r="RAH44" s="6"/>
      <c r="RAI44" s="16"/>
      <c r="RAJ44" s="16"/>
      <c r="RAK44" s="16"/>
      <c r="RAL44" s="16"/>
      <c r="RAM44" s="65"/>
      <c r="RAN44" s="66"/>
      <c r="RAO44" s="67"/>
      <c r="RAP44" s="34"/>
      <c r="RAS44" s="5"/>
      <c r="RAT44" s="18"/>
      <c r="RAU44" s="56"/>
      <c r="RAV44" s="57"/>
      <c r="RAW44" s="58"/>
      <c r="RAX44" s="59"/>
      <c r="RAY44" s="58"/>
      <c r="RAZ44" s="59"/>
      <c r="RBA44" s="6"/>
      <c r="RBB44" s="7"/>
      <c r="RBC44" s="8"/>
      <c r="RBD44" s="8"/>
      <c r="RBE44" s="6"/>
      <c r="RBF44" s="16"/>
      <c r="RBG44" s="16"/>
      <c r="RBH44" s="16"/>
      <c r="RBI44" s="16"/>
      <c r="RBJ44" s="65"/>
      <c r="RBK44" s="66"/>
      <c r="RBL44" s="67"/>
      <c r="RBM44" s="34"/>
      <c r="RBP44" s="5"/>
      <c r="RBQ44" s="18"/>
      <c r="RBR44" s="56"/>
      <c r="RBS44" s="57"/>
      <c r="RBT44" s="58"/>
      <c r="RBU44" s="59"/>
      <c r="RBV44" s="58"/>
      <c r="RBW44" s="59"/>
      <c r="RBX44" s="6"/>
      <c r="RBY44" s="7"/>
      <c r="RBZ44" s="8"/>
      <c r="RCA44" s="8"/>
      <c r="RCB44" s="6"/>
      <c r="RCC44" s="16"/>
      <c r="RCD44" s="16"/>
      <c r="RCE44" s="16"/>
      <c r="RCF44" s="16"/>
      <c r="RCG44" s="65"/>
      <c r="RCH44" s="66"/>
      <c r="RCI44" s="67"/>
      <c r="RCJ44" s="34"/>
      <c r="RCM44" s="5"/>
      <c r="RCN44" s="18"/>
      <c r="RCO44" s="56"/>
      <c r="RCP44" s="57"/>
      <c r="RCQ44" s="58"/>
      <c r="RCR44" s="59"/>
      <c r="RCS44" s="58"/>
      <c r="RCT44" s="59"/>
      <c r="RCU44" s="6"/>
      <c r="RCV44" s="7"/>
      <c r="RCW44" s="8"/>
      <c r="RCX44" s="8"/>
      <c r="RCY44" s="6"/>
      <c r="RCZ44" s="16"/>
      <c r="RDA44" s="16"/>
      <c r="RDB44" s="16"/>
      <c r="RDC44" s="16"/>
      <c r="RDD44" s="65"/>
      <c r="RDE44" s="66"/>
      <c r="RDF44" s="67"/>
      <c r="RDG44" s="34"/>
      <c r="RDJ44" s="5"/>
      <c r="RDK44" s="18"/>
      <c r="RDL44" s="56"/>
      <c r="RDM44" s="57"/>
      <c r="RDN44" s="58"/>
      <c r="RDO44" s="59"/>
      <c r="RDP44" s="58"/>
      <c r="RDQ44" s="59"/>
      <c r="RDR44" s="6"/>
      <c r="RDS44" s="7"/>
      <c r="RDT44" s="8"/>
      <c r="RDU44" s="8"/>
      <c r="RDV44" s="6"/>
      <c r="RDW44" s="16"/>
      <c r="RDX44" s="16"/>
      <c r="RDY44" s="16"/>
      <c r="RDZ44" s="16"/>
      <c r="REA44" s="65"/>
      <c r="REB44" s="66"/>
      <c r="REC44" s="67"/>
      <c r="RED44" s="34"/>
      <c r="REG44" s="5"/>
      <c r="REH44" s="18"/>
      <c r="REI44" s="56"/>
      <c r="REJ44" s="57"/>
      <c r="REK44" s="58"/>
      <c r="REL44" s="59"/>
      <c r="REM44" s="58"/>
      <c r="REN44" s="59"/>
      <c r="REO44" s="6"/>
      <c r="REP44" s="7"/>
      <c r="REQ44" s="8"/>
      <c r="RER44" s="8"/>
      <c r="RES44" s="6"/>
      <c r="RET44" s="16"/>
      <c r="REU44" s="16"/>
      <c r="REV44" s="16"/>
      <c r="REW44" s="16"/>
      <c r="REX44" s="65"/>
      <c r="REY44" s="66"/>
      <c r="REZ44" s="67"/>
      <c r="RFA44" s="34"/>
      <c r="RFD44" s="5"/>
      <c r="RFE44" s="18"/>
      <c r="RFF44" s="56"/>
      <c r="RFG44" s="57"/>
      <c r="RFH44" s="58"/>
      <c r="RFI44" s="59"/>
      <c r="RFJ44" s="58"/>
      <c r="RFK44" s="59"/>
      <c r="RFL44" s="6"/>
      <c r="RFM44" s="7"/>
      <c r="RFN44" s="8"/>
      <c r="RFO44" s="8"/>
      <c r="RFP44" s="6"/>
      <c r="RFQ44" s="16"/>
      <c r="RFR44" s="16"/>
      <c r="RFS44" s="16"/>
      <c r="RFT44" s="16"/>
      <c r="RFU44" s="65"/>
      <c r="RFV44" s="66"/>
      <c r="RFW44" s="67"/>
      <c r="RFX44" s="34"/>
      <c r="RGA44" s="5"/>
      <c r="RGB44" s="18"/>
      <c r="RGC44" s="56"/>
      <c r="RGD44" s="57"/>
      <c r="RGE44" s="58"/>
      <c r="RGF44" s="59"/>
      <c r="RGG44" s="58"/>
      <c r="RGH44" s="59"/>
      <c r="RGI44" s="6"/>
      <c r="RGJ44" s="7"/>
      <c r="RGK44" s="8"/>
      <c r="RGL44" s="8"/>
      <c r="RGM44" s="6"/>
      <c r="RGN44" s="16"/>
      <c r="RGO44" s="16"/>
      <c r="RGP44" s="16"/>
      <c r="RGQ44" s="16"/>
      <c r="RGR44" s="65"/>
      <c r="RGS44" s="66"/>
      <c r="RGT44" s="67"/>
      <c r="RGU44" s="34"/>
      <c r="RGX44" s="5"/>
      <c r="RGY44" s="18"/>
      <c r="RGZ44" s="56"/>
      <c r="RHA44" s="57"/>
      <c r="RHB44" s="58"/>
      <c r="RHC44" s="59"/>
      <c r="RHD44" s="58"/>
      <c r="RHE44" s="59"/>
      <c r="RHF44" s="6"/>
      <c r="RHG44" s="7"/>
      <c r="RHH44" s="8"/>
      <c r="RHI44" s="8"/>
      <c r="RHJ44" s="6"/>
      <c r="RHK44" s="16"/>
      <c r="RHL44" s="16"/>
      <c r="RHM44" s="16"/>
      <c r="RHN44" s="16"/>
      <c r="RHO44" s="65"/>
      <c r="RHP44" s="66"/>
      <c r="RHQ44" s="67"/>
      <c r="RHR44" s="34"/>
      <c r="RHU44" s="5"/>
      <c r="RHV44" s="18"/>
      <c r="RHW44" s="56"/>
      <c r="RHX44" s="57"/>
      <c r="RHY44" s="58"/>
      <c r="RHZ44" s="59"/>
      <c r="RIA44" s="58"/>
      <c r="RIB44" s="59"/>
      <c r="RIC44" s="6"/>
      <c r="RID44" s="7"/>
      <c r="RIE44" s="8"/>
      <c r="RIF44" s="8"/>
      <c r="RIG44" s="6"/>
      <c r="RIH44" s="16"/>
      <c r="RII44" s="16"/>
      <c r="RIJ44" s="16"/>
      <c r="RIK44" s="16"/>
      <c r="RIL44" s="65"/>
      <c r="RIM44" s="66"/>
      <c r="RIN44" s="67"/>
      <c r="RIO44" s="34"/>
      <c r="RIR44" s="5"/>
      <c r="RIS44" s="18"/>
      <c r="RIT44" s="56"/>
      <c r="RIU44" s="57"/>
      <c r="RIV44" s="58"/>
      <c r="RIW44" s="59"/>
      <c r="RIX44" s="58"/>
      <c r="RIY44" s="59"/>
      <c r="RIZ44" s="6"/>
      <c r="RJA44" s="7"/>
      <c r="RJB44" s="8"/>
      <c r="RJC44" s="8"/>
      <c r="RJD44" s="6"/>
      <c r="RJE44" s="16"/>
      <c r="RJF44" s="16"/>
      <c r="RJG44" s="16"/>
      <c r="RJH44" s="16"/>
      <c r="RJI44" s="65"/>
      <c r="RJJ44" s="66"/>
      <c r="RJK44" s="67"/>
      <c r="RJL44" s="34"/>
      <c r="RJO44" s="5"/>
      <c r="RJP44" s="18"/>
      <c r="RJQ44" s="56"/>
      <c r="RJR44" s="57"/>
      <c r="RJS44" s="58"/>
      <c r="RJT44" s="59"/>
      <c r="RJU44" s="58"/>
      <c r="RJV44" s="59"/>
      <c r="RJW44" s="6"/>
      <c r="RJX44" s="7"/>
      <c r="RJY44" s="8"/>
      <c r="RJZ44" s="8"/>
      <c r="RKA44" s="6"/>
      <c r="RKB44" s="16"/>
      <c r="RKC44" s="16"/>
      <c r="RKD44" s="16"/>
      <c r="RKE44" s="16"/>
      <c r="RKF44" s="65"/>
      <c r="RKG44" s="66"/>
      <c r="RKH44" s="67"/>
      <c r="RKI44" s="34"/>
      <c r="RKL44" s="5"/>
      <c r="RKM44" s="18"/>
      <c r="RKN44" s="56"/>
      <c r="RKO44" s="57"/>
      <c r="RKP44" s="58"/>
      <c r="RKQ44" s="59"/>
      <c r="RKR44" s="58"/>
      <c r="RKS44" s="59"/>
      <c r="RKT44" s="6"/>
      <c r="RKU44" s="7"/>
      <c r="RKV44" s="8"/>
      <c r="RKW44" s="8"/>
      <c r="RKX44" s="6"/>
      <c r="RKY44" s="16"/>
      <c r="RKZ44" s="16"/>
      <c r="RLA44" s="16"/>
      <c r="RLB44" s="16"/>
      <c r="RLC44" s="65"/>
      <c r="RLD44" s="66"/>
      <c r="RLE44" s="67"/>
      <c r="RLF44" s="34"/>
      <c r="RLI44" s="5"/>
      <c r="RLJ44" s="18"/>
      <c r="RLK44" s="56"/>
      <c r="RLL44" s="57"/>
      <c r="RLM44" s="58"/>
      <c r="RLN44" s="59"/>
      <c r="RLO44" s="58"/>
      <c r="RLP44" s="59"/>
      <c r="RLQ44" s="6"/>
      <c r="RLR44" s="7"/>
      <c r="RLS44" s="8"/>
      <c r="RLT44" s="8"/>
      <c r="RLU44" s="6"/>
      <c r="RLV44" s="16"/>
      <c r="RLW44" s="16"/>
      <c r="RLX44" s="16"/>
      <c r="RLY44" s="16"/>
      <c r="RLZ44" s="65"/>
      <c r="RMA44" s="66"/>
      <c r="RMB44" s="67"/>
      <c r="RMC44" s="34"/>
      <c r="RMF44" s="5"/>
      <c r="RMG44" s="18"/>
      <c r="RMH44" s="56"/>
      <c r="RMI44" s="57"/>
      <c r="RMJ44" s="58"/>
      <c r="RMK44" s="59"/>
      <c r="RML44" s="58"/>
      <c r="RMM44" s="59"/>
      <c r="RMN44" s="6"/>
      <c r="RMO44" s="7"/>
      <c r="RMP44" s="8"/>
      <c r="RMQ44" s="8"/>
      <c r="RMR44" s="6"/>
      <c r="RMS44" s="16"/>
      <c r="RMT44" s="16"/>
      <c r="RMU44" s="16"/>
      <c r="RMV44" s="16"/>
      <c r="RMW44" s="65"/>
      <c r="RMX44" s="66"/>
      <c r="RMY44" s="67"/>
      <c r="RMZ44" s="34"/>
      <c r="RNC44" s="5"/>
      <c r="RND44" s="18"/>
      <c r="RNE44" s="56"/>
      <c r="RNF44" s="57"/>
      <c r="RNG44" s="58"/>
      <c r="RNH44" s="59"/>
      <c r="RNI44" s="58"/>
      <c r="RNJ44" s="59"/>
      <c r="RNK44" s="6"/>
      <c r="RNL44" s="7"/>
      <c r="RNM44" s="8"/>
      <c r="RNN44" s="8"/>
      <c r="RNO44" s="6"/>
      <c r="RNP44" s="16"/>
      <c r="RNQ44" s="16"/>
      <c r="RNR44" s="16"/>
      <c r="RNS44" s="16"/>
      <c r="RNT44" s="65"/>
      <c r="RNU44" s="66"/>
      <c r="RNV44" s="67"/>
      <c r="RNW44" s="34"/>
      <c r="RNZ44" s="5"/>
      <c r="ROA44" s="18"/>
      <c r="ROB44" s="56"/>
      <c r="ROC44" s="57"/>
      <c r="ROD44" s="58"/>
      <c r="ROE44" s="59"/>
      <c r="ROF44" s="58"/>
      <c r="ROG44" s="59"/>
      <c r="ROH44" s="6"/>
      <c r="ROI44" s="7"/>
      <c r="ROJ44" s="8"/>
      <c r="ROK44" s="8"/>
      <c r="ROL44" s="6"/>
      <c r="ROM44" s="16"/>
      <c r="RON44" s="16"/>
      <c r="ROO44" s="16"/>
      <c r="ROP44" s="16"/>
      <c r="ROQ44" s="65"/>
      <c r="ROR44" s="66"/>
      <c r="ROS44" s="67"/>
      <c r="ROT44" s="34"/>
      <c r="ROW44" s="5"/>
      <c r="ROX44" s="18"/>
      <c r="ROY44" s="56"/>
      <c r="ROZ44" s="57"/>
      <c r="RPA44" s="58"/>
      <c r="RPB44" s="59"/>
      <c r="RPC44" s="58"/>
      <c r="RPD44" s="59"/>
      <c r="RPE44" s="6"/>
      <c r="RPF44" s="7"/>
      <c r="RPG44" s="8"/>
      <c r="RPH44" s="8"/>
      <c r="RPI44" s="6"/>
      <c r="RPJ44" s="16"/>
      <c r="RPK44" s="16"/>
      <c r="RPL44" s="16"/>
      <c r="RPM44" s="16"/>
      <c r="RPN44" s="65"/>
      <c r="RPO44" s="66"/>
      <c r="RPP44" s="67"/>
      <c r="RPQ44" s="34"/>
      <c r="RPT44" s="5"/>
      <c r="RPU44" s="18"/>
      <c r="RPV44" s="56"/>
      <c r="RPW44" s="57"/>
      <c r="RPX44" s="58"/>
      <c r="RPY44" s="59"/>
      <c r="RPZ44" s="58"/>
      <c r="RQA44" s="59"/>
      <c r="RQB44" s="6"/>
      <c r="RQC44" s="7"/>
      <c r="RQD44" s="8"/>
      <c r="RQE44" s="8"/>
      <c r="RQF44" s="6"/>
      <c r="RQG44" s="16"/>
      <c r="RQH44" s="16"/>
      <c r="RQI44" s="16"/>
      <c r="RQJ44" s="16"/>
      <c r="RQK44" s="65"/>
      <c r="RQL44" s="66"/>
      <c r="RQM44" s="67"/>
      <c r="RQN44" s="34"/>
      <c r="RQQ44" s="5"/>
      <c r="RQR44" s="18"/>
      <c r="RQS44" s="56"/>
      <c r="RQT44" s="57"/>
      <c r="RQU44" s="58"/>
      <c r="RQV44" s="59"/>
      <c r="RQW44" s="58"/>
      <c r="RQX44" s="59"/>
      <c r="RQY44" s="6"/>
      <c r="RQZ44" s="7"/>
      <c r="RRA44" s="8"/>
      <c r="RRB44" s="8"/>
      <c r="RRC44" s="6"/>
      <c r="RRD44" s="16"/>
      <c r="RRE44" s="16"/>
      <c r="RRF44" s="16"/>
      <c r="RRG44" s="16"/>
      <c r="RRH44" s="65"/>
      <c r="RRI44" s="66"/>
      <c r="RRJ44" s="67"/>
      <c r="RRK44" s="34"/>
      <c r="RRN44" s="5"/>
      <c r="RRO44" s="18"/>
      <c r="RRP44" s="56"/>
      <c r="RRQ44" s="57"/>
      <c r="RRR44" s="58"/>
      <c r="RRS44" s="59"/>
      <c r="RRT44" s="58"/>
      <c r="RRU44" s="59"/>
      <c r="RRV44" s="6"/>
      <c r="RRW44" s="7"/>
      <c r="RRX44" s="8"/>
      <c r="RRY44" s="8"/>
      <c r="RRZ44" s="6"/>
      <c r="RSA44" s="16"/>
      <c r="RSB44" s="16"/>
      <c r="RSC44" s="16"/>
      <c r="RSD44" s="16"/>
      <c r="RSE44" s="65"/>
      <c r="RSF44" s="66"/>
      <c r="RSG44" s="67"/>
      <c r="RSH44" s="34"/>
      <c r="RSK44" s="5"/>
      <c r="RSL44" s="18"/>
      <c r="RSM44" s="56"/>
      <c r="RSN44" s="57"/>
      <c r="RSO44" s="58"/>
      <c r="RSP44" s="59"/>
      <c r="RSQ44" s="58"/>
      <c r="RSR44" s="59"/>
      <c r="RSS44" s="6"/>
      <c r="RST44" s="7"/>
      <c r="RSU44" s="8"/>
      <c r="RSV44" s="8"/>
      <c r="RSW44" s="6"/>
      <c r="RSX44" s="16"/>
      <c r="RSY44" s="16"/>
      <c r="RSZ44" s="16"/>
      <c r="RTA44" s="16"/>
      <c r="RTB44" s="65"/>
      <c r="RTC44" s="66"/>
      <c r="RTD44" s="67"/>
      <c r="RTE44" s="34"/>
      <c r="RTH44" s="5"/>
      <c r="RTI44" s="18"/>
      <c r="RTJ44" s="56"/>
      <c r="RTK44" s="57"/>
      <c r="RTL44" s="58"/>
      <c r="RTM44" s="59"/>
      <c r="RTN44" s="58"/>
      <c r="RTO44" s="59"/>
      <c r="RTP44" s="6"/>
      <c r="RTQ44" s="7"/>
      <c r="RTR44" s="8"/>
      <c r="RTS44" s="8"/>
      <c r="RTT44" s="6"/>
      <c r="RTU44" s="16"/>
      <c r="RTV44" s="16"/>
      <c r="RTW44" s="16"/>
      <c r="RTX44" s="16"/>
      <c r="RTY44" s="65"/>
      <c r="RTZ44" s="66"/>
      <c r="RUA44" s="67"/>
      <c r="RUB44" s="34"/>
      <c r="RUE44" s="5"/>
      <c r="RUF44" s="18"/>
      <c r="RUG44" s="56"/>
      <c r="RUH44" s="57"/>
      <c r="RUI44" s="58"/>
      <c r="RUJ44" s="59"/>
      <c r="RUK44" s="58"/>
      <c r="RUL44" s="59"/>
      <c r="RUM44" s="6"/>
      <c r="RUN44" s="7"/>
      <c r="RUO44" s="8"/>
      <c r="RUP44" s="8"/>
      <c r="RUQ44" s="6"/>
      <c r="RUR44" s="16"/>
      <c r="RUS44" s="16"/>
      <c r="RUT44" s="16"/>
      <c r="RUU44" s="16"/>
      <c r="RUV44" s="65"/>
      <c r="RUW44" s="66"/>
      <c r="RUX44" s="67"/>
      <c r="RUY44" s="34"/>
      <c r="RVB44" s="5"/>
      <c r="RVC44" s="18"/>
      <c r="RVD44" s="56"/>
      <c r="RVE44" s="57"/>
      <c r="RVF44" s="58"/>
      <c r="RVG44" s="59"/>
      <c r="RVH44" s="58"/>
      <c r="RVI44" s="59"/>
      <c r="RVJ44" s="6"/>
      <c r="RVK44" s="7"/>
      <c r="RVL44" s="8"/>
      <c r="RVM44" s="8"/>
      <c r="RVN44" s="6"/>
      <c r="RVO44" s="16"/>
      <c r="RVP44" s="16"/>
      <c r="RVQ44" s="16"/>
      <c r="RVR44" s="16"/>
      <c r="RVS44" s="65"/>
      <c r="RVT44" s="66"/>
      <c r="RVU44" s="67"/>
      <c r="RVV44" s="34"/>
      <c r="RVY44" s="5"/>
      <c r="RVZ44" s="18"/>
      <c r="RWA44" s="56"/>
      <c r="RWB44" s="57"/>
      <c r="RWC44" s="58"/>
      <c r="RWD44" s="59"/>
      <c r="RWE44" s="58"/>
      <c r="RWF44" s="59"/>
      <c r="RWG44" s="6"/>
      <c r="RWH44" s="7"/>
      <c r="RWI44" s="8"/>
      <c r="RWJ44" s="8"/>
      <c r="RWK44" s="6"/>
      <c r="RWL44" s="16"/>
      <c r="RWM44" s="16"/>
      <c r="RWN44" s="16"/>
      <c r="RWO44" s="16"/>
      <c r="RWP44" s="65"/>
      <c r="RWQ44" s="66"/>
      <c r="RWR44" s="67"/>
      <c r="RWS44" s="34"/>
      <c r="RWV44" s="5"/>
      <c r="RWW44" s="18"/>
      <c r="RWX44" s="56"/>
      <c r="RWY44" s="57"/>
      <c r="RWZ44" s="58"/>
      <c r="RXA44" s="59"/>
      <c r="RXB44" s="58"/>
      <c r="RXC44" s="59"/>
      <c r="RXD44" s="6"/>
      <c r="RXE44" s="7"/>
      <c r="RXF44" s="8"/>
      <c r="RXG44" s="8"/>
      <c r="RXH44" s="6"/>
      <c r="RXI44" s="16"/>
      <c r="RXJ44" s="16"/>
      <c r="RXK44" s="16"/>
      <c r="RXL44" s="16"/>
      <c r="RXM44" s="65"/>
      <c r="RXN44" s="66"/>
      <c r="RXO44" s="67"/>
      <c r="RXP44" s="34"/>
      <c r="RXS44" s="5"/>
      <c r="RXT44" s="18"/>
      <c r="RXU44" s="56"/>
      <c r="RXV44" s="57"/>
      <c r="RXW44" s="58"/>
      <c r="RXX44" s="59"/>
      <c r="RXY44" s="58"/>
      <c r="RXZ44" s="59"/>
      <c r="RYA44" s="6"/>
      <c r="RYB44" s="7"/>
      <c r="RYC44" s="8"/>
      <c r="RYD44" s="8"/>
      <c r="RYE44" s="6"/>
      <c r="RYF44" s="16"/>
      <c r="RYG44" s="16"/>
      <c r="RYH44" s="16"/>
      <c r="RYI44" s="16"/>
      <c r="RYJ44" s="65"/>
      <c r="RYK44" s="66"/>
      <c r="RYL44" s="67"/>
      <c r="RYM44" s="34"/>
      <c r="RYP44" s="5"/>
      <c r="RYQ44" s="18"/>
      <c r="RYR44" s="56"/>
      <c r="RYS44" s="57"/>
      <c r="RYT44" s="58"/>
      <c r="RYU44" s="59"/>
      <c r="RYV44" s="58"/>
      <c r="RYW44" s="59"/>
      <c r="RYX44" s="6"/>
      <c r="RYY44" s="7"/>
      <c r="RYZ44" s="8"/>
      <c r="RZA44" s="8"/>
      <c r="RZB44" s="6"/>
      <c r="RZC44" s="16"/>
      <c r="RZD44" s="16"/>
      <c r="RZE44" s="16"/>
      <c r="RZF44" s="16"/>
      <c r="RZG44" s="65"/>
      <c r="RZH44" s="66"/>
      <c r="RZI44" s="67"/>
      <c r="RZJ44" s="34"/>
      <c r="RZM44" s="5"/>
      <c r="RZN44" s="18"/>
      <c r="RZO44" s="56"/>
      <c r="RZP44" s="57"/>
      <c r="RZQ44" s="58"/>
      <c r="RZR44" s="59"/>
      <c r="RZS44" s="58"/>
      <c r="RZT44" s="59"/>
      <c r="RZU44" s="6"/>
      <c r="RZV44" s="7"/>
      <c r="RZW44" s="8"/>
      <c r="RZX44" s="8"/>
      <c r="RZY44" s="6"/>
      <c r="RZZ44" s="16"/>
      <c r="SAA44" s="16"/>
      <c r="SAB44" s="16"/>
      <c r="SAC44" s="16"/>
      <c r="SAD44" s="65"/>
      <c r="SAE44" s="66"/>
      <c r="SAF44" s="67"/>
      <c r="SAG44" s="34"/>
      <c r="SAJ44" s="5"/>
      <c r="SAK44" s="18"/>
      <c r="SAL44" s="56"/>
      <c r="SAM44" s="57"/>
      <c r="SAN44" s="58"/>
      <c r="SAO44" s="59"/>
      <c r="SAP44" s="58"/>
      <c r="SAQ44" s="59"/>
      <c r="SAR44" s="6"/>
      <c r="SAS44" s="7"/>
      <c r="SAT44" s="8"/>
      <c r="SAU44" s="8"/>
      <c r="SAV44" s="6"/>
      <c r="SAW44" s="16"/>
      <c r="SAX44" s="16"/>
      <c r="SAY44" s="16"/>
      <c r="SAZ44" s="16"/>
      <c r="SBA44" s="65"/>
      <c r="SBB44" s="66"/>
      <c r="SBC44" s="67"/>
      <c r="SBD44" s="34"/>
      <c r="SBG44" s="5"/>
      <c r="SBH44" s="18"/>
      <c r="SBI44" s="56"/>
      <c r="SBJ44" s="57"/>
      <c r="SBK44" s="58"/>
      <c r="SBL44" s="59"/>
      <c r="SBM44" s="58"/>
      <c r="SBN44" s="59"/>
      <c r="SBO44" s="6"/>
      <c r="SBP44" s="7"/>
      <c r="SBQ44" s="8"/>
      <c r="SBR44" s="8"/>
      <c r="SBS44" s="6"/>
      <c r="SBT44" s="16"/>
      <c r="SBU44" s="16"/>
      <c r="SBV44" s="16"/>
      <c r="SBW44" s="16"/>
      <c r="SBX44" s="65"/>
      <c r="SBY44" s="66"/>
      <c r="SBZ44" s="67"/>
      <c r="SCA44" s="34"/>
      <c r="SCD44" s="5"/>
      <c r="SCE44" s="18"/>
      <c r="SCF44" s="56"/>
      <c r="SCG44" s="57"/>
      <c r="SCH44" s="58"/>
      <c r="SCI44" s="59"/>
      <c r="SCJ44" s="58"/>
      <c r="SCK44" s="59"/>
      <c r="SCL44" s="6"/>
      <c r="SCM44" s="7"/>
      <c r="SCN44" s="8"/>
      <c r="SCO44" s="8"/>
      <c r="SCP44" s="6"/>
      <c r="SCQ44" s="16"/>
      <c r="SCR44" s="16"/>
      <c r="SCS44" s="16"/>
      <c r="SCT44" s="16"/>
      <c r="SCU44" s="65"/>
      <c r="SCV44" s="66"/>
      <c r="SCW44" s="67"/>
      <c r="SCX44" s="34"/>
      <c r="SDA44" s="5"/>
      <c r="SDB44" s="18"/>
      <c r="SDC44" s="56"/>
      <c r="SDD44" s="57"/>
      <c r="SDE44" s="58"/>
      <c r="SDF44" s="59"/>
      <c r="SDG44" s="58"/>
      <c r="SDH44" s="59"/>
      <c r="SDI44" s="6"/>
      <c r="SDJ44" s="7"/>
      <c r="SDK44" s="8"/>
      <c r="SDL44" s="8"/>
      <c r="SDM44" s="6"/>
      <c r="SDN44" s="16"/>
      <c r="SDO44" s="16"/>
      <c r="SDP44" s="16"/>
      <c r="SDQ44" s="16"/>
      <c r="SDR44" s="65"/>
      <c r="SDS44" s="66"/>
      <c r="SDT44" s="67"/>
      <c r="SDU44" s="34"/>
      <c r="SDX44" s="5"/>
      <c r="SDY44" s="18"/>
      <c r="SDZ44" s="56"/>
      <c r="SEA44" s="57"/>
      <c r="SEB44" s="58"/>
      <c r="SEC44" s="59"/>
      <c r="SED44" s="58"/>
      <c r="SEE44" s="59"/>
      <c r="SEF44" s="6"/>
      <c r="SEG44" s="7"/>
      <c r="SEH44" s="8"/>
      <c r="SEI44" s="8"/>
      <c r="SEJ44" s="6"/>
      <c r="SEK44" s="16"/>
      <c r="SEL44" s="16"/>
      <c r="SEM44" s="16"/>
      <c r="SEN44" s="16"/>
      <c r="SEO44" s="65"/>
      <c r="SEP44" s="66"/>
      <c r="SEQ44" s="67"/>
      <c r="SER44" s="34"/>
      <c r="SEU44" s="5"/>
      <c r="SEV44" s="18"/>
      <c r="SEW44" s="56"/>
      <c r="SEX44" s="57"/>
      <c r="SEY44" s="58"/>
      <c r="SEZ44" s="59"/>
      <c r="SFA44" s="58"/>
      <c r="SFB44" s="59"/>
      <c r="SFC44" s="6"/>
      <c r="SFD44" s="7"/>
      <c r="SFE44" s="8"/>
      <c r="SFF44" s="8"/>
      <c r="SFG44" s="6"/>
      <c r="SFH44" s="16"/>
      <c r="SFI44" s="16"/>
      <c r="SFJ44" s="16"/>
      <c r="SFK44" s="16"/>
      <c r="SFL44" s="65"/>
      <c r="SFM44" s="66"/>
      <c r="SFN44" s="67"/>
      <c r="SFO44" s="34"/>
      <c r="SFR44" s="5"/>
      <c r="SFS44" s="18"/>
      <c r="SFT44" s="56"/>
      <c r="SFU44" s="57"/>
      <c r="SFV44" s="58"/>
      <c r="SFW44" s="59"/>
      <c r="SFX44" s="58"/>
      <c r="SFY44" s="59"/>
      <c r="SFZ44" s="6"/>
      <c r="SGA44" s="7"/>
      <c r="SGB44" s="8"/>
      <c r="SGC44" s="8"/>
      <c r="SGD44" s="6"/>
      <c r="SGE44" s="16"/>
      <c r="SGF44" s="16"/>
      <c r="SGG44" s="16"/>
      <c r="SGH44" s="16"/>
      <c r="SGI44" s="65"/>
      <c r="SGJ44" s="66"/>
      <c r="SGK44" s="67"/>
      <c r="SGL44" s="34"/>
      <c r="SGO44" s="5"/>
      <c r="SGP44" s="18"/>
      <c r="SGQ44" s="56"/>
      <c r="SGR44" s="57"/>
      <c r="SGS44" s="58"/>
      <c r="SGT44" s="59"/>
      <c r="SGU44" s="58"/>
      <c r="SGV44" s="59"/>
      <c r="SGW44" s="6"/>
      <c r="SGX44" s="7"/>
      <c r="SGY44" s="8"/>
      <c r="SGZ44" s="8"/>
      <c r="SHA44" s="6"/>
      <c r="SHB44" s="16"/>
      <c r="SHC44" s="16"/>
      <c r="SHD44" s="16"/>
      <c r="SHE44" s="16"/>
      <c r="SHF44" s="65"/>
      <c r="SHG44" s="66"/>
      <c r="SHH44" s="67"/>
      <c r="SHI44" s="34"/>
      <c r="SHL44" s="5"/>
      <c r="SHM44" s="18"/>
      <c r="SHN44" s="56"/>
      <c r="SHO44" s="57"/>
      <c r="SHP44" s="58"/>
      <c r="SHQ44" s="59"/>
      <c r="SHR44" s="58"/>
      <c r="SHS44" s="59"/>
      <c r="SHT44" s="6"/>
      <c r="SHU44" s="7"/>
      <c r="SHV44" s="8"/>
      <c r="SHW44" s="8"/>
      <c r="SHX44" s="6"/>
      <c r="SHY44" s="16"/>
      <c r="SHZ44" s="16"/>
      <c r="SIA44" s="16"/>
      <c r="SIB44" s="16"/>
      <c r="SIC44" s="65"/>
      <c r="SID44" s="66"/>
      <c r="SIE44" s="67"/>
      <c r="SIF44" s="34"/>
      <c r="SII44" s="5"/>
      <c r="SIJ44" s="18"/>
      <c r="SIK44" s="56"/>
      <c r="SIL44" s="57"/>
      <c r="SIM44" s="58"/>
      <c r="SIN44" s="59"/>
      <c r="SIO44" s="58"/>
      <c r="SIP44" s="59"/>
      <c r="SIQ44" s="6"/>
      <c r="SIR44" s="7"/>
      <c r="SIS44" s="8"/>
      <c r="SIT44" s="8"/>
      <c r="SIU44" s="6"/>
      <c r="SIV44" s="16"/>
      <c r="SIW44" s="16"/>
      <c r="SIX44" s="16"/>
      <c r="SIY44" s="16"/>
      <c r="SIZ44" s="65"/>
      <c r="SJA44" s="66"/>
      <c r="SJB44" s="67"/>
      <c r="SJC44" s="34"/>
      <c r="SJF44" s="5"/>
      <c r="SJG44" s="18"/>
      <c r="SJH44" s="56"/>
      <c r="SJI44" s="57"/>
      <c r="SJJ44" s="58"/>
      <c r="SJK44" s="59"/>
      <c r="SJL44" s="58"/>
      <c r="SJM44" s="59"/>
      <c r="SJN44" s="6"/>
      <c r="SJO44" s="7"/>
      <c r="SJP44" s="8"/>
      <c r="SJQ44" s="8"/>
      <c r="SJR44" s="6"/>
      <c r="SJS44" s="16"/>
      <c r="SJT44" s="16"/>
      <c r="SJU44" s="16"/>
      <c r="SJV44" s="16"/>
      <c r="SJW44" s="65"/>
      <c r="SJX44" s="66"/>
      <c r="SJY44" s="67"/>
      <c r="SJZ44" s="34"/>
      <c r="SKC44" s="5"/>
      <c r="SKD44" s="18"/>
      <c r="SKE44" s="56"/>
      <c r="SKF44" s="57"/>
      <c r="SKG44" s="58"/>
      <c r="SKH44" s="59"/>
      <c r="SKI44" s="58"/>
      <c r="SKJ44" s="59"/>
      <c r="SKK44" s="6"/>
      <c r="SKL44" s="7"/>
      <c r="SKM44" s="8"/>
      <c r="SKN44" s="8"/>
      <c r="SKO44" s="6"/>
      <c r="SKP44" s="16"/>
      <c r="SKQ44" s="16"/>
      <c r="SKR44" s="16"/>
      <c r="SKS44" s="16"/>
      <c r="SKT44" s="65"/>
      <c r="SKU44" s="66"/>
      <c r="SKV44" s="67"/>
      <c r="SKW44" s="34"/>
      <c r="SKZ44" s="5"/>
      <c r="SLA44" s="18"/>
      <c r="SLB44" s="56"/>
      <c r="SLC44" s="57"/>
      <c r="SLD44" s="58"/>
      <c r="SLE44" s="59"/>
      <c r="SLF44" s="58"/>
      <c r="SLG44" s="59"/>
      <c r="SLH44" s="6"/>
      <c r="SLI44" s="7"/>
      <c r="SLJ44" s="8"/>
      <c r="SLK44" s="8"/>
      <c r="SLL44" s="6"/>
      <c r="SLM44" s="16"/>
      <c r="SLN44" s="16"/>
      <c r="SLO44" s="16"/>
      <c r="SLP44" s="16"/>
      <c r="SLQ44" s="65"/>
      <c r="SLR44" s="66"/>
      <c r="SLS44" s="67"/>
      <c r="SLT44" s="34"/>
      <c r="SLW44" s="5"/>
      <c r="SLX44" s="18"/>
      <c r="SLY44" s="56"/>
      <c r="SLZ44" s="57"/>
      <c r="SMA44" s="58"/>
      <c r="SMB44" s="59"/>
      <c r="SMC44" s="58"/>
      <c r="SMD44" s="59"/>
      <c r="SME44" s="6"/>
      <c r="SMF44" s="7"/>
      <c r="SMG44" s="8"/>
      <c r="SMH44" s="8"/>
      <c r="SMI44" s="6"/>
      <c r="SMJ44" s="16"/>
      <c r="SMK44" s="16"/>
      <c r="SML44" s="16"/>
      <c r="SMM44" s="16"/>
      <c r="SMN44" s="65"/>
      <c r="SMO44" s="66"/>
      <c r="SMP44" s="67"/>
      <c r="SMQ44" s="34"/>
      <c r="SMT44" s="5"/>
      <c r="SMU44" s="18"/>
      <c r="SMV44" s="56"/>
      <c r="SMW44" s="57"/>
      <c r="SMX44" s="58"/>
      <c r="SMY44" s="59"/>
      <c r="SMZ44" s="58"/>
      <c r="SNA44" s="59"/>
      <c r="SNB44" s="6"/>
      <c r="SNC44" s="7"/>
      <c r="SND44" s="8"/>
      <c r="SNE44" s="8"/>
      <c r="SNF44" s="6"/>
      <c r="SNG44" s="16"/>
      <c r="SNH44" s="16"/>
      <c r="SNI44" s="16"/>
      <c r="SNJ44" s="16"/>
      <c r="SNK44" s="65"/>
      <c r="SNL44" s="66"/>
      <c r="SNM44" s="67"/>
      <c r="SNN44" s="34"/>
      <c r="SNQ44" s="5"/>
      <c r="SNR44" s="18"/>
      <c r="SNS44" s="56"/>
      <c r="SNT44" s="57"/>
      <c r="SNU44" s="58"/>
      <c r="SNV44" s="59"/>
      <c r="SNW44" s="58"/>
      <c r="SNX44" s="59"/>
      <c r="SNY44" s="6"/>
      <c r="SNZ44" s="7"/>
      <c r="SOA44" s="8"/>
      <c r="SOB44" s="8"/>
      <c r="SOC44" s="6"/>
      <c r="SOD44" s="16"/>
      <c r="SOE44" s="16"/>
      <c r="SOF44" s="16"/>
      <c r="SOG44" s="16"/>
      <c r="SOH44" s="65"/>
      <c r="SOI44" s="66"/>
      <c r="SOJ44" s="67"/>
      <c r="SOK44" s="34"/>
      <c r="SON44" s="5"/>
      <c r="SOO44" s="18"/>
      <c r="SOP44" s="56"/>
      <c r="SOQ44" s="57"/>
      <c r="SOR44" s="58"/>
      <c r="SOS44" s="59"/>
      <c r="SOT44" s="58"/>
      <c r="SOU44" s="59"/>
      <c r="SOV44" s="6"/>
      <c r="SOW44" s="7"/>
      <c r="SOX44" s="8"/>
      <c r="SOY44" s="8"/>
      <c r="SOZ44" s="6"/>
      <c r="SPA44" s="16"/>
      <c r="SPB44" s="16"/>
      <c r="SPC44" s="16"/>
      <c r="SPD44" s="16"/>
      <c r="SPE44" s="65"/>
      <c r="SPF44" s="66"/>
      <c r="SPG44" s="67"/>
      <c r="SPH44" s="34"/>
      <c r="SPK44" s="5"/>
      <c r="SPL44" s="18"/>
      <c r="SPM44" s="56"/>
      <c r="SPN44" s="57"/>
      <c r="SPO44" s="58"/>
      <c r="SPP44" s="59"/>
      <c r="SPQ44" s="58"/>
      <c r="SPR44" s="59"/>
      <c r="SPS44" s="6"/>
      <c r="SPT44" s="7"/>
      <c r="SPU44" s="8"/>
      <c r="SPV44" s="8"/>
      <c r="SPW44" s="6"/>
      <c r="SPX44" s="16"/>
      <c r="SPY44" s="16"/>
      <c r="SPZ44" s="16"/>
      <c r="SQA44" s="16"/>
      <c r="SQB44" s="65"/>
      <c r="SQC44" s="66"/>
      <c r="SQD44" s="67"/>
      <c r="SQE44" s="34"/>
      <c r="SQH44" s="5"/>
      <c r="SQI44" s="18"/>
      <c r="SQJ44" s="56"/>
      <c r="SQK44" s="57"/>
      <c r="SQL44" s="58"/>
      <c r="SQM44" s="59"/>
      <c r="SQN44" s="58"/>
      <c r="SQO44" s="59"/>
      <c r="SQP44" s="6"/>
      <c r="SQQ44" s="7"/>
      <c r="SQR44" s="8"/>
      <c r="SQS44" s="8"/>
      <c r="SQT44" s="6"/>
      <c r="SQU44" s="16"/>
      <c r="SQV44" s="16"/>
      <c r="SQW44" s="16"/>
      <c r="SQX44" s="16"/>
      <c r="SQY44" s="65"/>
      <c r="SQZ44" s="66"/>
      <c r="SRA44" s="67"/>
      <c r="SRB44" s="34"/>
      <c r="SRE44" s="5"/>
      <c r="SRF44" s="18"/>
      <c r="SRG44" s="56"/>
      <c r="SRH44" s="57"/>
      <c r="SRI44" s="58"/>
      <c r="SRJ44" s="59"/>
      <c r="SRK44" s="58"/>
      <c r="SRL44" s="59"/>
      <c r="SRM44" s="6"/>
      <c r="SRN44" s="7"/>
      <c r="SRO44" s="8"/>
      <c r="SRP44" s="8"/>
      <c r="SRQ44" s="6"/>
      <c r="SRR44" s="16"/>
      <c r="SRS44" s="16"/>
      <c r="SRT44" s="16"/>
      <c r="SRU44" s="16"/>
      <c r="SRV44" s="65"/>
      <c r="SRW44" s="66"/>
      <c r="SRX44" s="67"/>
      <c r="SRY44" s="34"/>
      <c r="SSB44" s="5"/>
      <c r="SSC44" s="18"/>
      <c r="SSD44" s="56"/>
      <c r="SSE44" s="57"/>
      <c r="SSF44" s="58"/>
      <c r="SSG44" s="59"/>
      <c r="SSH44" s="58"/>
      <c r="SSI44" s="59"/>
      <c r="SSJ44" s="6"/>
      <c r="SSK44" s="7"/>
      <c r="SSL44" s="8"/>
      <c r="SSM44" s="8"/>
      <c r="SSN44" s="6"/>
      <c r="SSO44" s="16"/>
      <c r="SSP44" s="16"/>
      <c r="SSQ44" s="16"/>
      <c r="SSR44" s="16"/>
      <c r="SSS44" s="65"/>
      <c r="SST44" s="66"/>
      <c r="SSU44" s="67"/>
      <c r="SSV44" s="34"/>
      <c r="SSY44" s="5"/>
      <c r="SSZ44" s="18"/>
      <c r="STA44" s="56"/>
      <c r="STB44" s="57"/>
      <c r="STC44" s="58"/>
      <c r="STD44" s="59"/>
      <c r="STE44" s="58"/>
      <c r="STF44" s="59"/>
      <c r="STG44" s="6"/>
      <c r="STH44" s="7"/>
      <c r="STI44" s="8"/>
      <c r="STJ44" s="8"/>
      <c r="STK44" s="6"/>
      <c r="STL44" s="16"/>
      <c r="STM44" s="16"/>
      <c r="STN44" s="16"/>
      <c r="STO44" s="16"/>
      <c r="STP44" s="65"/>
      <c r="STQ44" s="66"/>
      <c r="STR44" s="67"/>
      <c r="STS44" s="34"/>
      <c r="STV44" s="5"/>
      <c r="STW44" s="18"/>
      <c r="STX44" s="56"/>
      <c r="STY44" s="57"/>
      <c r="STZ44" s="58"/>
      <c r="SUA44" s="59"/>
      <c r="SUB44" s="58"/>
      <c r="SUC44" s="59"/>
      <c r="SUD44" s="6"/>
      <c r="SUE44" s="7"/>
      <c r="SUF44" s="8"/>
      <c r="SUG44" s="8"/>
      <c r="SUH44" s="6"/>
      <c r="SUI44" s="16"/>
      <c r="SUJ44" s="16"/>
      <c r="SUK44" s="16"/>
      <c r="SUL44" s="16"/>
      <c r="SUM44" s="65"/>
      <c r="SUN44" s="66"/>
      <c r="SUO44" s="67"/>
      <c r="SUP44" s="34"/>
      <c r="SUS44" s="5"/>
      <c r="SUT44" s="18"/>
      <c r="SUU44" s="56"/>
      <c r="SUV44" s="57"/>
      <c r="SUW44" s="58"/>
      <c r="SUX44" s="59"/>
      <c r="SUY44" s="58"/>
      <c r="SUZ44" s="59"/>
      <c r="SVA44" s="6"/>
      <c r="SVB44" s="7"/>
      <c r="SVC44" s="8"/>
      <c r="SVD44" s="8"/>
      <c r="SVE44" s="6"/>
      <c r="SVF44" s="16"/>
      <c r="SVG44" s="16"/>
      <c r="SVH44" s="16"/>
      <c r="SVI44" s="16"/>
      <c r="SVJ44" s="65"/>
      <c r="SVK44" s="66"/>
      <c r="SVL44" s="67"/>
      <c r="SVM44" s="34"/>
      <c r="SVP44" s="5"/>
      <c r="SVQ44" s="18"/>
      <c r="SVR44" s="56"/>
      <c r="SVS44" s="57"/>
      <c r="SVT44" s="58"/>
      <c r="SVU44" s="59"/>
      <c r="SVV44" s="58"/>
      <c r="SVW44" s="59"/>
      <c r="SVX44" s="6"/>
      <c r="SVY44" s="7"/>
      <c r="SVZ44" s="8"/>
      <c r="SWA44" s="8"/>
      <c r="SWB44" s="6"/>
      <c r="SWC44" s="16"/>
      <c r="SWD44" s="16"/>
      <c r="SWE44" s="16"/>
      <c r="SWF44" s="16"/>
      <c r="SWG44" s="65"/>
      <c r="SWH44" s="66"/>
      <c r="SWI44" s="67"/>
      <c r="SWJ44" s="34"/>
      <c r="SWM44" s="5"/>
      <c r="SWN44" s="18"/>
      <c r="SWO44" s="56"/>
      <c r="SWP44" s="57"/>
      <c r="SWQ44" s="58"/>
      <c r="SWR44" s="59"/>
      <c r="SWS44" s="58"/>
      <c r="SWT44" s="59"/>
      <c r="SWU44" s="6"/>
      <c r="SWV44" s="7"/>
      <c r="SWW44" s="8"/>
      <c r="SWX44" s="8"/>
      <c r="SWY44" s="6"/>
      <c r="SWZ44" s="16"/>
      <c r="SXA44" s="16"/>
      <c r="SXB44" s="16"/>
      <c r="SXC44" s="16"/>
      <c r="SXD44" s="65"/>
      <c r="SXE44" s="66"/>
      <c r="SXF44" s="67"/>
      <c r="SXG44" s="34"/>
      <c r="SXJ44" s="5"/>
      <c r="SXK44" s="18"/>
      <c r="SXL44" s="56"/>
      <c r="SXM44" s="57"/>
      <c r="SXN44" s="58"/>
      <c r="SXO44" s="59"/>
      <c r="SXP44" s="58"/>
      <c r="SXQ44" s="59"/>
      <c r="SXR44" s="6"/>
      <c r="SXS44" s="7"/>
      <c r="SXT44" s="8"/>
      <c r="SXU44" s="8"/>
      <c r="SXV44" s="6"/>
      <c r="SXW44" s="16"/>
      <c r="SXX44" s="16"/>
      <c r="SXY44" s="16"/>
      <c r="SXZ44" s="16"/>
      <c r="SYA44" s="65"/>
      <c r="SYB44" s="66"/>
      <c r="SYC44" s="67"/>
      <c r="SYD44" s="34"/>
      <c r="SYG44" s="5"/>
      <c r="SYH44" s="18"/>
      <c r="SYI44" s="56"/>
      <c r="SYJ44" s="57"/>
      <c r="SYK44" s="58"/>
      <c r="SYL44" s="59"/>
      <c r="SYM44" s="58"/>
      <c r="SYN44" s="59"/>
      <c r="SYO44" s="6"/>
      <c r="SYP44" s="7"/>
      <c r="SYQ44" s="8"/>
      <c r="SYR44" s="8"/>
      <c r="SYS44" s="6"/>
      <c r="SYT44" s="16"/>
      <c r="SYU44" s="16"/>
      <c r="SYV44" s="16"/>
      <c r="SYW44" s="16"/>
      <c r="SYX44" s="65"/>
      <c r="SYY44" s="66"/>
      <c r="SYZ44" s="67"/>
      <c r="SZA44" s="34"/>
      <c r="SZD44" s="5"/>
      <c r="SZE44" s="18"/>
      <c r="SZF44" s="56"/>
      <c r="SZG44" s="57"/>
      <c r="SZH44" s="58"/>
      <c r="SZI44" s="59"/>
      <c r="SZJ44" s="58"/>
      <c r="SZK44" s="59"/>
      <c r="SZL44" s="6"/>
      <c r="SZM44" s="7"/>
      <c r="SZN44" s="8"/>
      <c r="SZO44" s="8"/>
      <c r="SZP44" s="6"/>
      <c r="SZQ44" s="16"/>
      <c r="SZR44" s="16"/>
      <c r="SZS44" s="16"/>
      <c r="SZT44" s="16"/>
      <c r="SZU44" s="65"/>
      <c r="SZV44" s="66"/>
      <c r="SZW44" s="67"/>
      <c r="SZX44" s="34"/>
      <c r="TAA44" s="5"/>
      <c r="TAB44" s="18"/>
      <c r="TAC44" s="56"/>
      <c r="TAD44" s="57"/>
      <c r="TAE44" s="58"/>
      <c r="TAF44" s="59"/>
      <c r="TAG44" s="58"/>
      <c r="TAH44" s="59"/>
      <c r="TAI44" s="6"/>
      <c r="TAJ44" s="7"/>
      <c r="TAK44" s="8"/>
      <c r="TAL44" s="8"/>
      <c r="TAM44" s="6"/>
      <c r="TAN44" s="16"/>
      <c r="TAO44" s="16"/>
      <c r="TAP44" s="16"/>
      <c r="TAQ44" s="16"/>
      <c r="TAR44" s="65"/>
      <c r="TAS44" s="66"/>
      <c r="TAT44" s="67"/>
      <c r="TAU44" s="34"/>
      <c r="TAX44" s="5"/>
      <c r="TAY44" s="18"/>
      <c r="TAZ44" s="56"/>
      <c r="TBA44" s="57"/>
      <c r="TBB44" s="58"/>
      <c r="TBC44" s="59"/>
      <c r="TBD44" s="58"/>
      <c r="TBE44" s="59"/>
      <c r="TBF44" s="6"/>
      <c r="TBG44" s="7"/>
      <c r="TBH44" s="8"/>
      <c r="TBI44" s="8"/>
      <c r="TBJ44" s="6"/>
      <c r="TBK44" s="16"/>
      <c r="TBL44" s="16"/>
      <c r="TBM44" s="16"/>
      <c r="TBN44" s="16"/>
      <c r="TBO44" s="65"/>
      <c r="TBP44" s="66"/>
      <c r="TBQ44" s="67"/>
      <c r="TBR44" s="34"/>
      <c r="TBU44" s="5"/>
      <c r="TBV44" s="18"/>
      <c r="TBW44" s="56"/>
      <c r="TBX44" s="57"/>
      <c r="TBY44" s="58"/>
      <c r="TBZ44" s="59"/>
      <c r="TCA44" s="58"/>
      <c r="TCB44" s="59"/>
      <c r="TCC44" s="6"/>
      <c r="TCD44" s="7"/>
      <c r="TCE44" s="8"/>
      <c r="TCF44" s="8"/>
      <c r="TCG44" s="6"/>
      <c r="TCH44" s="16"/>
      <c r="TCI44" s="16"/>
      <c r="TCJ44" s="16"/>
      <c r="TCK44" s="16"/>
      <c r="TCL44" s="65"/>
      <c r="TCM44" s="66"/>
      <c r="TCN44" s="67"/>
      <c r="TCO44" s="34"/>
      <c r="TCR44" s="5"/>
      <c r="TCS44" s="18"/>
      <c r="TCT44" s="56"/>
      <c r="TCU44" s="57"/>
      <c r="TCV44" s="58"/>
      <c r="TCW44" s="59"/>
      <c r="TCX44" s="58"/>
      <c r="TCY44" s="59"/>
      <c r="TCZ44" s="6"/>
      <c r="TDA44" s="7"/>
      <c r="TDB44" s="8"/>
      <c r="TDC44" s="8"/>
      <c r="TDD44" s="6"/>
      <c r="TDE44" s="16"/>
      <c r="TDF44" s="16"/>
      <c r="TDG44" s="16"/>
      <c r="TDH44" s="16"/>
      <c r="TDI44" s="65"/>
      <c r="TDJ44" s="66"/>
      <c r="TDK44" s="67"/>
      <c r="TDL44" s="34"/>
      <c r="TDO44" s="5"/>
      <c r="TDP44" s="18"/>
      <c r="TDQ44" s="56"/>
      <c r="TDR44" s="57"/>
      <c r="TDS44" s="58"/>
      <c r="TDT44" s="59"/>
      <c r="TDU44" s="58"/>
      <c r="TDV44" s="59"/>
      <c r="TDW44" s="6"/>
      <c r="TDX44" s="7"/>
      <c r="TDY44" s="8"/>
      <c r="TDZ44" s="8"/>
      <c r="TEA44" s="6"/>
      <c r="TEB44" s="16"/>
      <c r="TEC44" s="16"/>
      <c r="TED44" s="16"/>
      <c r="TEE44" s="16"/>
      <c r="TEF44" s="65"/>
      <c r="TEG44" s="66"/>
      <c r="TEH44" s="67"/>
      <c r="TEI44" s="34"/>
      <c r="TEL44" s="5"/>
      <c r="TEM44" s="18"/>
      <c r="TEN44" s="56"/>
      <c r="TEO44" s="57"/>
      <c r="TEP44" s="58"/>
      <c r="TEQ44" s="59"/>
      <c r="TER44" s="58"/>
      <c r="TES44" s="59"/>
      <c r="TET44" s="6"/>
      <c r="TEU44" s="7"/>
      <c r="TEV44" s="8"/>
      <c r="TEW44" s="8"/>
      <c r="TEX44" s="6"/>
      <c r="TEY44" s="16"/>
      <c r="TEZ44" s="16"/>
      <c r="TFA44" s="16"/>
      <c r="TFB44" s="16"/>
      <c r="TFC44" s="65"/>
      <c r="TFD44" s="66"/>
      <c r="TFE44" s="67"/>
      <c r="TFF44" s="34"/>
      <c r="TFI44" s="5"/>
      <c r="TFJ44" s="18"/>
      <c r="TFK44" s="56"/>
      <c r="TFL44" s="57"/>
      <c r="TFM44" s="58"/>
      <c r="TFN44" s="59"/>
      <c r="TFO44" s="58"/>
      <c r="TFP44" s="59"/>
      <c r="TFQ44" s="6"/>
      <c r="TFR44" s="7"/>
      <c r="TFS44" s="8"/>
      <c r="TFT44" s="8"/>
      <c r="TFU44" s="6"/>
      <c r="TFV44" s="16"/>
      <c r="TFW44" s="16"/>
      <c r="TFX44" s="16"/>
      <c r="TFY44" s="16"/>
      <c r="TFZ44" s="65"/>
      <c r="TGA44" s="66"/>
      <c r="TGB44" s="67"/>
      <c r="TGC44" s="34"/>
      <c r="TGF44" s="5"/>
      <c r="TGG44" s="18"/>
      <c r="TGH44" s="56"/>
      <c r="TGI44" s="57"/>
      <c r="TGJ44" s="58"/>
      <c r="TGK44" s="59"/>
      <c r="TGL44" s="58"/>
      <c r="TGM44" s="59"/>
      <c r="TGN44" s="6"/>
      <c r="TGO44" s="7"/>
      <c r="TGP44" s="8"/>
      <c r="TGQ44" s="8"/>
      <c r="TGR44" s="6"/>
      <c r="TGS44" s="16"/>
      <c r="TGT44" s="16"/>
      <c r="TGU44" s="16"/>
      <c r="TGV44" s="16"/>
      <c r="TGW44" s="65"/>
      <c r="TGX44" s="66"/>
      <c r="TGY44" s="67"/>
      <c r="TGZ44" s="34"/>
      <c r="THC44" s="5"/>
      <c r="THD44" s="18"/>
      <c r="THE44" s="56"/>
      <c r="THF44" s="57"/>
      <c r="THG44" s="58"/>
      <c r="THH44" s="59"/>
      <c r="THI44" s="58"/>
      <c r="THJ44" s="59"/>
      <c r="THK44" s="6"/>
      <c r="THL44" s="7"/>
      <c r="THM44" s="8"/>
      <c r="THN44" s="8"/>
      <c r="THO44" s="6"/>
      <c r="THP44" s="16"/>
      <c r="THQ44" s="16"/>
      <c r="THR44" s="16"/>
      <c r="THS44" s="16"/>
      <c r="THT44" s="65"/>
      <c r="THU44" s="66"/>
      <c r="THV44" s="67"/>
      <c r="THW44" s="34"/>
      <c r="THZ44" s="5"/>
      <c r="TIA44" s="18"/>
      <c r="TIB44" s="56"/>
      <c r="TIC44" s="57"/>
      <c r="TID44" s="58"/>
      <c r="TIE44" s="59"/>
      <c r="TIF44" s="58"/>
      <c r="TIG44" s="59"/>
      <c r="TIH44" s="6"/>
      <c r="TII44" s="7"/>
      <c r="TIJ44" s="8"/>
      <c r="TIK44" s="8"/>
      <c r="TIL44" s="6"/>
      <c r="TIM44" s="16"/>
      <c r="TIN44" s="16"/>
      <c r="TIO44" s="16"/>
      <c r="TIP44" s="16"/>
      <c r="TIQ44" s="65"/>
      <c r="TIR44" s="66"/>
      <c r="TIS44" s="67"/>
      <c r="TIT44" s="34"/>
      <c r="TIW44" s="5"/>
      <c r="TIX44" s="18"/>
      <c r="TIY44" s="56"/>
      <c r="TIZ44" s="57"/>
      <c r="TJA44" s="58"/>
      <c r="TJB44" s="59"/>
      <c r="TJC44" s="58"/>
      <c r="TJD44" s="59"/>
      <c r="TJE44" s="6"/>
      <c r="TJF44" s="7"/>
      <c r="TJG44" s="8"/>
      <c r="TJH44" s="8"/>
      <c r="TJI44" s="6"/>
      <c r="TJJ44" s="16"/>
      <c r="TJK44" s="16"/>
      <c r="TJL44" s="16"/>
      <c r="TJM44" s="16"/>
      <c r="TJN44" s="65"/>
      <c r="TJO44" s="66"/>
      <c r="TJP44" s="67"/>
      <c r="TJQ44" s="34"/>
      <c r="TJT44" s="5"/>
      <c r="TJU44" s="18"/>
      <c r="TJV44" s="56"/>
      <c r="TJW44" s="57"/>
      <c r="TJX44" s="58"/>
      <c r="TJY44" s="59"/>
      <c r="TJZ44" s="58"/>
      <c r="TKA44" s="59"/>
      <c r="TKB44" s="6"/>
      <c r="TKC44" s="7"/>
      <c r="TKD44" s="8"/>
      <c r="TKE44" s="8"/>
      <c r="TKF44" s="6"/>
      <c r="TKG44" s="16"/>
      <c r="TKH44" s="16"/>
      <c r="TKI44" s="16"/>
      <c r="TKJ44" s="16"/>
      <c r="TKK44" s="65"/>
      <c r="TKL44" s="66"/>
      <c r="TKM44" s="67"/>
      <c r="TKN44" s="34"/>
      <c r="TKQ44" s="5"/>
      <c r="TKR44" s="18"/>
      <c r="TKS44" s="56"/>
      <c r="TKT44" s="57"/>
      <c r="TKU44" s="58"/>
      <c r="TKV44" s="59"/>
      <c r="TKW44" s="58"/>
      <c r="TKX44" s="59"/>
      <c r="TKY44" s="6"/>
      <c r="TKZ44" s="7"/>
      <c r="TLA44" s="8"/>
      <c r="TLB44" s="8"/>
      <c r="TLC44" s="6"/>
      <c r="TLD44" s="16"/>
      <c r="TLE44" s="16"/>
      <c r="TLF44" s="16"/>
      <c r="TLG44" s="16"/>
      <c r="TLH44" s="65"/>
      <c r="TLI44" s="66"/>
      <c r="TLJ44" s="67"/>
      <c r="TLK44" s="34"/>
      <c r="TLN44" s="5"/>
      <c r="TLO44" s="18"/>
      <c r="TLP44" s="56"/>
      <c r="TLQ44" s="57"/>
      <c r="TLR44" s="58"/>
      <c r="TLS44" s="59"/>
      <c r="TLT44" s="58"/>
      <c r="TLU44" s="59"/>
      <c r="TLV44" s="6"/>
      <c r="TLW44" s="7"/>
      <c r="TLX44" s="8"/>
      <c r="TLY44" s="8"/>
      <c r="TLZ44" s="6"/>
      <c r="TMA44" s="16"/>
      <c r="TMB44" s="16"/>
      <c r="TMC44" s="16"/>
      <c r="TMD44" s="16"/>
      <c r="TME44" s="65"/>
      <c r="TMF44" s="66"/>
      <c r="TMG44" s="67"/>
      <c r="TMH44" s="34"/>
      <c r="TMK44" s="5"/>
      <c r="TML44" s="18"/>
      <c r="TMM44" s="56"/>
      <c r="TMN44" s="57"/>
      <c r="TMO44" s="58"/>
      <c r="TMP44" s="59"/>
      <c r="TMQ44" s="58"/>
      <c r="TMR44" s="59"/>
      <c r="TMS44" s="6"/>
      <c r="TMT44" s="7"/>
      <c r="TMU44" s="8"/>
      <c r="TMV44" s="8"/>
      <c r="TMW44" s="6"/>
      <c r="TMX44" s="16"/>
      <c r="TMY44" s="16"/>
      <c r="TMZ44" s="16"/>
      <c r="TNA44" s="16"/>
      <c r="TNB44" s="65"/>
      <c r="TNC44" s="66"/>
      <c r="TND44" s="67"/>
      <c r="TNE44" s="34"/>
      <c r="TNH44" s="5"/>
      <c r="TNI44" s="18"/>
      <c r="TNJ44" s="56"/>
      <c r="TNK44" s="57"/>
      <c r="TNL44" s="58"/>
      <c r="TNM44" s="59"/>
      <c r="TNN44" s="58"/>
      <c r="TNO44" s="59"/>
      <c r="TNP44" s="6"/>
      <c r="TNQ44" s="7"/>
      <c r="TNR44" s="8"/>
      <c r="TNS44" s="8"/>
      <c r="TNT44" s="6"/>
      <c r="TNU44" s="16"/>
      <c r="TNV44" s="16"/>
      <c r="TNW44" s="16"/>
      <c r="TNX44" s="16"/>
      <c r="TNY44" s="65"/>
      <c r="TNZ44" s="66"/>
      <c r="TOA44" s="67"/>
      <c r="TOB44" s="34"/>
      <c r="TOE44" s="5"/>
      <c r="TOF44" s="18"/>
      <c r="TOG44" s="56"/>
      <c r="TOH44" s="57"/>
      <c r="TOI44" s="58"/>
      <c r="TOJ44" s="59"/>
      <c r="TOK44" s="58"/>
      <c r="TOL44" s="59"/>
      <c r="TOM44" s="6"/>
      <c r="TON44" s="7"/>
      <c r="TOO44" s="8"/>
      <c r="TOP44" s="8"/>
      <c r="TOQ44" s="6"/>
      <c r="TOR44" s="16"/>
      <c r="TOS44" s="16"/>
      <c r="TOT44" s="16"/>
      <c r="TOU44" s="16"/>
      <c r="TOV44" s="65"/>
      <c r="TOW44" s="66"/>
      <c r="TOX44" s="67"/>
      <c r="TOY44" s="34"/>
      <c r="TPB44" s="5"/>
      <c r="TPC44" s="18"/>
      <c r="TPD44" s="56"/>
      <c r="TPE44" s="57"/>
      <c r="TPF44" s="58"/>
      <c r="TPG44" s="59"/>
      <c r="TPH44" s="58"/>
      <c r="TPI44" s="59"/>
      <c r="TPJ44" s="6"/>
      <c r="TPK44" s="7"/>
      <c r="TPL44" s="8"/>
      <c r="TPM44" s="8"/>
      <c r="TPN44" s="6"/>
      <c r="TPO44" s="16"/>
      <c r="TPP44" s="16"/>
      <c r="TPQ44" s="16"/>
      <c r="TPR44" s="16"/>
      <c r="TPS44" s="65"/>
      <c r="TPT44" s="66"/>
      <c r="TPU44" s="67"/>
      <c r="TPV44" s="34"/>
      <c r="TPY44" s="5"/>
      <c r="TPZ44" s="18"/>
      <c r="TQA44" s="56"/>
      <c r="TQB44" s="57"/>
      <c r="TQC44" s="58"/>
      <c r="TQD44" s="59"/>
      <c r="TQE44" s="58"/>
      <c r="TQF44" s="59"/>
      <c r="TQG44" s="6"/>
      <c r="TQH44" s="7"/>
      <c r="TQI44" s="8"/>
      <c r="TQJ44" s="8"/>
      <c r="TQK44" s="6"/>
      <c r="TQL44" s="16"/>
      <c r="TQM44" s="16"/>
      <c r="TQN44" s="16"/>
      <c r="TQO44" s="16"/>
      <c r="TQP44" s="65"/>
      <c r="TQQ44" s="66"/>
      <c r="TQR44" s="67"/>
      <c r="TQS44" s="34"/>
      <c r="TQV44" s="5"/>
      <c r="TQW44" s="18"/>
      <c r="TQX44" s="56"/>
      <c r="TQY44" s="57"/>
      <c r="TQZ44" s="58"/>
      <c r="TRA44" s="59"/>
      <c r="TRB44" s="58"/>
      <c r="TRC44" s="59"/>
      <c r="TRD44" s="6"/>
      <c r="TRE44" s="7"/>
      <c r="TRF44" s="8"/>
      <c r="TRG44" s="8"/>
      <c r="TRH44" s="6"/>
      <c r="TRI44" s="16"/>
      <c r="TRJ44" s="16"/>
      <c r="TRK44" s="16"/>
      <c r="TRL44" s="16"/>
      <c r="TRM44" s="65"/>
      <c r="TRN44" s="66"/>
      <c r="TRO44" s="67"/>
      <c r="TRP44" s="34"/>
      <c r="TRS44" s="5"/>
      <c r="TRT44" s="18"/>
      <c r="TRU44" s="56"/>
      <c r="TRV44" s="57"/>
      <c r="TRW44" s="58"/>
      <c r="TRX44" s="59"/>
      <c r="TRY44" s="58"/>
      <c r="TRZ44" s="59"/>
      <c r="TSA44" s="6"/>
      <c r="TSB44" s="7"/>
      <c r="TSC44" s="8"/>
      <c r="TSD44" s="8"/>
      <c r="TSE44" s="6"/>
      <c r="TSF44" s="16"/>
      <c r="TSG44" s="16"/>
      <c r="TSH44" s="16"/>
      <c r="TSI44" s="16"/>
      <c r="TSJ44" s="65"/>
      <c r="TSK44" s="66"/>
      <c r="TSL44" s="67"/>
      <c r="TSM44" s="34"/>
      <c r="TSP44" s="5"/>
      <c r="TSQ44" s="18"/>
      <c r="TSR44" s="56"/>
      <c r="TSS44" s="57"/>
      <c r="TST44" s="58"/>
      <c r="TSU44" s="59"/>
      <c r="TSV44" s="58"/>
      <c r="TSW44" s="59"/>
      <c r="TSX44" s="6"/>
      <c r="TSY44" s="7"/>
      <c r="TSZ44" s="8"/>
      <c r="TTA44" s="8"/>
      <c r="TTB44" s="6"/>
      <c r="TTC44" s="16"/>
      <c r="TTD44" s="16"/>
      <c r="TTE44" s="16"/>
      <c r="TTF44" s="16"/>
      <c r="TTG44" s="65"/>
      <c r="TTH44" s="66"/>
      <c r="TTI44" s="67"/>
      <c r="TTJ44" s="34"/>
      <c r="TTM44" s="5"/>
      <c r="TTN44" s="18"/>
      <c r="TTO44" s="56"/>
      <c r="TTP44" s="57"/>
      <c r="TTQ44" s="58"/>
      <c r="TTR44" s="59"/>
      <c r="TTS44" s="58"/>
      <c r="TTT44" s="59"/>
      <c r="TTU44" s="6"/>
      <c r="TTV44" s="7"/>
      <c r="TTW44" s="8"/>
      <c r="TTX44" s="8"/>
      <c r="TTY44" s="6"/>
      <c r="TTZ44" s="16"/>
      <c r="TUA44" s="16"/>
      <c r="TUB44" s="16"/>
      <c r="TUC44" s="16"/>
      <c r="TUD44" s="65"/>
      <c r="TUE44" s="66"/>
      <c r="TUF44" s="67"/>
      <c r="TUG44" s="34"/>
      <c r="TUJ44" s="5"/>
      <c r="TUK44" s="18"/>
      <c r="TUL44" s="56"/>
      <c r="TUM44" s="57"/>
      <c r="TUN44" s="58"/>
      <c r="TUO44" s="59"/>
      <c r="TUP44" s="58"/>
      <c r="TUQ44" s="59"/>
      <c r="TUR44" s="6"/>
      <c r="TUS44" s="7"/>
      <c r="TUT44" s="8"/>
      <c r="TUU44" s="8"/>
      <c r="TUV44" s="6"/>
      <c r="TUW44" s="16"/>
      <c r="TUX44" s="16"/>
      <c r="TUY44" s="16"/>
      <c r="TUZ44" s="16"/>
      <c r="TVA44" s="65"/>
      <c r="TVB44" s="66"/>
      <c r="TVC44" s="67"/>
      <c r="TVD44" s="34"/>
      <c r="TVG44" s="5"/>
      <c r="TVH44" s="18"/>
      <c r="TVI44" s="56"/>
      <c r="TVJ44" s="57"/>
      <c r="TVK44" s="58"/>
      <c r="TVL44" s="59"/>
      <c r="TVM44" s="58"/>
      <c r="TVN44" s="59"/>
      <c r="TVO44" s="6"/>
      <c r="TVP44" s="7"/>
      <c r="TVQ44" s="8"/>
      <c r="TVR44" s="8"/>
      <c r="TVS44" s="6"/>
      <c r="TVT44" s="16"/>
      <c r="TVU44" s="16"/>
      <c r="TVV44" s="16"/>
      <c r="TVW44" s="16"/>
      <c r="TVX44" s="65"/>
      <c r="TVY44" s="66"/>
      <c r="TVZ44" s="67"/>
      <c r="TWA44" s="34"/>
      <c r="TWD44" s="5"/>
      <c r="TWE44" s="18"/>
      <c r="TWF44" s="56"/>
      <c r="TWG44" s="57"/>
      <c r="TWH44" s="58"/>
      <c r="TWI44" s="59"/>
      <c r="TWJ44" s="58"/>
      <c r="TWK44" s="59"/>
      <c r="TWL44" s="6"/>
      <c r="TWM44" s="7"/>
      <c r="TWN44" s="8"/>
      <c r="TWO44" s="8"/>
      <c r="TWP44" s="6"/>
      <c r="TWQ44" s="16"/>
      <c r="TWR44" s="16"/>
      <c r="TWS44" s="16"/>
      <c r="TWT44" s="16"/>
      <c r="TWU44" s="65"/>
      <c r="TWV44" s="66"/>
      <c r="TWW44" s="67"/>
      <c r="TWX44" s="34"/>
      <c r="TXA44" s="5"/>
      <c r="TXB44" s="18"/>
      <c r="TXC44" s="56"/>
      <c r="TXD44" s="57"/>
      <c r="TXE44" s="58"/>
      <c r="TXF44" s="59"/>
      <c r="TXG44" s="58"/>
      <c r="TXH44" s="59"/>
      <c r="TXI44" s="6"/>
      <c r="TXJ44" s="7"/>
      <c r="TXK44" s="8"/>
      <c r="TXL44" s="8"/>
      <c r="TXM44" s="6"/>
      <c r="TXN44" s="16"/>
      <c r="TXO44" s="16"/>
      <c r="TXP44" s="16"/>
      <c r="TXQ44" s="16"/>
      <c r="TXR44" s="65"/>
      <c r="TXS44" s="66"/>
      <c r="TXT44" s="67"/>
      <c r="TXU44" s="34"/>
      <c r="TXX44" s="5"/>
      <c r="TXY44" s="18"/>
      <c r="TXZ44" s="56"/>
      <c r="TYA44" s="57"/>
      <c r="TYB44" s="58"/>
      <c r="TYC44" s="59"/>
      <c r="TYD44" s="58"/>
      <c r="TYE44" s="59"/>
      <c r="TYF44" s="6"/>
      <c r="TYG44" s="7"/>
      <c r="TYH44" s="8"/>
      <c r="TYI44" s="8"/>
      <c r="TYJ44" s="6"/>
      <c r="TYK44" s="16"/>
      <c r="TYL44" s="16"/>
      <c r="TYM44" s="16"/>
      <c r="TYN44" s="16"/>
      <c r="TYO44" s="65"/>
      <c r="TYP44" s="66"/>
      <c r="TYQ44" s="67"/>
      <c r="TYR44" s="34"/>
      <c r="TYU44" s="5"/>
      <c r="TYV44" s="18"/>
      <c r="TYW44" s="56"/>
      <c r="TYX44" s="57"/>
      <c r="TYY44" s="58"/>
      <c r="TYZ44" s="59"/>
      <c r="TZA44" s="58"/>
      <c r="TZB44" s="59"/>
      <c r="TZC44" s="6"/>
      <c r="TZD44" s="7"/>
      <c r="TZE44" s="8"/>
      <c r="TZF44" s="8"/>
      <c r="TZG44" s="6"/>
      <c r="TZH44" s="16"/>
      <c r="TZI44" s="16"/>
      <c r="TZJ44" s="16"/>
      <c r="TZK44" s="16"/>
      <c r="TZL44" s="65"/>
      <c r="TZM44" s="66"/>
      <c r="TZN44" s="67"/>
      <c r="TZO44" s="34"/>
      <c r="TZR44" s="5"/>
      <c r="TZS44" s="18"/>
      <c r="TZT44" s="56"/>
      <c r="TZU44" s="57"/>
      <c r="TZV44" s="58"/>
      <c r="TZW44" s="59"/>
      <c r="TZX44" s="58"/>
      <c r="TZY44" s="59"/>
      <c r="TZZ44" s="6"/>
      <c r="UAA44" s="7"/>
      <c r="UAB44" s="8"/>
      <c r="UAC44" s="8"/>
      <c r="UAD44" s="6"/>
      <c r="UAE44" s="16"/>
      <c r="UAF44" s="16"/>
      <c r="UAG44" s="16"/>
      <c r="UAH44" s="16"/>
      <c r="UAI44" s="65"/>
      <c r="UAJ44" s="66"/>
      <c r="UAK44" s="67"/>
      <c r="UAL44" s="34"/>
      <c r="UAO44" s="5"/>
      <c r="UAP44" s="18"/>
      <c r="UAQ44" s="56"/>
      <c r="UAR44" s="57"/>
      <c r="UAS44" s="58"/>
      <c r="UAT44" s="59"/>
      <c r="UAU44" s="58"/>
      <c r="UAV44" s="59"/>
      <c r="UAW44" s="6"/>
      <c r="UAX44" s="7"/>
      <c r="UAY44" s="8"/>
      <c r="UAZ44" s="8"/>
      <c r="UBA44" s="6"/>
      <c r="UBB44" s="16"/>
      <c r="UBC44" s="16"/>
      <c r="UBD44" s="16"/>
      <c r="UBE44" s="16"/>
      <c r="UBF44" s="65"/>
      <c r="UBG44" s="66"/>
      <c r="UBH44" s="67"/>
      <c r="UBI44" s="34"/>
      <c r="UBL44" s="5"/>
      <c r="UBM44" s="18"/>
      <c r="UBN44" s="56"/>
      <c r="UBO44" s="57"/>
      <c r="UBP44" s="58"/>
      <c r="UBQ44" s="59"/>
      <c r="UBR44" s="58"/>
      <c r="UBS44" s="59"/>
      <c r="UBT44" s="6"/>
      <c r="UBU44" s="7"/>
      <c r="UBV44" s="8"/>
      <c r="UBW44" s="8"/>
      <c r="UBX44" s="6"/>
      <c r="UBY44" s="16"/>
      <c r="UBZ44" s="16"/>
      <c r="UCA44" s="16"/>
      <c r="UCB44" s="16"/>
      <c r="UCC44" s="65"/>
      <c r="UCD44" s="66"/>
      <c r="UCE44" s="67"/>
      <c r="UCF44" s="34"/>
      <c r="UCI44" s="5"/>
      <c r="UCJ44" s="18"/>
      <c r="UCK44" s="56"/>
      <c r="UCL44" s="57"/>
      <c r="UCM44" s="58"/>
      <c r="UCN44" s="59"/>
      <c r="UCO44" s="58"/>
      <c r="UCP44" s="59"/>
      <c r="UCQ44" s="6"/>
      <c r="UCR44" s="7"/>
      <c r="UCS44" s="8"/>
      <c r="UCT44" s="8"/>
      <c r="UCU44" s="6"/>
      <c r="UCV44" s="16"/>
      <c r="UCW44" s="16"/>
      <c r="UCX44" s="16"/>
      <c r="UCY44" s="16"/>
      <c r="UCZ44" s="65"/>
      <c r="UDA44" s="66"/>
      <c r="UDB44" s="67"/>
      <c r="UDC44" s="34"/>
      <c r="UDF44" s="5"/>
      <c r="UDG44" s="18"/>
      <c r="UDH44" s="56"/>
      <c r="UDI44" s="57"/>
      <c r="UDJ44" s="58"/>
      <c r="UDK44" s="59"/>
      <c r="UDL44" s="58"/>
      <c r="UDM44" s="59"/>
      <c r="UDN44" s="6"/>
      <c r="UDO44" s="7"/>
      <c r="UDP44" s="8"/>
      <c r="UDQ44" s="8"/>
      <c r="UDR44" s="6"/>
      <c r="UDS44" s="16"/>
      <c r="UDT44" s="16"/>
      <c r="UDU44" s="16"/>
      <c r="UDV44" s="16"/>
      <c r="UDW44" s="65"/>
      <c r="UDX44" s="66"/>
      <c r="UDY44" s="67"/>
      <c r="UDZ44" s="34"/>
      <c r="UEC44" s="5"/>
      <c r="UED44" s="18"/>
      <c r="UEE44" s="56"/>
      <c r="UEF44" s="57"/>
      <c r="UEG44" s="58"/>
      <c r="UEH44" s="59"/>
      <c r="UEI44" s="58"/>
      <c r="UEJ44" s="59"/>
      <c r="UEK44" s="6"/>
      <c r="UEL44" s="7"/>
      <c r="UEM44" s="8"/>
      <c r="UEN44" s="8"/>
      <c r="UEO44" s="6"/>
      <c r="UEP44" s="16"/>
      <c r="UEQ44" s="16"/>
      <c r="UER44" s="16"/>
      <c r="UES44" s="16"/>
      <c r="UET44" s="65"/>
      <c r="UEU44" s="66"/>
      <c r="UEV44" s="67"/>
      <c r="UEW44" s="34"/>
      <c r="UEZ44" s="5"/>
      <c r="UFA44" s="18"/>
      <c r="UFB44" s="56"/>
      <c r="UFC44" s="57"/>
      <c r="UFD44" s="58"/>
      <c r="UFE44" s="59"/>
      <c r="UFF44" s="58"/>
      <c r="UFG44" s="59"/>
      <c r="UFH44" s="6"/>
      <c r="UFI44" s="7"/>
      <c r="UFJ44" s="8"/>
      <c r="UFK44" s="8"/>
      <c r="UFL44" s="6"/>
      <c r="UFM44" s="16"/>
      <c r="UFN44" s="16"/>
      <c r="UFO44" s="16"/>
      <c r="UFP44" s="16"/>
      <c r="UFQ44" s="65"/>
      <c r="UFR44" s="66"/>
      <c r="UFS44" s="67"/>
      <c r="UFT44" s="34"/>
      <c r="UFW44" s="5"/>
      <c r="UFX44" s="18"/>
      <c r="UFY44" s="56"/>
      <c r="UFZ44" s="57"/>
      <c r="UGA44" s="58"/>
      <c r="UGB44" s="59"/>
      <c r="UGC44" s="58"/>
      <c r="UGD44" s="59"/>
      <c r="UGE44" s="6"/>
      <c r="UGF44" s="7"/>
      <c r="UGG44" s="8"/>
      <c r="UGH44" s="8"/>
      <c r="UGI44" s="6"/>
      <c r="UGJ44" s="16"/>
      <c r="UGK44" s="16"/>
      <c r="UGL44" s="16"/>
      <c r="UGM44" s="16"/>
      <c r="UGN44" s="65"/>
      <c r="UGO44" s="66"/>
      <c r="UGP44" s="67"/>
      <c r="UGQ44" s="34"/>
      <c r="UGT44" s="5"/>
      <c r="UGU44" s="18"/>
      <c r="UGV44" s="56"/>
      <c r="UGW44" s="57"/>
      <c r="UGX44" s="58"/>
      <c r="UGY44" s="59"/>
      <c r="UGZ44" s="58"/>
      <c r="UHA44" s="59"/>
      <c r="UHB44" s="6"/>
      <c r="UHC44" s="7"/>
      <c r="UHD44" s="8"/>
      <c r="UHE44" s="8"/>
      <c r="UHF44" s="6"/>
      <c r="UHG44" s="16"/>
      <c r="UHH44" s="16"/>
      <c r="UHI44" s="16"/>
      <c r="UHJ44" s="16"/>
      <c r="UHK44" s="65"/>
      <c r="UHL44" s="66"/>
      <c r="UHM44" s="67"/>
      <c r="UHN44" s="34"/>
      <c r="UHQ44" s="5"/>
      <c r="UHR44" s="18"/>
      <c r="UHS44" s="56"/>
      <c r="UHT44" s="57"/>
      <c r="UHU44" s="58"/>
      <c r="UHV44" s="59"/>
      <c r="UHW44" s="58"/>
      <c r="UHX44" s="59"/>
      <c r="UHY44" s="6"/>
      <c r="UHZ44" s="7"/>
      <c r="UIA44" s="8"/>
      <c r="UIB44" s="8"/>
      <c r="UIC44" s="6"/>
      <c r="UID44" s="16"/>
      <c r="UIE44" s="16"/>
      <c r="UIF44" s="16"/>
      <c r="UIG44" s="16"/>
      <c r="UIH44" s="65"/>
      <c r="UII44" s="66"/>
      <c r="UIJ44" s="67"/>
      <c r="UIK44" s="34"/>
      <c r="UIN44" s="5"/>
      <c r="UIO44" s="18"/>
      <c r="UIP44" s="56"/>
      <c r="UIQ44" s="57"/>
      <c r="UIR44" s="58"/>
      <c r="UIS44" s="59"/>
      <c r="UIT44" s="58"/>
      <c r="UIU44" s="59"/>
      <c r="UIV44" s="6"/>
      <c r="UIW44" s="7"/>
      <c r="UIX44" s="8"/>
      <c r="UIY44" s="8"/>
      <c r="UIZ44" s="6"/>
      <c r="UJA44" s="16"/>
      <c r="UJB44" s="16"/>
      <c r="UJC44" s="16"/>
      <c r="UJD44" s="16"/>
      <c r="UJE44" s="65"/>
      <c r="UJF44" s="66"/>
      <c r="UJG44" s="67"/>
      <c r="UJH44" s="34"/>
      <c r="UJK44" s="5"/>
      <c r="UJL44" s="18"/>
      <c r="UJM44" s="56"/>
      <c r="UJN44" s="57"/>
      <c r="UJO44" s="58"/>
      <c r="UJP44" s="59"/>
      <c r="UJQ44" s="58"/>
      <c r="UJR44" s="59"/>
      <c r="UJS44" s="6"/>
      <c r="UJT44" s="7"/>
      <c r="UJU44" s="8"/>
      <c r="UJV44" s="8"/>
      <c r="UJW44" s="6"/>
      <c r="UJX44" s="16"/>
      <c r="UJY44" s="16"/>
      <c r="UJZ44" s="16"/>
      <c r="UKA44" s="16"/>
      <c r="UKB44" s="65"/>
      <c r="UKC44" s="66"/>
      <c r="UKD44" s="67"/>
      <c r="UKE44" s="34"/>
      <c r="UKH44" s="5"/>
      <c r="UKI44" s="18"/>
      <c r="UKJ44" s="56"/>
      <c r="UKK44" s="57"/>
      <c r="UKL44" s="58"/>
      <c r="UKM44" s="59"/>
      <c r="UKN44" s="58"/>
      <c r="UKO44" s="59"/>
      <c r="UKP44" s="6"/>
      <c r="UKQ44" s="7"/>
      <c r="UKR44" s="8"/>
      <c r="UKS44" s="8"/>
      <c r="UKT44" s="6"/>
      <c r="UKU44" s="16"/>
      <c r="UKV44" s="16"/>
      <c r="UKW44" s="16"/>
      <c r="UKX44" s="16"/>
      <c r="UKY44" s="65"/>
      <c r="UKZ44" s="66"/>
      <c r="ULA44" s="67"/>
      <c r="ULB44" s="34"/>
      <c r="ULE44" s="5"/>
      <c r="ULF44" s="18"/>
      <c r="ULG44" s="56"/>
      <c r="ULH44" s="57"/>
      <c r="ULI44" s="58"/>
      <c r="ULJ44" s="59"/>
      <c r="ULK44" s="58"/>
      <c r="ULL44" s="59"/>
      <c r="ULM44" s="6"/>
      <c r="ULN44" s="7"/>
      <c r="ULO44" s="8"/>
      <c r="ULP44" s="8"/>
      <c r="ULQ44" s="6"/>
      <c r="ULR44" s="16"/>
      <c r="ULS44" s="16"/>
      <c r="ULT44" s="16"/>
      <c r="ULU44" s="16"/>
      <c r="ULV44" s="65"/>
      <c r="ULW44" s="66"/>
      <c r="ULX44" s="67"/>
      <c r="ULY44" s="34"/>
      <c r="UMB44" s="5"/>
      <c r="UMC44" s="18"/>
      <c r="UMD44" s="56"/>
      <c r="UME44" s="57"/>
      <c r="UMF44" s="58"/>
      <c r="UMG44" s="59"/>
      <c r="UMH44" s="58"/>
      <c r="UMI44" s="59"/>
      <c r="UMJ44" s="6"/>
      <c r="UMK44" s="7"/>
      <c r="UML44" s="8"/>
      <c r="UMM44" s="8"/>
      <c r="UMN44" s="6"/>
      <c r="UMO44" s="16"/>
      <c r="UMP44" s="16"/>
      <c r="UMQ44" s="16"/>
      <c r="UMR44" s="16"/>
      <c r="UMS44" s="65"/>
      <c r="UMT44" s="66"/>
      <c r="UMU44" s="67"/>
      <c r="UMV44" s="34"/>
      <c r="UMY44" s="5"/>
      <c r="UMZ44" s="18"/>
      <c r="UNA44" s="56"/>
      <c r="UNB44" s="57"/>
      <c r="UNC44" s="58"/>
      <c r="UND44" s="59"/>
      <c r="UNE44" s="58"/>
      <c r="UNF44" s="59"/>
      <c r="UNG44" s="6"/>
      <c r="UNH44" s="7"/>
      <c r="UNI44" s="8"/>
      <c r="UNJ44" s="8"/>
      <c r="UNK44" s="6"/>
      <c r="UNL44" s="16"/>
      <c r="UNM44" s="16"/>
      <c r="UNN44" s="16"/>
      <c r="UNO44" s="16"/>
      <c r="UNP44" s="65"/>
      <c r="UNQ44" s="66"/>
      <c r="UNR44" s="67"/>
      <c r="UNS44" s="34"/>
      <c r="UNV44" s="5"/>
      <c r="UNW44" s="18"/>
      <c r="UNX44" s="56"/>
      <c r="UNY44" s="57"/>
      <c r="UNZ44" s="58"/>
      <c r="UOA44" s="59"/>
      <c r="UOB44" s="58"/>
      <c r="UOC44" s="59"/>
      <c r="UOD44" s="6"/>
      <c r="UOE44" s="7"/>
      <c r="UOF44" s="8"/>
      <c r="UOG44" s="8"/>
      <c r="UOH44" s="6"/>
      <c r="UOI44" s="16"/>
      <c r="UOJ44" s="16"/>
      <c r="UOK44" s="16"/>
      <c r="UOL44" s="16"/>
      <c r="UOM44" s="65"/>
      <c r="UON44" s="66"/>
      <c r="UOO44" s="67"/>
      <c r="UOP44" s="34"/>
      <c r="UOS44" s="5"/>
      <c r="UOT44" s="18"/>
      <c r="UOU44" s="56"/>
      <c r="UOV44" s="57"/>
      <c r="UOW44" s="58"/>
      <c r="UOX44" s="59"/>
      <c r="UOY44" s="58"/>
      <c r="UOZ44" s="59"/>
      <c r="UPA44" s="6"/>
      <c r="UPB44" s="7"/>
      <c r="UPC44" s="8"/>
      <c r="UPD44" s="8"/>
      <c r="UPE44" s="6"/>
      <c r="UPF44" s="16"/>
      <c r="UPG44" s="16"/>
      <c r="UPH44" s="16"/>
      <c r="UPI44" s="16"/>
      <c r="UPJ44" s="65"/>
      <c r="UPK44" s="66"/>
      <c r="UPL44" s="67"/>
      <c r="UPM44" s="34"/>
      <c r="UPP44" s="5"/>
      <c r="UPQ44" s="18"/>
      <c r="UPR44" s="56"/>
      <c r="UPS44" s="57"/>
      <c r="UPT44" s="58"/>
      <c r="UPU44" s="59"/>
      <c r="UPV44" s="58"/>
      <c r="UPW44" s="59"/>
      <c r="UPX44" s="6"/>
      <c r="UPY44" s="7"/>
      <c r="UPZ44" s="8"/>
      <c r="UQA44" s="8"/>
      <c r="UQB44" s="6"/>
      <c r="UQC44" s="16"/>
      <c r="UQD44" s="16"/>
      <c r="UQE44" s="16"/>
      <c r="UQF44" s="16"/>
      <c r="UQG44" s="65"/>
      <c r="UQH44" s="66"/>
      <c r="UQI44" s="67"/>
      <c r="UQJ44" s="34"/>
      <c r="UQM44" s="5"/>
      <c r="UQN44" s="18"/>
      <c r="UQO44" s="56"/>
      <c r="UQP44" s="57"/>
      <c r="UQQ44" s="58"/>
      <c r="UQR44" s="59"/>
      <c r="UQS44" s="58"/>
      <c r="UQT44" s="59"/>
      <c r="UQU44" s="6"/>
      <c r="UQV44" s="7"/>
      <c r="UQW44" s="8"/>
      <c r="UQX44" s="8"/>
      <c r="UQY44" s="6"/>
      <c r="UQZ44" s="16"/>
      <c r="URA44" s="16"/>
      <c r="URB44" s="16"/>
      <c r="URC44" s="16"/>
      <c r="URD44" s="65"/>
      <c r="URE44" s="66"/>
      <c r="URF44" s="67"/>
      <c r="URG44" s="34"/>
      <c r="URJ44" s="5"/>
      <c r="URK44" s="18"/>
      <c r="URL44" s="56"/>
      <c r="URM44" s="57"/>
      <c r="URN44" s="58"/>
      <c r="URO44" s="59"/>
      <c r="URP44" s="58"/>
      <c r="URQ44" s="59"/>
      <c r="URR44" s="6"/>
      <c r="URS44" s="7"/>
      <c r="URT44" s="8"/>
      <c r="URU44" s="8"/>
      <c r="URV44" s="6"/>
      <c r="URW44" s="16"/>
      <c r="URX44" s="16"/>
      <c r="URY44" s="16"/>
      <c r="URZ44" s="16"/>
      <c r="USA44" s="65"/>
      <c r="USB44" s="66"/>
      <c r="USC44" s="67"/>
      <c r="USD44" s="34"/>
      <c r="USG44" s="5"/>
      <c r="USH44" s="18"/>
      <c r="USI44" s="56"/>
      <c r="USJ44" s="57"/>
      <c r="USK44" s="58"/>
      <c r="USL44" s="59"/>
      <c r="USM44" s="58"/>
      <c r="USN44" s="59"/>
      <c r="USO44" s="6"/>
      <c r="USP44" s="7"/>
      <c r="USQ44" s="8"/>
      <c r="USR44" s="8"/>
      <c r="USS44" s="6"/>
      <c r="UST44" s="16"/>
      <c r="USU44" s="16"/>
      <c r="USV44" s="16"/>
      <c r="USW44" s="16"/>
      <c r="USX44" s="65"/>
      <c r="USY44" s="66"/>
      <c r="USZ44" s="67"/>
      <c r="UTA44" s="34"/>
      <c r="UTD44" s="5"/>
      <c r="UTE44" s="18"/>
      <c r="UTF44" s="56"/>
      <c r="UTG44" s="57"/>
      <c r="UTH44" s="58"/>
      <c r="UTI44" s="59"/>
      <c r="UTJ44" s="58"/>
      <c r="UTK44" s="59"/>
      <c r="UTL44" s="6"/>
      <c r="UTM44" s="7"/>
      <c r="UTN44" s="8"/>
      <c r="UTO44" s="8"/>
      <c r="UTP44" s="6"/>
      <c r="UTQ44" s="16"/>
      <c r="UTR44" s="16"/>
      <c r="UTS44" s="16"/>
      <c r="UTT44" s="16"/>
      <c r="UTU44" s="65"/>
      <c r="UTV44" s="66"/>
      <c r="UTW44" s="67"/>
      <c r="UTX44" s="34"/>
      <c r="UUA44" s="5"/>
      <c r="UUB44" s="18"/>
      <c r="UUC44" s="56"/>
      <c r="UUD44" s="57"/>
      <c r="UUE44" s="58"/>
      <c r="UUF44" s="59"/>
      <c r="UUG44" s="58"/>
      <c r="UUH44" s="59"/>
      <c r="UUI44" s="6"/>
      <c r="UUJ44" s="7"/>
      <c r="UUK44" s="8"/>
      <c r="UUL44" s="8"/>
      <c r="UUM44" s="6"/>
      <c r="UUN44" s="16"/>
      <c r="UUO44" s="16"/>
      <c r="UUP44" s="16"/>
      <c r="UUQ44" s="16"/>
      <c r="UUR44" s="65"/>
      <c r="UUS44" s="66"/>
      <c r="UUT44" s="67"/>
      <c r="UUU44" s="34"/>
      <c r="UUX44" s="5"/>
      <c r="UUY44" s="18"/>
      <c r="UUZ44" s="56"/>
      <c r="UVA44" s="57"/>
      <c r="UVB44" s="58"/>
      <c r="UVC44" s="59"/>
      <c r="UVD44" s="58"/>
      <c r="UVE44" s="59"/>
      <c r="UVF44" s="6"/>
      <c r="UVG44" s="7"/>
      <c r="UVH44" s="8"/>
      <c r="UVI44" s="8"/>
      <c r="UVJ44" s="6"/>
      <c r="UVK44" s="16"/>
      <c r="UVL44" s="16"/>
      <c r="UVM44" s="16"/>
      <c r="UVN44" s="16"/>
      <c r="UVO44" s="65"/>
      <c r="UVP44" s="66"/>
      <c r="UVQ44" s="67"/>
      <c r="UVR44" s="34"/>
      <c r="UVU44" s="5"/>
      <c r="UVV44" s="18"/>
      <c r="UVW44" s="56"/>
      <c r="UVX44" s="57"/>
      <c r="UVY44" s="58"/>
      <c r="UVZ44" s="59"/>
      <c r="UWA44" s="58"/>
      <c r="UWB44" s="59"/>
      <c r="UWC44" s="6"/>
      <c r="UWD44" s="7"/>
      <c r="UWE44" s="8"/>
      <c r="UWF44" s="8"/>
      <c r="UWG44" s="6"/>
      <c r="UWH44" s="16"/>
      <c r="UWI44" s="16"/>
      <c r="UWJ44" s="16"/>
      <c r="UWK44" s="16"/>
      <c r="UWL44" s="65"/>
      <c r="UWM44" s="66"/>
      <c r="UWN44" s="67"/>
      <c r="UWO44" s="34"/>
      <c r="UWR44" s="5"/>
      <c r="UWS44" s="18"/>
      <c r="UWT44" s="56"/>
      <c r="UWU44" s="57"/>
      <c r="UWV44" s="58"/>
      <c r="UWW44" s="59"/>
      <c r="UWX44" s="58"/>
      <c r="UWY44" s="59"/>
      <c r="UWZ44" s="6"/>
      <c r="UXA44" s="7"/>
      <c r="UXB44" s="8"/>
      <c r="UXC44" s="8"/>
      <c r="UXD44" s="6"/>
      <c r="UXE44" s="16"/>
      <c r="UXF44" s="16"/>
      <c r="UXG44" s="16"/>
      <c r="UXH44" s="16"/>
      <c r="UXI44" s="65"/>
      <c r="UXJ44" s="66"/>
      <c r="UXK44" s="67"/>
      <c r="UXL44" s="34"/>
      <c r="UXO44" s="5"/>
      <c r="UXP44" s="18"/>
      <c r="UXQ44" s="56"/>
      <c r="UXR44" s="57"/>
      <c r="UXS44" s="58"/>
      <c r="UXT44" s="59"/>
      <c r="UXU44" s="58"/>
      <c r="UXV44" s="59"/>
      <c r="UXW44" s="6"/>
      <c r="UXX44" s="7"/>
      <c r="UXY44" s="8"/>
      <c r="UXZ44" s="8"/>
      <c r="UYA44" s="6"/>
      <c r="UYB44" s="16"/>
      <c r="UYC44" s="16"/>
      <c r="UYD44" s="16"/>
      <c r="UYE44" s="16"/>
      <c r="UYF44" s="65"/>
      <c r="UYG44" s="66"/>
      <c r="UYH44" s="67"/>
      <c r="UYI44" s="34"/>
      <c r="UYL44" s="5"/>
      <c r="UYM44" s="18"/>
      <c r="UYN44" s="56"/>
      <c r="UYO44" s="57"/>
      <c r="UYP44" s="58"/>
      <c r="UYQ44" s="59"/>
      <c r="UYR44" s="58"/>
      <c r="UYS44" s="59"/>
      <c r="UYT44" s="6"/>
      <c r="UYU44" s="7"/>
      <c r="UYV44" s="8"/>
      <c r="UYW44" s="8"/>
      <c r="UYX44" s="6"/>
      <c r="UYY44" s="16"/>
      <c r="UYZ44" s="16"/>
      <c r="UZA44" s="16"/>
      <c r="UZB44" s="16"/>
      <c r="UZC44" s="65"/>
      <c r="UZD44" s="66"/>
      <c r="UZE44" s="67"/>
      <c r="UZF44" s="34"/>
      <c r="UZI44" s="5"/>
      <c r="UZJ44" s="18"/>
      <c r="UZK44" s="56"/>
      <c r="UZL44" s="57"/>
      <c r="UZM44" s="58"/>
      <c r="UZN44" s="59"/>
      <c r="UZO44" s="58"/>
      <c r="UZP44" s="59"/>
      <c r="UZQ44" s="6"/>
      <c r="UZR44" s="7"/>
      <c r="UZS44" s="8"/>
      <c r="UZT44" s="8"/>
      <c r="UZU44" s="6"/>
      <c r="UZV44" s="16"/>
      <c r="UZW44" s="16"/>
      <c r="UZX44" s="16"/>
      <c r="UZY44" s="16"/>
      <c r="UZZ44" s="65"/>
      <c r="VAA44" s="66"/>
      <c r="VAB44" s="67"/>
      <c r="VAC44" s="34"/>
      <c r="VAF44" s="5"/>
      <c r="VAG44" s="18"/>
      <c r="VAH44" s="56"/>
      <c r="VAI44" s="57"/>
      <c r="VAJ44" s="58"/>
      <c r="VAK44" s="59"/>
      <c r="VAL44" s="58"/>
      <c r="VAM44" s="59"/>
      <c r="VAN44" s="6"/>
      <c r="VAO44" s="7"/>
      <c r="VAP44" s="8"/>
      <c r="VAQ44" s="8"/>
      <c r="VAR44" s="6"/>
      <c r="VAS44" s="16"/>
      <c r="VAT44" s="16"/>
      <c r="VAU44" s="16"/>
      <c r="VAV44" s="16"/>
      <c r="VAW44" s="65"/>
      <c r="VAX44" s="66"/>
      <c r="VAY44" s="67"/>
      <c r="VAZ44" s="34"/>
      <c r="VBC44" s="5"/>
      <c r="VBD44" s="18"/>
      <c r="VBE44" s="56"/>
      <c r="VBF44" s="57"/>
      <c r="VBG44" s="58"/>
      <c r="VBH44" s="59"/>
      <c r="VBI44" s="58"/>
      <c r="VBJ44" s="59"/>
      <c r="VBK44" s="6"/>
      <c r="VBL44" s="7"/>
      <c r="VBM44" s="8"/>
      <c r="VBN44" s="8"/>
      <c r="VBO44" s="6"/>
      <c r="VBP44" s="16"/>
      <c r="VBQ44" s="16"/>
      <c r="VBR44" s="16"/>
      <c r="VBS44" s="16"/>
      <c r="VBT44" s="65"/>
      <c r="VBU44" s="66"/>
      <c r="VBV44" s="67"/>
      <c r="VBW44" s="34"/>
      <c r="VBZ44" s="5"/>
      <c r="VCA44" s="18"/>
      <c r="VCB44" s="56"/>
      <c r="VCC44" s="57"/>
      <c r="VCD44" s="58"/>
      <c r="VCE44" s="59"/>
      <c r="VCF44" s="58"/>
      <c r="VCG44" s="59"/>
      <c r="VCH44" s="6"/>
      <c r="VCI44" s="7"/>
      <c r="VCJ44" s="8"/>
      <c r="VCK44" s="8"/>
      <c r="VCL44" s="6"/>
      <c r="VCM44" s="16"/>
      <c r="VCN44" s="16"/>
      <c r="VCO44" s="16"/>
      <c r="VCP44" s="16"/>
      <c r="VCQ44" s="65"/>
      <c r="VCR44" s="66"/>
      <c r="VCS44" s="67"/>
      <c r="VCT44" s="34"/>
      <c r="VCW44" s="5"/>
      <c r="VCX44" s="18"/>
      <c r="VCY44" s="56"/>
      <c r="VCZ44" s="57"/>
      <c r="VDA44" s="58"/>
      <c r="VDB44" s="59"/>
      <c r="VDC44" s="58"/>
      <c r="VDD44" s="59"/>
      <c r="VDE44" s="6"/>
      <c r="VDF44" s="7"/>
      <c r="VDG44" s="8"/>
      <c r="VDH44" s="8"/>
      <c r="VDI44" s="6"/>
      <c r="VDJ44" s="16"/>
      <c r="VDK44" s="16"/>
      <c r="VDL44" s="16"/>
      <c r="VDM44" s="16"/>
      <c r="VDN44" s="65"/>
      <c r="VDO44" s="66"/>
      <c r="VDP44" s="67"/>
      <c r="VDQ44" s="34"/>
      <c r="VDT44" s="5"/>
      <c r="VDU44" s="18"/>
      <c r="VDV44" s="56"/>
      <c r="VDW44" s="57"/>
      <c r="VDX44" s="58"/>
      <c r="VDY44" s="59"/>
      <c r="VDZ44" s="58"/>
      <c r="VEA44" s="59"/>
      <c r="VEB44" s="6"/>
      <c r="VEC44" s="7"/>
      <c r="VED44" s="8"/>
      <c r="VEE44" s="8"/>
      <c r="VEF44" s="6"/>
      <c r="VEG44" s="16"/>
      <c r="VEH44" s="16"/>
      <c r="VEI44" s="16"/>
      <c r="VEJ44" s="16"/>
      <c r="VEK44" s="65"/>
      <c r="VEL44" s="66"/>
      <c r="VEM44" s="67"/>
      <c r="VEN44" s="34"/>
      <c r="VEQ44" s="5"/>
      <c r="VER44" s="18"/>
      <c r="VES44" s="56"/>
      <c r="VET44" s="57"/>
      <c r="VEU44" s="58"/>
      <c r="VEV44" s="59"/>
      <c r="VEW44" s="58"/>
      <c r="VEX44" s="59"/>
      <c r="VEY44" s="6"/>
      <c r="VEZ44" s="7"/>
      <c r="VFA44" s="8"/>
      <c r="VFB44" s="8"/>
      <c r="VFC44" s="6"/>
      <c r="VFD44" s="16"/>
      <c r="VFE44" s="16"/>
      <c r="VFF44" s="16"/>
      <c r="VFG44" s="16"/>
      <c r="VFH44" s="65"/>
      <c r="VFI44" s="66"/>
      <c r="VFJ44" s="67"/>
      <c r="VFK44" s="34"/>
      <c r="VFN44" s="5"/>
      <c r="VFO44" s="18"/>
      <c r="VFP44" s="56"/>
      <c r="VFQ44" s="57"/>
      <c r="VFR44" s="58"/>
      <c r="VFS44" s="59"/>
      <c r="VFT44" s="58"/>
      <c r="VFU44" s="59"/>
      <c r="VFV44" s="6"/>
      <c r="VFW44" s="7"/>
      <c r="VFX44" s="8"/>
      <c r="VFY44" s="8"/>
      <c r="VFZ44" s="6"/>
      <c r="VGA44" s="16"/>
      <c r="VGB44" s="16"/>
      <c r="VGC44" s="16"/>
      <c r="VGD44" s="16"/>
      <c r="VGE44" s="65"/>
      <c r="VGF44" s="66"/>
      <c r="VGG44" s="67"/>
      <c r="VGH44" s="34"/>
      <c r="VGK44" s="5"/>
      <c r="VGL44" s="18"/>
      <c r="VGM44" s="56"/>
      <c r="VGN44" s="57"/>
      <c r="VGO44" s="58"/>
      <c r="VGP44" s="59"/>
      <c r="VGQ44" s="58"/>
      <c r="VGR44" s="59"/>
      <c r="VGS44" s="6"/>
      <c r="VGT44" s="7"/>
      <c r="VGU44" s="8"/>
      <c r="VGV44" s="8"/>
      <c r="VGW44" s="6"/>
      <c r="VGX44" s="16"/>
      <c r="VGY44" s="16"/>
      <c r="VGZ44" s="16"/>
      <c r="VHA44" s="16"/>
      <c r="VHB44" s="65"/>
      <c r="VHC44" s="66"/>
      <c r="VHD44" s="67"/>
      <c r="VHE44" s="34"/>
      <c r="VHH44" s="5"/>
      <c r="VHI44" s="18"/>
      <c r="VHJ44" s="56"/>
      <c r="VHK44" s="57"/>
      <c r="VHL44" s="58"/>
      <c r="VHM44" s="59"/>
      <c r="VHN44" s="58"/>
      <c r="VHO44" s="59"/>
      <c r="VHP44" s="6"/>
      <c r="VHQ44" s="7"/>
      <c r="VHR44" s="8"/>
      <c r="VHS44" s="8"/>
      <c r="VHT44" s="6"/>
      <c r="VHU44" s="16"/>
      <c r="VHV44" s="16"/>
      <c r="VHW44" s="16"/>
      <c r="VHX44" s="16"/>
      <c r="VHY44" s="65"/>
      <c r="VHZ44" s="66"/>
      <c r="VIA44" s="67"/>
      <c r="VIB44" s="34"/>
      <c r="VIE44" s="5"/>
      <c r="VIF44" s="18"/>
      <c r="VIG44" s="56"/>
      <c r="VIH44" s="57"/>
      <c r="VII44" s="58"/>
      <c r="VIJ44" s="59"/>
      <c r="VIK44" s="58"/>
      <c r="VIL44" s="59"/>
      <c r="VIM44" s="6"/>
      <c r="VIN44" s="7"/>
      <c r="VIO44" s="8"/>
      <c r="VIP44" s="8"/>
      <c r="VIQ44" s="6"/>
      <c r="VIR44" s="16"/>
      <c r="VIS44" s="16"/>
      <c r="VIT44" s="16"/>
      <c r="VIU44" s="16"/>
      <c r="VIV44" s="65"/>
      <c r="VIW44" s="66"/>
      <c r="VIX44" s="67"/>
      <c r="VIY44" s="34"/>
      <c r="VJB44" s="5"/>
      <c r="VJC44" s="18"/>
      <c r="VJD44" s="56"/>
      <c r="VJE44" s="57"/>
      <c r="VJF44" s="58"/>
      <c r="VJG44" s="59"/>
      <c r="VJH44" s="58"/>
      <c r="VJI44" s="59"/>
      <c r="VJJ44" s="6"/>
      <c r="VJK44" s="7"/>
      <c r="VJL44" s="8"/>
      <c r="VJM44" s="8"/>
      <c r="VJN44" s="6"/>
      <c r="VJO44" s="16"/>
      <c r="VJP44" s="16"/>
      <c r="VJQ44" s="16"/>
      <c r="VJR44" s="16"/>
      <c r="VJS44" s="65"/>
      <c r="VJT44" s="66"/>
      <c r="VJU44" s="67"/>
      <c r="VJV44" s="34"/>
      <c r="VJY44" s="5"/>
      <c r="VJZ44" s="18"/>
      <c r="VKA44" s="56"/>
      <c r="VKB44" s="57"/>
      <c r="VKC44" s="58"/>
      <c r="VKD44" s="59"/>
      <c r="VKE44" s="58"/>
      <c r="VKF44" s="59"/>
      <c r="VKG44" s="6"/>
      <c r="VKH44" s="7"/>
      <c r="VKI44" s="8"/>
      <c r="VKJ44" s="8"/>
      <c r="VKK44" s="6"/>
      <c r="VKL44" s="16"/>
      <c r="VKM44" s="16"/>
      <c r="VKN44" s="16"/>
      <c r="VKO44" s="16"/>
      <c r="VKP44" s="65"/>
      <c r="VKQ44" s="66"/>
      <c r="VKR44" s="67"/>
      <c r="VKS44" s="34"/>
      <c r="VKV44" s="5"/>
      <c r="VKW44" s="18"/>
      <c r="VKX44" s="56"/>
      <c r="VKY44" s="57"/>
      <c r="VKZ44" s="58"/>
      <c r="VLA44" s="59"/>
      <c r="VLB44" s="58"/>
      <c r="VLC44" s="59"/>
      <c r="VLD44" s="6"/>
      <c r="VLE44" s="7"/>
      <c r="VLF44" s="8"/>
      <c r="VLG44" s="8"/>
      <c r="VLH44" s="6"/>
      <c r="VLI44" s="16"/>
      <c r="VLJ44" s="16"/>
      <c r="VLK44" s="16"/>
      <c r="VLL44" s="16"/>
      <c r="VLM44" s="65"/>
      <c r="VLN44" s="66"/>
      <c r="VLO44" s="67"/>
      <c r="VLP44" s="34"/>
      <c r="VLS44" s="5"/>
      <c r="VLT44" s="18"/>
      <c r="VLU44" s="56"/>
      <c r="VLV44" s="57"/>
      <c r="VLW44" s="58"/>
      <c r="VLX44" s="59"/>
      <c r="VLY44" s="58"/>
      <c r="VLZ44" s="59"/>
      <c r="VMA44" s="6"/>
      <c r="VMB44" s="7"/>
      <c r="VMC44" s="8"/>
      <c r="VMD44" s="8"/>
      <c r="VME44" s="6"/>
      <c r="VMF44" s="16"/>
      <c r="VMG44" s="16"/>
      <c r="VMH44" s="16"/>
      <c r="VMI44" s="16"/>
      <c r="VMJ44" s="65"/>
      <c r="VMK44" s="66"/>
      <c r="VML44" s="67"/>
      <c r="VMM44" s="34"/>
      <c r="VMP44" s="5"/>
      <c r="VMQ44" s="18"/>
      <c r="VMR44" s="56"/>
      <c r="VMS44" s="57"/>
      <c r="VMT44" s="58"/>
      <c r="VMU44" s="59"/>
      <c r="VMV44" s="58"/>
      <c r="VMW44" s="59"/>
      <c r="VMX44" s="6"/>
      <c r="VMY44" s="7"/>
      <c r="VMZ44" s="8"/>
      <c r="VNA44" s="8"/>
      <c r="VNB44" s="6"/>
      <c r="VNC44" s="16"/>
      <c r="VND44" s="16"/>
      <c r="VNE44" s="16"/>
      <c r="VNF44" s="16"/>
      <c r="VNG44" s="65"/>
      <c r="VNH44" s="66"/>
      <c r="VNI44" s="67"/>
      <c r="VNJ44" s="34"/>
      <c r="VNM44" s="5"/>
      <c r="VNN44" s="18"/>
      <c r="VNO44" s="56"/>
      <c r="VNP44" s="57"/>
      <c r="VNQ44" s="58"/>
      <c r="VNR44" s="59"/>
      <c r="VNS44" s="58"/>
      <c r="VNT44" s="59"/>
      <c r="VNU44" s="6"/>
      <c r="VNV44" s="7"/>
      <c r="VNW44" s="8"/>
      <c r="VNX44" s="8"/>
      <c r="VNY44" s="6"/>
      <c r="VNZ44" s="16"/>
      <c r="VOA44" s="16"/>
      <c r="VOB44" s="16"/>
      <c r="VOC44" s="16"/>
      <c r="VOD44" s="65"/>
      <c r="VOE44" s="66"/>
      <c r="VOF44" s="67"/>
      <c r="VOG44" s="34"/>
      <c r="VOJ44" s="5"/>
      <c r="VOK44" s="18"/>
      <c r="VOL44" s="56"/>
      <c r="VOM44" s="57"/>
      <c r="VON44" s="58"/>
      <c r="VOO44" s="59"/>
      <c r="VOP44" s="58"/>
      <c r="VOQ44" s="59"/>
      <c r="VOR44" s="6"/>
      <c r="VOS44" s="7"/>
      <c r="VOT44" s="8"/>
      <c r="VOU44" s="8"/>
      <c r="VOV44" s="6"/>
      <c r="VOW44" s="16"/>
      <c r="VOX44" s="16"/>
      <c r="VOY44" s="16"/>
      <c r="VOZ44" s="16"/>
      <c r="VPA44" s="65"/>
      <c r="VPB44" s="66"/>
      <c r="VPC44" s="67"/>
      <c r="VPD44" s="34"/>
      <c r="VPG44" s="5"/>
      <c r="VPH44" s="18"/>
      <c r="VPI44" s="56"/>
      <c r="VPJ44" s="57"/>
      <c r="VPK44" s="58"/>
      <c r="VPL44" s="59"/>
      <c r="VPM44" s="58"/>
      <c r="VPN44" s="59"/>
      <c r="VPO44" s="6"/>
      <c r="VPP44" s="7"/>
      <c r="VPQ44" s="8"/>
      <c r="VPR44" s="8"/>
      <c r="VPS44" s="6"/>
      <c r="VPT44" s="16"/>
      <c r="VPU44" s="16"/>
      <c r="VPV44" s="16"/>
      <c r="VPW44" s="16"/>
      <c r="VPX44" s="65"/>
      <c r="VPY44" s="66"/>
      <c r="VPZ44" s="67"/>
      <c r="VQA44" s="34"/>
      <c r="VQD44" s="5"/>
      <c r="VQE44" s="18"/>
      <c r="VQF44" s="56"/>
      <c r="VQG44" s="57"/>
      <c r="VQH44" s="58"/>
      <c r="VQI44" s="59"/>
      <c r="VQJ44" s="58"/>
      <c r="VQK44" s="59"/>
      <c r="VQL44" s="6"/>
      <c r="VQM44" s="7"/>
      <c r="VQN44" s="8"/>
      <c r="VQO44" s="8"/>
      <c r="VQP44" s="6"/>
      <c r="VQQ44" s="16"/>
      <c r="VQR44" s="16"/>
      <c r="VQS44" s="16"/>
      <c r="VQT44" s="16"/>
      <c r="VQU44" s="65"/>
      <c r="VQV44" s="66"/>
      <c r="VQW44" s="67"/>
      <c r="VQX44" s="34"/>
      <c r="VRA44" s="5"/>
      <c r="VRB44" s="18"/>
      <c r="VRC44" s="56"/>
      <c r="VRD44" s="57"/>
      <c r="VRE44" s="58"/>
      <c r="VRF44" s="59"/>
      <c r="VRG44" s="58"/>
      <c r="VRH44" s="59"/>
      <c r="VRI44" s="6"/>
      <c r="VRJ44" s="7"/>
      <c r="VRK44" s="8"/>
      <c r="VRL44" s="8"/>
      <c r="VRM44" s="6"/>
      <c r="VRN44" s="16"/>
      <c r="VRO44" s="16"/>
      <c r="VRP44" s="16"/>
      <c r="VRQ44" s="16"/>
      <c r="VRR44" s="65"/>
      <c r="VRS44" s="66"/>
      <c r="VRT44" s="67"/>
      <c r="VRU44" s="34"/>
      <c r="VRX44" s="5"/>
      <c r="VRY44" s="18"/>
      <c r="VRZ44" s="56"/>
      <c r="VSA44" s="57"/>
      <c r="VSB44" s="58"/>
      <c r="VSC44" s="59"/>
      <c r="VSD44" s="58"/>
      <c r="VSE44" s="59"/>
      <c r="VSF44" s="6"/>
      <c r="VSG44" s="7"/>
      <c r="VSH44" s="8"/>
      <c r="VSI44" s="8"/>
      <c r="VSJ44" s="6"/>
      <c r="VSK44" s="16"/>
      <c r="VSL44" s="16"/>
      <c r="VSM44" s="16"/>
      <c r="VSN44" s="16"/>
      <c r="VSO44" s="65"/>
      <c r="VSP44" s="66"/>
      <c r="VSQ44" s="67"/>
      <c r="VSR44" s="34"/>
      <c r="VSU44" s="5"/>
      <c r="VSV44" s="18"/>
      <c r="VSW44" s="56"/>
      <c r="VSX44" s="57"/>
      <c r="VSY44" s="58"/>
      <c r="VSZ44" s="59"/>
      <c r="VTA44" s="58"/>
      <c r="VTB44" s="59"/>
      <c r="VTC44" s="6"/>
      <c r="VTD44" s="7"/>
      <c r="VTE44" s="8"/>
      <c r="VTF44" s="8"/>
      <c r="VTG44" s="6"/>
      <c r="VTH44" s="16"/>
      <c r="VTI44" s="16"/>
      <c r="VTJ44" s="16"/>
      <c r="VTK44" s="16"/>
      <c r="VTL44" s="65"/>
      <c r="VTM44" s="66"/>
      <c r="VTN44" s="67"/>
      <c r="VTO44" s="34"/>
      <c r="VTR44" s="5"/>
      <c r="VTS44" s="18"/>
      <c r="VTT44" s="56"/>
      <c r="VTU44" s="57"/>
      <c r="VTV44" s="58"/>
      <c r="VTW44" s="59"/>
      <c r="VTX44" s="58"/>
      <c r="VTY44" s="59"/>
      <c r="VTZ44" s="6"/>
      <c r="VUA44" s="7"/>
      <c r="VUB44" s="8"/>
      <c r="VUC44" s="8"/>
      <c r="VUD44" s="6"/>
      <c r="VUE44" s="16"/>
      <c r="VUF44" s="16"/>
      <c r="VUG44" s="16"/>
      <c r="VUH44" s="16"/>
      <c r="VUI44" s="65"/>
      <c r="VUJ44" s="66"/>
      <c r="VUK44" s="67"/>
      <c r="VUL44" s="34"/>
      <c r="VUO44" s="5"/>
      <c r="VUP44" s="18"/>
      <c r="VUQ44" s="56"/>
      <c r="VUR44" s="57"/>
      <c r="VUS44" s="58"/>
      <c r="VUT44" s="59"/>
      <c r="VUU44" s="58"/>
      <c r="VUV44" s="59"/>
      <c r="VUW44" s="6"/>
      <c r="VUX44" s="7"/>
      <c r="VUY44" s="8"/>
      <c r="VUZ44" s="8"/>
      <c r="VVA44" s="6"/>
      <c r="VVB44" s="16"/>
      <c r="VVC44" s="16"/>
      <c r="VVD44" s="16"/>
      <c r="VVE44" s="16"/>
      <c r="VVF44" s="65"/>
      <c r="VVG44" s="66"/>
      <c r="VVH44" s="67"/>
      <c r="VVI44" s="34"/>
      <c r="VVL44" s="5"/>
      <c r="VVM44" s="18"/>
      <c r="VVN44" s="56"/>
      <c r="VVO44" s="57"/>
      <c r="VVP44" s="58"/>
      <c r="VVQ44" s="59"/>
      <c r="VVR44" s="58"/>
      <c r="VVS44" s="59"/>
      <c r="VVT44" s="6"/>
      <c r="VVU44" s="7"/>
      <c r="VVV44" s="8"/>
      <c r="VVW44" s="8"/>
      <c r="VVX44" s="6"/>
      <c r="VVY44" s="16"/>
      <c r="VVZ44" s="16"/>
      <c r="VWA44" s="16"/>
      <c r="VWB44" s="16"/>
      <c r="VWC44" s="65"/>
      <c r="VWD44" s="66"/>
      <c r="VWE44" s="67"/>
      <c r="VWF44" s="34"/>
      <c r="VWI44" s="5"/>
      <c r="VWJ44" s="18"/>
      <c r="VWK44" s="56"/>
      <c r="VWL44" s="57"/>
      <c r="VWM44" s="58"/>
      <c r="VWN44" s="59"/>
      <c r="VWO44" s="58"/>
      <c r="VWP44" s="59"/>
      <c r="VWQ44" s="6"/>
      <c r="VWR44" s="7"/>
      <c r="VWS44" s="8"/>
      <c r="VWT44" s="8"/>
      <c r="VWU44" s="6"/>
      <c r="VWV44" s="16"/>
      <c r="VWW44" s="16"/>
      <c r="VWX44" s="16"/>
      <c r="VWY44" s="16"/>
      <c r="VWZ44" s="65"/>
      <c r="VXA44" s="66"/>
      <c r="VXB44" s="67"/>
      <c r="VXC44" s="34"/>
      <c r="VXF44" s="5"/>
      <c r="VXG44" s="18"/>
      <c r="VXH44" s="56"/>
      <c r="VXI44" s="57"/>
      <c r="VXJ44" s="58"/>
      <c r="VXK44" s="59"/>
      <c r="VXL44" s="58"/>
      <c r="VXM44" s="59"/>
      <c r="VXN44" s="6"/>
      <c r="VXO44" s="7"/>
      <c r="VXP44" s="8"/>
      <c r="VXQ44" s="8"/>
      <c r="VXR44" s="6"/>
      <c r="VXS44" s="16"/>
      <c r="VXT44" s="16"/>
      <c r="VXU44" s="16"/>
      <c r="VXV44" s="16"/>
      <c r="VXW44" s="65"/>
      <c r="VXX44" s="66"/>
      <c r="VXY44" s="67"/>
      <c r="VXZ44" s="34"/>
      <c r="VYC44" s="5"/>
      <c r="VYD44" s="18"/>
      <c r="VYE44" s="56"/>
      <c r="VYF44" s="57"/>
      <c r="VYG44" s="58"/>
      <c r="VYH44" s="59"/>
      <c r="VYI44" s="58"/>
      <c r="VYJ44" s="59"/>
      <c r="VYK44" s="6"/>
      <c r="VYL44" s="7"/>
      <c r="VYM44" s="8"/>
      <c r="VYN44" s="8"/>
      <c r="VYO44" s="6"/>
      <c r="VYP44" s="16"/>
      <c r="VYQ44" s="16"/>
      <c r="VYR44" s="16"/>
      <c r="VYS44" s="16"/>
      <c r="VYT44" s="65"/>
      <c r="VYU44" s="66"/>
      <c r="VYV44" s="67"/>
      <c r="VYW44" s="34"/>
      <c r="VYZ44" s="5"/>
      <c r="VZA44" s="18"/>
      <c r="VZB44" s="56"/>
      <c r="VZC44" s="57"/>
      <c r="VZD44" s="58"/>
      <c r="VZE44" s="59"/>
      <c r="VZF44" s="58"/>
      <c r="VZG44" s="59"/>
      <c r="VZH44" s="6"/>
      <c r="VZI44" s="7"/>
      <c r="VZJ44" s="8"/>
      <c r="VZK44" s="8"/>
      <c r="VZL44" s="6"/>
      <c r="VZM44" s="16"/>
      <c r="VZN44" s="16"/>
      <c r="VZO44" s="16"/>
      <c r="VZP44" s="16"/>
      <c r="VZQ44" s="65"/>
      <c r="VZR44" s="66"/>
      <c r="VZS44" s="67"/>
      <c r="VZT44" s="34"/>
      <c r="VZW44" s="5"/>
      <c r="VZX44" s="18"/>
      <c r="VZY44" s="56"/>
      <c r="VZZ44" s="57"/>
      <c r="WAA44" s="58"/>
      <c r="WAB44" s="59"/>
      <c r="WAC44" s="58"/>
      <c r="WAD44" s="59"/>
      <c r="WAE44" s="6"/>
      <c r="WAF44" s="7"/>
      <c r="WAG44" s="8"/>
      <c r="WAH44" s="8"/>
      <c r="WAI44" s="6"/>
      <c r="WAJ44" s="16"/>
      <c r="WAK44" s="16"/>
      <c r="WAL44" s="16"/>
      <c r="WAM44" s="16"/>
      <c r="WAN44" s="65"/>
      <c r="WAO44" s="66"/>
      <c r="WAP44" s="67"/>
      <c r="WAQ44" s="34"/>
      <c r="WAT44" s="5"/>
      <c r="WAU44" s="18"/>
      <c r="WAV44" s="56"/>
      <c r="WAW44" s="57"/>
      <c r="WAX44" s="58"/>
      <c r="WAY44" s="59"/>
      <c r="WAZ44" s="58"/>
      <c r="WBA44" s="59"/>
      <c r="WBB44" s="6"/>
      <c r="WBC44" s="7"/>
      <c r="WBD44" s="8"/>
      <c r="WBE44" s="8"/>
      <c r="WBF44" s="6"/>
      <c r="WBG44" s="16"/>
      <c r="WBH44" s="16"/>
      <c r="WBI44" s="16"/>
      <c r="WBJ44" s="16"/>
      <c r="WBK44" s="65"/>
      <c r="WBL44" s="66"/>
      <c r="WBM44" s="67"/>
      <c r="WBN44" s="34"/>
      <c r="WBQ44" s="5"/>
      <c r="WBR44" s="18"/>
      <c r="WBS44" s="56"/>
      <c r="WBT44" s="57"/>
      <c r="WBU44" s="58"/>
      <c r="WBV44" s="59"/>
      <c r="WBW44" s="58"/>
      <c r="WBX44" s="59"/>
      <c r="WBY44" s="6"/>
      <c r="WBZ44" s="7"/>
      <c r="WCA44" s="8"/>
      <c r="WCB44" s="8"/>
      <c r="WCC44" s="6"/>
      <c r="WCD44" s="16"/>
      <c r="WCE44" s="16"/>
      <c r="WCF44" s="16"/>
      <c r="WCG44" s="16"/>
      <c r="WCH44" s="65"/>
      <c r="WCI44" s="66"/>
      <c r="WCJ44" s="67"/>
      <c r="WCK44" s="34"/>
      <c r="WCN44" s="5"/>
      <c r="WCO44" s="18"/>
      <c r="WCP44" s="56"/>
      <c r="WCQ44" s="57"/>
      <c r="WCR44" s="58"/>
      <c r="WCS44" s="59"/>
      <c r="WCT44" s="58"/>
      <c r="WCU44" s="59"/>
      <c r="WCV44" s="6"/>
      <c r="WCW44" s="7"/>
      <c r="WCX44" s="8"/>
      <c r="WCY44" s="8"/>
      <c r="WCZ44" s="6"/>
      <c r="WDA44" s="16"/>
      <c r="WDB44" s="16"/>
      <c r="WDC44" s="16"/>
      <c r="WDD44" s="16"/>
      <c r="WDE44" s="65"/>
      <c r="WDF44" s="66"/>
      <c r="WDG44" s="67"/>
      <c r="WDH44" s="34"/>
      <c r="WDK44" s="5"/>
      <c r="WDL44" s="18"/>
      <c r="WDM44" s="56"/>
      <c r="WDN44" s="57"/>
      <c r="WDO44" s="58"/>
      <c r="WDP44" s="59"/>
      <c r="WDQ44" s="58"/>
      <c r="WDR44" s="59"/>
      <c r="WDS44" s="6"/>
      <c r="WDT44" s="7"/>
      <c r="WDU44" s="8"/>
      <c r="WDV44" s="8"/>
      <c r="WDW44" s="6"/>
      <c r="WDX44" s="16"/>
      <c r="WDY44" s="16"/>
      <c r="WDZ44" s="16"/>
      <c r="WEA44" s="16"/>
      <c r="WEB44" s="65"/>
      <c r="WEC44" s="66"/>
      <c r="WED44" s="67"/>
      <c r="WEE44" s="34"/>
      <c r="WEH44" s="5"/>
      <c r="WEI44" s="18"/>
      <c r="WEJ44" s="56"/>
      <c r="WEK44" s="57"/>
      <c r="WEL44" s="58"/>
      <c r="WEM44" s="59"/>
      <c r="WEN44" s="58"/>
      <c r="WEO44" s="59"/>
      <c r="WEP44" s="6"/>
      <c r="WEQ44" s="7"/>
      <c r="WER44" s="8"/>
      <c r="WES44" s="8"/>
      <c r="WET44" s="6"/>
      <c r="WEU44" s="16"/>
      <c r="WEV44" s="16"/>
      <c r="WEW44" s="16"/>
      <c r="WEX44" s="16"/>
      <c r="WEY44" s="65"/>
      <c r="WEZ44" s="66"/>
      <c r="WFA44" s="67"/>
      <c r="WFB44" s="34"/>
      <c r="WFE44" s="5"/>
      <c r="WFF44" s="18"/>
      <c r="WFG44" s="56"/>
      <c r="WFH44" s="57"/>
      <c r="WFI44" s="58"/>
      <c r="WFJ44" s="59"/>
      <c r="WFK44" s="58"/>
      <c r="WFL44" s="59"/>
      <c r="WFM44" s="6"/>
      <c r="WFN44" s="7"/>
      <c r="WFO44" s="8"/>
      <c r="WFP44" s="8"/>
      <c r="WFQ44" s="6"/>
      <c r="WFR44" s="16"/>
      <c r="WFS44" s="16"/>
      <c r="WFT44" s="16"/>
      <c r="WFU44" s="16"/>
      <c r="WFV44" s="65"/>
      <c r="WFW44" s="66"/>
      <c r="WFX44" s="67"/>
      <c r="WFY44" s="34"/>
      <c r="WGB44" s="5"/>
      <c r="WGC44" s="18"/>
      <c r="WGD44" s="56"/>
      <c r="WGE44" s="57"/>
      <c r="WGF44" s="58"/>
      <c r="WGG44" s="59"/>
      <c r="WGH44" s="58"/>
      <c r="WGI44" s="59"/>
      <c r="WGJ44" s="6"/>
      <c r="WGK44" s="7"/>
      <c r="WGL44" s="8"/>
      <c r="WGM44" s="8"/>
      <c r="WGN44" s="6"/>
      <c r="WGO44" s="16"/>
      <c r="WGP44" s="16"/>
      <c r="WGQ44" s="16"/>
      <c r="WGR44" s="16"/>
      <c r="WGS44" s="65"/>
      <c r="WGT44" s="66"/>
      <c r="WGU44" s="67"/>
      <c r="WGV44" s="34"/>
      <c r="WGY44" s="5"/>
      <c r="WGZ44" s="18"/>
      <c r="WHA44" s="56"/>
      <c r="WHB44" s="57"/>
      <c r="WHC44" s="58"/>
      <c r="WHD44" s="59"/>
      <c r="WHE44" s="58"/>
      <c r="WHF44" s="59"/>
      <c r="WHG44" s="6"/>
      <c r="WHH44" s="7"/>
      <c r="WHI44" s="8"/>
      <c r="WHJ44" s="8"/>
      <c r="WHK44" s="6"/>
      <c r="WHL44" s="16"/>
      <c r="WHM44" s="16"/>
      <c r="WHN44" s="16"/>
      <c r="WHO44" s="16"/>
      <c r="WHP44" s="65"/>
      <c r="WHQ44" s="66"/>
      <c r="WHR44" s="67"/>
      <c r="WHS44" s="34"/>
      <c r="WHV44" s="5"/>
      <c r="WHW44" s="18"/>
      <c r="WHX44" s="56"/>
      <c r="WHY44" s="57"/>
      <c r="WHZ44" s="58"/>
      <c r="WIA44" s="59"/>
      <c r="WIB44" s="58"/>
      <c r="WIC44" s="59"/>
      <c r="WID44" s="6"/>
      <c r="WIE44" s="7"/>
      <c r="WIF44" s="8"/>
      <c r="WIG44" s="8"/>
      <c r="WIH44" s="6"/>
      <c r="WII44" s="16"/>
      <c r="WIJ44" s="16"/>
      <c r="WIK44" s="16"/>
      <c r="WIL44" s="16"/>
      <c r="WIM44" s="65"/>
      <c r="WIN44" s="66"/>
      <c r="WIO44" s="67"/>
      <c r="WIP44" s="34"/>
      <c r="WIS44" s="5"/>
      <c r="WIT44" s="18"/>
      <c r="WIU44" s="56"/>
      <c r="WIV44" s="57"/>
      <c r="WIW44" s="58"/>
      <c r="WIX44" s="59"/>
      <c r="WIY44" s="58"/>
      <c r="WIZ44" s="59"/>
      <c r="WJA44" s="6"/>
      <c r="WJB44" s="7"/>
      <c r="WJC44" s="8"/>
      <c r="WJD44" s="8"/>
      <c r="WJE44" s="6"/>
      <c r="WJF44" s="16"/>
      <c r="WJG44" s="16"/>
      <c r="WJH44" s="16"/>
      <c r="WJI44" s="16"/>
      <c r="WJJ44" s="65"/>
      <c r="WJK44" s="66"/>
      <c r="WJL44" s="67"/>
      <c r="WJM44" s="34"/>
      <c r="WJP44" s="5"/>
      <c r="WJQ44" s="18"/>
      <c r="WJR44" s="56"/>
      <c r="WJS44" s="57"/>
      <c r="WJT44" s="58"/>
      <c r="WJU44" s="59"/>
      <c r="WJV44" s="58"/>
      <c r="WJW44" s="59"/>
      <c r="WJX44" s="6"/>
      <c r="WJY44" s="7"/>
      <c r="WJZ44" s="8"/>
      <c r="WKA44" s="8"/>
      <c r="WKB44" s="6"/>
      <c r="WKC44" s="16"/>
      <c r="WKD44" s="16"/>
      <c r="WKE44" s="16"/>
      <c r="WKF44" s="16"/>
      <c r="WKG44" s="65"/>
      <c r="WKH44" s="66"/>
      <c r="WKI44" s="67"/>
      <c r="WKJ44" s="34"/>
      <c r="WKM44" s="5"/>
      <c r="WKN44" s="18"/>
      <c r="WKO44" s="56"/>
      <c r="WKP44" s="57"/>
      <c r="WKQ44" s="58"/>
      <c r="WKR44" s="59"/>
      <c r="WKS44" s="58"/>
      <c r="WKT44" s="59"/>
      <c r="WKU44" s="6"/>
      <c r="WKV44" s="7"/>
      <c r="WKW44" s="8"/>
      <c r="WKX44" s="8"/>
      <c r="WKY44" s="6"/>
      <c r="WKZ44" s="16"/>
      <c r="WLA44" s="16"/>
      <c r="WLB44" s="16"/>
      <c r="WLC44" s="16"/>
      <c r="WLD44" s="65"/>
      <c r="WLE44" s="66"/>
      <c r="WLF44" s="67"/>
      <c r="WLG44" s="34"/>
      <c r="WLJ44" s="5"/>
      <c r="WLK44" s="18"/>
      <c r="WLL44" s="56"/>
      <c r="WLM44" s="57"/>
      <c r="WLN44" s="58"/>
      <c r="WLO44" s="59"/>
      <c r="WLP44" s="58"/>
      <c r="WLQ44" s="59"/>
      <c r="WLR44" s="6"/>
      <c r="WLS44" s="7"/>
      <c r="WLT44" s="8"/>
      <c r="WLU44" s="8"/>
      <c r="WLV44" s="6"/>
      <c r="WLW44" s="16"/>
      <c r="WLX44" s="16"/>
      <c r="WLY44" s="16"/>
      <c r="WLZ44" s="16"/>
      <c r="WMA44" s="65"/>
      <c r="WMB44" s="66"/>
      <c r="WMC44" s="67"/>
      <c r="WMD44" s="34"/>
      <c r="WMG44" s="5"/>
      <c r="WMH44" s="18"/>
      <c r="WMI44" s="56"/>
      <c r="WMJ44" s="57"/>
      <c r="WMK44" s="58"/>
      <c r="WML44" s="59"/>
      <c r="WMM44" s="58"/>
      <c r="WMN44" s="59"/>
      <c r="WMO44" s="6"/>
      <c r="WMP44" s="7"/>
      <c r="WMQ44" s="8"/>
      <c r="WMR44" s="8"/>
      <c r="WMS44" s="6"/>
      <c r="WMT44" s="16"/>
      <c r="WMU44" s="16"/>
      <c r="WMV44" s="16"/>
      <c r="WMW44" s="16"/>
      <c r="WMX44" s="65"/>
      <c r="WMY44" s="66"/>
      <c r="WMZ44" s="67"/>
      <c r="WNA44" s="34"/>
      <c r="WND44" s="5"/>
      <c r="WNE44" s="18"/>
      <c r="WNF44" s="56"/>
      <c r="WNG44" s="57"/>
      <c r="WNH44" s="58"/>
      <c r="WNI44" s="59"/>
      <c r="WNJ44" s="58"/>
      <c r="WNK44" s="59"/>
      <c r="WNL44" s="6"/>
      <c r="WNM44" s="7"/>
      <c r="WNN44" s="8"/>
      <c r="WNO44" s="8"/>
      <c r="WNP44" s="6"/>
      <c r="WNQ44" s="16"/>
      <c r="WNR44" s="16"/>
      <c r="WNS44" s="16"/>
      <c r="WNT44" s="16"/>
      <c r="WNU44" s="65"/>
      <c r="WNV44" s="66"/>
      <c r="WNW44" s="67"/>
      <c r="WNX44" s="34"/>
      <c r="WOA44" s="5"/>
      <c r="WOB44" s="18"/>
      <c r="WOC44" s="56"/>
      <c r="WOD44" s="57"/>
      <c r="WOE44" s="58"/>
      <c r="WOF44" s="59"/>
      <c r="WOG44" s="58"/>
      <c r="WOH44" s="59"/>
      <c r="WOI44" s="6"/>
      <c r="WOJ44" s="7"/>
      <c r="WOK44" s="8"/>
      <c r="WOL44" s="8"/>
      <c r="WOM44" s="6"/>
      <c r="WON44" s="16"/>
      <c r="WOO44" s="16"/>
      <c r="WOP44" s="16"/>
      <c r="WOQ44" s="16"/>
      <c r="WOR44" s="65"/>
      <c r="WOS44" s="66"/>
      <c r="WOT44" s="67"/>
      <c r="WOU44" s="34"/>
      <c r="WOX44" s="5"/>
      <c r="WOY44" s="18"/>
      <c r="WOZ44" s="56"/>
      <c r="WPA44" s="57"/>
      <c r="WPB44" s="58"/>
      <c r="WPC44" s="59"/>
      <c r="WPD44" s="58"/>
      <c r="WPE44" s="59"/>
      <c r="WPF44" s="6"/>
      <c r="WPG44" s="7"/>
      <c r="WPH44" s="8"/>
      <c r="WPI44" s="8"/>
      <c r="WPJ44" s="6"/>
      <c r="WPK44" s="16"/>
      <c r="WPL44" s="16"/>
      <c r="WPM44" s="16"/>
      <c r="WPN44" s="16"/>
      <c r="WPO44" s="65"/>
      <c r="WPP44" s="66"/>
      <c r="WPQ44" s="67"/>
      <c r="WPR44" s="34"/>
      <c r="WPU44" s="5"/>
      <c r="WPV44" s="18"/>
      <c r="WPW44" s="56"/>
      <c r="WPX44" s="57"/>
      <c r="WPY44" s="58"/>
      <c r="WPZ44" s="59"/>
      <c r="WQA44" s="58"/>
      <c r="WQB44" s="59"/>
      <c r="WQC44" s="6"/>
      <c r="WQD44" s="7"/>
      <c r="WQE44" s="8"/>
      <c r="WQF44" s="8"/>
      <c r="WQG44" s="6"/>
      <c r="WQH44" s="16"/>
      <c r="WQI44" s="16"/>
      <c r="WQJ44" s="16"/>
      <c r="WQK44" s="16"/>
      <c r="WQL44" s="65"/>
      <c r="WQM44" s="66"/>
      <c r="WQN44" s="67"/>
      <c r="WQO44" s="34"/>
      <c r="WQR44" s="5"/>
      <c r="WQS44" s="18"/>
      <c r="WQT44" s="56"/>
      <c r="WQU44" s="57"/>
      <c r="WQV44" s="58"/>
      <c r="WQW44" s="59"/>
      <c r="WQX44" s="58"/>
      <c r="WQY44" s="59"/>
      <c r="WQZ44" s="6"/>
      <c r="WRA44" s="7"/>
      <c r="WRB44" s="8"/>
      <c r="WRC44" s="8"/>
      <c r="WRD44" s="6"/>
      <c r="WRE44" s="16"/>
      <c r="WRF44" s="16"/>
      <c r="WRG44" s="16"/>
      <c r="WRH44" s="16"/>
      <c r="WRI44" s="65"/>
      <c r="WRJ44" s="66"/>
      <c r="WRK44" s="67"/>
      <c r="WRL44" s="34"/>
      <c r="WRO44" s="5"/>
      <c r="WRP44" s="18"/>
      <c r="WRQ44" s="56"/>
      <c r="WRR44" s="57"/>
      <c r="WRS44" s="58"/>
      <c r="WRT44" s="59"/>
      <c r="WRU44" s="58"/>
      <c r="WRV44" s="59"/>
      <c r="WRW44" s="6"/>
      <c r="WRX44" s="7"/>
      <c r="WRY44" s="8"/>
      <c r="WRZ44" s="8"/>
      <c r="WSA44" s="6"/>
      <c r="WSB44" s="16"/>
      <c r="WSC44" s="16"/>
      <c r="WSD44" s="16"/>
      <c r="WSE44" s="16"/>
      <c r="WSF44" s="65"/>
      <c r="WSG44" s="66"/>
      <c r="WSH44" s="67"/>
      <c r="WSI44" s="34"/>
      <c r="WSL44" s="5"/>
      <c r="WSM44" s="18"/>
      <c r="WSN44" s="56"/>
      <c r="WSO44" s="57"/>
      <c r="WSP44" s="58"/>
      <c r="WSQ44" s="59"/>
      <c r="WSR44" s="58"/>
      <c r="WSS44" s="59"/>
      <c r="WST44" s="6"/>
      <c r="WSU44" s="7"/>
      <c r="WSV44" s="8"/>
      <c r="WSW44" s="8"/>
      <c r="WSX44" s="6"/>
      <c r="WSY44" s="16"/>
      <c r="WSZ44" s="16"/>
      <c r="WTA44" s="16"/>
      <c r="WTB44" s="16"/>
      <c r="WTC44" s="65"/>
      <c r="WTD44" s="66"/>
      <c r="WTE44" s="67"/>
      <c r="WTF44" s="34"/>
      <c r="WTI44" s="5"/>
      <c r="WTJ44" s="18"/>
      <c r="WTK44" s="56"/>
      <c r="WTL44" s="57"/>
      <c r="WTM44" s="58"/>
      <c r="WTN44" s="59"/>
      <c r="WTO44" s="58"/>
      <c r="WTP44" s="59"/>
      <c r="WTQ44" s="6"/>
      <c r="WTR44" s="7"/>
      <c r="WTS44" s="8"/>
      <c r="WTT44" s="8"/>
      <c r="WTU44" s="6"/>
      <c r="WTV44" s="16"/>
      <c r="WTW44" s="16"/>
      <c r="WTX44" s="16"/>
      <c r="WTY44" s="16"/>
      <c r="WTZ44" s="65"/>
      <c r="WUA44" s="66"/>
      <c r="WUB44" s="67"/>
      <c r="WUC44" s="34"/>
      <c r="WUF44" s="5"/>
      <c r="WUG44" s="18"/>
      <c r="WUH44" s="56"/>
      <c r="WUI44" s="57"/>
      <c r="WUJ44" s="58"/>
      <c r="WUK44" s="59"/>
      <c r="WUL44" s="58"/>
      <c r="WUM44" s="59"/>
      <c r="WUN44" s="6"/>
      <c r="WUO44" s="7"/>
      <c r="WUP44" s="8"/>
      <c r="WUQ44" s="8"/>
      <c r="WUR44" s="6"/>
      <c r="WUS44" s="16"/>
      <c r="WUT44" s="16"/>
      <c r="WUU44" s="16"/>
      <c r="WUV44" s="16"/>
      <c r="WUW44" s="65"/>
      <c r="WUX44" s="66"/>
      <c r="WUY44" s="67"/>
      <c r="WUZ44" s="34"/>
      <c r="WVC44" s="5"/>
      <c r="WVD44" s="18"/>
      <c r="WVE44" s="56"/>
      <c r="WVF44" s="57"/>
      <c r="WVG44" s="58"/>
      <c r="WVH44" s="59"/>
      <c r="WVI44" s="58"/>
      <c r="WVJ44" s="59"/>
      <c r="WVK44" s="6"/>
      <c r="WVL44" s="7"/>
      <c r="WVM44" s="8"/>
      <c r="WVN44" s="8"/>
      <c r="WVO44" s="6"/>
      <c r="WVP44" s="16"/>
      <c r="WVQ44" s="16"/>
      <c r="WVR44" s="16"/>
      <c r="WVS44" s="16"/>
      <c r="WVT44" s="65"/>
      <c r="WVU44" s="66"/>
      <c r="WVV44" s="67"/>
      <c r="WVW44" s="34"/>
      <c r="WVZ44" s="5"/>
      <c r="WWA44" s="18"/>
      <c r="WWB44" s="56"/>
      <c r="WWC44" s="57"/>
      <c r="WWD44" s="58"/>
      <c r="WWE44" s="59"/>
      <c r="WWF44" s="58"/>
      <c r="WWG44" s="59"/>
      <c r="WWH44" s="6"/>
      <c r="WWI44" s="7"/>
      <c r="WWJ44" s="8"/>
      <c r="WWK44" s="8"/>
      <c r="WWL44" s="6"/>
      <c r="WWM44" s="16"/>
      <c r="WWN44" s="16"/>
      <c r="WWO44" s="16"/>
      <c r="WWP44" s="16"/>
      <c r="WWQ44" s="65"/>
      <c r="WWR44" s="66"/>
      <c r="WWS44" s="67"/>
      <c r="WWT44" s="34"/>
      <c r="WWW44" s="5"/>
      <c r="WWX44" s="18"/>
      <c r="WWY44" s="56"/>
      <c r="WWZ44" s="57"/>
      <c r="WXA44" s="58"/>
      <c r="WXB44" s="59"/>
      <c r="WXC44" s="58"/>
      <c r="WXD44" s="59"/>
      <c r="WXE44" s="6"/>
      <c r="WXF44" s="7"/>
      <c r="WXG44" s="8"/>
      <c r="WXH44" s="8"/>
      <c r="WXI44" s="6"/>
      <c r="WXJ44" s="16"/>
      <c r="WXK44" s="16"/>
      <c r="WXL44" s="16"/>
      <c r="WXM44" s="16"/>
      <c r="WXN44" s="65"/>
      <c r="WXO44" s="66"/>
      <c r="WXP44" s="67"/>
      <c r="WXQ44" s="34"/>
      <c r="WXT44" s="5"/>
      <c r="WXU44" s="18"/>
      <c r="WXV44" s="56"/>
      <c r="WXW44" s="57"/>
      <c r="WXX44" s="58"/>
      <c r="WXY44" s="59"/>
      <c r="WXZ44" s="58"/>
      <c r="WYA44" s="59"/>
      <c r="WYB44" s="6"/>
      <c r="WYC44" s="7"/>
      <c r="WYD44" s="8"/>
      <c r="WYE44" s="8"/>
      <c r="WYF44" s="6"/>
      <c r="WYG44" s="16"/>
      <c r="WYH44" s="16"/>
      <c r="WYI44" s="16"/>
      <c r="WYJ44" s="16"/>
      <c r="WYK44" s="65"/>
      <c r="WYL44" s="66"/>
      <c r="WYM44" s="67"/>
      <c r="WYN44" s="34"/>
      <c r="WYQ44" s="5"/>
      <c r="WYR44" s="18"/>
      <c r="WYS44" s="56"/>
      <c r="WYT44" s="57"/>
      <c r="WYU44" s="58"/>
      <c r="WYV44" s="59"/>
      <c r="WYW44" s="58"/>
      <c r="WYX44" s="59"/>
      <c r="WYY44" s="6"/>
      <c r="WYZ44" s="7"/>
      <c r="WZA44" s="8"/>
      <c r="WZB44" s="8"/>
      <c r="WZC44" s="6"/>
      <c r="WZD44" s="16"/>
      <c r="WZE44" s="16"/>
      <c r="WZF44" s="16"/>
      <c r="WZG44" s="16"/>
      <c r="WZH44" s="65"/>
      <c r="WZI44" s="66"/>
      <c r="WZJ44" s="67"/>
      <c r="WZK44" s="34"/>
      <c r="WZN44" s="5"/>
      <c r="WZO44" s="18"/>
      <c r="WZP44" s="56"/>
      <c r="WZQ44" s="57"/>
      <c r="WZR44" s="58"/>
      <c r="WZS44" s="59"/>
      <c r="WZT44" s="58"/>
      <c r="WZU44" s="59"/>
      <c r="WZV44" s="6"/>
      <c r="WZW44" s="7"/>
      <c r="WZX44" s="8"/>
      <c r="WZY44" s="8"/>
      <c r="WZZ44" s="6"/>
      <c r="XAA44" s="16"/>
      <c r="XAB44" s="16"/>
      <c r="XAC44" s="16"/>
      <c r="XAD44" s="16"/>
      <c r="XAE44" s="65"/>
      <c r="XAF44" s="66"/>
      <c r="XAG44" s="67"/>
      <c r="XAH44" s="34"/>
      <c r="XAK44" s="5"/>
      <c r="XAL44" s="18"/>
      <c r="XAM44" s="56"/>
      <c r="XAN44" s="57"/>
      <c r="XAO44" s="58"/>
      <c r="XAP44" s="59"/>
      <c r="XAQ44" s="58"/>
      <c r="XAR44" s="59"/>
      <c r="XAS44" s="6"/>
      <c r="XAT44" s="7"/>
      <c r="XAU44" s="8"/>
      <c r="XAV44" s="8"/>
      <c r="XAW44" s="6"/>
      <c r="XAX44" s="16"/>
      <c r="XAY44" s="16"/>
      <c r="XAZ44" s="16"/>
      <c r="XBA44" s="16"/>
      <c r="XBB44" s="65"/>
      <c r="XBC44" s="66"/>
      <c r="XBD44" s="67"/>
      <c r="XBE44" s="34"/>
      <c r="XBH44" s="5"/>
      <c r="XBI44" s="18"/>
      <c r="XBJ44" s="56"/>
      <c r="XBK44" s="57"/>
      <c r="XBL44" s="58"/>
      <c r="XBM44" s="59"/>
      <c r="XBN44" s="58"/>
      <c r="XBO44" s="59"/>
      <c r="XBP44" s="6"/>
      <c r="XBQ44" s="7"/>
      <c r="XBR44" s="8"/>
      <c r="XBS44" s="8"/>
      <c r="XBT44" s="6"/>
      <c r="XBU44" s="16"/>
      <c r="XBV44" s="16"/>
      <c r="XBW44" s="16"/>
      <c r="XBX44" s="16"/>
      <c r="XBY44" s="65"/>
      <c r="XBZ44" s="66"/>
      <c r="XCA44" s="67"/>
      <c r="XCB44" s="34"/>
      <c r="XCE44" s="5"/>
      <c r="XCF44" s="18"/>
      <c r="XCG44" s="56"/>
      <c r="XCH44" s="57"/>
      <c r="XCI44" s="58"/>
      <c r="XCJ44" s="59"/>
      <c r="XCK44" s="58"/>
      <c r="XCL44" s="59"/>
      <c r="XCM44" s="6"/>
      <c r="XCN44" s="7"/>
      <c r="XCO44" s="8"/>
      <c r="XCP44" s="8"/>
      <c r="XCQ44" s="6"/>
      <c r="XCR44" s="16"/>
      <c r="XCS44" s="16"/>
      <c r="XCT44" s="16"/>
      <c r="XCU44" s="16"/>
      <c r="XCV44" s="65"/>
      <c r="XCW44" s="66"/>
      <c r="XCX44" s="67"/>
      <c r="XCY44" s="34"/>
      <c r="XDB44" s="5"/>
      <c r="XDC44" s="18"/>
      <c r="XDD44" s="56"/>
      <c r="XDE44" s="57"/>
      <c r="XDF44" s="58"/>
      <c r="XDG44" s="59"/>
      <c r="XDH44" s="58"/>
      <c r="XDI44" s="59"/>
      <c r="XDJ44" s="6"/>
      <c r="XDK44" s="7"/>
      <c r="XDL44" s="8"/>
      <c r="XDM44" s="8"/>
      <c r="XDN44" s="6"/>
      <c r="XDO44" s="16"/>
      <c r="XDP44" s="16"/>
      <c r="XDQ44" s="16"/>
      <c r="XDR44" s="16"/>
      <c r="XDS44" s="65"/>
      <c r="XDT44" s="66"/>
      <c r="XDU44" s="67"/>
      <c r="XDV44" s="34"/>
      <c r="XDY44" s="5"/>
      <c r="XDZ44" s="18"/>
      <c r="XEA44" s="56"/>
      <c r="XEB44" s="57"/>
      <c r="XEC44" s="58"/>
      <c r="XED44" s="59"/>
      <c r="XEE44" s="58"/>
      <c r="XEF44" s="59"/>
      <c r="XEG44" s="6"/>
      <c r="XEH44" s="7"/>
      <c r="XEI44" s="8"/>
      <c r="XEJ44" s="8"/>
      <c r="XEK44" s="6"/>
      <c r="XEL44" s="16"/>
      <c r="XEM44" s="16"/>
      <c r="XEN44" s="16"/>
      <c r="XEO44" s="16"/>
      <c r="XEP44" s="65"/>
      <c r="XEQ44" s="66"/>
      <c r="XER44" s="67"/>
      <c r="XES44" s="34"/>
      <c r="XEV44" s="5"/>
      <c r="XEW44" s="18"/>
      <c r="XEX44" s="56"/>
      <c r="XEY44" s="57"/>
      <c r="XEZ44" s="58"/>
      <c r="XFA44" s="59"/>
      <c r="XFB44" s="58"/>
      <c r="XFC44" s="59"/>
      <c r="XFD44" s="6"/>
    </row>
    <row r="45" spans="1:16384" ht="102" customHeight="1" x14ac:dyDescent="0.2">
      <c r="B45" s="30" t="s">
        <v>156</v>
      </c>
      <c r="C45" s="60" t="s">
        <v>157</v>
      </c>
      <c r="D45" s="61"/>
      <c r="E45" s="62" t="s">
        <v>140</v>
      </c>
      <c r="F45" s="62"/>
      <c r="G45" s="62" t="s">
        <v>77</v>
      </c>
      <c r="H45" s="62"/>
      <c r="I45" s="43" t="s">
        <v>18</v>
      </c>
      <c r="J45" s="44">
        <v>30</v>
      </c>
      <c r="K45" s="45"/>
      <c r="L45" s="45" t="s">
        <v>4</v>
      </c>
      <c r="M45" s="43" t="s">
        <v>18</v>
      </c>
      <c r="N45" s="46">
        <v>30</v>
      </c>
      <c r="O45" s="46" t="s">
        <v>43</v>
      </c>
      <c r="P45" s="46" t="s">
        <v>47</v>
      </c>
      <c r="Q45" s="46"/>
      <c r="R45" s="48"/>
      <c r="S45" s="48"/>
      <c r="T45" s="48"/>
      <c r="U45" s="36"/>
      <c r="X45" s="5"/>
    </row>
    <row r="46" spans="1:16384" ht="113.25" customHeight="1" x14ac:dyDescent="0.2">
      <c r="B46" s="30" t="s">
        <v>175</v>
      </c>
      <c r="C46" s="60" t="s">
        <v>197</v>
      </c>
      <c r="D46" s="61"/>
      <c r="E46" s="62" t="s">
        <v>176</v>
      </c>
      <c r="F46" s="62"/>
      <c r="G46" s="62" t="s">
        <v>170</v>
      </c>
      <c r="H46" s="62"/>
      <c r="I46" s="43" t="s">
        <v>19</v>
      </c>
      <c r="J46" s="44">
        <v>10</v>
      </c>
      <c r="K46" s="45"/>
      <c r="L46" s="45" t="s">
        <v>4</v>
      </c>
      <c r="M46" s="43" t="s">
        <v>19</v>
      </c>
      <c r="N46" s="46">
        <v>10</v>
      </c>
      <c r="O46" s="46" t="s">
        <v>43</v>
      </c>
      <c r="P46" s="46"/>
      <c r="Q46" s="46"/>
      <c r="R46" s="64"/>
      <c r="S46" s="64"/>
      <c r="T46" s="64"/>
      <c r="U46" s="37"/>
      <c r="X46" s="5"/>
    </row>
    <row r="47" spans="1:16384" ht="113.25" customHeight="1" x14ac:dyDescent="0.2">
      <c r="B47" s="30" t="s">
        <v>135</v>
      </c>
      <c r="C47" s="60" t="s">
        <v>136</v>
      </c>
      <c r="D47" s="61"/>
      <c r="E47" s="62" t="s">
        <v>73</v>
      </c>
      <c r="F47" s="62"/>
      <c r="G47" s="62" t="s">
        <v>137</v>
      </c>
      <c r="H47" s="62"/>
      <c r="I47" s="43" t="s">
        <v>19</v>
      </c>
      <c r="J47" s="44">
        <v>25</v>
      </c>
      <c r="K47" s="45"/>
      <c r="L47" s="45" t="s">
        <v>4</v>
      </c>
      <c r="M47" s="43" t="s">
        <v>19</v>
      </c>
      <c r="N47" s="46">
        <v>25</v>
      </c>
      <c r="O47" s="46" t="s">
        <v>43</v>
      </c>
      <c r="P47" s="46"/>
      <c r="Q47" s="46"/>
      <c r="R47" s="64"/>
      <c r="S47" s="64"/>
      <c r="T47" s="64"/>
      <c r="U47" s="37" t="s">
        <v>117</v>
      </c>
      <c r="X47" s="5"/>
    </row>
    <row r="48" spans="1:16384" s="38" customFormat="1" ht="140.25" customHeight="1" x14ac:dyDescent="0.2">
      <c r="B48" s="30" t="s">
        <v>98</v>
      </c>
      <c r="C48" s="60" t="s">
        <v>99</v>
      </c>
      <c r="D48" s="61"/>
      <c r="E48" s="69" t="s">
        <v>73</v>
      </c>
      <c r="F48" s="70"/>
      <c r="G48" s="62" t="s">
        <v>84</v>
      </c>
      <c r="H48" s="62"/>
      <c r="I48" s="43" t="s">
        <v>20</v>
      </c>
      <c r="J48" s="44">
        <v>6</v>
      </c>
      <c r="K48" s="45"/>
      <c r="L48" s="45" t="s">
        <v>4</v>
      </c>
      <c r="M48" s="43" t="s">
        <v>20</v>
      </c>
      <c r="N48" s="46">
        <v>6</v>
      </c>
      <c r="O48" s="46" t="s">
        <v>44</v>
      </c>
      <c r="P48" s="46" t="s">
        <v>93</v>
      </c>
      <c r="Q48" s="46" t="s">
        <v>86</v>
      </c>
      <c r="R48" s="63" t="s">
        <v>100</v>
      </c>
      <c r="S48" s="64"/>
      <c r="T48" s="64"/>
      <c r="U48" s="55" t="s">
        <v>108</v>
      </c>
      <c r="X48" s="40"/>
    </row>
    <row r="49" spans="2:24" ht="94.5" customHeight="1" x14ac:dyDescent="0.2">
      <c r="B49" s="30" t="s">
        <v>147</v>
      </c>
      <c r="C49" s="60" t="s">
        <v>198</v>
      </c>
      <c r="D49" s="61"/>
      <c r="E49" s="62" t="s">
        <v>73</v>
      </c>
      <c r="F49" s="62"/>
      <c r="G49" s="62" t="s">
        <v>77</v>
      </c>
      <c r="H49" s="62"/>
      <c r="I49" s="43" t="s">
        <v>20</v>
      </c>
      <c r="J49" s="44">
        <v>14</v>
      </c>
      <c r="K49" s="45"/>
      <c r="L49" s="45" t="s">
        <v>4</v>
      </c>
      <c r="M49" s="43" t="s">
        <v>20</v>
      </c>
      <c r="N49" s="46">
        <v>14</v>
      </c>
      <c r="O49" s="46" t="s">
        <v>43</v>
      </c>
      <c r="P49" s="47" t="s">
        <v>47</v>
      </c>
      <c r="Q49" s="46"/>
      <c r="R49" s="63"/>
      <c r="S49" s="64"/>
      <c r="T49" s="64"/>
      <c r="X49" s="5"/>
    </row>
    <row r="50" spans="2:24" ht="94.5" customHeight="1" x14ac:dyDescent="0.2">
      <c r="B50" s="30" t="s">
        <v>190</v>
      </c>
      <c r="C50" s="60" t="s">
        <v>199</v>
      </c>
      <c r="D50" s="61"/>
      <c r="E50" s="62" t="s">
        <v>73</v>
      </c>
      <c r="F50" s="62"/>
      <c r="G50" s="62" t="s">
        <v>77</v>
      </c>
      <c r="H50" s="62"/>
      <c r="I50" s="43" t="s">
        <v>20</v>
      </c>
      <c r="J50" s="44">
        <v>20</v>
      </c>
      <c r="K50" s="45"/>
      <c r="L50" s="45" t="s">
        <v>4</v>
      </c>
      <c r="M50" s="43" t="s">
        <v>20</v>
      </c>
      <c r="N50" s="46">
        <v>20</v>
      </c>
      <c r="O50" s="46" t="s">
        <v>43</v>
      </c>
      <c r="P50" s="47"/>
      <c r="Q50" s="46"/>
      <c r="R50" s="63"/>
      <c r="S50" s="64"/>
      <c r="T50" s="64"/>
      <c r="X50" s="5"/>
    </row>
    <row r="51" spans="2:24" ht="86.25" customHeight="1" x14ac:dyDescent="0.2">
      <c r="B51" s="30" t="s">
        <v>153</v>
      </c>
      <c r="C51" s="60" t="s">
        <v>154</v>
      </c>
      <c r="D51" s="61"/>
      <c r="E51" s="62" t="s">
        <v>140</v>
      </c>
      <c r="F51" s="62"/>
      <c r="G51" s="62" t="s">
        <v>155</v>
      </c>
      <c r="H51" s="62"/>
      <c r="I51" s="43" t="s">
        <v>20</v>
      </c>
      <c r="J51" s="44">
        <v>23</v>
      </c>
      <c r="K51" s="45"/>
      <c r="L51" s="45" t="s">
        <v>4</v>
      </c>
      <c r="M51" s="43" t="s">
        <v>20</v>
      </c>
      <c r="N51" s="46">
        <v>23</v>
      </c>
      <c r="O51" s="46" t="s">
        <v>43</v>
      </c>
      <c r="P51" s="46" t="s">
        <v>49</v>
      </c>
      <c r="Q51" s="46"/>
      <c r="R51" s="138"/>
      <c r="S51" s="155"/>
      <c r="T51" s="156"/>
      <c r="U51" s="36"/>
      <c r="X51" s="5"/>
    </row>
    <row r="52" spans="2:24" ht="86.25" customHeight="1" x14ac:dyDescent="0.2">
      <c r="B52" s="30" t="s">
        <v>183</v>
      </c>
      <c r="C52" s="60" t="s">
        <v>200</v>
      </c>
      <c r="D52" s="61"/>
      <c r="E52" s="62" t="s">
        <v>140</v>
      </c>
      <c r="F52" s="62"/>
      <c r="G52" s="62" t="s">
        <v>184</v>
      </c>
      <c r="H52" s="62"/>
      <c r="I52" s="43" t="s">
        <v>20</v>
      </c>
      <c r="J52" s="44">
        <v>29</v>
      </c>
      <c r="K52" s="45"/>
      <c r="L52" s="45" t="s">
        <v>4</v>
      </c>
      <c r="M52" s="43" t="s">
        <v>20</v>
      </c>
      <c r="N52" s="46">
        <v>29</v>
      </c>
      <c r="O52" s="46" t="s">
        <v>43</v>
      </c>
      <c r="P52" s="46"/>
      <c r="Q52" s="46"/>
      <c r="R52" s="138"/>
      <c r="S52" s="155"/>
      <c r="T52" s="156"/>
      <c r="U52" s="36"/>
      <c r="X52" s="5"/>
    </row>
    <row r="53" spans="2:24" ht="86.25" customHeight="1" x14ac:dyDescent="0.2">
      <c r="B53" s="30" t="s">
        <v>191</v>
      </c>
      <c r="C53" s="69" t="s">
        <v>192</v>
      </c>
      <c r="D53" s="70"/>
      <c r="E53" s="62" t="s">
        <v>140</v>
      </c>
      <c r="F53" s="62"/>
      <c r="G53" s="69" t="s">
        <v>77</v>
      </c>
      <c r="H53" s="70"/>
      <c r="I53" s="43" t="s">
        <v>20</v>
      </c>
      <c r="J53" s="44">
        <v>31</v>
      </c>
      <c r="K53" s="45"/>
      <c r="L53" s="45" t="s">
        <v>4</v>
      </c>
      <c r="M53" s="43" t="s">
        <v>20</v>
      </c>
      <c r="N53" s="46">
        <v>31</v>
      </c>
      <c r="O53" s="46" t="s">
        <v>43</v>
      </c>
      <c r="P53" s="46" t="s">
        <v>47</v>
      </c>
      <c r="Q53" s="46" t="s">
        <v>110</v>
      </c>
      <c r="R53" s="49"/>
      <c r="S53" s="50"/>
      <c r="T53" s="51"/>
      <c r="U53" s="36"/>
      <c r="X53" s="5"/>
    </row>
    <row r="54" spans="2:24" ht="117.75" customHeight="1" x14ac:dyDescent="0.2">
      <c r="B54" s="30" t="s">
        <v>177</v>
      </c>
      <c r="C54" s="69" t="s">
        <v>209</v>
      </c>
      <c r="D54" s="70"/>
      <c r="E54" s="69" t="s">
        <v>178</v>
      </c>
      <c r="F54" s="70"/>
      <c r="G54" s="69" t="s">
        <v>166</v>
      </c>
      <c r="H54" s="70"/>
      <c r="I54" s="43" t="s">
        <v>21</v>
      </c>
      <c r="J54" s="44">
        <v>6</v>
      </c>
      <c r="K54" s="45"/>
      <c r="L54" s="45" t="s">
        <v>4</v>
      </c>
      <c r="M54" s="43" t="s">
        <v>21</v>
      </c>
      <c r="N54" s="46">
        <v>6</v>
      </c>
      <c r="O54" s="46" t="s">
        <v>43</v>
      </c>
      <c r="P54" s="46"/>
      <c r="Q54" s="46"/>
      <c r="R54" s="52"/>
      <c r="S54" s="53"/>
      <c r="T54" s="54"/>
      <c r="U54" s="36"/>
      <c r="X54" s="5"/>
    </row>
    <row r="55" spans="2:24" ht="91.5" customHeight="1" x14ac:dyDescent="0.2">
      <c r="B55" s="30" t="s">
        <v>185</v>
      </c>
      <c r="C55" s="60" t="s">
        <v>201</v>
      </c>
      <c r="D55" s="61"/>
      <c r="E55" s="69" t="s">
        <v>73</v>
      </c>
      <c r="F55" s="70"/>
      <c r="G55" s="62" t="s">
        <v>77</v>
      </c>
      <c r="H55" s="62"/>
      <c r="I55" s="43" t="s">
        <v>21</v>
      </c>
      <c r="J55" s="44">
        <v>11</v>
      </c>
      <c r="K55" s="45"/>
      <c r="L55" s="45" t="s">
        <v>4</v>
      </c>
      <c r="M55" s="43" t="s">
        <v>21</v>
      </c>
      <c r="N55" s="46">
        <v>11</v>
      </c>
      <c r="O55" s="46" t="s">
        <v>43</v>
      </c>
      <c r="P55" s="46"/>
      <c r="Q55" s="46"/>
      <c r="R55" s="74"/>
      <c r="S55" s="139"/>
      <c r="T55" s="140"/>
      <c r="U55" s="36"/>
      <c r="X55" s="5"/>
    </row>
    <row r="56" spans="2:24" ht="82.5" customHeight="1" x14ac:dyDescent="0.2">
      <c r="B56" s="30" t="s">
        <v>177</v>
      </c>
      <c r="C56" s="60" t="s">
        <v>209</v>
      </c>
      <c r="D56" s="61"/>
      <c r="E56" s="69" t="s">
        <v>181</v>
      </c>
      <c r="F56" s="70"/>
      <c r="G56" s="62" t="s">
        <v>166</v>
      </c>
      <c r="H56" s="62"/>
      <c r="I56" s="43" t="s">
        <v>21</v>
      </c>
      <c r="J56" s="44">
        <v>18</v>
      </c>
      <c r="K56" s="45"/>
      <c r="L56" s="45" t="s">
        <v>4</v>
      </c>
      <c r="M56" s="43" t="s">
        <v>21</v>
      </c>
      <c r="N56" s="46">
        <v>18</v>
      </c>
      <c r="O56" s="46" t="s">
        <v>43</v>
      </c>
      <c r="P56" s="46"/>
      <c r="Q56" s="46"/>
      <c r="R56" s="138"/>
      <c r="S56" s="75"/>
      <c r="T56" s="76"/>
      <c r="X56" s="5"/>
    </row>
    <row r="57" spans="2:24" ht="87.75" customHeight="1" x14ac:dyDescent="0.2">
      <c r="B57" s="30" t="s">
        <v>172</v>
      </c>
      <c r="C57" s="60" t="s">
        <v>173</v>
      </c>
      <c r="D57" s="61"/>
      <c r="E57" s="62" t="s">
        <v>174</v>
      </c>
      <c r="F57" s="62"/>
      <c r="G57" s="62" t="s">
        <v>84</v>
      </c>
      <c r="H57" s="62"/>
      <c r="I57" s="43" t="s">
        <v>21</v>
      </c>
      <c r="J57" s="44">
        <v>29</v>
      </c>
      <c r="K57" s="45"/>
      <c r="L57" s="45" t="s">
        <v>4</v>
      </c>
      <c r="M57" s="43" t="s">
        <v>21</v>
      </c>
      <c r="N57" s="46">
        <v>29</v>
      </c>
      <c r="O57" s="46" t="s">
        <v>44</v>
      </c>
      <c r="P57" s="46" t="s">
        <v>47</v>
      </c>
      <c r="Q57" s="46"/>
      <c r="R57" s="64"/>
      <c r="S57" s="64"/>
      <c r="T57" s="64"/>
      <c r="X57" s="5"/>
    </row>
    <row r="58" spans="2:24" ht="79.5" customHeight="1" x14ac:dyDescent="0.2">
      <c r="B58" s="30" t="s">
        <v>188</v>
      </c>
      <c r="C58" s="71" t="s">
        <v>158</v>
      </c>
      <c r="D58" s="71"/>
      <c r="E58" s="62" t="s">
        <v>73</v>
      </c>
      <c r="F58" s="62"/>
      <c r="G58" s="62" t="s">
        <v>77</v>
      </c>
      <c r="H58" s="62"/>
      <c r="I58" s="43" t="s">
        <v>22</v>
      </c>
      <c r="J58" s="44">
        <v>10</v>
      </c>
      <c r="K58" s="45"/>
      <c r="L58" s="45" t="s">
        <v>4</v>
      </c>
      <c r="M58" s="43" t="s">
        <v>22</v>
      </c>
      <c r="N58" s="46">
        <v>10</v>
      </c>
      <c r="O58" s="46" t="s">
        <v>43</v>
      </c>
      <c r="P58" s="46" t="s">
        <v>47</v>
      </c>
      <c r="Q58" s="46"/>
      <c r="R58" s="138"/>
      <c r="S58" s="75"/>
      <c r="T58" s="76"/>
      <c r="X58" s="5"/>
    </row>
    <row r="59" spans="2:24" ht="90.75" customHeight="1" x14ac:dyDescent="0.2">
      <c r="B59" s="30" t="s">
        <v>161</v>
      </c>
      <c r="C59" s="71" t="s">
        <v>162</v>
      </c>
      <c r="D59" s="71"/>
      <c r="E59" s="62" t="s">
        <v>140</v>
      </c>
      <c r="F59" s="62"/>
      <c r="G59" s="62" t="s">
        <v>163</v>
      </c>
      <c r="H59" s="62"/>
      <c r="I59" s="43" t="s">
        <v>22</v>
      </c>
      <c r="J59" s="44">
        <v>23</v>
      </c>
      <c r="K59" s="45"/>
      <c r="L59" s="45" t="s">
        <v>4</v>
      </c>
      <c r="M59" s="43" t="s">
        <v>22</v>
      </c>
      <c r="N59" s="46">
        <v>23</v>
      </c>
      <c r="O59" s="46" t="s">
        <v>43</v>
      </c>
      <c r="P59" s="46" t="s">
        <v>47</v>
      </c>
      <c r="Q59" s="46"/>
      <c r="R59" s="138"/>
      <c r="S59" s="75"/>
      <c r="T59" s="76"/>
      <c r="X59" s="5"/>
    </row>
    <row r="60" spans="2:24" s="38" customFormat="1" ht="79.5" customHeight="1" x14ac:dyDescent="0.2">
      <c r="B60" s="30" t="s">
        <v>167</v>
      </c>
      <c r="C60" s="71" t="s">
        <v>202</v>
      </c>
      <c r="D60" s="71"/>
      <c r="E60" s="62" t="s">
        <v>89</v>
      </c>
      <c r="F60" s="62"/>
      <c r="G60" s="62" t="s">
        <v>168</v>
      </c>
      <c r="H60" s="62"/>
      <c r="I60" s="43" t="s">
        <v>22</v>
      </c>
      <c r="J60" s="44">
        <v>24</v>
      </c>
      <c r="K60" s="45"/>
      <c r="L60" s="45" t="s">
        <v>4</v>
      </c>
      <c r="M60" s="43" t="s">
        <v>22</v>
      </c>
      <c r="N60" s="46">
        <v>24</v>
      </c>
      <c r="O60" s="46" t="s">
        <v>44</v>
      </c>
      <c r="P60" s="46"/>
      <c r="Q60" s="46"/>
      <c r="R60" s="138"/>
      <c r="S60" s="75"/>
      <c r="T60" s="76"/>
      <c r="X60" s="40"/>
    </row>
    <row r="61" spans="2:24" s="38" customFormat="1" ht="81" customHeight="1" x14ac:dyDescent="0.2">
      <c r="B61" s="30" t="s">
        <v>164</v>
      </c>
      <c r="C61" s="60" t="s">
        <v>210</v>
      </c>
      <c r="D61" s="61"/>
      <c r="E61" s="62" t="s">
        <v>89</v>
      </c>
      <c r="F61" s="62"/>
      <c r="G61" s="69" t="s">
        <v>166</v>
      </c>
      <c r="H61" s="70"/>
      <c r="I61" s="43" t="s">
        <v>23</v>
      </c>
      <c r="J61" s="44">
        <v>7</v>
      </c>
      <c r="K61" s="45"/>
      <c r="L61" s="45" t="s">
        <v>4</v>
      </c>
      <c r="M61" s="43" t="s">
        <v>23</v>
      </c>
      <c r="N61" s="46">
        <v>9</v>
      </c>
      <c r="O61" s="46" t="s">
        <v>43</v>
      </c>
      <c r="P61" s="46"/>
      <c r="Q61" s="46"/>
      <c r="R61" s="138"/>
      <c r="S61" s="75"/>
      <c r="T61" s="76"/>
      <c r="U61" s="39"/>
      <c r="X61" s="40"/>
    </row>
    <row r="62" spans="2:24" ht="111.75" customHeight="1" x14ac:dyDescent="0.2">
      <c r="B62" s="30" t="s">
        <v>182</v>
      </c>
      <c r="C62" s="60" t="s">
        <v>203</v>
      </c>
      <c r="D62" s="61"/>
      <c r="E62" s="62" t="s">
        <v>140</v>
      </c>
      <c r="F62" s="62"/>
      <c r="G62" s="69" t="s">
        <v>84</v>
      </c>
      <c r="H62" s="70"/>
      <c r="I62" s="43" t="s">
        <v>23</v>
      </c>
      <c r="J62" s="44">
        <v>13</v>
      </c>
      <c r="K62" s="45"/>
      <c r="L62" s="45" t="s">
        <v>4</v>
      </c>
      <c r="M62" s="43" t="s">
        <v>23</v>
      </c>
      <c r="N62" s="46">
        <v>13</v>
      </c>
      <c r="O62" s="46" t="s">
        <v>44</v>
      </c>
      <c r="P62" s="46" t="s">
        <v>47</v>
      </c>
      <c r="Q62" s="46"/>
      <c r="R62" s="138"/>
      <c r="S62" s="75"/>
      <c r="T62" s="76"/>
      <c r="X62" s="5"/>
    </row>
    <row r="63" spans="2:24" ht="109.5" customHeight="1" x14ac:dyDescent="0.2">
      <c r="B63" s="30" t="s">
        <v>179</v>
      </c>
      <c r="C63" s="60" t="s">
        <v>205</v>
      </c>
      <c r="D63" s="61"/>
      <c r="E63" s="62" t="s">
        <v>176</v>
      </c>
      <c r="F63" s="62"/>
      <c r="G63" s="62" t="s">
        <v>170</v>
      </c>
      <c r="H63" s="62"/>
      <c r="I63" s="43" t="s">
        <v>23</v>
      </c>
      <c r="J63" s="44">
        <v>21</v>
      </c>
      <c r="K63" s="45"/>
      <c r="L63" s="45" t="s">
        <v>4</v>
      </c>
      <c r="M63" s="43" t="s">
        <v>23</v>
      </c>
      <c r="N63" s="46">
        <v>21</v>
      </c>
      <c r="O63" s="46" t="s">
        <v>43</v>
      </c>
      <c r="P63" s="46"/>
      <c r="Q63" s="46"/>
      <c r="R63" s="138"/>
      <c r="S63" s="75"/>
      <c r="T63" s="76"/>
      <c r="X63" s="5"/>
    </row>
    <row r="64" spans="2:24" ht="98.25" customHeight="1" x14ac:dyDescent="0.2">
      <c r="B64" s="30" t="s">
        <v>180</v>
      </c>
      <c r="C64" s="60" t="s">
        <v>206</v>
      </c>
      <c r="D64" s="61"/>
      <c r="E64" s="62" t="s">
        <v>140</v>
      </c>
      <c r="F64" s="62"/>
      <c r="G64" s="62" t="s">
        <v>112</v>
      </c>
      <c r="H64" s="62"/>
      <c r="I64" s="43" t="s">
        <v>23</v>
      </c>
      <c r="J64" s="44">
        <v>28</v>
      </c>
      <c r="K64" s="45"/>
      <c r="L64" s="45" t="s">
        <v>4</v>
      </c>
      <c r="M64" s="43" t="s">
        <v>23</v>
      </c>
      <c r="N64" s="46">
        <v>28</v>
      </c>
      <c r="O64" s="46" t="s">
        <v>43</v>
      </c>
      <c r="P64" s="46"/>
      <c r="Q64" s="46"/>
      <c r="R64" s="138"/>
      <c r="S64" s="75"/>
      <c r="T64" s="76"/>
      <c r="X64" s="5"/>
    </row>
    <row r="65" spans="2:24" ht="109.5" customHeight="1" x14ac:dyDescent="0.2">
      <c r="B65" s="30" t="s">
        <v>65</v>
      </c>
      <c r="C65" s="60" t="s">
        <v>209</v>
      </c>
      <c r="D65" s="61"/>
      <c r="E65" s="69" t="s">
        <v>186</v>
      </c>
      <c r="F65" s="70"/>
      <c r="G65" s="62" t="s">
        <v>166</v>
      </c>
      <c r="H65" s="62"/>
      <c r="I65" s="43" t="s">
        <v>24</v>
      </c>
      <c r="J65" s="44">
        <v>11</v>
      </c>
      <c r="K65" s="45"/>
      <c r="L65" s="45" t="s">
        <v>4</v>
      </c>
      <c r="M65" s="43" t="s">
        <v>24</v>
      </c>
      <c r="N65" s="46">
        <v>11</v>
      </c>
      <c r="O65" s="46" t="s">
        <v>43</v>
      </c>
      <c r="P65" s="46"/>
      <c r="Q65" s="46"/>
      <c r="R65" s="138"/>
      <c r="S65" s="75"/>
      <c r="T65" s="76"/>
      <c r="X65" s="5"/>
    </row>
    <row r="66" spans="2:24" ht="109.5" customHeight="1" x14ac:dyDescent="0.2">
      <c r="B66" s="30" t="s">
        <v>211</v>
      </c>
      <c r="C66" s="60" t="s">
        <v>212</v>
      </c>
      <c r="D66" s="61"/>
      <c r="E66" s="69" t="s">
        <v>213</v>
      </c>
      <c r="F66" s="70"/>
      <c r="G66" s="62" t="s">
        <v>166</v>
      </c>
      <c r="H66" s="62"/>
      <c r="I66" s="43" t="s">
        <v>24</v>
      </c>
      <c r="J66" s="44">
        <v>16</v>
      </c>
      <c r="K66" s="45"/>
      <c r="L66" s="45" t="s">
        <v>4</v>
      </c>
      <c r="M66" s="43" t="s">
        <v>24</v>
      </c>
      <c r="N66" s="46">
        <v>16</v>
      </c>
      <c r="O66" s="46" t="s">
        <v>43</v>
      </c>
      <c r="P66" s="46"/>
      <c r="Q66" s="46"/>
      <c r="R66" s="138"/>
      <c r="S66" s="75"/>
      <c r="T66" s="76"/>
      <c r="X66" s="5"/>
    </row>
    <row r="67" spans="2:24" ht="109.5" customHeight="1" x14ac:dyDescent="0.2">
      <c r="B67" s="30" t="s">
        <v>187</v>
      </c>
      <c r="C67" s="60" t="s">
        <v>204</v>
      </c>
      <c r="D67" s="61"/>
      <c r="E67" s="62" t="s">
        <v>73</v>
      </c>
      <c r="F67" s="62"/>
      <c r="G67" s="69" t="s">
        <v>112</v>
      </c>
      <c r="H67" s="70"/>
      <c r="I67" s="43" t="s">
        <v>24</v>
      </c>
      <c r="J67" s="44">
        <v>19</v>
      </c>
      <c r="K67" s="45"/>
      <c r="L67" s="45" t="s">
        <v>4</v>
      </c>
      <c r="M67" s="43" t="s">
        <v>24</v>
      </c>
      <c r="N67" s="46">
        <v>19</v>
      </c>
      <c r="O67" s="46" t="s">
        <v>43</v>
      </c>
      <c r="P67" s="46"/>
      <c r="Q67" s="46"/>
      <c r="R67" s="138"/>
      <c r="S67" s="75"/>
      <c r="T67" s="76"/>
      <c r="X67" s="5"/>
    </row>
    <row r="68" spans="2:24" ht="109.5" customHeight="1" x14ac:dyDescent="0.2">
      <c r="B68" s="30" t="s">
        <v>189</v>
      </c>
      <c r="C68" s="60" t="s">
        <v>208</v>
      </c>
      <c r="D68" s="61"/>
      <c r="E68" s="62" t="s">
        <v>73</v>
      </c>
      <c r="F68" s="62"/>
      <c r="G68" s="69" t="s">
        <v>112</v>
      </c>
      <c r="H68" s="70"/>
      <c r="I68" s="43" t="s">
        <v>24</v>
      </c>
      <c r="J68" s="44">
        <v>20</v>
      </c>
      <c r="K68" s="45"/>
      <c r="L68" s="45" t="s">
        <v>4</v>
      </c>
      <c r="M68" s="43" t="s">
        <v>24</v>
      </c>
      <c r="N68" s="46">
        <v>20</v>
      </c>
      <c r="O68" s="46" t="s">
        <v>43</v>
      </c>
      <c r="P68" s="46"/>
      <c r="Q68" s="46"/>
      <c r="R68" s="138"/>
      <c r="S68" s="75"/>
      <c r="T68" s="76"/>
      <c r="X68" s="5"/>
    </row>
    <row r="69" spans="2:24" ht="88.5" customHeight="1" x14ac:dyDescent="0.2">
      <c r="B69" s="18"/>
      <c r="C69" s="149"/>
      <c r="D69" s="149"/>
      <c r="E69" s="68"/>
      <c r="F69" s="68"/>
      <c r="G69" s="68"/>
      <c r="H69" s="68"/>
      <c r="I69" s="6"/>
      <c r="J69" s="7"/>
      <c r="K69" s="8"/>
      <c r="L69" s="8"/>
      <c r="M69" s="6"/>
      <c r="N69" s="16"/>
      <c r="O69" s="16"/>
      <c r="P69" s="16"/>
      <c r="Q69" s="16"/>
      <c r="R69" s="154"/>
      <c r="S69" s="66"/>
      <c r="T69" s="67"/>
      <c r="X69" s="5"/>
    </row>
    <row r="70" spans="2:24" s="9" customFormat="1" ht="42" customHeight="1" x14ac:dyDescent="0.2">
      <c r="B70" s="10"/>
      <c r="C70" s="11"/>
      <c r="D70" s="11"/>
      <c r="E70" s="12"/>
      <c r="F70" s="12"/>
      <c r="G70" s="12"/>
      <c r="H70" s="12"/>
      <c r="I70" s="13"/>
      <c r="J70" s="13"/>
      <c r="K70" s="12"/>
      <c r="L70" s="12"/>
      <c r="M70" s="12"/>
      <c r="N70" s="12"/>
      <c r="O70" s="12"/>
      <c r="P70" s="12"/>
      <c r="Q70" s="12"/>
      <c r="R70" s="14"/>
      <c r="X70" s="5"/>
    </row>
    <row r="71" spans="2:24" s="9" customFormat="1" ht="42" customHeight="1" x14ac:dyDescent="0.2">
      <c r="B71" s="166" t="s">
        <v>52</v>
      </c>
      <c r="C71" s="166"/>
      <c r="D71" s="166"/>
      <c r="E71" s="166"/>
      <c r="F71" s="166"/>
      <c r="G71" s="150" t="s">
        <v>51</v>
      </c>
      <c r="H71" s="150"/>
      <c r="I71" s="150"/>
      <c r="J71" s="150"/>
      <c r="K71" s="150"/>
      <c r="L71" s="150"/>
      <c r="M71" s="3"/>
      <c r="N71" s="168"/>
      <c r="O71" s="168"/>
      <c r="P71" s="168"/>
      <c r="Q71" s="168"/>
      <c r="R71" s="168"/>
      <c r="S71" s="167"/>
      <c r="T71" s="167"/>
      <c r="X71" s="5"/>
    </row>
    <row r="72" spans="2:24" s="9" customFormat="1" ht="42" customHeight="1" x14ac:dyDescent="0.2">
      <c r="B72" s="78" t="s">
        <v>9</v>
      </c>
      <c r="C72" s="78"/>
      <c r="D72" s="21" t="s">
        <v>32</v>
      </c>
      <c r="E72" s="21" t="s">
        <v>33</v>
      </c>
      <c r="F72" s="21" t="s">
        <v>30</v>
      </c>
      <c r="G72" s="21" t="s">
        <v>31</v>
      </c>
      <c r="H72" s="21" t="s">
        <v>32</v>
      </c>
      <c r="I72" s="21" t="s">
        <v>33</v>
      </c>
      <c r="J72" s="169" t="s">
        <v>30</v>
      </c>
      <c r="K72" s="169"/>
      <c r="L72" s="169"/>
      <c r="M72" s="3"/>
      <c r="N72" s="168"/>
      <c r="O72" s="168"/>
      <c r="P72" s="168"/>
      <c r="Q72" s="168"/>
      <c r="R72" s="168"/>
      <c r="S72" s="167"/>
      <c r="T72" s="167"/>
      <c r="X72" s="5"/>
    </row>
    <row r="73" spans="2:24" s="9" customFormat="1" ht="20.100000000000001" customHeight="1" x14ac:dyDescent="0.2">
      <c r="B73" s="77" t="s">
        <v>13</v>
      </c>
      <c r="C73" s="77"/>
      <c r="D73" s="17">
        <f>COUNTIF(I15:I69,"ENERO")</f>
        <v>6</v>
      </c>
      <c r="E73" s="17">
        <f>COUNTIF(M15:M68,"ENERO")</f>
        <v>6</v>
      </c>
      <c r="F73" s="32">
        <f>D73/E73</f>
        <v>1</v>
      </c>
      <c r="G73" s="151" t="s">
        <v>34</v>
      </c>
      <c r="H73" s="141">
        <f>SUM(D73:D75)</f>
        <v>19</v>
      </c>
      <c r="I73" s="141">
        <f>SUM(E73:E75)</f>
        <v>19</v>
      </c>
      <c r="J73" s="157">
        <f>H73/I73</f>
        <v>1</v>
      </c>
      <c r="K73" s="158"/>
      <c r="L73" s="159"/>
      <c r="M73" s="3"/>
      <c r="N73" s="168"/>
      <c r="O73" s="168"/>
      <c r="P73" s="168"/>
      <c r="Q73" s="168"/>
      <c r="R73" s="168"/>
      <c r="S73" s="167"/>
      <c r="T73" s="167"/>
      <c r="X73" s="5"/>
    </row>
    <row r="74" spans="2:24" s="9" customFormat="1" ht="20.100000000000001" customHeight="1" x14ac:dyDescent="0.2">
      <c r="B74" s="77" t="s">
        <v>14</v>
      </c>
      <c r="C74" s="77"/>
      <c r="D74" s="17">
        <f>COUNTIF(I14:I69,"FEBRERO")</f>
        <v>8</v>
      </c>
      <c r="E74" s="17">
        <f>COUNTIF(M16:M69,"FEBRERO")</f>
        <v>8</v>
      </c>
      <c r="F74" s="32">
        <f t="shared" ref="F74:F84" si="0">D74/E74</f>
        <v>1</v>
      </c>
      <c r="G74" s="152"/>
      <c r="H74" s="142"/>
      <c r="I74" s="142"/>
      <c r="J74" s="160"/>
      <c r="K74" s="161"/>
      <c r="L74" s="162"/>
      <c r="M74" s="3"/>
      <c r="N74" s="4"/>
      <c r="O74" s="4"/>
      <c r="P74" s="4"/>
      <c r="Q74" s="4"/>
      <c r="R74" s="1"/>
      <c r="S74" s="1"/>
      <c r="T74" s="1"/>
      <c r="X74" s="5"/>
    </row>
    <row r="75" spans="2:24" s="9" customFormat="1" ht="20.100000000000001" customHeight="1" x14ac:dyDescent="0.2">
      <c r="B75" s="77" t="s">
        <v>15</v>
      </c>
      <c r="C75" s="77"/>
      <c r="D75" s="17">
        <f>COUNTIF(I27:I69,"MARZO")</f>
        <v>5</v>
      </c>
      <c r="E75" s="17">
        <f>COUNTIF(M14:M69,"MARZO")</f>
        <v>5</v>
      </c>
      <c r="F75" s="32">
        <f t="shared" si="0"/>
        <v>1</v>
      </c>
      <c r="G75" s="153"/>
      <c r="H75" s="143"/>
      <c r="I75" s="143"/>
      <c r="J75" s="163"/>
      <c r="K75" s="164"/>
      <c r="L75" s="165"/>
      <c r="M75" s="3"/>
      <c r="N75" s="4"/>
      <c r="O75" s="4"/>
      <c r="P75" s="4"/>
      <c r="Q75" s="4"/>
      <c r="R75" s="1"/>
      <c r="S75" s="1"/>
      <c r="T75" s="1"/>
      <c r="X75" s="5"/>
    </row>
    <row r="76" spans="2:24" ht="20.100000000000001" customHeight="1" x14ac:dyDescent="0.2">
      <c r="B76" s="77" t="s">
        <v>16</v>
      </c>
      <c r="C76" s="77"/>
      <c r="D76" s="17">
        <f>COUNTIF(I27:I69,"ABRIL")</f>
        <v>4</v>
      </c>
      <c r="E76" s="17">
        <f>COUNTIF(M27:M69,"ABRIL")</f>
        <v>4</v>
      </c>
      <c r="F76" s="32">
        <f t="shared" si="0"/>
        <v>1</v>
      </c>
      <c r="G76" s="151" t="s">
        <v>35</v>
      </c>
      <c r="H76" s="141">
        <f>SUM(D76:D78)</f>
        <v>12</v>
      </c>
      <c r="I76" s="141">
        <f>SUM(E76:E78)</f>
        <v>12</v>
      </c>
      <c r="J76" s="157">
        <f>H76/I76</f>
        <v>1</v>
      </c>
      <c r="K76" s="158"/>
      <c r="L76" s="159"/>
      <c r="U76" s="167"/>
      <c r="V76" s="167"/>
    </row>
    <row r="77" spans="2:24" ht="20.100000000000001" customHeight="1" x14ac:dyDescent="0.2">
      <c r="B77" s="77" t="s">
        <v>17</v>
      </c>
      <c r="C77" s="77"/>
      <c r="D77" s="17">
        <f>COUNTIF(I27:I69,"MAYO")</f>
        <v>4</v>
      </c>
      <c r="E77" s="17">
        <f>COUNTIF(M38:O41,"MAYO")</f>
        <v>4</v>
      </c>
      <c r="F77" s="32">
        <f t="shared" si="0"/>
        <v>1</v>
      </c>
      <c r="G77" s="152"/>
      <c r="H77" s="142"/>
      <c r="I77" s="142"/>
      <c r="J77" s="160"/>
      <c r="K77" s="161"/>
      <c r="L77" s="162"/>
      <c r="U77" s="167"/>
      <c r="V77" s="167"/>
    </row>
    <row r="78" spans="2:24" ht="20.100000000000001" customHeight="1" x14ac:dyDescent="0.2">
      <c r="B78" s="77" t="s">
        <v>18</v>
      </c>
      <c r="C78" s="77"/>
      <c r="D78" s="17">
        <f>COUNTIF(I27:I69,"JUNIO")</f>
        <v>4</v>
      </c>
      <c r="E78" s="17">
        <f>COUNTIF(M27:M69,"JUNIO")</f>
        <v>4</v>
      </c>
      <c r="F78" s="32">
        <f t="shared" si="0"/>
        <v>1</v>
      </c>
      <c r="G78" s="153"/>
      <c r="H78" s="143"/>
      <c r="I78" s="143"/>
      <c r="J78" s="163"/>
      <c r="K78" s="164"/>
      <c r="L78" s="165"/>
      <c r="U78" s="167"/>
      <c r="V78" s="167"/>
    </row>
    <row r="79" spans="2:24" ht="20.100000000000001" customHeight="1" x14ac:dyDescent="0.2">
      <c r="B79" s="77" t="s">
        <v>19</v>
      </c>
      <c r="C79" s="77"/>
      <c r="D79" s="17">
        <f>COUNTIF(I27:I69,"JULIO")</f>
        <v>2</v>
      </c>
      <c r="E79" s="17">
        <f>COUNTIF(M27:M69,"JULIO")</f>
        <v>2</v>
      </c>
      <c r="F79" s="32">
        <f t="shared" si="0"/>
        <v>1</v>
      </c>
      <c r="G79" s="151" t="s">
        <v>36</v>
      </c>
      <c r="H79" s="141">
        <f>SUM(D79:D81)</f>
        <v>12</v>
      </c>
      <c r="I79" s="141">
        <f>SUM(E79:E81)</f>
        <v>12</v>
      </c>
      <c r="J79" s="157">
        <f>H79/I79</f>
        <v>1</v>
      </c>
      <c r="K79" s="158"/>
      <c r="L79" s="159"/>
    </row>
    <row r="80" spans="2:24" ht="20.100000000000001" customHeight="1" x14ac:dyDescent="0.2">
      <c r="B80" s="77" t="s">
        <v>20</v>
      </c>
      <c r="C80" s="77"/>
      <c r="D80" s="17">
        <f>COUNTIF(I27:I69,"AGOSTO")</f>
        <v>6</v>
      </c>
      <c r="E80" s="17">
        <f>COUNTIF(M27:M69,"AGOSTO")</f>
        <v>6</v>
      </c>
      <c r="F80" s="32">
        <f t="shared" si="0"/>
        <v>1</v>
      </c>
      <c r="G80" s="152"/>
      <c r="H80" s="142"/>
      <c r="I80" s="142"/>
      <c r="J80" s="160"/>
      <c r="K80" s="161"/>
      <c r="L80" s="162"/>
    </row>
    <row r="81" spans="2:17" ht="20.100000000000001" customHeight="1" x14ac:dyDescent="0.2">
      <c r="B81" s="77" t="s">
        <v>21</v>
      </c>
      <c r="C81" s="77"/>
      <c r="D81" s="17">
        <f>COUNTIF(I27:I69,"SEPTIEMBRE")</f>
        <v>4</v>
      </c>
      <c r="E81" s="17">
        <f>COUNTIF(M27:M69,"SEPTIEMBRE")</f>
        <v>4</v>
      </c>
      <c r="F81" s="32">
        <f t="shared" si="0"/>
        <v>1</v>
      </c>
      <c r="G81" s="153"/>
      <c r="H81" s="143"/>
      <c r="I81" s="143"/>
      <c r="J81" s="163"/>
      <c r="K81" s="164"/>
      <c r="L81" s="165"/>
    </row>
    <row r="82" spans="2:17" ht="20.100000000000001" customHeight="1" x14ac:dyDescent="0.2">
      <c r="B82" s="77" t="s">
        <v>22</v>
      </c>
      <c r="C82" s="77"/>
      <c r="D82" s="17">
        <f>COUNTIF(I27:I69,"OCTUBRE")</f>
        <v>3</v>
      </c>
      <c r="E82" s="17">
        <f>COUNTIF(M27:M69,"OCTUBRE")</f>
        <v>3</v>
      </c>
      <c r="F82" s="32">
        <f t="shared" si="0"/>
        <v>1</v>
      </c>
      <c r="G82" s="151" t="s">
        <v>37</v>
      </c>
      <c r="H82" s="141">
        <f>SUM(D82:D84)</f>
        <v>11</v>
      </c>
      <c r="I82" s="141">
        <f>SUM(E82:E84)</f>
        <v>11</v>
      </c>
      <c r="J82" s="157">
        <f>H82/I82</f>
        <v>1</v>
      </c>
      <c r="K82" s="158"/>
      <c r="L82" s="159"/>
    </row>
    <row r="83" spans="2:17" ht="20.100000000000001" customHeight="1" x14ac:dyDescent="0.2">
      <c r="B83" s="77" t="s">
        <v>23</v>
      </c>
      <c r="C83" s="77"/>
      <c r="D83" s="17">
        <f>COUNTIF(I27:I69,"NOVIEMBRE")</f>
        <v>4</v>
      </c>
      <c r="E83" s="17">
        <f>COUNTIF(M27:M69,"NOVIEMBRE")</f>
        <v>4</v>
      </c>
      <c r="F83" s="32">
        <f t="shared" si="0"/>
        <v>1</v>
      </c>
      <c r="G83" s="152"/>
      <c r="H83" s="142"/>
      <c r="I83" s="142"/>
      <c r="J83" s="160"/>
      <c r="K83" s="161"/>
      <c r="L83" s="162"/>
    </row>
    <row r="84" spans="2:17" ht="20.100000000000001" customHeight="1" x14ac:dyDescent="0.2">
      <c r="B84" s="77" t="s">
        <v>24</v>
      </c>
      <c r="C84" s="77"/>
      <c r="D84" s="17">
        <f>COUNTIF(I27:I69,"DICIEMBRE")</f>
        <v>4</v>
      </c>
      <c r="E84" s="17">
        <f>COUNTIF(M27:M69,"DICIEMBRE")</f>
        <v>4</v>
      </c>
      <c r="F84" s="32">
        <f t="shared" si="0"/>
        <v>1</v>
      </c>
      <c r="G84" s="153"/>
      <c r="H84" s="143"/>
      <c r="I84" s="143"/>
      <c r="J84" s="163"/>
      <c r="K84" s="164"/>
      <c r="L84" s="165"/>
    </row>
    <row r="85" spans="2:17" ht="18.75" customHeight="1" x14ac:dyDescent="0.2">
      <c r="B85" s="1"/>
    </row>
    <row r="86" spans="2:17" ht="18.75" customHeight="1" x14ac:dyDescent="0.2">
      <c r="B86" s="1"/>
    </row>
    <row r="87" spans="2:17" ht="18.75" customHeight="1" x14ac:dyDescent="0.2">
      <c r="B87" s="1"/>
    </row>
    <row r="88" spans="2:17" ht="18.75" customHeight="1" x14ac:dyDescent="0.2">
      <c r="B88" s="1"/>
    </row>
    <row r="89" spans="2:17" ht="18.75" customHeight="1" x14ac:dyDescent="0.2">
      <c r="B89" s="1"/>
    </row>
    <row r="90" spans="2:17" x14ac:dyDescent="0.2">
      <c r="B90" s="79" t="s">
        <v>42</v>
      </c>
      <c r="C90" s="80"/>
      <c r="D90" s="80"/>
      <c r="E90" s="81"/>
      <c r="G90" s="172" t="s">
        <v>48</v>
      </c>
      <c r="H90" s="173"/>
      <c r="I90" s="173"/>
      <c r="J90" s="173"/>
      <c r="K90" s="174"/>
      <c r="L90" s="3"/>
      <c r="M90" s="4"/>
      <c r="O90" s="1"/>
      <c r="P90" s="1"/>
      <c r="Q90" s="1"/>
    </row>
    <row r="91" spans="2:17" x14ac:dyDescent="0.2">
      <c r="B91" s="78" t="s">
        <v>9</v>
      </c>
      <c r="C91" s="78"/>
      <c r="D91" s="21" t="s">
        <v>43</v>
      </c>
      <c r="E91" s="21" t="s">
        <v>44</v>
      </c>
      <c r="G91" s="78" t="s">
        <v>9</v>
      </c>
      <c r="H91" s="78"/>
      <c r="I91" s="21" t="s">
        <v>47</v>
      </c>
      <c r="J91" s="21" t="s">
        <v>49</v>
      </c>
      <c r="K91" s="21" t="s">
        <v>50</v>
      </c>
      <c r="P91" s="1"/>
      <c r="Q91" s="1"/>
    </row>
    <row r="92" spans="2:17" x14ac:dyDescent="0.2">
      <c r="B92" s="77" t="s">
        <v>13</v>
      </c>
      <c r="C92" s="77"/>
      <c r="D92" s="17">
        <f>COUNTIF(M15:O20,"PRESENCIAL")</f>
        <v>5</v>
      </c>
      <c r="E92" s="17">
        <f>COUNTIF(M18:O18,"VIRTUAL")</f>
        <v>1</v>
      </c>
      <c r="G92" s="77" t="s">
        <v>13</v>
      </c>
      <c r="H92" s="77"/>
      <c r="I92" s="17">
        <f>COUNTIF($O$27:$P$27,"SGC")</f>
        <v>0</v>
      </c>
      <c r="J92" s="17">
        <f>COUNTIF($O$27:$P$27,"SST")</f>
        <v>0</v>
      </c>
      <c r="K92" s="17">
        <f>COUNTIF($O$27:$P$27,"INVIMA")</f>
        <v>0</v>
      </c>
      <c r="P92" s="1"/>
      <c r="Q92" s="1"/>
    </row>
    <row r="93" spans="2:17" x14ac:dyDescent="0.2">
      <c r="B93" s="77" t="s">
        <v>14</v>
      </c>
      <c r="C93" s="77"/>
      <c r="D93" s="17">
        <f>COUNTIF(M21:O28,"PRESENCIAL")</f>
        <v>7</v>
      </c>
      <c r="E93" s="17">
        <f>COUNTIF(M21:O28,"VIRTUAL")</f>
        <v>1</v>
      </c>
      <c r="G93" s="77" t="s">
        <v>14</v>
      </c>
      <c r="H93" s="77"/>
      <c r="I93" s="17"/>
      <c r="J93" s="17"/>
      <c r="K93" s="17">
        <v>0</v>
      </c>
      <c r="P93" s="1"/>
      <c r="Q93" s="1"/>
    </row>
    <row r="94" spans="2:17" x14ac:dyDescent="0.2">
      <c r="B94" s="77" t="s">
        <v>15</v>
      </c>
      <c r="C94" s="77"/>
      <c r="D94" s="17">
        <f>COUNTIF(M29:O33,"PRESENCIAL")</f>
        <v>4</v>
      </c>
      <c r="E94" s="17">
        <f>COUNTIF(M29:O29,"VIRTUAL")</f>
        <v>1</v>
      </c>
      <c r="G94" s="77" t="s">
        <v>15</v>
      </c>
      <c r="H94" s="77"/>
      <c r="I94" s="17"/>
      <c r="J94" s="17"/>
      <c r="K94" s="17">
        <f>COUNTIF(S70:S88,"MARZO")</f>
        <v>0</v>
      </c>
      <c r="P94" s="1"/>
      <c r="Q94" s="1"/>
    </row>
    <row r="95" spans="2:17" ht="12.75" customHeight="1" x14ac:dyDescent="0.2">
      <c r="B95" s="77" t="s">
        <v>16</v>
      </c>
      <c r="C95" s="77"/>
      <c r="D95" s="17">
        <f>COUNTIF(M34:O37,"PRESENCIAL")</f>
        <v>2</v>
      </c>
      <c r="E95" s="17">
        <f>COUNTIF(M34:O37,"VIRTUAL")</f>
        <v>2</v>
      </c>
      <c r="G95" s="77" t="s">
        <v>16</v>
      </c>
      <c r="H95" s="77"/>
      <c r="I95" s="17"/>
      <c r="J95" s="17"/>
      <c r="K95" s="17">
        <f>COUNTIF(S70:S88,"ABRIL")</f>
        <v>0</v>
      </c>
      <c r="P95" s="1"/>
      <c r="Q95" s="1"/>
    </row>
    <row r="96" spans="2:17" x14ac:dyDescent="0.2">
      <c r="B96" s="77" t="s">
        <v>17</v>
      </c>
      <c r="C96" s="77"/>
      <c r="D96" s="17">
        <f>COUNTIF(M38:O41,"PRESENCIAL")</f>
        <v>2</v>
      </c>
      <c r="E96" s="17">
        <f>COUNTIF(M39:O41,"VIRTUAL")</f>
        <v>2</v>
      </c>
      <c r="G96" s="77" t="s">
        <v>17</v>
      </c>
      <c r="H96" s="77"/>
      <c r="I96" s="17"/>
      <c r="J96" s="17"/>
      <c r="K96" s="17">
        <f>COUNTIF(S70:S88,"MAYO")</f>
        <v>0</v>
      </c>
      <c r="P96" s="1"/>
      <c r="Q96" s="1"/>
    </row>
    <row r="97" spans="2:18" x14ac:dyDescent="0.2">
      <c r="B97" s="77" t="s">
        <v>18</v>
      </c>
      <c r="C97" s="77"/>
      <c r="D97" s="17">
        <f>COUNTIF(M42:O45,"PRESENCIAL")</f>
        <v>3</v>
      </c>
      <c r="E97" s="17">
        <f>COUNTIF(M42:O45,"VIRTUAL")</f>
        <v>1</v>
      </c>
      <c r="G97" s="77" t="s">
        <v>18</v>
      </c>
      <c r="H97" s="77"/>
      <c r="I97" s="17"/>
      <c r="J97" s="17"/>
      <c r="K97" s="17">
        <f>COUNTIF(S70:S88,"JUNIO")</f>
        <v>0</v>
      </c>
      <c r="P97" s="1"/>
      <c r="Q97" s="1"/>
    </row>
    <row r="98" spans="2:18" x14ac:dyDescent="0.2">
      <c r="B98" s="77" t="s">
        <v>19</v>
      </c>
      <c r="C98" s="77"/>
      <c r="D98" s="17">
        <f>COUNTIF(M46:O47,"PRESENCIAL")</f>
        <v>2</v>
      </c>
      <c r="E98" s="17">
        <f>COUNTIF(M46:O47,"VIRTUAL")</f>
        <v>0</v>
      </c>
      <c r="G98" s="77" t="s">
        <v>19</v>
      </c>
      <c r="H98" s="77"/>
      <c r="I98" s="17"/>
      <c r="J98" s="17"/>
      <c r="K98" s="17">
        <f>COUNTIF(S70:S88,"JULIO")</f>
        <v>0</v>
      </c>
      <c r="P98" s="1"/>
      <c r="Q98" s="1"/>
    </row>
    <row r="99" spans="2:18" x14ac:dyDescent="0.2">
      <c r="B99" s="77" t="s">
        <v>20</v>
      </c>
      <c r="C99" s="77"/>
      <c r="D99" s="17">
        <f>COUNTIF(M48:O53,"PRESENCIAL")</f>
        <v>5</v>
      </c>
      <c r="E99" s="17">
        <f>COUNTIF(M48:O53,"VIRTUAL")</f>
        <v>1</v>
      </c>
      <c r="G99" s="77" t="s">
        <v>20</v>
      </c>
      <c r="H99" s="77"/>
      <c r="I99" s="17"/>
      <c r="J99" s="17"/>
      <c r="K99" s="17">
        <f>COUNTIF(S70:S88,"AGOSTO")</f>
        <v>0</v>
      </c>
      <c r="P99" s="1"/>
      <c r="Q99" s="1"/>
    </row>
    <row r="100" spans="2:18" x14ac:dyDescent="0.2">
      <c r="B100" s="77" t="s">
        <v>21</v>
      </c>
      <c r="C100" s="77"/>
      <c r="D100" s="17">
        <f>COUNTIF(M54:O57,"PRESENCIAL")</f>
        <v>3</v>
      </c>
      <c r="E100" s="17">
        <f>COUNTIF(M54:O57,"VIRTUAL")</f>
        <v>1</v>
      </c>
      <c r="G100" s="77" t="s">
        <v>21</v>
      </c>
      <c r="H100" s="77"/>
      <c r="I100" s="17"/>
      <c r="J100" s="17"/>
      <c r="K100" s="17">
        <f>COUNTIF(S70:S88,"SEPTIEMBRE")</f>
        <v>0</v>
      </c>
      <c r="P100" s="1"/>
      <c r="Q100" s="1"/>
    </row>
    <row r="101" spans="2:18" x14ac:dyDescent="0.2">
      <c r="B101" s="77" t="s">
        <v>22</v>
      </c>
      <c r="C101" s="77"/>
      <c r="D101" s="17">
        <f>COUNTIF(M58:O60,"PRESENCIAL")</f>
        <v>2</v>
      </c>
      <c r="E101" s="17">
        <f>COUNTIF(M44:O46,"VIRTUAL")</f>
        <v>1</v>
      </c>
      <c r="G101" s="77" t="s">
        <v>22</v>
      </c>
      <c r="H101" s="77"/>
      <c r="I101" s="17"/>
      <c r="J101" s="17"/>
      <c r="K101" s="17">
        <f>COUNTIF(S70:S88,"OCTUBRE")</f>
        <v>0</v>
      </c>
      <c r="P101" s="1"/>
      <c r="Q101" s="1"/>
    </row>
    <row r="102" spans="2:18" x14ac:dyDescent="0.2">
      <c r="B102" s="77" t="s">
        <v>23</v>
      </c>
      <c r="C102" s="77"/>
      <c r="D102" s="17">
        <f>COUNTIF(M44:O47,"PRESENCIAL")</f>
        <v>3</v>
      </c>
      <c r="E102" s="17">
        <f>COUNTIF(M61:O64,"VIRTUAL")</f>
        <v>1</v>
      </c>
      <c r="G102" s="77" t="s">
        <v>23</v>
      </c>
      <c r="H102" s="77"/>
      <c r="I102" s="17"/>
      <c r="J102" s="17"/>
      <c r="K102" s="17">
        <f>COUNTIF(S70:S88,"NOVIEMBRE")</f>
        <v>0</v>
      </c>
      <c r="P102" s="1"/>
      <c r="Q102" s="1"/>
    </row>
    <row r="103" spans="2:18" x14ac:dyDescent="0.2">
      <c r="B103" s="77" t="s">
        <v>24</v>
      </c>
      <c r="C103" s="77"/>
      <c r="D103" s="17">
        <f>COUNTIF(M65:O68,"PRESENCIAL")</f>
        <v>4</v>
      </c>
      <c r="E103" s="17">
        <f>COUNTIF(M65:O68,"VIRTUAL")</f>
        <v>0</v>
      </c>
      <c r="G103" s="77" t="s">
        <v>24</v>
      </c>
      <c r="H103" s="77"/>
      <c r="I103" s="17"/>
      <c r="J103" s="17"/>
      <c r="K103" s="17">
        <f>COUNTIF(S70:S88,"DICIEMBRE")</f>
        <v>0</v>
      </c>
      <c r="P103" s="1"/>
      <c r="Q103" s="1"/>
    </row>
    <row r="104" spans="2:18" x14ac:dyDescent="0.2">
      <c r="B104" s="170" t="s">
        <v>45</v>
      </c>
      <c r="C104" s="171"/>
      <c r="D104" s="31">
        <f>SUM(D92:D103)</f>
        <v>42</v>
      </c>
      <c r="E104" s="31">
        <f>SUM(E92:E103)</f>
        <v>12</v>
      </c>
      <c r="G104" s="170" t="s">
        <v>45</v>
      </c>
      <c r="H104" s="171"/>
      <c r="I104" s="29">
        <f>SUM(I92:I103)</f>
        <v>0</v>
      </c>
      <c r="J104" s="29"/>
      <c r="K104" s="29">
        <f>SUM(K92:K103)</f>
        <v>0</v>
      </c>
      <c r="M104" s="1"/>
      <c r="N104" s="3"/>
      <c r="R104" s="4"/>
    </row>
    <row r="264" spans="23:23" x14ac:dyDescent="0.2">
      <c r="W264" s="15" t="s">
        <v>13</v>
      </c>
    </row>
    <row r="265" spans="23:23" x14ac:dyDescent="0.2">
      <c r="W265" s="15" t="s">
        <v>14</v>
      </c>
    </row>
    <row r="266" spans="23:23" x14ac:dyDescent="0.2">
      <c r="W266" s="15" t="s">
        <v>15</v>
      </c>
    </row>
    <row r="267" spans="23:23" x14ac:dyDescent="0.2">
      <c r="W267" s="15" t="s">
        <v>16</v>
      </c>
    </row>
    <row r="268" spans="23:23" x14ac:dyDescent="0.2">
      <c r="W268" s="15" t="s">
        <v>17</v>
      </c>
    </row>
    <row r="269" spans="23:23" x14ac:dyDescent="0.2">
      <c r="W269" s="15" t="s">
        <v>18</v>
      </c>
    </row>
    <row r="270" spans="23:23" x14ac:dyDescent="0.2">
      <c r="W270" s="15" t="s">
        <v>19</v>
      </c>
    </row>
    <row r="271" spans="23:23" x14ac:dyDescent="0.2">
      <c r="W271" s="15" t="s">
        <v>20</v>
      </c>
    </row>
    <row r="272" spans="23:23" x14ac:dyDescent="0.2">
      <c r="W272" s="15" t="s">
        <v>21</v>
      </c>
    </row>
    <row r="273" spans="23:23" x14ac:dyDescent="0.2">
      <c r="W273" s="15" t="s">
        <v>22</v>
      </c>
    </row>
    <row r="274" spans="23:23" x14ac:dyDescent="0.2">
      <c r="W274" s="15" t="s">
        <v>23</v>
      </c>
    </row>
    <row r="275" spans="23:23" x14ac:dyDescent="0.2">
      <c r="W275" s="15" t="s">
        <v>24</v>
      </c>
    </row>
    <row r="276" spans="23:23" x14ac:dyDescent="0.2">
      <c r="W276" s="15"/>
    </row>
    <row r="277" spans="23:23" x14ac:dyDescent="0.2">
      <c r="W277" s="15"/>
    </row>
    <row r="278" spans="23:23" x14ac:dyDescent="0.2">
      <c r="W278" s="15"/>
    </row>
    <row r="279" spans="23:23" x14ac:dyDescent="0.2">
      <c r="W279" s="15"/>
    </row>
  </sheetData>
  <mergeCells count="3169">
    <mergeCell ref="U76:V76"/>
    <mergeCell ref="U77:V77"/>
    <mergeCell ref="U78:V78"/>
    <mergeCell ref="N71:R71"/>
    <mergeCell ref="N72:R72"/>
    <mergeCell ref="N73:R73"/>
    <mergeCell ref="S71:T71"/>
    <mergeCell ref="J73:L75"/>
    <mergeCell ref="H73:H75"/>
    <mergeCell ref="I73:I75"/>
    <mergeCell ref="J72:L72"/>
    <mergeCell ref="S72:T72"/>
    <mergeCell ref="S73:T73"/>
    <mergeCell ref="G73:G75"/>
    <mergeCell ref="E54:F54"/>
    <mergeCell ref="B104:C104"/>
    <mergeCell ref="P11:P13"/>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G104:H104"/>
    <mergeCell ref="G90:K90"/>
    <mergeCell ref="J82:L84"/>
    <mergeCell ref="C61:D61"/>
    <mergeCell ref="E61:F61"/>
    <mergeCell ref="G61:H61"/>
    <mergeCell ref="C50:D50"/>
    <mergeCell ref="E50:F50"/>
    <mergeCell ref="G50:H50"/>
    <mergeCell ref="C26:D26"/>
    <mergeCell ref="E26:F26"/>
    <mergeCell ref="G21:H21"/>
    <mergeCell ref="G20:H20"/>
    <mergeCell ref="G23:H23"/>
    <mergeCell ref="G25:H25"/>
    <mergeCell ref="C42:D42"/>
    <mergeCell ref="E42:F42"/>
    <mergeCell ref="G42:H42"/>
    <mergeCell ref="E20:F20"/>
    <mergeCell ref="C23:D23"/>
    <mergeCell ref="E36:F36"/>
    <mergeCell ref="E63:F63"/>
    <mergeCell ref="E53:F53"/>
    <mergeCell ref="C46:D46"/>
    <mergeCell ref="E46:F46"/>
    <mergeCell ref="E51:F51"/>
    <mergeCell ref="G51:H51"/>
    <mergeCell ref="C40:D40"/>
    <mergeCell ref="E40:F40"/>
    <mergeCell ref="G40:H40"/>
    <mergeCell ref="C52:D52"/>
    <mergeCell ref="E52:F52"/>
    <mergeCell ref="G52:H52"/>
    <mergeCell ref="G36:H36"/>
    <mergeCell ref="G69:H69"/>
    <mergeCell ref="R68:T68"/>
    <mergeCell ref="R61:T61"/>
    <mergeCell ref="R50:T50"/>
    <mergeCell ref="R51:T51"/>
    <mergeCell ref="E33:F33"/>
    <mergeCell ref="G33:H33"/>
    <mergeCell ref="C32:D32"/>
    <mergeCell ref="E31:F31"/>
    <mergeCell ref="E32:F32"/>
    <mergeCell ref="G31:H31"/>
    <mergeCell ref="G32:H32"/>
    <mergeCell ref="R33:T33"/>
    <mergeCell ref="R31:T31"/>
    <mergeCell ref="R32:T32"/>
    <mergeCell ref="R63:T63"/>
    <mergeCell ref="R64:T64"/>
    <mergeCell ref="G65:H65"/>
    <mergeCell ref="G62:H62"/>
    <mergeCell ref="G44:H44"/>
    <mergeCell ref="G56:H56"/>
    <mergeCell ref="R56:T56"/>
    <mergeCell ref="G47:H47"/>
    <mergeCell ref="E56:F56"/>
    <mergeCell ref="C51:D51"/>
    <mergeCell ref="H82:H84"/>
    <mergeCell ref="I82:I84"/>
    <mergeCell ref="J79:L81"/>
    <mergeCell ref="G43:H43"/>
    <mergeCell ref="G76:G78"/>
    <mergeCell ref="J76:L78"/>
    <mergeCell ref="H76:H78"/>
    <mergeCell ref="I76:I78"/>
    <mergeCell ref="R48:T48"/>
    <mergeCell ref="G68:H68"/>
    <mergeCell ref="E58:F58"/>
    <mergeCell ref="E65:F65"/>
    <mergeCell ref="B77:C77"/>
    <mergeCell ref="B75:C75"/>
    <mergeCell ref="B76:C76"/>
    <mergeCell ref="B72:C72"/>
    <mergeCell ref="C43:D43"/>
    <mergeCell ref="B84:C84"/>
    <mergeCell ref="B78:C78"/>
    <mergeCell ref="B79:C79"/>
    <mergeCell ref="B71:F71"/>
    <mergeCell ref="E69:F69"/>
    <mergeCell ref="C65:D65"/>
    <mergeCell ref="B73:C73"/>
    <mergeCell ref="C66:D66"/>
    <mergeCell ref="E66:F66"/>
    <mergeCell ref="G66:H66"/>
    <mergeCell ref="R66:T66"/>
    <mergeCell ref="E60:F60"/>
    <mergeCell ref="G60:H60"/>
    <mergeCell ref="R60:T60"/>
    <mergeCell ref="R69:T69"/>
    <mergeCell ref="R14:T14"/>
    <mergeCell ref="C19:D19"/>
    <mergeCell ref="E19:F19"/>
    <mergeCell ref="B11:H11"/>
    <mergeCell ref="C38:D38"/>
    <mergeCell ref="E38:F38"/>
    <mergeCell ref="G38:H38"/>
    <mergeCell ref="I79:I81"/>
    <mergeCell ref="C69:D69"/>
    <mergeCell ref="G71:L71"/>
    <mergeCell ref="G79:G81"/>
    <mergeCell ref="G82:G84"/>
    <mergeCell ref="R27:T27"/>
    <mergeCell ref="R21:T21"/>
    <mergeCell ref="R16:T16"/>
    <mergeCell ref="R26:T26"/>
    <mergeCell ref="R20:T20"/>
    <mergeCell ref="R17:T17"/>
    <mergeCell ref="R34:T34"/>
    <mergeCell ref="R43:T43"/>
    <mergeCell ref="G67:H67"/>
    <mergeCell ref="R67:T67"/>
    <mergeCell ref="R58:T58"/>
    <mergeCell ref="R59:T59"/>
    <mergeCell ref="R52:T52"/>
    <mergeCell ref="R65:T65"/>
    <mergeCell ref="R44:T44"/>
    <mergeCell ref="R62:T62"/>
    <mergeCell ref="R57:T57"/>
    <mergeCell ref="G28:H28"/>
    <mergeCell ref="R28:T28"/>
    <mergeCell ref="R24:T24"/>
    <mergeCell ref="R47:T47"/>
    <mergeCell ref="R36:T36"/>
    <mergeCell ref="R42:T42"/>
    <mergeCell ref="R23:T23"/>
    <mergeCell ref="G22:H22"/>
    <mergeCell ref="R38:T38"/>
    <mergeCell ref="G46:H46"/>
    <mergeCell ref="R46:T46"/>
    <mergeCell ref="G55:H55"/>
    <mergeCell ref="R55:T55"/>
    <mergeCell ref="H79:H81"/>
    <mergeCell ref="E21:F21"/>
    <mergeCell ref="C20:D20"/>
    <mergeCell ref="C47:D47"/>
    <mergeCell ref="E47:F47"/>
    <mergeCell ref="C36:D36"/>
    <mergeCell ref="E62:F62"/>
    <mergeCell ref="C48:D48"/>
    <mergeCell ref="C63:D63"/>
    <mergeCell ref="G48:H48"/>
    <mergeCell ref="C24:D24"/>
    <mergeCell ref="C58:D58"/>
    <mergeCell ref="C67:D67"/>
    <mergeCell ref="E59:F59"/>
    <mergeCell ref="C56:D56"/>
    <mergeCell ref="B74:C74"/>
    <mergeCell ref="C22:D22"/>
    <mergeCell ref="E22:F22"/>
    <mergeCell ref="E24:F24"/>
    <mergeCell ref="G24:H24"/>
    <mergeCell ref="C25:D25"/>
    <mergeCell ref="E25:F25"/>
    <mergeCell ref="N1:T1"/>
    <mergeCell ref="N2:T2"/>
    <mergeCell ref="N3:T3"/>
    <mergeCell ref="C2:M3"/>
    <mergeCell ref="M12:N12"/>
    <mergeCell ref="B5:T5"/>
    <mergeCell ref="B8:T8"/>
    <mergeCell ref="B12:B13"/>
    <mergeCell ref="M6:T7"/>
    <mergeCell ref="E12:F13"/>
    <mergeCell ref="B10:T10"/>
    <mergeCell ref="C12:D13"/>
    <mergeCell ref="G12:H13"/>
    <mergeCell ref="B2:B4"/>
    <mergeCell ref="C4:G4"/>
    <mergeCell ref="H4:M4"/>
    <mergeCell ref="N4:T4"/>
    <mergeCell ref="J9:L9"/>
    <mergeCell ref="O11:O13"/>
    <mergeCell ref="R11:T13"/>
    <mergeCell ref="C6:I6"/>
    <mergeCell ref="F9:G9"/>
    <mergeCell ref="I11:N11"/>
    <mergeCell ref="K12:L12"/>
    <mergeCell ref="H9:I9"/>
    <mergeCell ref="C7:I7"/>
    <mergeCell ref="J6:L7"/>
    <mergeCell ref="M9:T9"/>
    <mergeCell ref="Q11:Q13"/>
    <mergeCell ref="C9:E9"/>
    <mergeCell ref="B103:C103"/>
    <mergeCell ref="B91:C91"/>
    <mergeCell ref="B92:C92"/>
    <mergeCell ref="B93:C93"/>
    <mergeCell ref="B94:C94"/>
    <mergeCell ref="B95:C95"/>
    <mergeCell ref="B96:C96"/>
    <mergeCell ref="B97:C97"/>
    <mergeCell ref="B98:C98"/>
    <mergeCell ref="B99:C99"/>
    <mergeCell ref="B100:C100"/>
    <mergeCell ref="B101:C101"/>
    <mergeCell ref="B102:C102"/>
    <mergeCell ref="B90:E90"/>
    <mergeCell ref="B80:C80"/>
    <mergeCell ref="B81:C81"/>
    <mergeCell ref="B82:C82"/>
    <mergeCell ref="B83:C83"/>
    <mergeCell ref="C68:D68"/>
    <mergeCell ref="E68:F68"/>
    <mergeCell ref="E67:F67"/>
    <mergeCell ref="I12:J12"/>
    <mergeCell ref="R49:T49"/>
    <mergeCell ref="R37:T37"/>
    <mergeCell ref="R15:T15"/>
    <mergeCell ref="R30:T30"/>
    <mergeCell ref="G58:H58"/>
    <mergeCell ref="G59:H59"/>
    <mergeCell ref="R41:T41"/>
    <mergeCell ref="G35:H35"/>
    <mergeCell ref="G41:H41"/>
    <mergeCell ref="G34:H34"/>
    <mergeCell ref="E48:F48"/>
    <mergeCell ref="E30:F30"/>
    <mergeCell ref="G30:H30"/>
    <mergeCell ref="C44:D44"/>
    <mergeCell ref="E44:F44"/>
    <mergeCell ref="C31:D31"/>
    <mergeCell ref="C54:D54"/>
    <mergeCell ref="G54:H54"/>
    <mergeCell ref="E57:F57"/>
    <mergeCell ref="G57:H57"/>
    <mergeCell ref="E34:F34"/>
    <mergeCell ref="C62:D62"/>
    <mergeCell ref="G17:H17"/>
    <mergeCell ref="G27:H27"/>
    <mergeCell ref="C27:D27"/>
    <mergeCell ref="E27:F27"/>
    <mergeCell ref="G16:H16"/>
    <mergeCell ref="R18:T18"/>
    <mergeCell ref="C59:D59"/>
    <mergeCell ref="C64:D64"/>
    <mergeCell ref="E64:F64"/>
    <mergeCell ref="G64:H64"/>
    <mergeCell ref="G63:H63"/>
    <mergeCell ref="C49:D49"/>
    <mergeCell ref="E49:F49"/>
    <mergeCell ref="G49:H49"/>
    <mergeCell ref="C37:D37"/>
    <mergeCell ref="E37:F37"/>
    <mergeCell ref="G37:H37"/>
    <mergeCell ref="C45:D45"/>
    <mergeCell ref="E45:F45"/>
    <mergeCell ref="G45:H45"/>
    <mergeCell ref="C30:D30"/>
    <mergeCell ref="E43:F43"/>
    <mergeCell ref="C28:D28"/>
    <mergeCell ref="E28:F28"/>
    <mergeCell ref="C29:D29"/>
    <mergeCell ref="E29:F29"/>
    <mergeCell ref="G29:H29"/>
    <mergeCell ref="C35:D35"/>
    <mergeCell ref="E35:F35"/>
    <mergeCell ref="C60:D60"/>
    <mergeCell ref="C34:D34"/>
    <mergeCell ref="C53:D53"/>
    <mergeCell ref="G53:H53"/>
    <mergeCell ref="C55:D55"/>
    <mergeCell ref="E55:F55"/>
    <mergeCell ref="Y44:Z44"/>
    <mergeCell ref="AA44:AB44"/>
    <mergeCell ref="AC44:AD44"/>
    <mergeCell ref="AN44:AP44"/>
    <mergeCell ref="AV44:AW44"/>
    <mergeCell ref="AX44:AY44"/>
    <mergeCell ref="AZ44:BA44"/>
    <mergeCell ref="BK44:BM44"/>
    <mergeCell ref="BS44:BT44"/>
    <mergeCell ref="G26:H26"/>
    <mergeCell ref="C33:D33"/>
    <mergeCell ref="C21:D21"/>
    <mergeCell ref="C15:D15"/>
    <mergeCell ref="E15:F15"/>
    <mergeCell ref="G15:H15"/>
    <mergeCell ref="C41:D41"/>
    <mergeCell ref="E41:F41"/>
    <mergeCell ref="R35:T35"/>
    <mergeCell ref="C17:D17"/>
    <mergeCell ref="E17:F17"/>
    <mergeCell ref="C16:D16"/>
    <mergeCell ref="E16:F16"/>
    <mergeCell ref="R22:T22"/>
    <mergeCell ref="R19:T19"/>
    <mergeCell ref="R25:T25"/>
    <mergeCell ref="E23:F23"/>
    <mergeCell ref="G19:H19"/>
    <mergeCell ref="C18:D18"/>
    <mergeCell ref="E18:F18"/>
    <mergeCell ref="G18:H18"/>
    <mergeCell ref="R29:T29"/>
    <mergeCell ref="R40:T40"/>
    <mergeCell ref="DQ44:DR44"/>
    <mergeCell ref="EB44:ED44"/>
    <mergeCell ref="EJ44:EK44"/>
    <mergeCell ref="EL44:EM44"/>
    <mergeCell ref="EN44:EO44"/>
    <mergeCell ref="EY44:FA44"/>
    <mergeCell ref="FG44:FH44"/>
    <mergeCell ref="FI44:FJ44"/>
    <mergeCell ref="FK44:FL44"/>
    <mergeCell ref="BU44:BV44"/>
    <mergeCell ref="BW44:BX44"/>
    <mergeCell ref="CH44:CJ44"/>
    <mergeCell ref="CP44:CQ44"/>
    <mergeCell ref="CR44:CS44"/>
    <mergeCell ref="CT44:CU44"/>
    <mergeCell ref="DE44:DG44"/>
    <mergeCell ref="DM44:DN44"/>
    <mergeCell ref="DO44:DP44"/>
    <mergeCell ref="HX44:HY44"/>
    <mergeCell ref="HZ44:IA44"/>
    <mergeCell ref="IB44:IC44"/>
    <mergeCell ref="IM44:IO44"/>
    <mergeCell ref="IU44:IV44"/>
    <mergeCell ref="IW44:IX44"/>
    <mergeCell ref="IY44:IZ44"/>
    <mergeCell ref="JJ44:JL44"/>
    <mergeCell ref="JR44:JS44"/>
    <mergeCell ref="FV44:FX44"/>
    <mergeCell ref="GD44:GE44"/>
    <mergeCell ref="GF44:GG44"/>
    <mergeCell ref="GH44:GI44"/>
    <mergeCell ref="GS44:GU44"/>
    <mergeCell ref="HA44:HB44"/>
    <mergeCell ref="HC44:HD44"/>
    <mergeCell ref="HE44:HF44"/>
    <mergeCell ref="HP44:HR44"/>
    <mergeCell ref="LP44:LQ44"/>
    <mergeCell ref="MA44:MC44"/>
    <mergeCell ref="MI44:MJ44"/>
    <mergeCell ref="MK44:ML44"/>
    <mergeCell ref="MM44:MN44"/>
    <mergeCell ref="MX44:MZ44"/>
    <mergeCell ref="NF44:NG44"/>
    <mergeCell ref="NH44:NI44"/>
    <mergeCell ref="NJ44:NK44"/>
    <mergeCell ref="JT44:JU44"/>
    <mergeCell ref="JV44:JW44"/>
    <mergeCell ref="KG44:KI44"/>
    <mergeCell ref="KO44:KP44"/>
    <mergeCell ref="KQ44:KR44"/>
    <mergeCell ref="KS44:KT44"/>
    <mergeCell ref="LD44:LF44"/>
    <mergeCell ref="LL44:LM44"/>
    <mergeCell ref="LN44:LO44"/>
    <mergeCell ref="PW44:PX44"/>
    <mergeCell ref="PY44:PZ44"/>
    <mergeCell ref="QA44:QB44"/>
    <mergeCell ref="QL44:QN44"/>
    <mergeCell ref="QT44:QU44"/>
    <mergeCell ref="QV44:QW44"/>
    <mergeCell ref="QX44:QY44"/>
    <mergeCell ref="RI44:RK44"/>
    <mergeCell ref="RQ44:RR44"/>
    <mergeCell ref="NU44:NW44"/>
    <mergeCell ref="OC44:OD44"/>
    <mergeCell ref="OE44:OF44"/>
    <mergeCell ref="OG44:OH44"/>
    <mergeCell ref="OR44:OT44"/>
    <mergeCell ref="OZ44:PA44"/>
    <mergeCell ref="PB44:PC44"/>
    <mergeCell ref="PD44:PE44"/>
    <mergeCell ref="PO44:PQ44"/>
    <mergeCell ref="TO44:TP44"/>
    <mergeCell ref="TZ44:UB44"/>
    <mergeCell ref="UH44:UI44"/>
    <mergeCell ref="UJ44:UK44"/>
    <mergeCell ref="UL44:UM44"/>
    <mergeCell ref="UW44:UY44"/>
    <mergeCell ref="VE44:VF44"/>
    <mergeCell ref="VG44:VH44"/>
    <mergeCell ref="VI44:VJ44"/>
    <mergeCell ref="RS44:RT44"/>
    <mergeCell ref="RU44:RV44"/>
    <mergeCell ref="SF44:SH44"/>
    <mergeCell ref="SN44:SO44"/>
    <mergeCell ref="SP44:SQ44"/>
    <mergeCell ref="SR44:SS44"/>
    <mergeCell ref="TC44:TE44"/>
    <mergeCell ref="TK44:TL44"/>
    <mergeCell ref="TM44:TN44"/>
    <mergeCell ref="XV44:XW44"/>
    <mergeCell ref="XX44:XY44"/>
    <mergeCell ref="XZ44:YA44"/>
    <mergeCell ref="YK44:YM44"/>
    <mergeCell ref="YS44:YT44"/>
    <mergeCell ref="YU44:YV44"/>
    <mergeCell ref="YW44:YX44"/>
    <mergeCell ref="ZH44:ZJ44"/>
    <mergeCell ref="ZP44:ZQ44"/>
    <mergeCell ref="VT44:VV44"/>
    <mergeCell ref="WB44:WC44"/>
    <mergeCell ref="WD44:WE44"/>
    <mergeCell ref="WF44:WG44"/>
    <mergeCell ref="WQ44:WS44"/>
    <mergeCell ref="WY44:WZ44"/>
    <mergeCell ref="XA44:XB44"/>
    <mergeCell ref="XC44:XD44"/>
    <mergeCell ref="XN44:XP44"/>
    <mergeCell ref="ABN44:ABO44"/>
    <mergeCell ref="ABY44:ACA44"/>
    <mergeCell ref="ACG44:ACH44"/>
    <mergeCell ref="ACI44:ACJ44"/>
    <mergeCell ref="ACK44:ACL44"/>
    <mergeCell ref="ACV44:ACX44"/>
    <mergeCell ref="ADD44:ADE44"/>
    <mergeCell ref="ADF44:ADG44"/>
    <mergeCell ref="ADH44:ADI44"/>
    <mergeCell ref="ZR44:ZS44"/>
    <mergeCell ref="ZT44:ZU44"/>
    <mergeCell ref="AAE44:AAG44"/>
    <mergeCell ref="AAM44:AAN44"/>
    <mergeCell ref="AAO44:AAP44"/>
    <mergeCell ref="AAQ44:AAR44"/>
    <mergeCell ref="ABB44:ABD44"/>
    <mergeCell ref="ABJ44:ABK44"/>
    <mergeCell ref="ABL44:ABM44"/>
    <mergeCell ref="AFU44:AFV44"/>
    <mergeCell ref="AFW44:AFX44"/>
    <mergeCell ref="AFY44:AFZ44"/>
    <mergeCell ref="AGJ44:AGL44"/>
    <mergeCell ref="AGR44:AGS44"/>
    <mergeCell ref="AGT44:AGU44"/>
    <mergeCell ref="AGV44:AGW44"/>
    <mergeCell ref="AHG44:AHI44"/>
    <mergeCell ref="AHO44:AHP44"/>
    <mergeCell ref="ADS44:ADU44"/>
    <mergeCell ref="AEA44:AEB44"/>
    <mergeCell ref="AEC44:AED44"/>
    <mergeCell ref="AEE44:AEF44"/>
    <mergeCell ref="AEP44:AER44"/>
    <mergeCell ref="AEX44:AEY44"/>
    <mergeCell ref="AEZ44:AFA44"/>
    <mergeCell ref="AFB44:AFC44"/>
    <mergeCell ref="AFM44:AFO44"/>
    <mergeCell ref="AJM44:AJN44"/>
    <mergeCell ref="AJX44:AJZ44"/>
    <mergeCell ref="AKF44:AKG44"/>
    <mergeCell ref="AKH44:AKI44"/>
    <mergeCell ref="AKJ44:AKK44"/>
    <mergeCell ref="AKU44:AKW44"/>
    <mergeCell ref="ALC44:ALD44"/>
    <mergeCell ref="ALE44:ALF44"/>
    <mergeCell ref="ALG44:ALH44"/>
    <mergeCell ref="AHQ44:AHR44"/>
    <mergeCell ref="AHS44:AHT44"/>
    <mergeCell ref="AID44:AIF44"/>
    <mergeCell ref="AIL44:AIM44"/>
    <mergeCell ref="AIN44:AIO44"/>
    <mergeCell ref="AIP44:AIQ44"/>
    <mergeCell ref="AJA44:AJC44"/>
    <mergeCell ref="AJI44:AJJ44"/>
    <mergeCell ref="AJK44:AJL44"/>
    <mergeCell ref="ANT44:ANU44"/>
    <mergeCell ref="ANV44:ANW44"/>
    <mergeCell ref="ANX44:ANY44"/>
    <mergeCell ref="AOI44:AOK44"/>
    <mergeCell ref="AOQ44:AOR44"/>
    <mergeCell ref="AOS44:AOT44"/>
    <mergeCell ref="AOU44:AOV44"/>
    <mergeCell ref="APF44:APH44"/>
    <mergeCell ref="APN44:APO44"/>
    <mergeCell ref="ALR44:ALT44"/>
    <mergeCell ref="ALZ44:AMA44"/>
    <mergeCell ref="AMB44:AMC44"/>
    <mergeCell ref="AMD44:AME44"/>
    <mergeCell ref="AMO44:AMQ44"/>
    <mergeCell ref="AMW44:AMX44"/>
    <mergeCell ref="AMY44:AMZ44"/>
    <mergeCell ref="ANA44:ANB44"/>
    <mergeCell ref="ANL44:ANN44"/>
    <mergeCell ref="ARL44:ARM44"/>
    <mergeCell ref="ARW44:ARY44"/>
    <mergeCell ref="ASE44:ASF44"/>
    <mergeCell ref="ASG44:ASH44"/>
    <mergeCell ref="ASI44:ASJ44"/>
    <mergeCell ref="AST44:ASV44"/>
    <mergeCell ref="ATB44:ATC44"/>
    <mergeCell ref="ATD44:ATE44"/>
    <mergeCell ref="ATF44:ATG44"/>
    <mergeCell ref="APP44:APQ44"/>
    <mergeCell ref="APR44:APS44"/>
    <mergeCell ref="AQC44:AQE44"/>
    <mergeCell ref="AQK44:AQL44"/>
    <mergeCell ref="AQM44:AQN44"/>
    <mergeCell ref="AQO44:AQP44"/>
    <mergeCell ref="AQZ44:ARB44"/>
    <mergeCell ref="ARH44:ARI44"/>
    <mergeCell ref="ARJ44:ARK44"/>
    <mergeCell ref="AVS44:AVT44"/>
    <mergeCell ref="AVU44:AVV44"/>
    <mergeCell ref="AVW44:AVX44"/>
    <mergeCell ref="AWH44:AWJ44"/>
    <mergeCell ref="AWP44:AWQ44"/>
    <mergeCell ref="AWR44:AWS44"/>
    <mergeCell ref="AWT44:AWU44"/>
    <mergeCell ref="AXE44:AXG44"/>
    <mergeCell ref="AXM44:AXN44"/>
    <mergeCell ref="ATQ44:ATS44"/>
    <mergeCell ref="ATY44:ATZ44"/>
    <mergeCell ref="AUA44:AUB44"/>
    <mergeCell ref="AUC44:AUD44"/>
    <mergeCell ref="AUN44:AUP44"/>
    <mergeCell ref="AUV44:AUW44"/>
    <mergeCell ref="AUX44:AUY44"/>
    <mergeCell ref="AUZ44:AVA44"/>
    <mergeCell ref="AVK44:AVM44"/>
    <mergeCell ref="AZK44:AZL44"/>
    <mergeCell ref="AZV44:AZX44"/>
    <mergeCell ref="BAD44:BAE44"/>
    <mergeCell ref="BAF44:BAG44"/>
    <mergeCell ref="BAH44:BAI44"/>
    <mergeCell ref="BAS44:BAU44"/>
    <mergeCell ref="BBA44:BBB44"/>
    <mergeCell ref="BBC44:BBD44"/>
    <mergeCell ref="BBE44:BBF44"/>
    <mergeCell ref="AXO44:AXP44"/>
    <mergeCell ref="AXQ44:AXR44"/>
    <mergeCell ref="AYB44:AYD44"/>
    <mergeCell ref="AYJ44:AYK44"/>
    <mergeCell ref="AYL44:AYM44"/>
    <mergeCell ref="AYN44:AYO44"/>
    <mergeCell ref="AYY44:AZA44"/>
    <mergeCell ref="AZG44:AZH44"/>
    <mergeCell ref="AZI44:AZJ44"/>
    <mergeCell ref="BDR44:BDS44"/>
    <mergeCell ref="BDT44:BDU44"/>
    <mergeCell ref="BDV44:BDW44"/>
    <mergeCell ref="BEG44:BEI44"/>
    <mergeCell ref="BEO44:BEP44"/>
    <mergeCell ref="BEQ44:BER44"/>
    <mergeCell ref="BES44:BET44"/>
    <mergeCell ref="BFD44:BFF44"/>
    <mergeCell ref="BFL44:BFM44"/>
    <mergeCell ref="BBP44:BBR44"/>
    <mergeCell ref="BBX44:BBY44"/>
    <mergeCell ref="BBZ44:BCA44"/>
    <mergeCell ref="BCB44:BCC44"/>
    <mergeCell ref="BCM44:BCO44"/>
    <mergeCell ref="BCU44:BCV44"/>
    <mergeCell ref="BCW44:BCX44"/>
    <mergeCell ref="BCY44:BCZ44"/>
    <mergeCell ref="BDJ44:BDL44"/>
    <mergeCell ref="BHJ44:BHK44"/>
    <mergeCell ref="BHU44:BHW44"/>
    <mergeCell ref="BIC44:BID44"/>
    <mergeCell ref="BIE44:BIF44"/>
    <mergeCell ref="BIG44:BIH44"/>
    <mergeCell ref="BIR44:BIT44"/>
    <mergeCell ref="BIZ44:BJA44"/>
    <mergeCell ref="BJB44:BJC44"/>
    <mergeCell ref="BJD44:BJE44"/>
    <mergeCell ref="BFN44:BFO44"/>
    <mergeCell ref="BFP44:BFQ44"/>
    <mergeCell ref="BGA44:BGC44"/>
    <mergeCell ref="BGI44:BGJ44"/>
    <mergeCell ref="BGK44:BGL44"/>
    <mergeCell ref="BGM44:BGN44"/>
    <mergeCell ref="BGX44:BGZ44"/>
    <mergeCell ref="BHF44:BHG44"/>
    <mergeCell ref="BHH44:BHI44"/>
    <mergeCell ref="BLQ44:BLR44"/>
    <mergeCell ref="BLS44:BLT44"/>
    <mergeCell ref="BLU44:BLV44"/>
    <mergeCell ref="BMF44:BMH44"/>
    <mergeCell ref="BMN44:BMO44"/>
    <mergeCell ref="BMP44:BMQ44"/>
    <mergeCell ref="BMR44:BMS44"/>
    <mergeCell ref="BNC44:BNE44"/>
    <mergeCell ref="BNK44:BNL44"/>
    <mergeCell ref="BJO44:BJQ44"/>
    <mergeCell ref="BJW44:BJX44"/>
    <mergeCell ref="BJY44:BJZ44"/>
    <mergeCell ref="BKA44:BKB44"/>
    <mergeCell ref="BKL44:BKN44"/>
    <mergeCell ref="BKT44:BKU44"/>
    <mergeCell ref="BKV44:BKW44"/>
    <mergeCell ref="BKX44:BKY44"/>
    <mergeCell ref="BLI44:BLK44"/>
    <mergeCell ref="BPI44:BPJ44"/>
    <mergeCell ref="BPT44:BPV44"/>
    <mergeCell ref="BQB44:BQC44"/>
    <mergeCell ref="BQD44:BQE44"/>
    <mergeCell ref="BQF44:BQG44"/>
    <mergeCell ref="BQQ44:BQS44"/>
    <mergeCell ref="BQY44:BQZ44"/>
    <mergeCell ref="BRA44:BRB44"/>
    <mergeCell ref="BRC44:BRD44"/>
    <mergeCell ref="BNM44:BNN44"/>
    <mergeCell ref="BNO44:BNP44"/>
    <mergeCell ref="BNZ44:BOB44"/>
    <mergeCell ref="BOH44:BOI44"/>
    <mergeCell ref="BOJ44:BOK44"/>
    <mergeCell ref="BOL44:BOM44"/>
    <mergeCell ref="BOW44:BOY44"/>
    <mergeCell ref="BPE44:BPF44"/>
    <mergeCell ref="BPG44:BPH44"/>
    <mergeCell ref="BTP44:BTQ44"/>
    <mergeCell ref="BTR44:BTS44"/>
    <mergeCell ref="BTT44:BTU44"/>
    <mergeCell ref="BUE44:BUG44"/>
    <mergeCell ref="BUM44:BUN44"/>
    <mergeCell ref="BUO44:BUP44"/>
    <mergeCell ref="BUQ44:BUR44"/>
    <mergeCell ref="BVB44:BVD44"/>
    <mergeCell ref="BVJ44:BVK44"/>
    <mergeCell ref="BRN44:BRP44"/>
    <mergeCell ref="BRV44:BRW44"/>
    <mergeCell ref="BRX44:BRY44"/>
    <mergeCell ref="BRZ44:BSA44"/>
    <mergeCell ref="BSK44:BSM44"/>
    <mergeCell ref="BSS44:BST44"/>
    <mergeCell ref="BSU44:BSV44"/>
    <mergeCell ref="BSW44:BSX44"/>
    <mergeCell ref="BTH44:BTJ44"/>
    <mergeCell ref="BXH44:BXI44"/>
    <mergeCell ref="BXS44:BXU44"/>
    <mergeCell ref="BYA44:BYB44"/>
    <mergeCell ref="BYC44:BYD44"/>
    <mergeCell ref="BYE44:BYF44"/>
    <mergeCell ref="BYP44:BYR44"/>
    <mergeCell ref="BYX44:BYY44"/>
    <mergeCell ref="BYZ44:BZA44"/>
    <mergeCell ref="BZB44:BZC44"/>
    <mergeCell ref="BVL44:BVM44"/>
    <mergeCell ref="BVN44:BVO44"/>
    <mergeCell ref="BVY44:BWA44"/>
    <mergeCell ref="BWG44:BWH44"/>
    <mergeCell ref="BWI44:BWJ44"/>
    <mergeCell ref="BWK44:BWL44"/>
    <mergeCell ref="BWV44:BWX44"/>
    <mergeCell ref="BXD44:BXE44"/>
    <mergeCell ref="BXF44:BXG44"/>
    <mergeCell ref="CBO44:CBP44"/>
    <mergeCell ref="CBQ44:CBR44"/>
    <mergeCell ref="CBS44:CBT44"/>
    <mergeCell ref="CCD44:CCF44"/>
    <mergeCell ref="CCL44:CCM44"/>
    <mergeCell ref="CCN44:CCO44"/>
    <mergeCell ref="CCP44:CCQ44"/>
    <mergeCell ref="CDA44:CDC44"/>
    <mergeCell ref="CDI44:CDJ44"/>
    <mergeCell ref="BZM44:BZO44"/>
    <mergeCell ref="BZU44:BZV44"/>
    <mergeCell ref="BZW44:BZX44"/>
    <mergeCell ref="BZY44:BZZ44"/>
    <mergeCell ref="CAJ44:CAL44"/>
    <mergeCell ref="CAR44:CAS44"/>
    <mergeCell ref="CAT44:CAU44"/>
    <mergeCell ref="CAV44:CAW44"/>
    <mergeCell ref="CBG44:CBI44"/>
    <mergeCell ref="CFG44:CFH44"/>
    <mergeCell ref="CFR44:CFT44"/>
    <mergeCell ref="CFZ44:CGA44"/>
    <mergeCell ref="CGB44:CGC44"/>
    <mergeCell ref="CGD44:CGE44"/>
    <mergeCell ref="CGO44:CGQ44"/>
    <mergeCell ref="CGW44:CGX44"/>
    <mergeCell ref="CGY44:CGZ44"/>
    <mergeCell ref="CHA44:CHB44"/>
    <mergeCell ref="CDK44:CDL44"/>
    <mergeCell ref="CDM44:CDN44"/>
    <mergeCell ref="CDX44:CDZ44"/>
    <mergeCell ref="CEF44:CEG44"/>
    <mergeCell ref="CEH44:CEI44"/>
    <mergeCell ref="CEJ44:CEK44"/>
    <mergeCell ref="CEU44:CEW44"/>
    <mergeCell ref="CFC44:CFD44"/>
    <mergeCell ref="CFE44:CFF44"/>
    <mergeCell ref="CJN44:CJO44"/>
    <mergeCell ref="CJP44:CJQ44"/>
    <mergeCell ref="CJR44:CJS44"/>
    <mergeCell ref="CKC44:CKE44"/>
    <mergeCell ref="CKK44:CKL44"/>
    <mergeCell ref="CKM44:CKN44"/>
    <mergeCell ref="CKO44:CKP44"/>
    <mergeCell ref="CKZ44:CLB44"/>
    <mergeCell ref="CLH44:CLI44"/>
    <mergeCell ref="CHL44:CHN44"/>
    <mergeCell ref="CHT44:CHU44"/>
    <mergeCell ref="CHV44:CHW44"/>
    <mergeCell ref="CHX44:CHY44"/>
    <mergeCell ref="CII44:CIK44"/>
    <mergeCell ref="CIQ44:CIR44"/>
    <mergeCell ref="CIS44:CIT44"/>
    <mergeCell ref="CIU44:CIV44"/>
    <mergeCell ref="CJF44:CJH44"/>
    <mergeCell ref="CNF44:CNG44"/>
    <mergeCell ref="CNQ44:CNS44"/>
    <mergeCell ref="CNY44:CNZ44"/>
    <mergeCell ref="COA44:COB44"/>
    <mergeCell ref="COC44:COD44"/>
    <mergeCell ref="CON44:COP44"/>
    <mergeCell ref="COV44:COW44"/>
    <mergeCell ref="COX44:COY44"/>
    <mergeCell ref="COZ44:CPA44"/>
    <mergeCell ref="CLJ44:CLK44"/>
    <mergeCell ref="CLL44:CLM44"/>
    <mergeCell ref="CLW44:CLY44"/>
    <mergeCell ref="CME44:CMF44"/>
    <mergeCell ref="CMG44:CMH44"/>
    <mergeCell ref="CMI44:CMJ44"/>
    <mergeCell ref="CMT44:CMV44"/>
    <mergeCell ref="CNB44:CNC44"/>
    <mergeCell ref="CND44:CNE44"/>
    <mergeCell ref="CRM44:CRN44"/>
    <mergeCell ref="CRO44:CRP44"/>
    <mergeCell ref="CRQ44:CRR44"/>
    <mergeCell ref="CSB44:CSD44"/>
    <mergeCell ref="CSJ44:CSK44"/>
    <mergeCell ref="CSL44:CSM44"/>
    <mergeCell ref="CSN44:CSO44"/>
    <mergeCell ref="CSY44:CTA44"/>
    <mergeCell ref="CTG44:CTH44"/>
    <mergeCell ref="CPK44:CPM44"/>
    <mergeCell ref="CPS44:CPT44"/>
    <mergeCell ref="CPU44:CPV44"/>
    <mergeCell ref="CPW44:CPX44"/>
    <mergeCell ref="CQH44:CQJ44"/>
    <mergeCell ref="CQP44:CQQ44"/>
    <mergeCell ref="CQR44:CQS44"/>
    <mergeCell ref="CQT44:CQU44"/>
    <mergeCell ref="CRE44:CRG44"/>
    <mergeCell ref="CVE44:CVF44"/>
    <mergeCell ref="CVP44:CVR44"/>
    <mergeCell ref="CVX44:CVY44"/>
    <mergeCell ref="CVZ44:CWA44"/>
    <mergeCell ref="CWB44:CWC44"/>
    <mergeCell ref="CWM44:CWO44"/>
    <mergeCell ref="CWU44:CWV44"/>
    <mergeCell ref="CWW44:CWX44"/>
    <mergeCell ref="CWY44:CWZ44"/>
    <mergeCell ref="CTI44:CTJ44"/>
    <mergeCell ref="CTK44:CTL44"/>
    <mergeCell ref="CTV44:CTX44"/>
    <mergeCell ref="CUD44:CUE44"/>
    <mergeCell ref="CUF44:CUG44"/>
    <mergeCell ref="CUH44:CUI44"/>
    <mergeCell ref="CUS44:CUU44"/>
    <mergeCell ref="CVA44:CVB44"/>
    <mergeCell ref="CVC44:CVD44"/>
    <mergeCell ref="CZL44:CZM44"/>
    <mergeCell ref="CZN44:CZO44"/>
    <mergeCell ref="CZP44:CZQ44"/>
    <mergeCell ref="DAA44:DAC44"/>
    <mergeCell ref="DAI44:DAJ44"/>
    <mergeCell ref="DAK44:DAL44"/>
    <mergeCell ref="DAM44:DAN44"/>
    <mergeCell ref="DAX44:DAZ44"/>
    <mergeCell ref="DBF44:DBG44"/>
    <mergeCell ref="CXJ44:CXL44"/>
    <mergeCell ref="CXR44:CXS44"/>
    <mergeCell ref="CXT44:CXU44"/>
    <mergeCell ref="CXV44:CXW44"/>
    <mergeCell ref="CYG44:CYI44"/>
    <mergeCell ref="CYO44:CYP44"/>
    <mergeCell ref="CYQ44:CYR44"/>
    <mergeCell ref="CYS44:CYT44"/>
    <mergeCell ref="CZD44:CZF44"/>
    <mergeCell ref="DDD44:DDE44"/>
    <mergeCell ref="DDO44:DDQ44"/>
    <mergeCell ref="DDW44:DDX44"/>
    <mergeCell ref="DDY44:DDZ44"/>
    <mergeCell ref="DEA44:DEB44"/>
    <mergeCell ref="DEL44:DEN44"/>
    <mergeCell ref="DET44:DEU44"/>
    <mergeCell ref="DEV44:DEW44"/>
    <mergeCell ref="DEX44:DEY44"/>
    <mergeCell ref="DBH44:DBI44"/>
    <mergeCell ref="DBJ44:DBK44"/>
    <mergeCell ref="DBU44:DBW44"/>
    <mergeCell ref="DCC44:DCD44"/>
    <mergeCell ref="DCE44:DCF44"/>
    <mergeCell ref="DCG44:DCH44"/>
    <mergeCell ref="DCR44:DCT44"/>
    <mergeCell ref="DCZ44:DDA44"/>
    <mergeCell ref="DDB44:DDC44"/>
    <mergeCell ref="DHK44:DHL44"/>
    <mergeCell ref="DHM44:DHN44"/>
    <mergeCell ref="DHO44:DHP44"/>
    <mergeCell ref="DHZ44:DIB44"/>
    <mergeCell ref="DIH44:DII44"/>
    <mergeCell ref="DIJ44:DIK44"/>
    <mergeCell ref="DIL44:DIM44"/>
    <mergeCell ref="DIW44:DIY44"/>
    <mergeCell ref="DJE44:DJF44"/>
    <mergeCell ref="DFI44:DFK44"/>
    <mergeCell ref="DFQ44:DFR44"/>
    <mergeCell ref="DFS44:DFT44"/>
    <mergeCell ref="DFU44:DFV44"/>
    <mergeCell ref="DGF44:DGH44"/>
    <mergeCell ref="DGN44:DGO44"/>
    <mergeCell ref="DGP44:DGQ44"/>
    <mergeCell ref="DGR44:DGS44"/>
    <mergeCell ref="DHC44:DHE44"/>
    <mergeCell ref="DLC44:DLD44"/>
    <mergeCell ref="DLN44:DLP44"/>
    <mergeCell ref="DLV44:DLW44"/>
    <mergeCell ref="DLX44:DLY44"/>
    <mergeCell ref="DLZ44:DMA44"/>
    <mergeCell ref="DMK44:DMM44"/>
    <mergeCell ref="DMS44:DMT44"/>
    <mergeCell ref="DMU44:DMV44"/>
    <mergeCell ref="DMW44:DMX44"/>
    <mergeCell ref="DJG44:DJH44"/>
    <mergeCell ref="DJI44:DJJ44"/>
    <mergeCell ref="DJT44:DJV44"/>
    <mergeCell ref="DKB44:DKC44"/>
    <mergeCell ref="DKD44:DKE44"/>
    <mergeCell ref="DKF44:DKG44"/>
    <mergeCell ref="DKQ44:DKS44"/>
    <mergeCell ref="DKY44:DKZ44"/>
    <mergeCell ref="DLA44:DLB44"/>
    <mergeCell ref="DPJ44:DPK44"/>
    <mergeCell ref="DPL44:DPM44"/>
    <mergeCell ref="DPN44:DPO44"/>
    <mergeCell ref="DPY44:DQA44"/>
    <mergeCell ref="DQG44:DQH44"/>
    <mergeCell ref="DQI44:DQJ44"/>
    <mergeCell ref="DQK44:DQL44"/>
    <mergeCell ref="DQV44:DQX44"/>
    <mergeCell ref="DRD44:DRE44"/>
    <mergeCell ref="DNH44:DNJ44"/>
    <mergeCell ref="DNP44:DNQ44"/>
    <mergeCell ref="DNR44:DNS44"/>
    <mergeCell ref="DNT44:DNU44"/>
    <mergeCell ref="DOE44:DOG44"/>
    <mergeCell ref="DOM44:DON44"/>
    <mergeCell ref="DOO44:DOP44"/>
    <mergeCell ref="DOQ44:DOR44"/>
    <mergeCell ref="DPB44:DPD44"/>
    <mergeCell ref="DTB44:DTC44"/>
    <mergeCell ref="DTM44:DTO44"/>
    <mergeCell ref="DTU44:DTV44"/>
    <mergeCell ref="DTW44:DTX44"/>
    <mergeCell ref="DTY44:DTZ44"/>
    <mergeCell ref="DUJ44:DUL44"/>
    <mergeCell ref="DUR44:DUS44"/>
    <mergeCell ref="DUT44:DUU44"/>
    <mergeCell ref="DUV44:DUW44"/>
    <mergeCell ref="DRF44:DRG44"/>
    <mergeCell ref="DRH44:DRI44"/>
    <mergeCell ref="DRS44:DRU44"/>
    <mergeCell ref="DSA44:DSB44"/>
    <mergeCell ref="DSC44:DSD44"/>
    <mergeCell ref="DSE44:DSF44"/>
    <mergeCell ref="DSP44:DSR44"/>
    <mergeCell ref="DSX44:DSY44"/>
    <mergeCell ref="DSZ44:DTA44"/>
    <mergeCell ref="DXI44:DXJ44"/>
    <mergeCell ref="DXK44:DXL44"/>
    <mergeCell ref="DXM44:DXN44"/>
    <mergeCell ref="DXX44:DXZ44"/>
    <mergeCell ref="DYF44:DYG44"/>
    <mergeCell ref="DYH44:DYI44"/>
    <mergeCell ref="DYJ44:DYK44"/>
    <mergeCell ref="DYU44:DYW44"/>
    <mergeCell ref="DZC44:DZD44"/>
    <mergeCell ref="DVG44:DVI44"/>
    <mergeCell ref="DVO44:DVP44"/>
    <mergeCell ref="DVQ44:DVR44"/>
    <mergeCell ref="DVS44:DVT44"/>
    <mergeCell ref="DWD44:DWF44"/>
    <mergeCell ref="DWL44:DWM44"/>
    <mergeCell ref="DWN44:DWO44"/>
    <mergeCell ref="DWP44:DWQ44"/>
    <mergeCell ref="DXA44:DXC44"/>
    <mergeCell ref="EBA44:EBB44"/>
    <mergeCell ref="EBL44:EBN44"/>
    <mergeCell ref="EBT44:EBU44"/>
    <mergeCell ref="EBV44:EBW44"/>
    <mergeCell ref="EBX44:EBY44"/>
    <mergeCell ref="ECI44:ECK44"/>
    <mergeCell ref="ECQ44:ECR44"/>
    <mergeCell ref="ECS44:ECT44"/>
    <mergeCell ref="ECU44:ECV44"/>
    <mergeCell ref="DZE44:DZF44"/>
    <mergeCell ref="DZG44:DZH44"/>
    <mergeCell ref="DZR44:DZT44"/>
    <mergeCell ref="DZZ44:EAA44"/>
    <mergeCell ref="EAB44:EAC44"/>
    <mergeCell ref="EAD44:EAE44"/>
    <mergeCell ref="EAO44:EAQ44"/>
    <mergeCell ref="EAW44:EAX44"/>
    <mergeCell ref="EAY44:EAZ44"/>
    <mergeCell ref="EFH44:EFI44"/>
    <mergeCell ref="EFJ44:EFK44"/>
    <mergeCell ref="EFL44:EFM44"/>
    <mergeCell ref="EFW44:EFY44"/>
    <mergeCell ref="EGE44:EGF44"/>
    <mergeCell ref="EGG44:EGH44"/>
    <mergeCell ref="EGI44:EGJ44"/>
    <mergeCell ref="EGT44:EGV44"/>
    <mergeCell ref="EHB44:EHC44"/>
    <mergeCell ref="EDF44:EDH44"/>
    <mergeCell ref="EDN44:EDO44"/>
    <mergeCell ref="EDP44:EDQ44"/>
    <mergeCell ref="EDR44:EDS44"/>
    <mergeCell ref="EEC44:EEE44"/>
    <mergeCell ref="EEK44:EEL44"/>
    <mergeCell ref="EEM44:EEN44"/>
    <mergeCell ref="EEO44:EEP44"/>
    <mergeCell ref="EEZ44:EFB44"/>
    <mergeCell ref="EIZ44:EJA44"/>
    <mergeCell ref="EJK44:EJM44"/>
    <mergeCell ref="EJS44:EJT44"/>
    <mergeCell ref="EJU44:EJV44"/>
    <mergeCell ref="EJW44:EJX44"/>
    <mergeCell ref="EKH44:EKJ44"/>
    <mergeCell ref="EKP44:EKQ44"/>
    <mergeCell ref="EKR44:EKS44"/>
    <mergeCell ref="EKT44:EKU44"/>
    <mergeCell ref="EHD44:EHE44"/>
    <mergeCell ref="EHF44:EHG44"/>
    <mergeCell ref="EHQ44:EHS44"/>
    <mergeCell ref="EHY44:EHZ44"/>
    <mergeCell ref="EIA44:EIB44"/>
    <mergeCell ref="EIC44:EID44"/>
    <mergeCell ref="EIN44:EIP44"/>
    <mergeCell ref="EIV44:EIW44"/>
    <mergeCell ref="EIX44:EIY44"/>
    <mergeCell ref="ENG44:ENH44"/>
    <mergeCell ref="ENI44:ENJ44"/>
    <mergeCell ref="ENK44:ENL44"/>
    <mergeCell ref="ENV44:ENX44"/>
    <mergeCell ref="EOD44:EOE44"/>
    <mergeCell ref="EOF44:EOG44"/>
    <mergeCell ref="EOH44:EOI44"/>
    <mergeCell ref="EOS44:EOU44"/>
    <mergeCell ref="EPA44:EPB44"/>
    <mergeCell ref="ELE44:ELG44"/>
    <mergeCell ref="ELM44:ELN44"/>
    <mergeCell ref="ELO44:ELP44"/>
    <mergeCell ref="ELQ44:ELR44"/>
    <mergeCell ref="EMB44:EMD44"/>
    <mergeCell ref="EMJ44:EMK44"/>
    <mergeCell ref="EML44:EMM44"/>
    <mergeCell ref="EMN44:EMO44"/>
    <mergeCell ref="EMY44:ENA44"/>
    <mergeCell ref="EQY44:EQZ44"/>
    <mergeCell ref="ERJ44:ERL44"/>
    <mergeCell ref="ERR44:ERS44"/>
    <mergeCell ref="ERT44:ERU44"/>
    <mergeCell ref="ERV44:ERW44"/>
    <mergeCell ref="ESG44:ESI44"/>
    <mergeCell ref="ESO44:ESP44"/>
    <mergeCell ref="ESQ44:ESR44"/>
    <mergeCell ref="ESS44:EST44"/>
    <mergeCell ref="EPC44:EPD44"/>
    <mergeCell ref="EPE44:EPF44"/>
    <mergeCell ref="EPP44:EPR44"/>
    <mergeCell ref="EPX44:EPY44"/>
    <mergeCell ref="EPZ44:EQA44"/>
    <mergeCell ref="EQB44:EQC44"/>
    <mergeCell ref="EQM44:EQO44"/>
    <mergeCell ref="EQU44:EQV44"/>
    <mergeCell ref="EQW44:EQX44"/>
    <mergeCell ref="EVF44:EVG44"/>
    <mergeCell ref="EVH44:EVI44"/>
    <mergeCell ref="EVJ44:EVK44"/>
    <mergeCell ref="EVU44:EVW44"/>
    <mergeCell ref="EWC44:EWD44"/>
    <mergeCell ref="EWE44:EWF44"/>
    <mergeCell ref="EWG44:EWH44"/>
    <mergeCell ref="EWR44:EWT44"/>
    <mergeCell ref="EWZ44:EXA44"/>
    <mergeCell ref="ETD44:ETF44"/>
    <mergeCell ref="ETL44:ETM44"/>
    <mergeCell ref="ETN44:ETO44"/>
    <mergeCell ref="ETP44:ETQ44"/>
    <mergeCell ref="EUA44:EUC44"/>
    <mergeCell ref="EUI44:EUJ44"/>
    <mergeCell ref="EUK44:EUL44"/>
    <mergeCell ref="EUM44:EUN44"/>
    <mergeCell ref="EUX44:EUZ44"/>
    <mergeCell ref="EYX44:EYY44"/>
    <mergeCell ref="EZI44:EZK44"/>
    <mergeCell ref="EZQ44:EZR44"/>
    <mergeCell ref="EZS44:EZT44"/>
    <mergeCell ref="EZU44:EZV44"/>
    <mergeCell ref="FAF44:FAH44"/>
    <mergeCell ref="FAN44:FAO44"/>
    <mergeCell ref="FAP44:FAQ44"/>
    <mergeCell ref="FAR44:FAS44"/>
    <mergeCell ref="EXB44:EXC44"/>
    <mergeCell ref="EXD44:EXE44"/>
    <mergeCell ref="EXO44:EXQ44"/>
    <mergeCell ref="EXW44:EXX44"/>
    <mergeCell ref="EXY44:EXZ44"/>
    <mergeCell ref="EYA44:EYB44"/>
    <mergeCell ref="EYL44:EYN44"/>
    <mergeCell ref="EYT44:EYU44"/>
    <mergeCell ref="EYV44:EYW44"/>
    <mergeCell ref="FDE44:FDF44"/>
    <mergeCell ref="FDG44:FDH44"/>
    <mergeCell ref="FDI44:FDJ44"/>
    <mergeCell ref="FDT44:FDV44"/>
    <mergeCell ref="FEB44:FEC44"/>
    <mergeCell ref="FED44:FEE44"/>
    <mergeCell ref="FEF44:FEG44"/>
    <mergeCell ref="FEQ44:FES44"/>
    <mergeCell ref="FEY44:FEZ44"/>
    <mergeCell ref="FBC44:FBE44"/>
    <mergeCell ref="FBK44:FBL44"/>
    <mergeCell ref="FBM44:FBN44"/>
    <mergeCell ref="FBO44:FBP44"/>
    <mergeCell ref="FBZ44:FCB44"/>
    <mergeCell ref="FCH44:FCI44"/>
    <mergeCell ref="FCJ44:FCK44"/>
    <mergeCell ref="FCL44:FCM44"/>
    <mergeCell ref="FCW44:FCY44"/>
    <mergeCell ref="FGW44:FGX44"/>
    <mergeCell ref="FHH44:FHJ44"/>
    <mergeCell ref="FHP44:FHQ44"/>
    <mergeCell ref="FHR44:FHS44"/>
    <mergeCell ref="FHT44:FHU44"/>
    <mergeCell ref="FIE44:FIG44"/>
    <mergeCell ref="FIM44:FIN44"/>
    <mergeCell ref="FIO44:FIP44"/>
    <mergeCell ref="FIQ44:FIR44"/>
    <mergeCell ref="FFA44:FFB44"/>
    <mergeCell ref="FFC44:FFD44"/>
    <mergeCell ref="FFN44:FFP44"/>
    <mergeCell ref="FFV44:FFW44"/>
    <mergeCell ref="FFX44:FFY44"/>
    <mergeCell ref="FFZ44:FGA44"/>
    <mergeCell ref="FGK44:FGM44"/>
    <mergeCell ref="FGS44:FGT44"/>
    <mergeCell ref="FGU44:FGV44"/>
    <mergeCell ref="FLD44:FLE44"/>
    <mergeCell ref="FLF44:FLG44"/>
    <mergeCell ref="FLH44:FLI44"/>
    <mergeCell ref="FLS44:FLU44"/>
    <mergeCell ref="FMA44:FMB44"/>
    <mergeCell ref="FMC44:FMD44"/>
    <mergeCell ref="FME44:FMF44"/>
    <mergeCell ref="FMP44:FMR44"/>
    <mergeCell ref="FMX44:FMY44"/>
    <mergeCell ref="FJB44:FJD44"/>
    <mergeCell ref="FJJ44:FJK44"/>
    <mergeCell ref="FJL44:FJM44"/>
    <mergeCell ref="FJN44:FJO44"/>
    <mergeCell ref="FJY44:FKA44"/>
    <mergeCell ref="FKG44:FKH44"/>
    <mergeCell ref="FKI44:FKJ44"/>
    <mergeCell ref="FKK44:FKL44"/>
    <mergeCell ref="FKV44:FKX44"/>
    <mergeCell ref="FOV44:FOW44"/>
    <mergeCell ref="FPG44:FPI44"/>
    <mergeCell ref="FPO44:FPP44"/>
    <mergeCell ref="FPQ44:FPR44"/>
    <mergeCell ref="FPS44:FPT44"/>
    <mergeCell ref="FQD44:FQF44"/>
    <mergeCell ref="FQL44:FQM44"/>
    <mergeCell ref="FQN44:FQO44"/>
    <mergeCell ref="FQP44:FQQ44"/>
    <mergeCell ref="FMZ44:FNA44"/>
    <mergeCell ref="FNB44:FNC44"/>
    <mergeCell ref="FNM44:FNO44"/>
    <mergeCell ref="FNU44:FNV44"/>
    <mergeCell ref="FNW44:FNX44"/>
    <mergeCell ref="FNY44:FNZ44"/>
    <mergeCell ref="FOJ44:FOL44"/>
    <mergeCell ref="FOR44:FOS44"/>
    <mergeCell ref="FOT44:FOU44"/>
    <mergeCell ref="FTC44:FTD44"/>
    <mergeCell ref="FTE44:FTF44"/>
    <mergeCell ref="FTG44:FTH44"/>
    <mergeCell ref="FTR44:FTT44"/>
    <mergeCell ref="FTZ44:FUA44"/>
    <mergeCell ref="FUB44:FUC44"/>
    <mergeCell ref="FUD44:FUE44"/>
    <mergeCell ref="FUO44:FUQ44"/>
    <mergeCell ref="FUW44:FUX44"/>
    <mergeCell ref="FRA44:FRC44"/>
    <mergeCell ref="FRI44:FRJ44"/>
    <mergeCell ref="FRK44:FRL44"/>
    <mergeCell ref="FRM44:FRN44"/>
    <mergeCell ref="FRX44:FRZ44"/>
    <mergeCell ref="FSF44:FSG44"/>
    <mergeCell ref="FSH44:FSI44"/>
    <mergeCell ref="FSJ44:FSK44"/>
    <mergeCell ref="FSU44:FSW44"/>
    <mergeCell ref="FWU44:FWV44"/>
    <mergeCell ref="FXF44:FXH44"/>
    <mergeCell ref="FXN44:FXO44"/>
    <mergeCell ref="FXP44:FXQ44"/>
    <mergeCell ref="FXR44:FXS44"/>
    <mergeCell ref="FYC44:FYE44"/>
    <mergeCell ref="FYK44:FYL44"/>
    <mergeCell ref="FYM44:FYN44"/>
    <mergeCell ref="FYO44:FYP44"/>
    <mergeCell ref="FUY44:FUZ44"/>
    <mergeCell ref="FVA44:FVB44"/>
    <mergeCell ref="FVL44:FVN44"/>
    <mergeCell ref="FVT44:FVU44"/>
    <mergeCell ref="FVV44:FVW44"/>
    <mergeCell ref="FVX44:FVY44"/>
    <mergeCell ref="FWI44:FWK44"/>
    <mergeCell ref="FWQ44:FWR44"/>
    <mergeCell ref="FWS44:FWT44"/>
    <mergeCell ref="GBB44:GBC44"/>
    <mergeCell ref="GBD44:GBE44"/>
    <mergeCell ref="GBF44:GBG44"/>
    <mergeCell ref="GBQ44:GBS44"/>
    <mergeCell ref="GBY44:GBZ44"/>
    <mergeCell ref="GCA44:GCB44"/>
    <mergeCell ref="GCC44:GCD44"/>
    <mergeCell ref="GCN44:GCP44"/>
    <mergeCell ref="GCV44:GCW44"/>
    <mergeCell ref="FYZ44:FZB44"/>
    <mergeCell ref="FZH44:FZI44"/>
    <mergeCell ref="FZJ44:FZK44"/>
    <mergeCell ref="FZL44:FZM44"/>
    <mergeCell ref="FZW44:FZY44"/>
    <mergeCell ref="GAE44:GAF44"/>
    <mergeCell ref="GAG44:GAH44"/>
    <mergeCell ref="GAI44:GAJ44"/>
    <mergeCell ref="GAT44:GAV44"/>
    <mergeCell ref="GET44:GEU44"/>
    <mergeCell ref="GFE44:GFG44"/>
    <mergeCell ref="GFM44:GFN44"/>
    <mergeCell ref="GFO44:GFP44"/>
    <mergeCell ref="GFQ44:GFR44"/>
    <mergeCell ref="GGB44:GGD44"/>
    <mergeCell ref="GGJ44:GGK44"/>
    <mergeCell ref="GGL44:GGM44"/>
    <mergeCell ref="GGN44:GGO44"/>
    <mergeCell ref="GCX44:GCY44"/>
    <mergeCell ref="GCZ44:GDA44"/>
    <mergeCell ref="GDK44:GDM44"/>
    <mergeCell ref="GDS44:GDT44"/>
    <mergeCell ref="GDU44:GDV44"/>
    <mergeCell ref="GDW44:GDX44"/>
    <mergeCell ref="GEH44:GEJ44"/>
    <mergeCell ref="GEP44:GEQ44"/>
    <mergeCell ref="GER44:GES44"/>
    <mergeCell ref="GJA44:GJB44"/>
    <mergeCell ref="GJC44:GJD44"/>
    <mergeCell ref="GJE44:GJF44"/>
    <mergeCell ref="GJP44:GJR44"/>
    <mergeCell ref="GJX44:GJY44"/>
    <mergeCell ref="GJZ44:GKA44"/>
    <mergeCell ref="GKB44:GKC44"/>
    <mergeCell ref="GKM44:GKO44"/>
    <mergeCell ref="GKU44:GKV44"/>
    <mergeCell ref="GGY44:GHA44"/>
    <mergeCell ref="GHG44:GHH44"/>
    <mergeCell ref="GHI44:GHJ44"/>
    <mergeCell ref="GHK44:GHL44"/>
    <mergeCell ref="GHV44:GHX44"/>
    <mergeCell ref="GID44:GIE44"/>
    <mergeCell ref="GIF44:GIG44"/>
    <mergeCell ref="GIH44:GII44"/>
    <mergeCell ref="GIS44:GIU44"/>
    <mergeCell ref="GMS44:GMT44"/>
    <mergeCell ref="GND44:GNF44"/>
    <mergeCell ref="GNL44:GNM44"/>
    <mergeCell ref="GNN44:GNO44"/>
    <mergeCell ref="GNP44:GNQ44"/>
    <mergeCell ref="GOA44:GOC44"/>
    <mergeCell ref="GOI44:GOJ44"/>
    <mergeCell ref="GOK44:GOL44"/>
    <mergeCell ref="GOM44:GON44"/>
    <mergeCell ref="GKW44:GKX44"/>
    <mergeCell ref="GKY44:GKZ44"/>
    <mergeCell ref="GLJ44:GLL44"/>
    <mergeCell ref="GLR44:GLS44"/>
    <mergeCell ref="GLT44:GLU44"/>
    <mergeCell ref="GLV44:GLW44"/>
    <mergeCell ref="GMG44:GMI44"/>
    <mergeCell ref="GMO44:GMP44"/>
    <mergeCell ref="GMQ44:GMR44"/>
    <mergeCell ref="GQZ44:GRA44"/>
    <mergeCell ref="GRB44:GRC44"/>
    <mergeCell ref="GRD44:GRE44"/>
    <mergeCell ref="GRO44:GRQ44"/>
    <mergeCell ref="GRW44:GRX44"/>
    <mergeCell ref="GRY44:GRZ44"/>
    <mergeCell ref="GSA44:GSB44"/>
    <mergeCell ref="GSL44:GSN44"/>
    <mergeCell ref="GST44:GSU44"/>
    <mergeCell ref="GOX44:GOZ44"/>
    <mergeCell ref="GPF44:GPG44"/>
    <mergeCell ref="GPH44:GPI44"/>
    <mergeCell ref="GPJ44:GPK44"/>
    <mergeCell ref="GPU44:GPW44"/>
    <mergeCell ref="GQC44:GQD44"/>
    <mergeCell ref="GQE44:GQF44"/>
    <mergeCell ref="GQG44:GQH44"/>
    <mergeCell ref="GQR44:GQT44"/>
    <mergeCell ref="GUR44:GUS44"/>
    <mergeCell ref="GVC44:GVE44"/>
    <mergeCell ref="GVK44:GVL44"/>
    <mergeCell ref="GVM44:GVN44"/>
    <mergeCell ref="GVO44:GVP44"/>
    <mergeCell ref="GVZ44:GWB44"/>
    <mergeCell ref="GWH44:GWI44"/>
    <mergeCell ref="GWJ44:GWK44"/>
    <mergeCell ref="GWL44:GWM44"/>
    <mergeCell ref="GSV44:GSW44"/>
    <mergeCell ref="GSX44:GSY44"/>
    <mergeCell ref="GTI44:GTK44"/>
    <mergeCell ref="GTQ44:GTR44"/>
    <mergeCell ref="GTS44:GTT44"/>
    <mergeCell ref="GTU44:GTV44"/>
    <mergeCell ref="GUF44:GUH44"/>
    <mergeCell ref="GUN44:GUO44"/>
    <mergeCell ref="GUP44:GUQ44"/>
    <mergeCell ref="GYY44:GYZ44"/>
    <mergeCell ref="GZA44:GZB44"/>
    <mergeCell ref="GZC44:GZD44"/>
    <mergeCell ref="GZN44:GZP44"/>
    <mergeCell ref="GZV44:GZW44"/>
    <mergeCell ref="GZX44:GZY44"/>
    <mergeCell ref="GZZ44:HAA44"/>
    <mergeCell ref="HAK44:HAM44"/>
    <mergeCell ref="HAS44:HAT44"/>
    <mergeCell ref="GWW44:GWY44"/>
    <mergeCell ref="GXE44:GXF44"/>
    <mergeCell ref="GXG44:GXH44"/>
    <mergeCell ref="GXI44:GXJ44"/>
    <mergeCell ref="GXT44:GXV44"/>
    <mergeCell ref="GYB44:GYC44"/>
    <mergeCell ref="GYD44:GYE44"/>
    <mergeCell ref="GYF44:GYG44"/>
    <mergeCell ref="GYQ44:GYS44"/>
    <mergeCell ref="HCQ44:HCR44"/>
    <mergeCell ref="HDB44:HDD44"/>
    <mergeCell ref="HDJ44:HDK44"/>
    <mergeCell ref="HDL44:HDM44"/>
    <mergeCell ref="HDN44:HDO44"/>
    <mergeCell ref="HDY44:HEA44"/>
    <mergeCell ref="HEG44:HEH44"/>
    <mergeCell ref="HEI44:HEJ44"/>
    <mergeCell ref="HEK44:HEL44"/>
    <mergeCell ref="HAU44:HAV44"/>
    <mergeCell ref="HAW44:HAX44"/>
    <mergeCell ref="HBH44:HBJ44"/>
    <mergeCell ref="HBP44:HBQ44"/>
    <mergeCell ref="HBR44:HBS44"/>
    <mergeCell ref="HBT44:HBU44"/>
    <mergeCell ref="HCE44:HCG44"/>
    <mergeCell ref="HCM44:HCN44"/>
    <mergeCell ref="HCO44:HCP44"/>
    <mergeCell ref="HGX44:HGY44"/>
    <mergeCell ref="HGZ44:HHA44"/>
    <mergeCell ref="HHB44:HHC44"/>
    <mergeCell ref="HHM44:HHO44"/>
    <mergeCell ref="HHU44:HHV44"/>
    <mergeCell ref="HHW44:HHX44"/>
    <mergeCell ref="HHY44:HHZ44"/>
    <mergeCell ref="HIJ44:HIL44"/>
    <mergeCell ref="HIR44:HIS44"/>
    <mergeCell ref="HEV44:HEX44"/>
    <mergeCell ref="HFD44:HFE44"/>
    <mergeCell ref="HFF44:HFG44"/>
    <mergeCell ref="HFH44:HFI44"/>
    <mergeCell ref="HFS44:HFU44"/>
    <mergeCell ref="HGA44:HGB44"/>
    <mergeCell ref="HGC44:HGD44"/>
    <mergeCell ref="HGE44:HGF44"/>
    <mergeCell ref="HGP44:HGR44"/>
    <mergeCell ref="HKP44:HKQ44"/>
    <mergeCell ref="HLA44:HLC44"/>
    <mergeCell ref="HLI44:HLJ44"/>
    <mergeCell ref="HLK44:HLL44"/>
    <mergeCell ref="HLM44:HLN44"/>
    <mergeCell ref="HLX44:HLZ44"/>
    <mergeCell ref="HMF44:HMG44"/>
    <mergeCell ref="HMH44:HMI44"/>
    <mergeCell ref="HMJ44:HMK44"/>
    <mergeCell ref="HIT44:HIU44"/>
    <mergeCell ref="HIV44:HIW44"/>
    <mergeCell ref="HJG44:HJI44"/>
    <mergeCell ref="HJO44:HJP44"/>
    <mergeCell ref="HJQ44:HJR44"/>
    <mergeCell ref="HJS44:HJT44"/>
    <mergeCell ref="HKD44:HKF44"/>
    <mergeCell ref="HKL44:HKM44"/>
    <mergeCell ref="HKN44:HKO44"/>
    <mergeCell ref="HOW44:HOX44"/>
    <mergeCell ref="HOY44:HOZ44"/>
    <mergeCell ref="HPA44:HPB44"/>
    <mergeCell ref="HPL44:HPN44"/>
    <mergeCell ref="HPT44:HPU44"/>
    <mergeCell ref="HPV44:HPW44"/>
    <mergeCell ref="HPX44:HPY44"/>
    <mergeCell ref="HQI44:HQK44"/>
    <mergeCell ref="HQQ44:HQR44"/>
    <mergeCell ref="HMU44:HMW44"/>
    <mergeCell ref="HNC44:HND44"/>
    <mergeCell ref="HNE44:HNF44"/>
    <mergeCell ref="HNG44:HNH44"/>
    <mergeCell ref="HNR44:HNT44"/>
    <mergeCell ref="HNZ44:HOA44"/>
    <mergeCell ref="HOB44:HOC44"/>
    <mergeCell ref="HOD44:HOE44"/>
    <mergeCell ref="HOO44:HOQ44"/>
    <mergeCell ref="HSO44:HSP44"/>
    <mergeCell ref="HSZ44:HTB44"/>
    <mergeCell ref="HTH44:HTI44"/>
    <mergeCell ref="HTJ44:HTK44"/>
    <mergeCell ref="HTL44:HTM44"/>
    <mergeCell ref="HTW44:HTY44"/>
    <mergeCell ref="HUE44:HUF44"/>
    <mergeCell ref="HUG44:HUH44"/>
    <mergeCell ref="HUI44:HUJ44"/>
    <mergeCell ref="HQS44:HQT44"/>
    <mergeCell ref="HQU44:HQV44"/>
    <mergeCell ref="HRF44:HRH44"/>
    <mergeCell ref="HRN44:HRO44"/>
    <mergeCell ref="HRP44:HRQ44"/>
    <mergeCell ref="HRR44:HRS44"/>
    <mergeCell ref="HSC44:HSE44"/>
    <mergeCell ref="HSK44:HSL44"/>
    <mergeCell ref="HSM44:HSN44"/>
    <mergeCell ref="HWV44:HWW44"/>
    <mergeCell ref="HWX44:HWY44"/>
    <mergeCell ref="HWZ44:HXA44"/>
    <mergeCell ref="HXK44:HXM44"/>
    <mergeCell ref="HXS44:HXT44"/>
    <mergeCell ref="HXU44:HXV44"/>
    <mergeCell ref="HXW44:HXX44"/>
    <mergeCell ref="HYH44:HYJ44"/>
    <mergeCell ref="HYP44:HYQ44"/>
    <mergeCell ref="HUT44:HUV44"/>
    <mergeCell ref="HVB44:HVC44"/>
    <mergeCell ref="HVD44:HVE44"/>
    <mergeCell ref="HVF44:HVG44"/>
    <mergeCell ref="HVQ44:HVS44"/>
    <mergeCell ref="HVY44:HVZ44"/>
    <mergeCell ref="HWA44:HWB44"/>
    <mergeCell ref="HWC44:HWD44"/>
    <mergeCell ref="HWN44:HWP44"/>
    <mergeCell ref="IAN44:IAO44"/>
    <mergeCell ref="IAY44:IBA44"/>
    <mergeCell ref="IBG44:IBH44"/>
    <mergeCell ref="IBI44:IBJ44"/>
    <mergeCell ref="IBK44:IBL44"/>
    <mergeCell ref="IBV44:IBX44"/>
    <mergeCell ref="ICD44:ICE44"/>
    <mergeCell ref="ICF44:ICG44"/>
    <mergeCell ref="ICH44:ICI44"/>
    <mergeCell ref="HYR44:HYS44"/>
    <mergeCell ref="HYT44:HYU44"/>
    <mergeCell ref="HZE44:HZG44"/>
    <mergeCell ref="HZM44:HZN44"/>
    <mergeCell ref="HZO44:HZP44"/>
    <mergeCell ref="HZQ44:HZR44"/>
    <mergeCell ref="IAB44:IAD44"/>
    <mergeCell ref="IAJ44:IAK44"/>
    <mergeCell ref="IAL44:IAM44"/>
    <mergeCell ref="IEU44:IEV44"/>
    <mergeCell ref="IEW44:IEX44"/>
    <mergeCell ref="IEY44:IEZ44"/>
    <mergeCell ref="IFJ44:IFL44"/>
    <mergeCell ref="IFR44:IFS44"/>
    <mergeCell ref="IFT44:IFU44"/>
    <mergeCell ref="IFV44:IFW44"/>
    <mergeCell ref="IGG44:IGI44"/>
    <mergeCell ref="IGO44:IGP44"/>
    <mergeCell ref="ICS44:ICU44"/>
    <mergeCell ref="IDA44:IDB44"/>
    <mergeCell ref="IDC44:IDD44"/>
    <mergeCell ref="IDE44:IDF44"/>
    <mergeCell ref="IDP44:IDR44"/>
    <mergeCell ref="IDX44:IDY44"/>
    <mergeCell ref="IDZ44:IEA44"/>
    <mergeCell ref="IEB44:IEC44"/>
    <mergeCell ref="IEM44:IEO44"/>
    <mergeCell ref="IIM44:IIN44"/>
    <mergeCell ref="IIX44:IIZ44"/>
    <mergeCell ref="IJF44:IJG44"/>
    <mergeCell ref="IJH44:IJI44"/>
    <mergeCell ref="IJJ44:IJK44"/>
    <mergeCell ref="IJU44:IJW44"/>
    <mergeCell ref="IKC44:IKD44"/>
    <mergeCell ref="IKE44:IKF44"/>
    <mergeCell ref="IKG44:IKH44"/>
    <mergeCell ref="IGQ44:IGR44"/>
    <mergeCell ref="IGS44:IGT44"/>
    <mergeCell ref="IHD44:IHF44"/>
    <mergeCell ref="IHL44:IHM44"/>
    <mergeCell ref="IHN44:IHO44"/>
    <mergeCell ref="IHP44:IHQ44"/>
    <mergeCell ref="IIA44:IIC44"/>
    <mergeCell ref="III44:IIJ44"/>
    <mergeCell ref="IIK44:IIL44"/>
    <mergeCell ref="IMT44:IMU44"/>
    <mergeCell ref="IMV44:IMW44"/>
    <mergeCell ref="IMX44:IMY44"/>
    <mergeCell ref="INI44:INK44"/>
    <mergeCell ref="INQ44:INR44"/>
    <mergeCell ref="INS44:INT44"/>
    <mergeCell ref="INU44:INV44"/>
    <mergeCell ref="IOF44:IOH44"/>
    <mergeCell ref="ION44:IOO44"/>
    <mergeCell ref="IKR44:IKT44"/>
    <mergeCell ref="IKZ44:ILA44"/>
    <mergeCell ref="ILB44:ILC44"/>
    <mergeCell ref="ILD44:ILE44"/>
    <mergeCell ref="ILO44:ILQ44"/>
    <mergeCell ref="ILW44:ILX44"/>
    <mergeCell ref="ILY44:ILZ44"/>
    <mergeCell ref="IMA44:IMB44"/>
    <mergeCell ref="IML44:IMN44"/>
    <mergeCell ref="IQL44:IQM44"/>
    <mergeCell ref="IQW44:IQY44"/>
    <mergeCell ref="IRE44:IRF44"/>
    <mergeCell ref="IRG44:IRH44"/>
    <mergeCell ref="IRI44:IRJ44"/>
    <mergeCell ref="IRT44:IRV44"/>
    <mergeCell ref="ISB44:ISC44"/>
    <mergeCell ref="ISD44:ISE44"/>
    <mergeCell ref="ISF44:ISG44"/>
    <mergeCell ref="IOP44:IOQ44"/>
    <mergeCell ref="IOR44:IOS44"/>
    <mergeCell ref="IPC44:IPE44"/>
    <mergeCell ref="IPK44:IPL44"/>
    <mergeCell ref="IPM44:IPN44"/>
    <mergeCell ref="IPO44:IPP44"/>
    <mergeCell ref="IPZ44:IQB44"/>
    <mergeCell ref="IQH44:IQI44"/>
    <mergeCell ref="IQJ44:IQK44"/>
    <mergeCell ref="IUS44:IUT44"/>
    <mergeCell ref="IUU44:IUV44"/>
    <mergeCell ref="IUW44:IUX44"/>
    <mergeCell ref="IVH44:IVJ44"/>
    <mergeCell ref="IVP44:IVQ44"/>
    <mergeCell ref="IVR44:IVS44"/>
    <mergeCell ref="IVT44:IVU44"/>
    <mergeCell ref="IWE44:IWG44"/>
    <mergeCell ref="IWM44:IWN44"/>
    <mergeCell ref="ISQ44:ISS44"/>
    <mergeCell ref="ISY44:ISZ44"/>
    <mergeCell ref="ITA44:ITB44"/>
    <mergeCell ref="ITC44:ITD44"/>
    <mergeCell ref="ITN44:ITP44"/>
    <mergeCell ref="ITV44:ITW44"/>
    <mergeCell ref="ITX44:ITY44"/>
    <mergeCell ref="ITZ44:IUA44"/>
    <mergeCell ref="IUK44:IUM44"/>
    <mergeCell ref="IYK44:IYL44"/>
    <mergeCell ref="IYV44:IYX44"/>
    <mergeCell ref="IZD44:IZE44"/>
    <mergeCell ref="IZF44:IZG44"/>
    <mergeCell ref="IZH44:IZI44"/>
    <mergeCell ref="IZS44:IZU44"/>
    <mergeCell ref="JAA44:JAB44"/>
    <mergeCell ref="JAC44:JAD44"/>
    <mergeCell ref="JAE44:JAF44"/>
    <mergeCell ref="IWO44:IWP44"/>
    <mergeCell ref="IWQ44:IWR44"/>
    <mergeCell ref="IXB44:IXD44"/>
    <mergeCell ref="IXJ44:IXK44"/>
    <mergeCell ref="IXL44:IXM44"/>
    <mergeCell ref="IXN44:IXO44"/>
    <mergeCell ref="IXY44:IYA44"/>
    <mergeCell ref="IYG44:IYH44"/>
    <mergeCell ref="IYI44:IYJ44"/>
    <mergeCell ref="JCR44:JCS44"/>
    <mergeCell ref="JCT44:JCU44"/>
    <mergeCell ref="JCV44:JCW44"/>
    <mergeCell ref="JDG44:JDI44"/>
    <mergeCell ref="JDO44:JDP44"/>
    <mergeCell ref="JDQ44:JDR44"/>
    <mergeCell ref="JDS44:JDT44"/>
    <mergeCell ref="JED44:JEF44"/>
    <mergeCell ref="JEL44:JEM44"/>
    <mergeCell ref="JAP44:JAR44"/>
    <mergeCell ref="JAX44:JAY44"/>
    <mergeCell ref="JAZ44:JBA44"/>
    <mergeCell ref="JBB44:JBC44"/>
    <mergeCell ref="JBM44:JBO44"/>
    <mergeCell ref="JBU44:JBV44"/>
    <mergeCell ref="JBW44:JBX44"/>
    <mergeCell ref="JBY44:JBZ44"/>
    <mergeCell ref="JCJ44:JCL44"/>
    <mergeCell ref="JGJ44:JGK44"/>
    <mergeCell ref="JGU44:JGW44"/>
    <mergeCell ref="JHC44:JHD44"/>
    <mergeCell ref="JHE44:JHF44"/>
    <mergeCell ref="JHG44:JHH44"/>
    <mergeCell ref="JHR44:JHT44"/>
    <mergeCell ref="JHZ44:JIA44"/>
    <mergeCell ref="JIB44:JIC44"/>
    <mergeCell ref="JID44:JIE44"/>
    <mergeCell ref="JEN44:JEO44"/>
    <mergeCell ref="JEP44:JEQ44"/>
    <mergeCell ref="JFA44:JFC44"/>
    <mergeCell ref="JFI44:JFJ44"/>
    <mergeCell ref="JFK44:JFL44"/>
    <mergeCell ref="JFM44:JFN44"/>
    <mergeCell ref="JFX44:JFZ44"/>
    <mergeCell ref="JGF44:JGG44"/>
    <mergeCell ref="JGH44:JGI44"/>
    <mergeCell ref="JKQ44:JKR44"/>
    <mergeCell ref="JKS44:JKT44"/>
    <mergeCell ref="JKU44:JKV44"/>
    <mergeCell ref="JLF44:JLH44"/>
    <mergeCell ref="JLN44:JLO44"/>
    <mergeCell ref="JLP44:JLQ44"/>
    <mergeCell ref="JLR44:JLS44"/>
    <mergeCell ref="JMC44:JME44"/>
    <mergeCell ref="JMK44:JML44"/>
    <mergeCell ref="JIO44:JIQ44"/>
    <mergeCell ref="JIW44:JIX44"/>
    <mergeCell ref="JIY44:JIZ44"/>
    <mergeCell ref="JJA44:JJB44"/>
    <mergeCell ref="JJL44:JJN44"/>
    <mergeCell ref="JJT44:JJU44"/>
    <mergeCell ref="JJV44:JJW44"/>
    <mergeCell ref="JJX44:JJY44"/>
    <mergeCell ref="JKI44:JKK44"/>
    <mergeCell ref="JOI44:JOJ44"/>
    <mergeCell ref="JOT44:JOV44"/>
    <mergeCell ref="JPB44:JPC44"/>
    <mergeCell ref="JPD44:JPE44"/>
    <mergeCell ref="JPF44:JPG44"/>
    <mergeCell ref="JPQ44:JPS44"/>
    <mergeCell ref="JPY44:JPZ44"/>
    <mergeCell ref="JQA44:JQB44"/>
    <mergeCell ref="JQC44:JQD44"/>
    <mergeCell ref="JMM44:JMN44"/>
    <mergeCell ref="JMO44:JMP44"/>
    <mergeCell ref="JMZ44:JNB44"/>
    <mergeCell ref="JNH44:JNI44"/>
    <mergeCell ref="JNJ44:JNK44"/>
    <mergeCell ref="JNL44:JNM44"/>
    <mergeCell ref="JNW44:JNY44"/>
    <mergeCell ref="JOE44:JOF44"/>
    <mergeCell ref="JOG44:JOH44"/>
    <mergeCell ref="JSP44:JSQ44"/>
    <mergeCell ref="JSR44:JSS44"/>
    <mergeCell ref="JST44:JSU44"/>
    <mergeCell ref="JTE44:JTG44"/>
    <mergeCell ref="JTM44:JTN44"/>
    <mergeCell ref="JTO44:JTP44"/>
    <mergeCell ref="JTQ44:JTR44"/>
    <mergeCell ref="JUB44:JUD44"/>
    <mergeCell ref="JUJ44:JUK44"/>
    <mergeCell ref="JQN44:JQP44"/>
    <mergeCell ref="JQV44:JQW44"/>
    <mergeCell ref="JQX44:JQY44"/>
    <mergeCell ref="JQZ44:JRA44"/>
    <mergeCell ref="JRK44:JRM44"/>
    <mergeCell ref="JRS44:JRT44"/>
    <mergeCell ref="JRU44:JRV44"/>
    <mergeCell ref="JRW44:JRX44"/>
    <mergeCell ref="JSH44:JSJ44"/>
    <mergeCell ref="JWH44:JWI44"/>
    <mergeCell ref="JWS44:JWU44"/>
    <mergeCell ref="JXA44:JXB44"/>
    <mergeCell ref="JXC44:JXD44"/>
    <mergeCell ref="JXE44:JXF44"/>
    <mergeCell ref="JXP44:JXR44"/>
    <mergeCell ref="JXX44:JXY44"/>
    <mergeCell ref="JXZ44:JYA44"/>
    <mergeCell ref="JYB44:JYC44"/>
    <mergeCell ref="JUL44:JUM44"/>
    <mergeCell ref="JUN44:JUO44"/>
    <mergeCell ref="JUY44:JVA44"/>
    <mergeCell ref="JVG44:JVH44"/>
    <mergeCell ref="JVI44:JVJ44"/>
    <mergeCell ref="JVK44:JVL44"/>
    <mergeCell ref="JVV44:JVX44"/>
    <mergeCell ref="JWD44:JWE44"/>
    <mergeCell ref="JWF44:JWG44"/>
    <mergeCell ref="KAO44:KAP44"/>
    <mergeCell ref="KAQ44:KAR44"/>
    <mergeCell ref="KAS44:KAT44"/>
    <mergeCell ref="KBD44:KBF44"/>
    <mergeCell ref="KBL44:KBM44"/>
    <mergeCell ref="KBN44:KBO44"/>
    <mergeCell ref="KBP44:KBQ44"/>
    <mergeCell ref="KCA44:KCC44"/>
    <mergeCell ref="KCI44:KCJ44"/>
    <mergeCell ref="JYM44:JYO44"/>
    <mergeCell ref="JYU44:JYV44"/>
    <mergeCell ref="JYW44:JYX44"/>
    <mergeCell ref="JYY44:JYZ44"/>
    <mergeCell ref="JZJ44:JZL44"/>
    <mergeCell ref="JZR44:JZS44"/>
    <mergeCell ref="JZT44:JZU44"/>
    <mergeCell ref="JZV44:JZW44"/>
    <mergeCell ref="KAG44:KAI44"/>
    <mergeCell ref="KEG44:KEH44"/>
    <mergeCell ref="KER44:KET44"/>
    <mergeCell ref="KEZ44:KFA44"/>
    <mergeCell ref="KFB44:KFC44"/>
    <mergeCell ref="KFD44:KFE44"/>
    <mergeCell ref="KFO44:KFQ44"/>
    <mergeCell ref="KFW44:KFX44"/>
    <mergeCell ref="KFY44:KFZ44"/>
    <mergeCell ref="KGA44:KGB44"/>
    <mergeCell ref="KCK44:KCL44"/>
    <mergeCell ref="KCM44:KCN44"/>
    <mergeCell ref="KCX44:KCZ44"/>
    <mergeCell ref="KDF44:KDG44"/>
    <mergeCell ref="KDH44:KDI44"/>
    <mergeCell ref="KDJ44:KDK44"/>
    <mergeCell ref="KDU44:KDW44"/>
    <mergeCell ref="KEC44:KED44"/>
    <mergeCell ref="KEE44:KEF44"/>
    <mergeCell ref="KIN44:KIO44"/>
    <mergeCell ref="KIP44:KIQ44"/>
    <mergeCell ref="KIR44:KIS44"/>
    <mergeCell ref="KJC44:KJE44"/>
    <mergeCell ref="KJK44:KJL44"/>
    <mergeCell ref="KJM44:KJN44"/>
    <mergeCell ref="KJO44:KJP44"/>
    <mergeCell ref="KJZ44:KKB44"/>
    <mergeCell ref="KKH44:KKI44"/>
    <mergeCell ref="KGL44:KGN44"/>
    <mergeCell ref="KGT44:KGU44"/>
    <mergeCell ref="KGV44:KGW44"/>
    <mergeCell ref="KGX44:KGY44"/>
    <mergeCell ref="KHI44:KHK44"/>
    <mergeCell ref="KHQ44:KHR44"/>
    <mergeCell ref="KHS44:KHT44"/>
    <mergeCell ref="KHU44:KHV44"/>
    <mergeCell ref="KIF44:KIH44"/>
    <mergeCell ref="KMF44:KMG44"/>
    <mergeCell ref="KMQ44:KMS44"/>
    <mergeCell ref="KMY44:KMZ44"/>
    <mergeCell ref="KNA44:KNB44"/>
    <mergeCell ref="KNC44:KND44"/>
    <mergeCell ref="KNN44:KNP44"/>
    <mergeCell ref="KNV44:KNW44"/>
    <mergeCell ref="KNX44:KNY44"/>
    <mergeCell ref="KNZ44:KOA44"/>
    <mergeCell ref="KKJ44:KKK44"/>
    <mergeCell ref="KKL44:KKM44"/>
    <mergeCell ref="KKW44:KKY44"/>
    <mergeCell ref="KLE44:KLF44"/>
    <mergeCell ref="KLG44:KLH44"/>
    <mergeCell ref="KLI44:KLJ44"/>
    <mergeCell ref="KLT44:KLV44"/>
    <mergeCell ref="KMB44:KMC44"/>
    <mergeCell ref="KMD44:KME44"/>
    <mergeCell ref="KQM44:KQN44"/>
    <mergeCell ref="KQO44:KQP44"/>
    <mergeCell ref="KQQ44:KQR44"/>
    <mergeCell ref="KRB44:KRD44"/>
    <mergeCell ref="KRJ44:KRK44"/>
    <mergeCell ref="KRL44:KRM44"/>
    <mergeCell ref="KRN44:KRO44"/>
    <mergeCell ref="KRY44:KSA44"/>
    <mergeCell ref="KSG44:KSH44"/>
    <mergeCell ref="KOK44:KOM44"/>
    <mergeCell ref="KOS44:KOT44"/>
    <mergeCell ref="KOU44:KOV44"/>
    <mergeCell ref="KOW44:KOX44"/>
    <mergeCell ref="KPH44:KPJ44"/>
    <mergeCell ref="KPP44:KPQ44"/>
    <mergeCell ref="KPR44:KPS44"/>
    <mergeCell ref="KPT44:KPU44"/>
    <mergeCell ref="KQE44:KQG44"/>
    <mergeCell ref="KUE44:KUF44"/>
    <mergeCell ref="KUP44:KUR44"/>
    <mergeCell ref="KUX44:KUY44"/>
    <mergeCell ref="KUZ44:KVA44"/>
    <mergeCell ref="KVB44:KVC44"/>
    <mergeCell ref="KVM44:KVO44"/>
    <mergeCell ref="KVU44:KVV44"/>
    <mergeCell ref="KVW44:KVX44"/>
    <mergeCell ref="KVY44:KVZ44"/>
    <mergeCell ref="KSI44:KSJ44"/>
    <mergeCell ref="KSK44:KSL44"/>
    <mergeCell ref="KSV44:KSX44"/>
    <mergeCell ref="KTD44:KTE44"/>
    <mergeCell ref="KTF44:KTG44"/>
    <mergeCell ref="KTH44:KTI44"/>
    <mergeCell ref="KTS44:KTU44"/>
    <mergeCell ref="KUA44:KUB44"/>
    <mergeCell ref="KUC44:KUD44"/>
    <mergeCell ref="KYL44:KYM44"/>
    <mergeCell ref="KYN44:KYO44"/>
    <mergeCell ref="KYP44:KYQ44"/>
    <mergeCell ref="KZA44:KZC44"/>
    <mergeCell ref="KZI44:KZJ44"/>
    <mergeCell ref="KZK44:KZL44"/>
    <mergeCell ref="KZM44:KZN44"/>
    <mergeCell ref="KZX44:KZZ44"/>
    <mergeCell ref="LAF44:LAG44"/>
    <mergeCell ref="KWJ44:KWL44"/>
    <mergeCell ref="KWR44:KWS44"/>
    <mergeCell ref="KWT44:KWU44"/>
    <mergeCell ref="KWV44:KWW44"/>
    <mergeCell ref="KXG44:KXI44"/>
    <mergeCell ref="KXO44:KXP44"/>
    <mergeCell ref="KXQ44:KXR44"/>
    <mergeCell ref="KXS44:KXT44"/>
    <mergeCell ref="KYD44:KYF44"/>
    <mergeCell ref="LCD44:LCE44"/>
    <mergeCell ref="LCO44:LCQ44"/>
    <mergeCell ref="LCW44:LCX44"/>
    <mergeCell ref="LCY44:LCZ44"/>
    <mergeCell ref="LDA44:LDB44"/>
    <mergeCell ref="LDL44:LDN44"/>
    <mergeCell ref="LDT44:LDU44"/>
    <mergeCell ref="LDV44:LDW44"/>
    <mergeCell ref="LDX44:LDY44"/>
    <mergeCell ref="LAH44:LAI44"/>
    <mergeCell ref="LAJ44:LAK44"/>
    <mergeCell ref="LAU44:LAW44"/>
    <mergeCell ref="LBC44:LBD44"/>
    <mergeCell ref="LBE44:LBF44"/>
    <mergeCell ref="LBG44:LBH44"/>
    <mergeCell ref="LBR44:LBT44"/>
    <mergeCell ref="LBZ44:LCA44"/>
    <mergeCell ref="LCB44:LCC44"/>
    <mergeCell ref="LGK44:LGL44"/>
    <mergeCell ref="LGM44:LGN44"/>
    <mergeCell ref="LGO44:LGP44"/>
    <mergeCell ref="LGZ44:LHB44"/>
    <mergeCell ref="LHH44:LHI44"/>
    <mergeCell ref="LHJ44:LHK44"/>
    <mergeCell ref="LHL44:LHM44"/>
    <mergeCell ref="LHW44:LHY44"/>
    <mergeCell ref="LIE44:LIF44"/>
    <mergeCell ref="LEI44:LEK44"/>
    <mergeCell ref="LEQ44:LER44"/>
    <mergeCell ref="LES44:LET44"/>
    <mergeCell ref="LEU44:LEV44"/>
    <mergeCell ref="LFF44:LFH44"/>
    <mergeCell ref="LFN44:LFO44"/>
    <mergeCell ref="LFP44:LFQ44"/>
    <mergeCell ref="LFR44:LFS44"/>
    <mergeCell ref="LGC44:LGE44"/>
    <mergeCell ref="LKC44:LKD44"/>
    <mergeCell ref="LKN44:LKP44"/>
    <mergeCell ref="LKV44:LKW44"/>
    <mergeCell ref="LKX44:LKY44"/>
    <mergeCell ref="LKZ44:LLA44"/>
    <mergeCell ref="LLK44:LLM44"/>
    <mergeCell ref="LLS44:LLT44"/>
    <mergeCell ref="LLU44:LLV44"/>
    <mergeCell ref="LLW44:LLX44"/>
    <mergeCell ref="LIG44:LIH44"/>
    <mergeCell ref="LII44:LIJ44"/>
    <mergeCell ref="LIT44:LIV44"/>
    <mergeCell ref="LJB44:LJC44"/>
    <mergeCell ref="LJD44:LJE44"/>
    <mergeCell ref="LJF44:LJG44"/>
    <mergeCell ref="LJQ44:LJS44"/>
    <mergeCell ref="LJY44:LJZ44"/>
    <mergeCell ref="LKA44:LKB44"/>
    <mergeCell ref="LOJ44:LOK44"/>
    <mergeCell ref="LOL44:LOM44"/>
    <mergeCell ref="LON44:LOO44"/>
    <mergeCell ref="LOY44:LPA44"/>
    <mergeCell ref="LPG44:LPH44"/>
    <mergeCell ref="LPI44:LPJ44"/>
    <mergeCell ref="LPK44:LPL44"/>
    <mergeCell ref="LPV44:LPX44"/>
    <mergeCell ref="LQD44:LQE44"/>
    <mergeCell ref="LMH44:LMJ44"/>
    <mergeCell ref="LMP44:LMQ44"/>
    <mergeCell ref="LMR44:LMS44"/>
    <mergeCell ref="LMT44:LMU44"/>
    <mergeCell ref="LNE44:LNG44"/>
    <mergeCell ref="LNM44:LNN44"/>
    <mergeCell ref="LNO44:LNP44"/>
    <mergeCell ref="LNQ44:LNR44"/>
    <mergeCell ref="LOB44:LOD44"/>
    <mergeCell ref="LSB44:LSC44"/>
    <mergeCell ref="LSM44:LSO44"/>
    <mergeCell ref="LSU44:LSV44"/>
    <mergeCell ref="LSW44:LSX44"/>
    <mergeCell ref="LSY44:LSZ44"/>
    <mergeCell ref="LTJ44:LTL44"/>
    <mergeCell ref="LTR44:LTS44"/>
    <mergeCell ref="LTT44:LTU44"/>
    <mergeCell ref="LTV44:LTW44"/>
    <mergeCell ref="LQF44:LQG44"/>
    <mergeCell ref="LQH44:LQI44"/>
    <mergeCell ref="LQS44:LQU44"/>
    <mergeCell ref="LRA44:LRB44"/>
    <mergeCell ref="LRC44:LRD44"/>
    <mergeCell ref="LRE44:LRF44"/>
    <mergeCell ref="LRP44:LRR44"/>
    <mergeCell ref="LRX44:LRY44"/>
    <mergeCell ref="LRZ44:LSA44"/>
    <mergeCell ref="LWI44:LWJ44"/>
    <mergeCell ref="LWK44:LWL44"/>
    <mergeCell ref="LWM44:LWN44"/>
    <mergeCell ref="LWX44:LWZ44"/>
    <mergeCell ref="LXF44:LXG44"/>
    <mergeCell ref="LXH44:LXI44"/>
    <mergeCell ref="LXJ44:LXK44"/>
    <mergeCell ref="LXU44:LXW44"/>
    <mergeCell ref="LYC44:LYD44"/>
    <mergeCell ref="LUG44:LUI44"/>
    <mergeCell ref="LUO44:LUP44"/>
    <mergeCell ref="LUQ44:LUR44"/>
    <mergeCell ref="LUS44:LUT44"/>
    <mergeCell ref="LVD44:LVF44"/>
    <mergeCell ref="LVL44:LVM44"/>
    <mergeCell ref="LVN44:LVO44"/>
    <mergeCell ref="LVP44:LVQ44"/>
    <mergeCell ref="LWA44:LWC44"/>
    <mergeCell ref="MAA44:MAB44"/>
    <mergeCell ref="MAL44:MAN44"/>
    <mergeCell ref="MAT44:MAU44"/>
    <mergeCell ref="MAV44:MAW44"/>
    <mergeCell ref="MAX44:MAY44"/>
    <mergeCell ref="MBI44:MBK44"/>
    <mergeCell ref="MBQ44:MBR44"/>
    <mergeCell ref="MBS44:MBT44"/>
    <mergeCell ref="MBU44:MBV44"/>
    <mergeCell ref="LYE44:LYF44"/>
    <mergeCell ref="LYG44:LYH44"/>
    <mergeCell ref="LYR44:LYT44"/>
    <mergeCell ref="LYZ44:LZA44"/>
    <mergeCell ref="LZB44:LZC44"/>
    <mergeCell ref="LZD44:LZE44"/>
    <mergeCell ref="LZO44:LZQ44"/>
    <mergeCell ref="LZW44:LZX44"/>
    <mergeCell ref="LZY44:LZZ44"/>
    <mergeCell ref="MEH44:MEI44"/>
    <mergeCell ref="MEJ44:MEK44"/>
    <mergeCell ref="MEL44:MEM44"/>
    <mergeCell ref="MEW44:MEY44"/>
    <mergeCell ref="MFE44:MFF44"/>
    <mergeCell ref="MFG44:MFH44"/>
    <mergeCell ref="MFI44:MFJ44"/>
    <mergeCell ref="MFT44:MFV44"/>
    <mergeCell ref="MGB44:MGC44"/>
    <mergeCell ref="MCF44:MCH44"/>
    <mergeCell ref="MCN44:MCO44"/>
    <mergeCell ref="MCP44:MCQ44"/>
    <mergeCell ref="MCR44:MCS44"/>
    <mergeCell ref="MDC44:MDE44"/>
    <mergeCell ref="MDK44:MDL44"/>
    <mergeCell ref="MDM44:MDN44"/>
    <mergeCell ref="MDO44:MDP44"/>
    <mergeCell ref="MDZ44:MEB44"/>
    <mergeCell ref="MHZ44:MIA44"/>
    <mergeCell ref="MIK44:MIM44"/>
    <mergeCell ref="MIS44:MIT44"/>
    <mergeCell ref="MIU44:MIV44"/>
    <mergeCell ref="MIW44:MIX44"/>
    <mergeCell ref="MJH44:MJJ44"/>
    <mergeCell ref="MJP44:MJQ44"/>
    <mergeCell ref="MJR44:MJS44"/>
    <mergeCell ref="MJT44:MJU44"/>
    <mergeCell ref="MGD44:MGE44"/>
    <mergeCell ref="MGF44:MGG44"/>
    <mergeCell ref="MGQ44:MGS44"/>
    <mergeCell ref="MGY44:MGZ44"/>
    <mergeCell ref="MHA44:MHB44"/>
    <mergeCell ref="MHC44:MHD44"/>
    <mergeCell ref="MHN44:MHP44"/>
    <mergeCell ref="MHV44:MHW44"/>
    <mergeCell ref="MHX44:MHY44"/>
    <mergeCell ref="MMG44:MMH44"/>
    <mergeCell ref="MMI44:MMJ44"/>
    <mergeCell ref="MMK44:MML44"/>
    <mergeCell ref="MMV44:MMX44"/>
    <mergeCell ref="MND44:MNE44"/>
    <mergeCell ref="MNF44:MNG44"/>
    <mergeCell ref="MNH44:MNI44"/>
    <mergeCell ref="MNS44:MNU44"/>
    <mergeCell ref="MOA44:MOB44"/>
    <mergeCell ref="MKE44:MKG44"/>
    <mergeCell ref="MKM44:MKN44"/>
    <mergeCell ref="MKO44:MKP44"/>
    <mergeCell ref="MKQ44:MKR44"/>
    <mergeCell ref="MLB44:MLD44"/>
    <mergeCell ref="MLJ44:MLK44"/>
    <mergeCell ref="MLL44:MLM44"/>
    <mergeCell ref="MLN44:MLO44"/>
    <mergeCell ref="MLY44:MMA44"/>
    <mergeCell ref="MPY44:MPZ44"/>
    <mergeCell ref="MQJ44:MQL44"/>
    <mergeCell ref="MQR44:MQS44"/>
    <mergeCell ref="MQT44:MQU44"/>
    <mergeCell ref="MQV44:MQW44"/>
    <mergeCell ref="MRG44:MRI44"/>
    <mergeCell ref="MRO44:MRP44"/>
    <mergeCell ref="MRQ44:MRR44"/>
    <mergeCell ref="MRS44:MRT44"/>
    <mergeCell ref="MOC44:MOD44"/>
    <mergeCell ref="MOE44:MOF44"/>
    <mergeCell ref="MOP44:MOR44"/>
    <mergeCell ref="MOX44:MOY44"/>
    <mergeCell ref="MOZ44:MPA44"/>
    <mergeCell ref="MPB44:MPC44"/>
    <mergeCell ref="MPM44:MPO44"/>
    <mergeCell ref="MPU44:MPV44"/>
    <mergeCell ref="MPW44:MPX44"/>
    <mergeCell ref="MUF44:MUG44"/>
    <mergeCell ref="MUH44:MUI44"/>
    <mergeCell ref="MUJ44:MUK44"/>
    <mergeCell ref="MUU44:MUW44"/>
    <mergeCell ref="MVC44:MVD44"/>
    <mergeCell ref="MVE44:MVF44"/>
    <mergeCell ref="MVG44:MVH44"/>
    <mergeCell ref="MVR44:MVT44"/>
    <mergeCell ref="MVZ44:MWA44"/>
    <mergeCell ref="MSD44:MSF44"/>
    <mergeCell ref="MSL44:MSM44"/>
    <mergeCell ref="MSN44:MSO44"/>
    <mergeCell ref="MSP44:MSQ44"/>
    <mergeCell ref="MTA44:MTC44"/>
    <mergeCell ref="MTI44:MTJ44"/>
    <mergeCell ref="MTK44:MTL44"/>
    <mergeCell ref="MTM44:MTN44"/>
    <mergeCell ref="MTX44:MTZ44"/>
    <mergeCell ref="MXX44:MXY44"/>
    <mergeCell ref="MYI44:MYK44"/>
    <mergeCell ref="MYQ44:MYR44"/>
    <mergeCell ref="MYS44:MYT44"/>
    <mergeCell ref="MYU44:MYV44"/>
    <mergeCell ref="MZF44:MZH44"/>
    <mergeCell ref="MZN44:MZO44"/>
    <mergeCell ref="MZP44:MZQ44"/>
    <mergeCell ref="MZR44:MZS44"/>
    <mergeCell ref="MWB44:MWC44"/>
    <mergeCell ref="MWD44:MWE44"/>
    <mergeCell ref="MWO44:MWQ44"/>
    <mergeCell ref="MWW44:MWX44"/>
    <mergeCell ref="MWY44:MWZ44"/>
    <mergeCell ref="MXA44:MXB44"/>
    <mergeCell ref="MXL44:MXN44"/>
    <mergeCell ref="MXT44:MXU44"/>
    <mergeCell ref="MXV44:MXW44"/>
    <mergeCell ref="NCE44:NCF44"/>
    <mergeCell ref="NCG44:NCH44"/>
    <mergeCell ref="NCI44:NCJ44"/>
    <mergeCell ref="NCT44:NCV44"/>
    <mergeCell ref="NDB44:NDC44"/>
    <mergeCell ref="NDD44:NDE44"/>
    <mergeCell ref="NDF44:NDG44"/>
    <mergeCell ref="NDQ44:NDS44"/>
    <mergeCell ref="NDY44:NDZ44"/>
    <mergeCell ref="NAC44:NAE44"/>
    <mergeCell ref="NAK44:NAL44"/>
    <mergeCell ref="NAM44:NAN44"/>
    <mergeCell ref="NAO44:NAP44"/>
    <mergeCell ref="NAZ44:NBB44"/>
    <mergeCell ref="NBH44:NBI44"/>
    <mergeCell ref="NBJ44:NBK44"/>
    <mergeCell ref="NBL44:NBM44"/>
    <mergeCell ref="NBW44:NBY44"/>
    <mergeCell ref="NFW44:NFX44"/>
    <mergeCell ref="NGH44:NGJ44"/>
    <mergeCell ref="NGP44:NGQ44"/>
    <mergeCell ref="NGR44:NGS44"/>
    <mergeCell ref="NGT44:NGU44"/>
    <mergeCell ref="NHE44:NHG44"/>
    <mergeCell ref="NHM44:NHN44"/>
    <mergeCell ref="NHO44:NHP44"/>
    <mergeCell ref="NHQ44:NHR44"/>
    <mergeCell ref="NEA44:NEB44"/>
    <mergeCell ref="NEC44:NED44"/>
    <mergeCell ref="NEN44:NEP44"/>
    <mergeCell ref="NEV44:NEW44"/>
    <mergeCell ref="NEX44:NEY44"/>
    <mergeCell ref="NEZ44:NFA44"/>
    <mergeCell ref="NFK44:NFM44"/>
    <mergeCell ref="NFS44:NFT44"/>
    <mergeCell ref="NFU44:NFV44"/>
    <mergeCell ref="NKD44:NKE44"/>
    <mergeCell ref="NKF44:NKG44"/>
    <mergeCell ref="NKH44:NKI44"/>
    <mergeCell ref="NKS44:NKU44"/>
    <mergeCell ref="NLA44:NLB44"/>
    <mergeCell ref="NLC44:NLD44"/>
    <mergeCell ref="NLE44:NLF44"/>
    <mergeCell ref="NLP44:NLR44"/>
    <mergeCell ref="NLX44:NLY44"/>
    <mergeCell ref="NIB44:NID44"/>
    <mergeCell ref="NIJ44:NIK44"/>
    <mergeCell ref="NIL44:NIM44"/>
    <mergeCell ref="NIN44:NIO44"/>
    <mergeCell ref="NIY44:NJA44"/>
    <mergeCell ref="NJG44:NJH44"/>
    <mergeCell ref="NJI44:NJJ44"/>
    <mergeCell ref="NJK44:NJL44"/>
    <mergeCell ref="NJV44:NJX44"/>
    <mergeCell ref="NNV44:NNW44"/>
    <mergeCell ref="NOG44:NOI44"/>
    <mergeCell ref="NOO44:NOP44"/>
    <mergeCell ref="NOQ44:NOR44"/>
    <mergeCell ref="NOS44:NOT44"/>
    <mergeCell ref="NPD44:NPF44"/>
    <mergeCell ref="NPL44:NPM44"/>
    <mergeCell ref="NPN44:NPO44"/>
    <mergeCell ref="NPP44:NPQ44"/>
    <mergeCell ref="NLZ44:NMA44"/>
    <mergeCell ref="NMB44:NMC44"/>
    <mergeCell ref="NMM44:NMO44"/>
    <mergeCell ref="NMU44:NMV44"/>
    <mergeCell ref="NMW44:NMX44"/>
    <mergeCell ref="NMY44:NMZ44"/>
    <mergeCell ref="NNJ44:NNL44"/>
    <mergeCell ref="NNR44:NNS44"/>
    <mergeCell ref="NNT44:NNU44"/>
    <mergeCell ref="NSC44:NSD44"/>
    <mergeCell ref="NSE44:NSF44"/>
    <mergeCell ref="NSG44:NSH44"/>
    <mergeCell ref="NSR44:NST44"/>
    <mergeCell ref="NSZ44:NTA44"/>
    <mergeCell ref="NTB44:NTC44"/>
    <mergeCell ref="NTD44:NTE44"/>
    <mergeCell ref="NTO44:NTQ44"/>
    <mergeCell ref="NTW44:NTX44"/>
    <mergeCell ref="NQA44:NQC44"/>
    <mergeCell ref="NQI44:NQJ44"/>
    <mergeCell ref="NQK44:NQL44"/>
    <mergeCell ref="NQM44:NQN44"/>
    <mergeCell ref="NQX44:NQZ44"/>
    <mergeCell ref="NRF44:NRG44"/>
    <mergeCell ref="NRH44:NRI44"/>
    <mergeCell ref="NRJ44:NRK44"/>
    <mergeCell ref="NRU44:NRW44"/>
    <mergeCell ref="NVU44:NVV44"/>
    <mergeCell ref="NWF44:NWH44"/>
    <mergeCell ref="NWN44:NWO44"/>
    <mergeCell ref="NWP44:NWQ44"/>
    <mergeCell ref="NWR44:NWS44"/>
    <mergeCell ref="NXC44:NXE44"/>
    <mergeCell ref="NXK44:NXL44"/>
    <mergeCell ref="NXM44:NXN44"/>
    <mergeCell ref="NXO44:NXP44"/>
    <mergeCell ref="NTY44:NTZ44"/>
    <mergeCell ref="NUA44:NUB44"/>
    <mergeCell ref="NUL44:NUN44"/>
    <mergeCell ref="NUT44:NUU44"/>
    <mergeCell ref="NUV44:NUW44"/>
    <mergeCell ref="NUX44:NUY44"/>
    <mergeCell ref="NVI44:NVK44"/>
    <mergeCell ref="NVQ44:NVR44"/>
    <mergeCell ref="NVS44:NVT44"/>
    <mergeCell ref="OAB44:OAC44"/>
    <mergeCell ref="OAD44:OAE44"/>
    <mergeCell ref="OAF44:OAG44"/>
    <mergeCell ref="OAQ44:OAS44"/>
    <mergeCell ref="OAY44:OAZ44"/>
    <mergeCell ref="OBA44:OBB44"/>
    <mergeCell ref="OBC44:OBD44"/>
    <mergeCell ref="OBN44:OBP44"/>
    <mergeCell ref="OBV44:OBW44"/>
    <mergeCell ref="NXZ44:NYB44"/>
    <mergeCell ref="NYH44:NYI44"/>
    <mergeCell ref="NYJ44:NYK44"/>
    <mergeCell ref="NYL44:NYM44"/>
    <mergeCell ref="NYW44:NYY44"/>
    <mergeCell ref="NZE44:NZF44"/>
    <mergeCell ref="NZG44:NZH44"/>
    <mergeCell ref="NZI44:NZJ44"/>
    <mergeCell ref="NZT44:NZV44"/>
    <mergeCell ref="ODT44:ODU44"/>
    <mergeCell ref="OEE44:OEG44"/>
    <mergeCell ref="OEM44:OEN44"/>
    <mergeCell ref="OEO44:OEP44"/>
    <mergeCell ref="OEQ44:OER44"/>
    <mergeCell ref="OFB44:OFD44"/>
    <mergeCell ref="OFJ44:OFK44"/>
    <mergeCell ref="OFL44:OFM44"/>
    <mergeCell ref="OFN44:OFO44"/>
    <mergeCell ref="OBX44:OBY44"/>
    <mergeCell ref="OBZ44:OCA44"/>
    <mergeCell ref="OCK44:OCM44"/>
    <mergeCell ref="OCS44:OCT44"/>
    <mergeCell ref="OCU44:OCV44"/>
    <mergeCell ref="OCW44:OCX44"/>
    <mergeCell ref="ODH44:ODJ44"/>
    <mergeCell ref="ODP44:ODQ44"/>
    <mergeCell ref="ODR44:ODS44"/>
    <mergeCell ref="OIA44:OIB44"/>
    <mergeCell ref="OIC44:OID44"/>
    <mergeCell ref="OIE44:OIF44"/>
    <mergeCell ref="OIP44:OIR44"/>
    <mergeCell ref="OIX44:OIY44"/>
    <mergeCell ref="OIZ44:OJA44"/>
    <mergeCell ref="OJB44:OJC44"/>
    <mergeCell ref="OJM44:OJO44"/>
    <mergeCell ref="OJU44:OJV44"/>
    <mergeCell ref="OFY44:OGA44"/>
    <mergeCell ref="OGG44:OGH44"/>
    <mergeCell ref="OGI44:OGJ44"/>
    <mergeCell ref="OGK44:OGL44"/>
    <mergeCell ref="OGV44:OGX44"/>
    <mergeCell ref="OHD44:OHE44"/>
    <mergeCell ref="OHF44:OHG44"/>
    <mergeCell ref="OHH44:OHI44"/>
    <mergeCell ref="OHS44:OHU44"/>
    <mergeCell ref="OLS44:OLT44"/>
    <mergeCell ref="OMD44:OMF44"/>
    <mergeCell ref="OML44:OMM44"/>
    <mergeCell ref="OMN44:OMO44"/>
    <mergeCell ref="OMP44:OMQ44"/>
    <mergeCell ref="ONA44:ONC44"/>
    <mergeCell ref="ONI44:ONJ44"/>
    <mergeCell ref="ONK44:ONL44"/>
    <mergeCell ref="ONM44:ONN44"/>
    <mergeCell ref="OJW44:OJX44"/>
    <mergeCell ref="OJY44:OJZ44"/>
    <mergeCell ref="OKJ44:OKL44"/>
    <mergeCell ref="OKR44:OKS44"/>
    <mergeCell ref="OKT44:OKU44"/>
    <mergeCell ref="OKV44:OKW44"/>
    <mergeCell ref="OLG44:OLI44"/>
    <mergeCell ref="OLO44:OLP44"/>
    <mergeCell ref="OLQ44:OLR44"/>
    <mergeCell ref="OPZ44:OQA44"/>
    <mergeCell ref="OQB44:OQC44"/>
    <mergeCell ref="OQD44:OQE44"/>
    <mergeCell ref="OQO44:OQQ44"/>
    <mergeCell ref="OQW44:OQX44"/>
    <mergeCell ref="OQY44:OQZ44"/>
    <mergeCell ref="ORA44:ORB44"/>
    <mergeCell ref="ORL44:ORN44"/>
    <mergeCell ref="ORT44:ORU44"/>
    <mergeCell ref="ONX44:ONZ44"/>
    <mergeCell ref="OOF44:OOG44"/>
    <mergeCell ref="OOH44:OOI44"/>
    <mergeCell ref="OOJ44:OOK44"/>
    <mergeCell ref="OOU44:OOW44"/>
    <mergeCell ref="OPC44:OPD44"/>
    <mergeCell ref="OPE44:OPF44"/>
    <mergeCell ref="OPG44:OPH44"/>
    <mergeCell ref="OPR44:OPT44"/>
    <mergeCell ref="OTR44:OTS44"/>
    <mergeCell ref="OUC44:OUE44"/>
    <mergeCell ref="OUK44:OUL44"/>
    <mergeCell ref="OUM44:OUN44"/>
    <mergeCell ref="OUO44:OUP44"/>
    <mergeCell ref="OUZ44:OVB44"/>
    <mergeCell ref="OVH44:OVI44"/>
    <mergeCell ref="OVJ44:OVK44"/>
    <mergeCell ref="OVL44:OVM44"/>
    <mergeCell ref="ORV44:ORW44"/>
    <mergeCell ref="ORX44:ORY44"/>
    <mergeCell ref="OSI44:OSK44"/>
    <mergeCell ref="OSQ44:OSR44"/>
    <mergeCell ref="OSS44:OST44"/>
    <mergeCell ref="OSU44:OSV44"/>
    <mergeCell ref="OTF44:OTH44"/>
    <mergeCell ref="OTN44:OTO44"/>
    <mergeCell ref="OTP44:OTQ44"/>
    <mergeCell ref="OXY44:OXZ44"/>
    <mergeCell ref="OYA44:OYB44"/>
    <mergeCell ref="OYC44:OYD44"/>
    <mergeCell ref="OYN44:OYP44"/>
    <mergeCell ref="OYV44:OYW44"/>
    <mergeCell ref="OYX44:OYY44"/>
    <mergeCell ref="OYZ44:OZA44"/>
    <mergeCell ref="OZK44:OZM44"/>
    <mergeCell ref="OZS44:OZT44"/>
    <mergeCell ref="OVW44:OVY44"/>
    <mergeCell ref="OWE44:OWF44"/>
    <mergeCell ref="OWG44:OWH44"/>
    <mergeCell ref="OWI44:OWJ44"/>
    <mergeCell ref="OWT44:OWV44"/>
    <mergeCell ref="OXB44:OXC44"/>
    <mergeCell ref="OXD44:OXE44"/>
    <mergeCell ref="OXF44:OXG44"/>
    <mergeCell ref="OXQ44:OXS44"/>
    <mergeCell ref="PBQ44:PBR44"/>
    <mergeCell ref="PCB44:PCD44"/>
    <mergeCell ref="PCJ44:PCK44"/>
    <mergeCell ref="PCL44:PCM44"/>
    <mergeCell ref="PCN44:PCO44"/>
    <mergeCell ref="PCY44:PDA44"/>
    <mergeCell ref="PDG44:PDH44"/>
    <mergeCell ref="PDI44:PDJ44"/>
    <mergeCell ref="PDK44:PDL44"/>
    <mergeCell ref="OZU44:OZV44"/>
    <mergeCell ref="OZW44:OZX44"/>
    <mergeCell ref="PAH44:PAJ44"/>
    <mergeCell ref="PAP44:PAQ44"/>
    <mergeCell ref="PAR44:PAS44"/>
    <mergeCell ref="PAT44:PAU44"/>
    <mergeCell ref="PBE44:PBG44"/>
    <mergeCell ref="PBM44:PBN44"/>
    <mergeCell ref="PBO44:PBP44"/>
    <mergeCell ref="PFX44:PFY44"/>
    <mergeCell ref="PFZ44:PGA44"/>
    <mergeCell ref="PGB44:PGC44"/>
    <mergeCell ref="PGM44:PGO44"/>
    <mergeCell ref="PGU44:PGV44"/>
    <mergeCell ref="PGW44:PGX44"/>
    <mergeCell ref="PGY44:PGZ44"/>
    <mergeCell ref="PHJ44:PHL44"/>
    <mergeCell ref="PHR44:PHS44"/>
    <mergeCell ref="PDV44:PDX44"/>
    <mergeCell ref="PED44:PEE44"/>
    <mergeCell ref="PEF44:PEG44"/>
    <mergeCell ref="PEH44:PEI44"/>
    <mergeCell ref="PES44:PEU44"/>
    <mergeCell ref="PFA44:PFB44"/>
    <mergeCell ref="PFC44:PFD44"/>
    <mergeCell ref="PFE44:PFF44"/>
    <mergeCell ref="PFP44:PFR44"/>
    <mergeCell ref="PJP44:PJQ44"/>
    <mergeCell ref="PKA44:PKC44"/>
    <mergeCell ref="PKI44:PKJ44"/>
    <mergeCell ref="PKK44:PKL44"/>
    <mergeCell ref="PKM44:PKN44"/>
    <mergeCell ref="PKX44:PKZ44"/>
    <mergeCell ref="PLF44:PLG44"/>
    <mergeCell ref="PLH44:PLI44"/>
    <mergeCell ref="PLJ44:PLK44"/>
    <mergeCell ref="PHT44:PHU44"/>
    <mergeCell ref="PHV44:PHW44"/>
    <mergeCell ref="PIG44:PII44"/>
    <mergeCell ref="PIO44:PIP44"/>
    <mergeCell ref="PIQ44:PIR44"/>
    <mergeCell ref="PIS44:PIT44"/>
    <mergeCell ref="PJD44:PJF44"/>
    <mergeCell ref="PJL44:PJM44"/>
    <mergeCell ref="PJN44:PJO44"/>
    <mergeCell ref="PNW44:PNX44"/>
    <mergeCell ref="PNY44:PNZ44"/>
    <mergeCell ref="POA44:POB44"/>
    <mergeCell ref="POL44:PON44"/>
    <mergeCell ref="POT44:POU44"/>
    <mergeCell ref="POV44:POW44"/>
    <mergeCell ref="POX44:POY44"/>
    <mergeCell ref="PPI44:PPK44"/>
    <mergeCell ref="PPQ44:PPR44"/>
    <mergeCell ref="PLU44:PLW44"/>
    <mergeCell ref="PMC44:PMD44"/>
    <mergeCell ref="PME44:PMF44"/>
    <mergeCell ref="PMG44:PMH44"/>
    <mergeCell ref="PMR44:PMT44"/>
    <mergeCell ref="PMZ44:PNA44"/>
    <mergeCell ref="PNB44:PNC44"/>
    <mergeCell ref="PND44:PNE44"/>
    <mergeCell ref="PNO44:PNQ44"/>
    <mergeCell ref="PRO44:PRP44"/>
    <mergeCell ref="PRZ44:PSB44"/>
    <mergeCell ref="PSH44:PSI44"/>
    <mergeCell ref="PSJ44:PSK44"/>
    <mergeCell ref="PSL44:PSM44"/>
    <mergeCell ref="PSW44:PSY44"/>
    <mergeCell ref="PTE44:PTF44"/>
    <mergeCell ref="PTG44:PTH44"/>
    <mergeCell ref="PTI44:PTJ44"/>
    <mergeCell ref="PPS44:PPT44"/>
    <mergeCell ref="PPU44:PPV44"/>
    <mergeCell ref="PQF44:PQH44"/>
    <mergeCell ref="PQN44:PQO44"/>
    <mergeCell ref="PQP44:PQQ44"/>
    <mergeCell ref="PQR44:PQS44"/>
    <mergeCell ref="PRC44:PRE44"/>
    <mergeCell ref="PRK44:PRL44"/>
    <mergeCell ref="PRM44:PRN44"/>
    <mergeCell ref="PVV44:PVW44"/>
    <mergeCell ref="PVX44:PVY44"/>
    <mergeCell ref="PVZ44:PWA44"/>
    <mergeCell ref="PWK44:PWM44"/>
    <mergeCell ref="PWS44:PWT44"/>
    <mergeCell ref="PWU44:PWV44"/>
    <mergeCell ref="PWW44:PWX44"/>
    <mergeCell ref="PXH44:PXJ44"/>
    <mergeCell ref="PXP44:PXQ44"/>
    <mergeCell ref="PTT44:PTV44"/>
    <mergeCell ref="PUB44:PUC44"/>
    <mergeCell ref="PUD44:PUE44"/>
    <mergeCell ref="PUF44:PUG44"/>
    <mergeCell ref="PUQ44:PUS44"/>
    <mergeCell ref="PUY44:PUZ44"/>
    <mergeCell ref="PVA44:PVB44"/>
    <mergeCell ref="PVC44:PVD44"/>
    <mergeCell ref="PVN44:PVP44"/>
    <mergeCell ref="PZN44:PZO44"/>
    <mergeCell ref="PZY44:QAA44"/>
    <mergeCell ref="QAG44:QAH44"/>
    <mergeCell ref="QAI44:QAJ44"/>
    <mergeCell ref="QAK44:QAL44"/>
    <mergeCell ref="QAV44:QAX44"/>
    <mergeCell ref="QBD44:QBE44"/>
    <mergeCell ref="QBF44:QBG44"/>
    <mergeCell ref="QBH44:QBI44"/>
    <mergeCell ref="PXR44:PXS44"/>
    <mergeCell ref="PXT44:PXU44"/>
    <mergeCell ref="PYE44:PYG44"/>
    <mergeCell ref="PYM44:PYN44"/>
    <mergeCell ref="PYO44:PYP44"/>
    <mergeCell ref="PYQ44:PYR44"/>
    <mergeCell ref="PZB44:PZD44"/>
    <mergeCell ref="PZJ44:PZK44"/>
    <mergeCell ref="PZL44:PZM44"/>
    <mergeCell ref="QDU44:QDV44"/>
    <mergeCell ref="QDW44:QDX44"/>
    <mergeCell ref="QDY44:QDZ44"/>
    <mergeCell ref="QEJ44:QEL44"/>
    <mergeCell ref="QER44:QES44"/>
    <mergeCell ref="QET44:QEU44"/>
    <mergeCell ref="QEV44:QEW44"/>
    <mergeCell ref="QFG44:QFI44"/>
    <mergeCell ref="QFO44:QFP44"/>
    <mergeCell ref="QBS44:QBU44"/>
    <mergeCell ref="QCA44:QCB44"/>
    <mergeCell ref="QCC44:QCD44"/>
    <mergeCell ref="QCE44:QCF44"/>
    <mergeCell ref="QCP44:QCR44"/>
    <mergeCell ref="QCX44:QCY44"/>
    <mergeCell ref="QCZ44:QDA44"/>
    <mergeCell ref="QDB44:QDC44"/>
    <mergeCell ref="QDM44:QDO44"/>
    <mergeCell ref="QHM44:QHN44"/>
    <mergeCell ref="QHX44:QHZ44"/>
    <mergeCell ref="QIF44:QIG44"/>
    <mergeCell ref="QIH44:QII44"/>
    <mergeCell ref="QIJ44:QIK44"/>
    <mergeCell ref="QIU44:QIW44"/>
    <mergeCell ref="QJC44:QJD44"/>
    <mergeCell ref="QJE44:QJF44"/>
    <mergeCell ref="QJG44:QJH44"/>
    <mergeCell ref="QFQ44:QFR44"/>
    <mergeCell ref="QFS44:QFT44"/>
    <mergeCell ref="QGD44:QGF44"/>
    <mergeCell ref="QGL44:QGM44"/>
    <mergeCell ref="QGN44:QGO44"/>
    <mergeCell ref="QGP44:QGQ44"/>
    <mergeCell ref="QHA44:QHC44"/>
    <mergeCell ref="QHI44:QHJ44"/>
    <mergeCell ref="QHK44:QHL44"/>
    <mergeCell ref="QLT44:QLU44"/>
    <mergeCell ref="QLV44:QLW44"/>
    <mergeCell ref="QLX44:QLY44"/>
    <mergeCell ref="QMI44:QMK44"/>
    <mergeCell ref="QMQ44:QMR44"/>
    <mergeCell ref="QMS44:QMT44"/>
    <mergeCell ref="QMU44:QMV44"/>
    <mergeCell ref="QNF44:QNH44"/>
    <mergeCell ref="QNN44:QNO44"/>
    <mergeCell ref="QJR44:QJT44"/>
    <mergeCell ref="QJZ44:QKA44"/>
    <mergeCell ref="QKB44:QKC44"/>
    <mergeCell ref="QKD44:QKE44"/>
    <mergeCell ref="QKO44:QKQ44"/>
    <mergeCell ref="QKW44:QKX44"/>
    <mergeCell ref="QKY44:QKZ44"/>
    <mergeCell ref="QLA44:QLB44"/>
    <mergeCell ref="QLL44:QLN44"/>
    <mergeCell ref="QPL44:QPM44"/>
    <mergeCell ref="QPW44:QPY44"/>
    <mergeCell ref="QQE44:QQF44"/>
    <mergeCell ref="QQG44:QQH44"/>
    <mergeCell ref="QQI44:QQJ44"/>
    <mergeCell ref="QQT44:QQV44"/>
    <mergeCell ref="QRB44:QRC44"/>
    <mergeCell ref="QRD44:QRE44"/>
    <mergeCell ref="QRF44:QRG44"/>
    <mergeCell ref="QNP44:QNQ44"/>
    <mergeCell ref="QNR44:QNS44"/>
    <mergeCell ref="QOC44:QOE44"/>
    <mergeCell ref="QOK44:QOL44"/>
    <mergeCell ref="QOM44:QON44"/>
    <mergeCell ref="QOO44:QOP44"/>
    <mergeCell ref="QOZ44:QPB44"/>
    <mergeCell ref="QPH44:QPI44"/>
    <mergeCell ref="QPJ44:QPK44"/>
    <mergeCell ref="QTS44:QTT44"/>
    <mergeCell ref="QTU44:QTV44"/>
    <mergeCell ref="QTW44:QTX44"/>
    <mergeCell ref="QUH44:QUJ44"/>
    <mergeCell ref="QUP44:QUQ44"/>
    <mergeCell ref="QUR44:QUS44"/>
    <mergeCell ref="QUT44:QUU44"/>
    <mergeCell ref="QVE44:QVG44"/>
    <mergeCell ref="QVM44:QVN44"/>
    <mergeCell ref="QRQ44:QRS44"/>
    <mergeCell ref="QRY44:QRZ44"/>
    <mergeCell ref="QSA44:QSB44"/>
    <mergeCell ref="QSC44:QSD44"/>
    <mergeCell ref="QSN44:QSP44"/>
    <mergeCell ref="QSV44:QSW44"/>
    <mergeCell ref="QSX44:QSY44"/>
    <mergeCell ref="QSZ44:QTA44"/>
    <mergeCell ref="QTK44:QTM44"/>
    <mergeCell ref="QXK44:QXL44"/>
    <mergeCell ref="QXV44:QXX44"/>
    <mergeCell ref="QYD44:QYE44"/>
    <mergeCell ref="QYF44:QYG44"/>
    <mergeCell ref="QYH44:QYI44"/>
    <mergeCell ref="QYS44:QYU44"/>
    <mergeCell ref="QZA44:QZB44"/>
    <mergeCell ref="QZC44:QZD44"/>
    <mergeCell ref="QZE44:QZF44"/>
    <mergeCell ref="QVO44:QVP44"/>
    <mergeCell ref="QVQ44:QVR44"/>
    <mergeCell ref="QWB44:QWD44"/>
    <mergeCell ref="QWJ44:QWK44"/>
    <mergeCell ref="QWL44:QWM44"/>
    <mergeCell ref="QWN44:QWO44"/>
    <mergeCell ref="QWY44:QXA44"/>
    <mergeCell ref="QXG44:QXH44"/>
    <mergeCell ref="QXI44:QXJ44"/>
    <mergeCell ref="RBR44:RBS44"/>
    <mergeCell ref="RBT44:RBU44"/>
    <mergeCell ref="RBV44:RBW44"/>
    <mergeCell ref="RCG44:RCI44"/>
    <mergeCell ref="RCO44:RCP44"/>
    <mergeCell ref="RCQ44:RCR44"/>
    <mergeCell ref="RCS44:RCT44"/>
    <mergeCell ref="RDD44:RDF44"/>
    <mergeCell ref="RDL44:RDM44"/>
    <mergeCell ref="QZP44:QZR44"/>
    <mergeCell ref="QZX44:QZY44"/>
    <mergeCell ref="QZZ44:RAA44"/>
    <mergeCell ref="RAB44:RAC44"/>
    <mergeCell ref="RAM44:RAO44"/>
    <mergeCell ref="RAU44:RAV44"/>
    <mergeCell ref="RAW44:RAX44"/>
    <mergeCell ref="RAY44:RAZ44"/>
    <mergeCell ref="RBJ44:RBL44"/>
    <mergeCell ref="RFJ44:RFK44"/>
    <mergeCell ref="RFU44:RFW44"/>
    <mergeCell ref="RGC44:RGD44"/>
    <mergeCell ref="RGE44:RGF44"/>
    <mergeCell ref="RGG44:RGH44"/>
    <mergeCell ref="RGR44:RGT44"/>
    <mergeCell ref="RGZ44:RHA44"/>
    <mergeCell ref="RHB44:RHC44"/>
    <mergeCell ref="RHD44:RHE44"/>
    <mergeCell ref="RDN44:RDO44"/>
    <mergeCell ref="RDP44:RDQ44"/>
    <mergeCell ref="REA44:REC44"/>
    <mergeCell ref="REI44:REJ44"/>
    <mergeCell ref="REK44:REL44"/>
    <mergeCell ref="REM44:REN44"/>
    <mergeCell ref="REX44:REZ44"/>
    <mergeCell ref="RFF44:RFG44"/>
    <mergeCell ref="RFH44:RFI44"/>
    <mergeCell ref="RJQ44:RJR44"/>
    <mergeCell ref="RJS44:RJT44"/>
    <mergeCell ref="RJU44:RJV44"/>
    <mergeCell ref="RKF44:RKH44"/>
    <mergeCell ref="RKN44:RKO44"/>
    <mergeCell ref="RKP44:RKQ44"/>
    <mergeCell ref="RKR44:RKS44"/>
    <mergeCell ref="RLC44:RLE44"/>
    <mergeCell ref="RLK44:RLL44"/>
    <mergeCell ref="RHO44:RHQ44"/>
    <mergeCell ref="RHW44:RHX44"/>
    <mergeCell ref="RHY44:RHZ44"/>
    <mergeCell ref="RIA44:RIB44"/>
    <mergeCell ref="RIL44:RIN44"/>
    <mergeCell ref="RIT44:RIU44"/>
    <mergeCell ref="RIV44:RIW44"/>
    <mergeCell ref="RIX44:RIY44"/>
    <mergeCell ref="RJI44:RJK44"/>
    <mergeCell ref="RNI44:RNJ44"/>
    <mergeCell ref="RNT44:RNV44"/>
    <mergeCell ref="ROB44:ROC44"/>
    <mergeCell ref="ROD44:ROE44"/>
    <mergeCell ref="ROF44:ROG44"/>
    <mergeCell ref="ROQ44:ROS44"/>
    <mergeCell ref="ROY44:ROZ44"/>
    <mergeCell ref="RPA44:RPB44"/>
    <mergeCell ref="RPC44:RPD44"/>
    <mergeCell ref="RLM44:RLN44"/>
    <mergeCell ref="RLO44:RLP44"/>
    <mergeCell ref="RLZ44:RMB44"/>
    <mergeCell ref="RMH44:RMI44"/>
    <mergeCell ref="RMJ44:RMK44"/>
    <mergeCell ref="RML44:RMM44"/>
    <mergeCell ref="RMW44:RMY44"/>
    <mergeCell ref="RNE44:RNF44"/>
    <mergeCell ref="RNG44:RNH44"/>
    <mergeCell ref="RRP44:RRQ44"/>
    <mergeCell ref="RRR44:RRS44"/>
    <mergeCell ref="RRT44:RRU44"/>
    <mergeCell ref="RSE44:RSG44"/>
    <mergeCell ref="RSM44:RSN44"/>
    <mergeCell ref="RSO44:RSP44"/>
    <mergeCell ref="RSQ44:RSR44"/>
    <mergeCell ref="RTB44:RTD44"/>
    <mergeCell ref="RTJ44:RTK44"/>
    <mergeCell ref="RPN44:RPP44"/>
    <mergeCell ref="RPV44:RPW44"/>
    <mergeCell ref="RPX44:RPY44"/>
    <mergeCell ref="RPZ44:RQA44"/>
    <mergeCell ref="RQK44:RQM44"/>
    <mergeCell ref="RQS44:RQT44"/>
    <mergeCell ref="RQU44:RQV44"/>
    <mergeCell ref="RQW44:RQX44"/>
    <mergeCell ref="RRH44:RRJ44"/>
    <mergeCell ref="RVH44:RVI44"/>
    <mergeCell ref="RVS44:RVU44"/>
    <mergeCell ref="RWA44:RWB44"/>
    <mergeCell ref="RWC44:RWD44"/>
    <mergeCell ref="RWE44:RWF44"/>
    <mergeCell ref="RWP44:RWR44"/>
    <mergeCell ref="RWX44:RWY44"/>
    <mergeCell ref="RWZ44:RXA44"/>
    <mergeCell ref="RXB44:RXC44"/>
    <mergeCell ref="RTL44:RTM44"/>
    <mergeCell ref="RTN44:RTO44"/>
    <mergeCell ref="RTY44:RUA44"/>
    <mergeCell ref="RUG44:RUH44"/>
    <mergeCell ref="RUI44:RUJ44"/>
    <mergeCell ref="RUK44:RUL44"/>
    <mergeCell ref="RUV44:RUX44"/>
    <mergeCell ref="RVD44:RVE44"/>
    <mergeCell ref="RVF44:RVG44"/>
    <mergeCell ref="RZO44:RZP44"/>
    <mergeCell ref="RZQ44:RZR44"/>
    <mergeCell ref="RZS44:RZT44"/>
    <mergeCell ref="SAD44:SAF44"/>
    <mergeCell ref="SAL44:SAM44"/>
    <mergeCell ref="SAN44:SAO44"/>
    <mergeCell ref="SAP44:SAQ44"/>
    <mergeCell ref="SBA44:SBC44"/>
    <mergeCell ref="SBI44:SBJ44"/>
    <mergeCell ref="RXM44:RXO44"/>
    <mergeCell ref="RXU44:RXV44"/>
    <mergeCell ref="RXW44:RXX44"/>
    <mergeCell ref="RXY44:RXZ44"/>
    <mergeCell ref="RYJ44:RYL44"/>
    <mergeCell ref="RYR44:RYS44"/>
    <mergeCell ref="RYT44:RYU44"/>
    <mergeCell ref="RYV44:RYW44"/>
    <mergeCell ref="RZG44:RZI44"/>
    <mergeCell ref="SDG44:SDH44"/>
    <mergeCell ref="SDR44:SDT44"/>
    <mergeCell ref="SDZ44:SEA44"/>
    <mergeCell ref="SEB44:SEC44"/>
    <mergeCell ref="SED44:SEE44"/>
    <mergeCell ref="SEO44:SEQ44"/>
    <mergeCell ref="SEW44:SEX44"/>
    <mergeCell ref="SEY44:SEZ44"/>
    <mergeCell ref="SFA44:SFB44"/>
    <mergeCell ref="SBK44:SBL44"/>
    <mergeCell ref="SBM44:SBN44"/>
    <mergeCell ref="SBX44:SBZ44"/>
    <mergeCell ref="SCF44:SCG44"/>
    <mergeCell ref="SCH44:SCI44"/>
    <mergeCell ref="SCJ44:SCK44"/>
    <mergeCell ref="SCU44:SCW44"/>
    <mergeCell ref="SDC44:SDD44"/>
    <mergeCell ref="SDE44:SDF44"/>
    <mergeCell ref="SHN44:SHO44"/>
    <mergeCell ref="SHP44:SHQ44"/>
    <mergeCell ref="SHR44:SHS44"/>
    <mergeCell ref="SIC44:SIE44"/>
    <mergeCell ref="SIK44:SIL44"/>
    <mergeCell ref="SIM44:SIN44"/>
    <mergeCell ref="SIO44:SIP44"/>
    <mergeCell ref="SIZ44:SJB44"/>
    <mergeCell ref="SJH44:SJI44"/>
    <mergeCell ref="SFL44:SFN44"/>
    <mergeCell ref="SFT44:SFU44"/>
    <mergeCell ref="SFV44:SFW44"/>
    <mergeCell ref="SFX44:SFY44"/>
    <mergeCell ref="SGI44:SGK44"/>
    <mergeCell ref="SGQ44:SGR44"/>
    <mergeCell ref="SGS44:SGT44"/>
    <mergeCell ref="SGU44:SGV44"/>
    <mergeCell ref="SHF44:SHH44"/>
    <mergeCell ref="SLF44:SLG44"/>
    <mergeCell ref="SLQ44:SLS44"/>
    <mergeCell ref="SLY44:SLZ44"/>
    <mergeCell ref="SMA44:SMB44"/>
    <mergeCell ref="SMC44:SMD44"/>
    <mergeCell ref="SMN44:SMP44"/>
    <mergeCell ref="SMV44:SMW44"/>
    <mergeCell ref="SMX44:SMY44"/>
    <mergeCell ref="SMZ44:SNA44"/>
    <mergeCell ref="SJJ44:SJK44"/>
    <mergeCell ref="SJL44:SJM44"/>
    <mergeCell ref="SJW44:SJY44"/>
    <mergeCell ref="SKE44:SKF44"/>
    <mergeCell ref="SKG44:SKH44"/>
    <mergeCell ref="SKI44:SKJ44"/>
    <mergeCell ref="SKT44:SKV44"/>
    <mergeCell ref="SLB44:SLC44"/>
    <mergeCell ref="SLD44:SLE44"/>
    <mergeCell ref="SPM44:SPN44"/>
    <mergeCell ref="SPO44:SPP44"/>
    <mergeCell ref="SPQ44:SPR44"/>
    <mergeCell ref="SQB44:SQD44"/>
    <mergeCell ref="SQJ44:SQK44"/>
    <mergeCell ref="SQL44:SQM44"/>
    <mergeCell ref="SQN44:SQO44"/>
    <mergeCell ref="SQY44:SRA44"/>
    <mergeCell ref="SRG44:SRH44"/>
    <mergeCell ref="SNK44:SNM44"/>
    <mergeCell ref="SNS44:SNT44"/>
    <mergeCell ref="SNU44:SNV44"/>
    <mergeCell ref="SNW44:SNX44"/>
    <mergeCell ref="SOH44:SOJ44"/>
    <mergeCell ref="SOP44:SOQ44"/>
    <mergeCell ref="SOR44:SOS44"/>
    <mergeCell ref="SOT44:SOU44"/>
    <mergeCell ref="SPE44:SPG44"/>
    <mergeCell ref="STE44:STF44"/>
    <mergeCell ref="STP44:STR44"/>
    <mergeCell ref="STX44:STY44"/>
    <mergeCell ref="STZ44:SUA44"/>
    <mergeCell ref="SUB44:SUC44"/>
    <mergeCell ref="SUM44:SUO44"/>
    <mergeCell ref="SUU44:SUV44"/>
    <mergeCell ref="SUW44:SUX44"/>
    <mergeCell ref="SUY44:SUZ44"/>
    <mergeCell ref="SRI44:SRJ44"/>
    <mergeCell ref="SRK44:SRL44"/>
    <mergeCell ref="SRV44:SRX44"/>
    <mergeCell ref="SSD44:SSE44"/>
    <mergeCell ref="SSF44:SSG44"/>
    <mergeCell ref="SSH44:SSI44"/>
    <mergeCell ref="SSS44:SSU44"/>
    <mergeCell ref="STA44:STB44"/>
    <mergeCell ref="STC44:STD44"/>
    <mergeCell ref="SXL44:SXM44"/>
    <mergeCell ref="SXN44:SXO44"/>
    <mergeCell ref="SXP44:SXQ44"/>
    <mergeCell ref="SYA44:SYC44"/>
    <mergeCell ref="SYI44:SYJ44"/>
    <mergeCell ref="SYK44:SYL44"/>
    <mergeCell ref="SYM44:SYN44"/>
    <mergeCell ref="SYX44:SYZ44"/>
    <mergeCell ref="SZF44:SZG44"/>
    <mergeCell ref="SVJ44:SVL44"/>
    <mergeCell ref="SVR44:SVS44"/>
    <mergeCell ref="SVT44:SVU44"/>
    <mergeCell ref="SVV44:SVW44"/>
    <mergeCell ref="SWG44:SWI44"/>
    <mergeCell ref="SWO44:SWP44"/>
    <mergeCell ref="SWQ44:SWR44"/>
    <mergeCell ref="SWS44:SWT44"/>
    <mergeCell ref="SXD44:SXF44"/>
    <mergeCell ref="TBD44:TBE44"/>
    <mergeCell ref="TBO44:TBQ44"/>
    <mergeCell ref="TBW44:TBX44"/>
    <mergeCell ref="TBY44:TBZ44"/>
    <mergeCell ref="TCA44:TCB44"/>
    <mergeCell ref="TCL44:TCN44"/>
    <mergeCell ref="TCT44:TCU44"/>
    <mergeCell ref="TCV44:TCW44"/>
    <mergeCell ref="TCX44:TCY44"/>
    <mergeCell ref="SZH44:SZI44"/>
    <mergeCell ref="SZJ44:SZK44"/>
    <mergeCell ref="SZU44:SZW44"/>
    <mergeCell ref="TAC44:TAD44"/>
    <mergeCell ref="TAE44:TAF44"/>
    <mergeCell ref="TAG44:TAH44"/>
    <mergeCell ref="TAR44:TAT44"/>
    <mergeCell ref="TAZ44:TBA44"/>
    <mergeCell ref="TBB44:TBC44"/>
    <mergeCell ref="TFK44:TFL44"/>
    <mergeCell ref="TFM44:TFN44"/>
    <mergeCell ref="TFO44:TFP44"/>
    <mergeCell ref="TFZ44:TGB44"/>
    <mergeCell ref="TGH44:TGI44"/>
    <mergeCell ref="TGJ44:TGK44"/>
    <mergeCell ref="TGL44:TGM44"/>
    <mergeCell ref="TGW44:TGY44"/>
    <mergeCell ref="THE44:THF44"/>
    <mergeCell ref="TDI44:TDK44"/>
    <mergeCell ref="TDQ44:TDR44"/>
    <mergeCell ref="TDS44:TDT44"/>
    <mergeCell ref="TDU44:TDV44"/>
    <mergeCell ref="TEF44:TEH44"/>
    <mergeCell ref="TEN44:TEO44"/>
    <mergeCell ref="TEP44:TEQ44"/>
    <mergeCell ref="TER44:TES44"/>
    <mergeCell ref="TFC44:TFE44"/>
    <mergeCell ref="TJC44:TJD44"/>
    <mergeCell ref="TJN44:TJP44"/>
    <mergeCell ref="TJV44:TJW44"/>
    <mergeCell ref="TJX44:TJY44"/>
    <mergeCell ref="TJZ44:TKA44"/>
    <mergeCell ref="TKK44:TKM44"/>
    <mergeCell ref="TKS44:TKT44"/>
    <mergeCell ref="TKU44:TKV44"/>
    <mergeCell ref="TKW44:TKX44"/>
    <mergeCell ref="THG44:THH44"/>
    <mergeCell ref="THI44:THJ44"/>
    <mergeCell ref="THT44:THV44"/>
    <mergeCell ref="TIB44:TIC44"/>
    <mergeCell ref="TID44:TIE44"/>
    <mergeCell ref="TIF44:TIG44"/>
    <mergeCell ref="TIQ44:TIS44"/>
    <mergeCell ref="TIY44:TIZ44"/>
    <mergeCell ref="TJA44:TJB44"/>
    <mergeCell ref="TNJ44:TNK44"/>
    <mergeCell ref="TNL44:TNM44"/>
    <mergeCell ref="TNN44:TNO44"/>
    <mergeCell ref="TNY44:TOA44"/>
    <mergeCell ref="TOG44:TOH44"/>
    <mergeCell ref="TOI44:TOJ44"/>
    <mergeCell ref="TOK44:TOL44"/>
    <mergeCell ref="TOV44:TOX44"/>
    <mergeCell ref="TPD44:TPE44"/>
    <mergeCell ref="TLH44:TLJ44"/>
    <mergeCell ref="TLP44:TLQ44"/>
    <mergeCell ref="TLR44:TLS44"/>
    <mergeCell ref="TLT44:TLU44"/>
    <mergeCell ref="TME44:TMG44"/>
    <mergeCell ref="TMM44:TMN44"/>
    <mergeCell ref="TMO44:TMP44"/>
    <mergeCell ref="TMQ44:TMR44"/>
    <mergeCell ref="TNB44:TND44"/>
    <mergeCell ref="TRB44:TRC44"/>
    <mergeCell ref="TRM44:TRO44"/>
    <mergeCell ref="TRU44:TRV44"/>
    <mergeCell ref="TRW44:TRX44"/>
    <mergeCell ref="TRY44:TRZ44"/>
    <mergeCell ref="TSJ44:TSL44"/>
    <mergeCell ref="TSR44:TSS44"/>
    <mergeCell ref="TST44:TSU44"/>
    <mergeCell ref="TSV44:TSW44"/>
    <mergeCell ref="TPF44:TPG44"/>
    <mergeCell ref="TPH44:TPI44"/>
    <mergeCell ref="TPS44:TPU44"/>
    <mergeCell ref="TQA44:TQB44"/>
    <mergeCell ref="TQC44:TQD44"/>
    <mergeCell ref="TQE44:TQF44"/>
    <mergeCell ref="TQP44:TQR44"/>
    <mergeCell ref="TQX44:TQY44"/>
    <mergeCell ref="TQZ44:TRA44"/>
    <mergeCell ref="TVI44:TVJ44"/>
    <mergeCell ref="TVK44:TVL44"/>
    <mergeCell ref="TVM44:TVN44"/>
    <mergeCell ref="TVX44:TVZ44"/>
    <mergeCell ref="TWF44:TWG44"/>
    <mergeCell ref="TWH44:TWI44"/>
    <mergeCell ref="TWJ44:TWK44"/>
    <mergeCell ref="TWU44:TWW44"/>
    <mergeCell ref="TXC44:TXD44"/>
    <mergeCell ref="TTG44:TTI44"/>
    <mergeCell ref="TTO44:TTP44"/>
    <mergeCell ref="TTQ44:TTR44"/>
    <mergeCell ref="TTS44:TTT44"/>
    <mergeCell ref="TUD44:TUF44"/>
    <mergeCell ref="TUL44:TUM44"/>
    <mergeCell ref="TUN44:TUO44"/>
    <mergeCell ref="TUP44:TUQ44"/>
    <mergeCell ref="TVA44:TVC44"/>
    <mergeCell ref="TZA44:TZB44"/>
    <mergeCell ref="TZL44:TZN44"/>
    <mergeCell ref="TZT44:TZU44"/>
    <mergeCell ref="TZV44:TZW44"/>
    <mergeCell ref="TZX44:TZY44"/>
    <mergeCell ref="UAI44:UAK44"/>
    <mergeCell ref="UAQ44:UAR44"/>
    <mergeCell ref="UAS44:UAT44"/>
    <mergeCell ref="UAU44:UAV44"/>
    <mergeCell ref="TXE44:TXF44"/>
    <mergeCell ref="TXG44:TXH44"/>
    <mergeCell ref="TXR44:TXT44"/>
    <mergeCell ref="TXZ44:TYA44"/>
    <mergeCell ref="TYB44:TYC44"/>
    <mergeCell ref="TYD44:TYE44"/>
    <mergeCell ref="TYO44:TYQ44"/>
    <mergeCell ref="TYW44:TYX44"/>
    <mergeCell ref="TYY44:TYZ44"/>
    <mergeCell ref="UDH44:UDI44"/>
    <mergeCell ref="UDJ44:UDK44"/>
    <mergeCell ref="UDL44:UDM44"/>
    <mergeCell ref="UDW44:UDY44"/>
    <mergeCell ref="UEE44:UEF44"/>
    <mergeCell ref="UEG44:UEH44"/>
    <mergeCell ref="UEI44:UEJ44"/>
    <mergeCell ref="UET44:UEV44"/>
    <mergeCell ref="UFB44:UFC44"/>
    <mergeCell ref="UBF44:UBH44"/>
    <mergeCell ref="UBN44:UBO44"/>
    <mergeCell ref="UBP44:UBQ44"/>
    <mergeCell ref="UBR44:UBS44"/>
    <mergeCell ref="UCC44:UCE44"/>
    <mergeCell ref="UCK44:UCL44"/>
    <mergeCell ref="UCM44:UCN44"/>
    <mergeCell ref="UCO44:UCP44"/>
    <mergeCell ref="UCZ44:UDB44"/>
    <mergeCell ref="UGZ44:UHA44"/>
    <mergeCell ref="UHK44:UHM44"/>
    <mergeCell ref="UHS44:UHT44"/>
    <mergeCell ref="UHU44:UHV44"/>
    <mergeCell ref="UHW44:UHX44"/>
    <mergeCell ref="UIH44:UIJ44"/>
    <mergeCell ref="UIP44:UIQ44"/>
    <mergeCell ref="UIR44:UIS44"/>
    <mergeCell ref="UIT44:UIU44"/>
    <mergeCell ref="UFD44:UFE44"/>
    <mergeCell ref="UFF44:UFG44"/>
    <mergeCell ref="UFQ44:UFS44"/>
    <mergeCell ref="UFY44:UFZ44"/>
    <mergeCell ref="UGA44:UGB44"/>
    <mergeCell ref="UGC44:UGD44"/>
    <mergeCell ref="UGN44:UGP44"/>
    <mergeCell ref="UGV44:UGW44"/>
    <mergeCell ref="UGX44:UGY44"/>
    <mergeCell ref="ULG44:ULH44"/>
    <mergeCell ref="ULI44:ULJ44"/>
    <mergeCell ref="ULK44:ULL44"/>
    <mergeCell ref="ULV44:ULX44"/>
    <mergeCell ref="UMD44:UME44"/>
    <mergeCell ref="UMF44:UMG44"/>
    <mergeCell ref="UMH44:UMI44"/>
    <mergeCell ref="UMS44:UMU44"/>
    <mergeCell ref="UNA44:UNB44"/>
    <mergeCell ref="UJE44:UJG44"/>
    <mergeCell ref="UJM44:UJN44"/>
    <mergeCell ref="UJO44:UJP44"/>
    <mergeCell ref="UJQ44:UJR44"/>
    <mergeCell ref="UKB44:UKD44"/>
    <mergeCell ref="UKJ44:UKK44"/>
    <mergeCell ref="UKL44:UKM44"/>
    <mergeCell ref="UKN44:UKO44"/>
    <mergeCell ref="UKY44:ULA44"/>
    <mergeCell ref="UOY44:UOZ44"/>
    <mergeCell ref="UPJ44:UPL44"/>
    <mergeCell ref="UPR44:UPS44"/>
    <mergeCell ref="UPT44:UPU44"/>
    <mergeCell ref="UPV44:UPW44"/>
    <mergeCell ref="UQG44:UQI44"/>
    <mergeCell ref="UQO44:UQP44"/>
    <mergeCell ref="UQQ44:UQR44"/>
    <mergeCell ref="UQS44:UQT44"/>
    <mergeCell ref="UNC44:UND44"/>
    <mergeCell ref="UNE44:UNF44"/>
    <mergeCell ref="UNP44:UNR44"/>
    <mergeCell ref="UNX44:UNY44"/>
    <mergeCell ref="UNZ44:UOA44"/>
    <mergeCell ref="UOB44:UOC44"/>
    <mergeCell ref="UOM44:UOO44"/>
    <mergeCell ref="UOU44:UOV44"/>
    <mergeCell ref="UOW44:UOX44"/>
    <mergeCell ref="UTF44:UTG44"/>
    <mergeCell ref="UTH44:UTI44"/>
    <mergeCell ref="UTJ44:UTK44"/>
    <mergeCell ref="UTU44:UTW44"/>
    <mergeCell ref="UUC44:UUD44"/>
    <mergeCell ref="UUE44:UUF44"/>
    <mergeCell ref="UUG44:UUH44"/>
    <mergeCell ref="UUR44:UUT44"/>
    <mergeCell ref="UUZ44:UVA44"/>
    <mergeCell ref="URD44:URF44"/>
    <mergeCell ref="URL44:URM44"/>
    <mergeCell ref="URN44:URO44"/>
    <mergeCell ref="URP44:URQ44"/>
    <mergeCell ref="USA44:USC44"/>
    <mergeCell ref="USI44:USJ44"/>
    <mergeCell ref="USK44:USL44"/>
    <mergeCell ref="USM44:USN44"/>
    <mergeCell ref="USX44:USZ44"/>
    <mergeCell ref="UWX44:UWY44"/>
    <mergeCell ref="UXI44:UXK44"/>
    <mergeCell ref="UXQ44:UXR44"/>
    <mergeCell ref="UXS44:UXT44"/>
    <mergeCell ref="UXU44:UXV44"/>
    <mergeCell ref="UYF44:UYH44"/>
    <mergeCell ref="UYN44:UYO44"/>
    <mergeCell ref="UYP44:UYQ44"/>
    <mergeCell ref="UYR44:UYS44"/>
    <mergeCell ref="UVB44:UVC44"/>
    <mergeCell ref="UVD44:UVE44"/>
    <mergeCell ref="UVO44:UVQ44"/>
    <mergeCell ref="UVW44:UVX44"/>
    <mergeCell ref="UVY44:UVZ44"/>
    <mergeCell ref="UWA44:UWB44"/>
    <mergeCell ref="UWL44:UWN44"/>
    <mergeCell ref="UWT44:UWU44"/>
    <mergeCell ref="UWV44:UWW44"/>
    <mergeCell ref="VBE44:VBF44"/>
    <mergeCell ref="VBG44:VBH44"/>
    <mergeCell ref="VBI44:VBJ44"/>
    <mergeCell ref="VBT44:VBV44"/>
    <mergeCell ref="VCB44:VCC44"/>
    <mergeCell ref="VCD44:VCE44"/>
    <mergeCell ref="VCF44:VCG44"/>
    <mergeCell ref="VCQ44:VCS44"/>
    <mergeCell ref="VCY44:VCZ44"/>
    <mergeCell ref="UZC44:UZE44"/>
    <mergeCell ref="UZK44:UZL44"/>
    <mergeCell ref="UZM44:UZN44"/>
    <mergeCell ref="UZO44:UZP44"/>
    <mergeCell ref="UZZ44:VAB44"/>
    <mergeCell ref="VAH44:VAI44"/>
    <mergeCell ref="VAJ44:VAK44"/>
    <mergeCell ref="VAL44:VAM44"/>
    <mergeCell ref="VAW44:VAY44"/>
    <mergeCell ref="VEW44:VEX44"/>
    <mergeCell ref="VFH44:VFJ44"/>
    <mergeCell ref="VFP44:VFQ44"/>
    <mergeCell ref="VFR44:VFS44"/>
    <mergeCell ref="VFT44:VFU44"/>
    <mergeCell ref="VGE44:VGG44"/>
    <mergeCell ref="VGM44:VGN44"/>
    <mergeCell ref="VGO44:VGP44"/>
    <mergeCell ref="VGQ44:VGR44"/>
    <mergeCell ref="VDA44:VDB44"/>
    <mergeCell ref="VDC44:VDD44"/>
    <mergeCell ref="VDN44:VDP44"/>
    <mergeCell ref="VDV44:VDW44"/>
    <mergeCell ref="VDX44:VDY44"/>
    <mergeCell ref="VDZ44:VEA44"/>
    <mergeCell ref="VEK44:VEM44"/>
    <mergeCell ref="VES44:VET44"/>
    <mergeCell ref="VEU44:VEV44"/>
    <mergeCell ref="VJD44:VJE44"/>
    <mergeCell ref="VJF44:VJG44"/>
    <mergeCell ref="VJH44:VJI44"/>
    <mergeCell ref="VJS44:VJU44"/>
    <mergeCell ref="VKA44:VKB44"/>
    <mergeCell ref="VKC44:VKD44"/>
    <mergeCell ref="VKE44:VKF44"/>
    <mergeCell ref="VKP44:VKR44"/>
    <mergeCell ref="VKX44:VKY44"/>
    <mergeCell ref="VHB44:VHD44"/>
    <mergeCell ref="VHJ44:VHK44"/>
    <mergeCell ref="VHL44:VHM44"/>
    <mergeCell ref="VHN44:VHO44"/>
    <mergeCell ref="VHY44:VIA44"/>
    <mergeCell ref="VIG44:VIH44"/>
    <mergeCell ref="VII44:VIJ44"/>
    <mergeCell ref="VIK44:VIL44"/>
    <mergeCell ref="VIV44:VIX44"/>
    <mergeCell ref="VMV44:VMW44"/>
    <mergeCell ref="VNG44:VNI44"/>
    <mergeCell ref="VNO44:VNP44"/>
    <mergeCell ref="VNQ44:VNR44"/>
    <mergeCell ref="VNS44:VNT44"/>
    <mergeCell ref="VOD44:VOF44"/>
    <mergeCell ref="VOL44:VOM44"/>
    <mergeCell ref="VON44:VOO44"/>
    <mergeCell ref="VOP44:VOQ44"/>
    <mergeCell ref="VKZ44:VLA44"/>
    <mergeCell ref="VLB44:VLC44"/>
    <mergeCell ref="VLM44:VLO44"/>
    <mergeCell ref="VLU44:VLV44"/>
    <mergeCell ref="VLW44:VLX44"/>
    <mergeCell ref="VLY44:VLZ44"/>
    <mergeCell ref="VMJ44:VML44"/>
    <mergeCell ref="VMR44:VMS44"/>
    <mergeCell ref="VMT44:VMU44"/>
    <mergeCell ref="VRC44:VRD44"/>
    <mergeCell ref="VRE44:VRF44"/>
    <mergeCell ref="VRG44:VRH44"/>
    <mergeCell ref="VRR44:VRT44"/>
    <mergeCell ref="VRZ44:VSA44"/>
    <mergeCell ref="VSB44:VSC44"/>
    <mergeCell ref="VSD44:VSE44"/>
    <mergeCell ref="VSO44:VSQ44"/>
    <mergeCell ref="VSW44:VSX44"/>
    <mergeCell ref="VPA44:VPC44"/>
    <mergeCell ref="VPI44:VPJ44"/>
    <mergeCell ref="VPK44:VPL44"/>
    <mergeCell ref="VPM44:VPN44"/>
    <mergeCell ref="VPX44:VPZ44"/>
    <mergeCell ref="VQF44:VQG44"/>
    <mergeCell ref="VQH44:VQI44"/>
    <mergeCell ref="VQJ44:VQK44"/>
    <mergeCell ref="VQU44:VQW44"/>
    <mergeCell ref="VUU44:VUV44"/>
    <mergeCell ref="VVF44:VVH44"/>
    <mergeCell ref="VVN44:VVO44"/>
    <mergeCell ref="VVP44:VVQ44"/>
    <mergeCell ref="VVR44:VVS44"/>
    <mergeCell ref="VWC44:VWE44"/>
    <mergeCell ref="VWK44:VWL44"/>
    <mergeCell ref="VWM44:VWN44"/>
    <mergeCell ref="VWO44:VWP44"/>
    <mergeCell ref="VSY44:VSZ44"/>
    <mergeCell ref="VTA44:VTB44"/>
    <mergeCell ref="VTL44:VTN44"/>
    <mergeCell ref="VTT44:VTU44"/>
    <mergeCell ref="VTV44:VTW44"/>
    <mergeCell ref="VTX44:VTY44"/>
    <mergeCell ref="VUI44:VUK44"/>
    <mergeCell ref="VUQ44:VUR44"/>
    <mergeCell ref="VUS44:VUT44"/>
    <mergeCell ref="VZB44:VZC44"/>
    <mergeCell ref="VZD44:VZE44"/>
    <mergeCell ref="VZF44:VZG44"/>
    <mergeCell ref="VZQ44:VZS44"/>
    <mergeCell ref="VZY44:VZZ44"/>
    <mergeCell ref="WAA44:WAB44"/>
    <mergeCell ref="WAC44:WAD44"/>
    <mergeCell ref="WAN44:WAP44"/>
    <mergeCell ref="WAV44:WAW44"/>
    <mergeCell ref="VWZ44:VXB44"/>
    <mergeCell ref="VXH44:VXI44"/>
    <mergeCell ref="VXJ44:VXK44"/>
    <mergeCell ref="VXL44:VXM44"/>
    <mergeCell ref="VXW44:VXY44"/>
    <mergeCell ref="VYE44:VYF44"/>
    <mergeCell ref="VYG44:VYH44"/>
    <mergeCell ref="VYI44:VYJ44"/>
    <mergeCell ref="VYT44:VYV44"/>
    <mergeCell ref="WCT44:WCU44"/>
    <mergeCell ref="WDE44:WDG44"/>
    <mergeCell ref="WDM44:WDN44"/>
    <mergeCell ref="WDO44:WDP44"/>
    <mergeCell ref="WDQ44:WDR44"/>
    <mergeCell ref="WEB44:WED44"/>
    <mergeCell ref="WEJ44:WEK44"/>
    <mergeCell ref="WEL44:WEM44"/>
    <mergeCell ref="WEN44:WEO44"/>
    <mergeCell ref="WAX44:WAY44"/>
    <mergeCell ref="WAZ44:WBA44"/>
    <mergeCell ref="WBK44:WBM44"/>
    <mergeCell ref="WBS44:WBT44"/>
    <mergeCell ref="WBU44:WBV44"/>
    <mergeCell ref="WBW44:WBX44"/>
    <mergeCell ref="WCH44:WCJ44"/>
    <mergeCell ref="WCP44:WCQ44"/>
    <mergeCell ref="WCR44:WCS44"/>
    <mergeCell ref="WHA44:WHB44"/>
    <mergeCell ref="WHC44:WHD44"/>
    <mergeCell ref="WHE44:WHF44"/>
    <mergeCell ref="WHP44:WHR44"/>
    <mergeCell ref="WHX44:WHY44"/>
    <mergeCell ref="WHZ44:WIA44"/>
    <mergeCell ref="WIB44:WIC44"/>
    <mergeCell ref="WIM44:WIO44"/>
    <mergeCell ref="WIU44:WIV44"/>
    <mergeCell ref="WEY44:WFA44"/>
    <mergeCell ref="WFG44:WFH44"/>
    <mergeCell ref="WFI44:WFJ44"/>
    <mergeCell ref="WFK44:WFL44"/>
    <mergeCell ref="WFV44:WFX44"/>
    <mergeCell ref="WGD44:WGE44"/>
    <mergeCell ref="WGF44:WGG44"/>
    <mergeCell ref="WGH44:WGI44"/>
    <mergeCell ref="WGS44:WGU44"/>
    <mergeCell ref="WKS44:WKT44"/>
    <mergeCell ref="WLD44:WLF44"/>
    <mergeCell ref="WLL44:WLM44"/>
    <mergeCell ref="WLN44:WLO44"/>
    <mergeCell ref="WLP44:WLQ44"/>
    <mergeCell ref="WMA44:WMC44"/>
    <mergeCell ref="WMI44:WMJ44"/>
    <mergeCell ref="WMK44:WML44"/>
    <mergeCell ref="WMM44:WMN44"/>
    <mergeCell ref="WIW44:WIX44"/>
    <mergeCell ref="WIY44:WIZ44"/>
    <mergeCell ref="WJJ44:WJL44"/>
    <mergeCell ref="WJR44:WJS44"/>
    <mergeCell ref="WJT44:WJU44"/>
    <mergeCell ref="WJV44:WJW44"/>
    <mergeCell ref="WKG44:WKI44"/>
    <mergeCell ref="WKO44:WKP44"/>
    <mergeCell ref="WKQ44:WKR44"/>
    <mergeCell ref="WRI44:WRK44"/>
    <mergeCell ref="WRQ44:WRR44"/>
    <mergeCell ref="WRS44:WRT44"/>
    <mergeCell ref="WRU44:WRV44"/>
    <mergeCell ref="WSF44:WSH44"/>
    <mergeCell ref="WSN44:WSO44"/>
    <mergeCell ref="WSP44:WSQ44"/>
    <mergeCell ref="WOZ44:WPA44"/>
    <mergeCell ref="WPB44:WPC44"/>
    <mergeCell ref="WPD44:WPE44"/>
    <mergeCell ref="WPO44:WPQ44"/>
    <mergeCell ref="WPW44:WPX44"/>
    <mergeCell ref="WPY44:WPZ44"/>
    <mergeCell ref="WQA44:WQB44"/>
    <mergeCell ref="WQL44:WQN44"/>
    <mergeCell ref="WQT44:WQU44"/>
    <mergeCell ref="WMX44:WMZ44"/>
    <mergeCell ref="WNF44:WNG44"/>
    <mergeCell ref="WNH44:WNI44"/>
    <mergeCell ref="WNJ44:WNK44"/>
    <mergeCell ref="WNU44:WNW44"/>
    <mergeCell ref="WOC44:WOD44"/>
    <mergeCell ref="WOE44:WOF44"/>
    <mergeCell ref="WOG44:WOH44"/>
    <mergeCell ref="WOR44:WOT44"/>
    <mergeCell ref="C57:D57"/>
    <mergeCell ref="WZH44:WZJ44"/>
    <mergeCell ref="WZP44:WZQ44"/>
    <mergeCell ref="WZR44:WZS44"/>
    <mergeCell ref="WZT44:WZU44"/>
    <mergeCell ref="XAE44:XAG44"/>
    <mergeCell ref="XAM44:XAN44"/>
    <mergeCell ref="XAO44:XAP44"/>
    <mergeCell ref="WWY44:WWZ44"/>
    <mergeCell ref="WXA44:WXB44"/>
    <mergeCell ref="WXC44:WXD44"/>
    <mergeCell ref="WXN44:WXP44"/>
    <mergeCell ref="WXV44:WXW44"/>
    <mergeCell ref="WXX44:WXY44"/>
    <mergeCell ref="WXZ44:WYA44"/>
    <mergeCell ref="WYK44:WYM44"/>
    <mergeCell ref="WYS44:WYT44"/>
    <mergeCell ref="WUW44:WUY44"/>
    <mergeCell ref="WVE44:WVF44"/>
    <mergeCell ref="WVG44:WVH44"/>
    <mergeCell ref="WVI44:WVJ44"/>
    <mergeCell ref="WVT44:WVV44"/>
    <mergeCell ref="WWB44:WWC44"/>
    <mergeCell ref="WWD44:WWE44"/>
    <mergeCell ref="WWF44:WWG44"/>
    <mergeCell ref="WWQ44:WWS44"/>
    <mergeCell ref="WSR44:WSS44"/>
    <mergeCell ref="WTC44:WTE44"/>
    <mergeCell ref="WTK44:WTL44"/>
    <mergeCell ref="WTM44:WTN44"/>
    <mergeCell ref="WTO44:WTP44"/>
    <mergeCell ref="WTZ44:WUB44"/>
    <mergeCell ref="XEX44:XEY44"/>
    <mergeCell ref="XEZ44:XFA44"/>
    <mergeCell ref="XFB44:XFC44"/>
    <mergeCell ref="C39:D39"/>
    <mergeCell ref="E39:F39"/>
    <mergeCell ref="G39:H39"/>
    <mergeCell ref="R39:T39"/>
    <mergeCell ref="XCV44:XCX44"/>
    <mergeCell ref="XDD44:XDE44"/>
    <mergeCell ref="XDF44:XDG44"/>
    <mergeCell ref="XDH44:XDI44"/>
    <mergeCell ref="XDS44:XDU44"/>
    <mergeCell ref="XEA44:XEB44"/>
    <mergeCell ref="XEC44:XED44"/>
    <mergeCell ref="XEE44:XEF44"/>
    <mergeCell ref="XEP44:XER44"/>
    <mergeCell ref="XAQ44:XAR44"/>
    <mergeCell ref="XBB44:XBD44"/>
    <mergeCell ref="XBJ44:XBK44"/>
    <mergeCell ref="XBL44:XBM44"/>
    <mergeCell ref="XBN44:XBO44"/>
    <mergeCell ref="XBY44:XCA44"/>
    <mergeCell ref="XCG44:XCH44"/>
    <mergeCell ref="XCI44:XCJ44"/>
    <mergeCell ref="XCK44:XCL44"/>
    <mergeCell ref="WYU44:WYV44"/>
    <mergeCell ref="WYW44:WYX44"/>
    <mergeCell ref="WUH44:WUI44"/>
    <mergeCell ref="WUJ44:WUK44"/>
    <mergeCell ref="WUL44:WUM44"/>
    <mergeCell ref="WQV44:WQW44"/>
    <mergeCell ref="WQX44:WQY44"/>
  </mergeCells>
  <conditionalFormatting sqref="K15:L60 K62:L65 K67:L70">
    <cfRule type="containsText" dxfId="11" priority="7" stopIfTrue="1" operator="containsText" text="R">
      <formula>NOT(ISERROR(SEARCH("R",K15)))</formula>
    </cfRule>
    <cfRule type="containsText" dxfId="10" priority="8" stopIfTrue="1" operator="containsText" text="E">
      <formula>NOT(ISERROR(SEARCH("E",K15)))</formula>
    </cfRule>
    <cfRule type="containsText" dxfId="9" priority="9" stopIfTrue="1" operator="containsText" text="P">
      <formula>NOT(ISERROR(SEARCH("P",K15)))</formula>
    </cfRule>
  </conditionalFormatting>
  <conditionalFormatting sqref="AG44:AH44 BD44:BE44 CA44:CB44 CX44:CY44 DU44:DV44 ER44:ES44 FO44:FP44 GL44:GM44 HI44:HJ44 IF44:IG44 JC44:JD44 JZ44:KA44 KW44:KX44 LT44:LU44 MQ44:MR44 NN44:NO44 OK44:OL44 PH44:PI44 QE44:QF44 RB44:RC44 RY44:RZ44 SV44:SW44 TS44:TT44 UP44:UQ44 VM44:VN44 WJ44:WK44 XG44:XH44 YD44:YE44 ZA44:ZB44 ZX44:ZY44 AAU44:AAV44 ABR44:ABS44 ACO44:ACP44 ADL44:ADM44 AEI44:AEJ44 AFF44:AFG44 AGC44:AGD44 AGZ44:AHA44 AHW44:AHX44 AIT44:AIU44 AJQ44:AJR44 AKN44:AKO44 ALK44:ALL44 AMH44:AMI44 ANE44:ANF44 AOB44:AOC44 AOY44:AOZ44 APV44:APW44 AQS44:AQT44 ARP44:ARQ44 ASM44:ASN44 ATJ44:ATK44 AUG44:AUH44 AVD44:AVE44 AWA44:AWB44 AWX44:AWY44 AXU44:AXV44 AYR44:AYS44 AZO44:AZP44 BAL44:BAM44 BBI44:BBJ44 BCF44:BCG44 BDC44:BDD44 BDZ44:BEA44 BEW44:BEX44 BFT44:BFU44 BGQ44:BGR44 BHN44:BHO44 BIK44:BIL44 BJH44:BJI44 BKE44:BKF44 BLB44:BLC44 BLY44:BLZ44 BMV44:BMW44 BNS44:BNT44 BOP44:BOQ44 BPM44:BPN44 BQJ44:BQK44 BRG44:BRH44 BSD44:BSE44 BTA44:BTB44 BTX44:BTY44 BUU44:BUV44 BVR44:BVS44 BWO44:BWP44 BXL44:BXM44 BYI44:BYJ44 BZF44:BZG44 CAC44:CAD44 CAZ44:CBA44 CBW44:CBX44 CCT44:CCU44 CDQ44:CDR44 CEN44:CEO44 CFK44:CFL44 CGH44:CGI44 CHE44:CHF44 CIB44:CIC44 CIY44:CIZ44 CJV44:CJW44 CKS44:CKT44 CLP44:CLQ44 CMM44:CMN44 CNJ44:CNK44 COG44:COH44 CPD44:CPE44 CQA44:CQB44 CQX44:CQY44 CRU44:CRV44 CSR44:CSS44 CTO44:CTP44 CUL44:CUM44 CVI44:CVJ44 CWF44:CWG44 CXC44:CXD44 CXZ44:CYA44 CYW44:CYX44 CZT44:CZU44 DAQ44:DAR44 DBN44:DBO44 DCK44:DCL44 DDH44:DDI44 DEE44:DEF44 DFB44:DFC44 DFY44:DFZ44 DGV44:DGW44 DHS44:DHT44 DIP44:DIQ44 DJM44:DJN44 DKJ44:DKK44 DLG44:DLH44 DMD44:DME44 DNA44:DNB44 DNX44:DNY44 DOU44:DOV44 DPR44:DPS44 DQO44:DQP44 DRL44:DRM44 DSI44:DSJ44 DTF44:DTG44 DUC44:DUD44 DUZ44:DVA44 DVW44:DVX44 DWT44:DWU44 DXQ44:DXR44 DYN44:DYO44 DZK44:DZL44 EAH44:EAI44 EBE44:EBF44 ECB44:ECC44 ECY44:ECZ44 EDV44:EDW44 EES44:EET44 EFP44:EFQ44 EGM44:EGN44 EHJ44:EHK44 EIG44:EIH44 EJD44:EJE44 EKA44:EKB44 EKX44:EKY44 ELU44:ELV44 EMR44:EMS44 ENO44:ENP44 EOL44:EOM44 EPI44:EPJ44 EQF44:EQG44 ERC44:ERD44 ERZ44:ESA44 ESW44:ESX44 ETT44:ETU44 EUQ44:EUR44 EVN44:EVO44 EWK44:EWL44 EXH44:EXI44 EYE44:EYF44 EZB44:EZC44 EZY44:EZZ44 FAV44:FAW44 FBS44:FBT44 FCP44:FCQ44 FDM44:FDN44 FEJ44:FEK44 FFG44:FFH44 FGD44:FGE44 FHA44:FHB44 FHX44:FHY44 FIU44:FIV44 FJR44:FJS44 FKO44:FKP44 FLL44:FLM44 FMI44:FMJ44 FNF44:FNG44 FOC44:FOD44 FOZ44:FPA44 FPW44:FPX44 FQT44:FQU44 FRQ44:FRR44 FSN44:FSO44 FTK44:FTL44 FUH44:FUI44 FVE44:FVF44 FWB44:FWC44 FWY44:FWZ44 FXV44:FXW44 FYS44:FYT44 FZP44:FZQ44 GAM44:GAN44 GBJ44:GBK44 GCG44:GCH44 GDD44:GDE44 GEA44:GEB44 GEX44:GEY44 GFU44:GFV44 GGR44:GGS44 GHO44:GHP44 GIL44:GIM44 GJI44:GJJ44 GKF44:GKG44 GLC44:GLD44 GLZ44:GMA44 GMW44:GMX44 GNT44:GNU44 GOQ44:GOR44 GPN44:GPO44 GQK44:GQL44 GRH44:GRI44 GSE44:GSF44 GTB44:GTC44 GTY44:GTZ44 GUV44:GUW44 GVS44:GVT44 GWP44:GWQ44 GXM44:GXN44 GYJ44:GYK44 GZG44:GZH44 HAD44:HAE44 HBA44:HBB44 HBX44:HBY44 HCU44:HCV44 HDR44:HDS44 HEO44:HEP44 HFL44:HFM44 HGI44:HGJ44 HHF44:HHG44 HIC44:HID44 HIZ44:HJA44 HJW44:HJX44 HKT44:HKU44 HLQ44:HLR44 HMN44:HMO44 HNK44:HNL44 HOH44:HOI44 HPE44:HPF44 HQB44:HQC44 HQY44:HQZ44 HRV44:HRW44 HSS44:HST44 HTP44:HTQ44 HUM44:HUN44 HVJ44:HVK44 HWG44:HWH44 HXD44:HXE44 HYA44:HYB44 HYX44:HYY44 HZU44:HZV44 IAR44:IAS44 IBO44:IBP44 ICL44:ICM44 IDI44:IDJ44 IEF44:IEG44 IFC44:IFD44 IFZ44:IGA44 IGW44:IGX44 IHT44:IHU44 IIQ44:IIR44 IJN44:IJO44 IKK44:IKL44 ILH44:ILI44 IME44:IMF44 INB44:INC44 INY44:INZ44 IOV44:IOW44 IPS44:IPT44 IQP44:IQQ44 IRM44:IRN44 ISJ44:ISK44 ITG44:ITH44 IUD44:IUE44 IVA44:IVB44 IVX44:IVY44 IWU44:IWV44 IXR44:IXS44 IYO44:IYP44 IZL44:IZM44 JAI44:JAJ44 JBF44:JBG44 JCC44:JCD44 JCZ44:JDA44 JDW44:JDX44 JET44:JEU44 JFQ44:JFR44 JGN44:JGO44 JHK44:JHL44 JIH44:JII44 JJE44:JJF44 JKB44:JKC44 JKY44:JKZ44 JLV44:JLW44 JMS44:JMT44 JNP44:JNQ44 JOM44:JON44 JPJ44:JPK44 JQG44:JQH44 JRD44:JRE44 JSA44:JSB44 JSX44:JSY44 JTU44:JTV44 JUR44:JUS44 JVO44:JVP44 JWL44:JWM44 JXI44:JXJ44 JYF44:JYG44 JZC44:JZD44 JZZ44:KAA44 KAW44:KAX44 KBT44:KBU44 KCQ44:KCR44 KDN44:KDO44 KEK44:KEL44 KFH44:KFI44 KGE44:KGF44 KHB44:KHC44 KHY44:KHZ44 KIV44:KIW44 KJS44:KJT44 KKP44:KKQ44 KLM44:KLN44 KMJ44:KMK44 KNG44:KNH44 KOD44:KOE44 KPA44:KPB44 KPX44:KPY44 KQU44:KQV44 KRR44:KRS44 KSO44:KSP44 KTL44:KTM44 KUI44:KUJ44 KVF44:KVG44 KWC44:KWD44 KWZ44:KXA44 KXW44:KXX44 KYT44:KYU44 KZQ44:KZR44 LAN44:LAO44 LBK44:LBL44 LCH44:LCI44 LDE44:LDF44 LEB44:LEC44 LEY44:LEZ44 LFV44:LFW44 LGS44:LGT44 LHP44:LHQ44 LIM44:LIN44 LJJ44:LJK44 LKG44:LKH44 LLD44:LLE44 LMA44:LMB44 LMX44:LMY44 LNU44:LNV44 LOR44:LOS44 LPO44:LPP44 LQL44:LQM44 LRI44:LRJ44 LSF44:LSG44 LTC44:LTD44 LTZ44:LUA44 LUW44:LUX44 LVT44:LVU44 LWQ44:LWR44 LXN44:LXO44 LYK44:LYL44 LZH44:LZI44 MAE44:MAF44 MBB44:MBC44 MBY44:MBZ44 MCV44:MCW44 MDS44:MDT44 MEP44:MEQ44 MFM44:MFN44 MGJ44:MGK44 MHG44:MHH44 MID44:MIE44 MJA44:MJB44 MJX44:MJY44 MKU44:MKV44 MLR44:MLS44 MMO44:MMP44 MNL44:MNM44 MOI44:MOJ44 MPF44:MPG44 MQC44:MQD44 MQZ44:MRA44 MRW44:MRX44 MST44:MSU44 MTQ44:MTR44 MUN44:MUO44 MVK44:MVL44 MWH44:MWI44 MXE44:MXF44 MYB44:MYC44 MYY44:MYZ44 MZV44:MZW44 NAS44:NAT44 NBP44:NBQ44 NCM44:NCN44 NDJ44:NDK44 NEG44:NEH44 NFD44:NFE44 NGA44:NGB44 NGX44:NGY44 NHU44:NHV44 NIR44:NIS44 NJO44:NJP44 NKL44:NKM44 NLI44:NLJ44 NMF44:NMG44 NNC44:NND44 NNZ44:NOA44 NOW44:NOX44 NPT44:NPU44 NQQ44:NQR44 NRN44:NRO44 NSK44:NSL44 NTH44:NTI44 NUE44:NUF44 NVB44:NVC44 NVY44:NVZ44 NWV44:NWW44 NXS44:NXT44 NYP44:NYQ44 NZM44:NZN44 OAJ44:OAK44 OBG44:OBH44 OCD44:OCE44 ODA44:ODB44 ODX44:ODY44 OEU44:OEV44 OFR44:OFS44 OGO44:OGP44 OHL44:OHM44 OII44:OIJ44 OJF44:OJG44 OKC44:OKD44 OKZ44:OLA44 OLW44:OLX44 OMT44:OMU44 ONQ44:ONR44 OON44:OOO44 OPK44:OPL44 OQH44:OQI44 ORE44:ORF44 OSB44:OSC44 OSY44:OSZ44 OTV44:OTW44 OUS44:OUT44 OVP44:OVQ44 OWM44:OWN44 OXJ44:OXK44 OYG44:OYH44 OZD44:OZE44 PAA44:PAB44 PAX44:PAY44 PBU44:PBV44 PCR44:PCS44 PDO44:PDP44 PEL44:PEM44 PFI44:PFJ44 PGF44:PGG44 PHC44:PHD44 PHZ44:PIA44 PIW44:PIX44 PJT44:PJU44 PKQ44:PKR44 PLN44:PLO44 PMK44:PML44 PNH44:PNI44 POE44:POF44 PPB44:PPC44 PPY44:PPZ44 PQV44:PQW44 PRS44:PRT44 PSP44:PSQ44 PTM44:PTN44 PUJ44:PUK44 PVG44:PVH44 PWD44:PWE44 PXA44:PXB44 PXX44:PXY44 PYU44:PYV44 PZR44:PZS44 QAO44:QAP44 QBL44:QBM44 QCI44:QCJ44 QDF44:QDG44 QEC44:QED44 QEZ44:QFA44 QFW44:QFX44 QGT44:QGU44 QHQ44:QHR44 QIN44:QIO44 QJK44:QJL44 QKH44:QKI44 QLE44:QLF44 QMB44:QMC44 QMY44:QMZ44 QNV44:QNW44 QOS44:QOT44 QPP44:QPQ44 QQM44:QQN44 QRJ44:QRK44 QSG44:QSH44 QTD44:QTE44 QUA44:QUB44 QUX44:QUY44 QVU44:QVV44 QWR44:QWS44 QXO44:QXP44 QYL44:QYM44 QZI44:QZJ44 RAF44:RAG44 RBC44:RBD44 RBZ44:RCA44 RCW44:RCX44 RDT44:RDU44 REQ44:RER44 RFN44:RFO44 RGK44:RGL44 RHH44:RHI44 RIE44:RIF44 RJB44:RJC44 RJY44:RJZ44 RKV44:RKW44 RLS44:RLT44 RMP44:RMQ44 RNM44:RNN44 ROJ44:ROK44 RPG44:RPH44 RQD44:RQE44 RRA44:RRB44 RRX44:RRY44 RSU44:RSV44 RTR44:RTS44 RUO44:RUP44 RVL44:RVM44 RWI44:RWJ44 RXF44:RXG44 RYC44:RYD44 RYZ44:RZA44 RZW44:RZX44 SAT44:SAU44 SBQ44:SBR44 SCN44:SCO44 SDK44:SDL44 SEH44:SEI44 SFE44:SFF44 SGB44:SGC44 SGY44:SGZ44 SHV44:SHW44 SIS44:SIT44 SJP44:SJQ44 SKM44:SKN44 SLJ44:SLK44 SMG44:SMH44 SND44:SNE44 SOA44:SOB44 SOX44:SOY44 SPU44:SPV44 SQR44:SQS44 SRO44:SRP44 SSL44:SSM44 STI44:STJ44 SUF44:SUG44 SVC44:SVD44 SVZ44:SWA44 SWW44:SWX44 SXT44:SXU44 SYQ44:SYR44 SZN44:SZO44 TAK44:TAL44 TBH44:TBI44 TCE44:TCF44 TDB44:TDC44 TDY44:TDZ44 TEV44:TEW44 TFS44:TFT44 TGP44:TGQ44 THM44:THN44 TIJ44:TIK44 TJG44:TJH44 TKD44:TKE44 TLA44:TLB44 TLX44:TLY44 TMU44:TMV44 TNR44:TNS44 TOO44:TOP44 TPL44:TPM44 TQI44:TQJ44 TRF44:TRG44 TSC44:TSD44 TSZ44:TTA44 TTW44:TTX44 TUT44:TUU44 TVQ44:TVR44 TWN44:TWO44 TXK44:TXL44 TYH44:TYI44 TZE44:TZF44 UAB44:UAC44 UAY44:UAZ44 UBV44:UBW44 UCS44:UCT44 UDP44:UDQ44 UEM44:UEN44 UFJ44:UFK44 UGG44:UGH44 UHD44:UHE44 UIA44:UIB44 UIX44:UIY44 UJU44:UJV44 UKR44:UKS44 ULO44:ULP44 UML44:UMM44 UNI44:UNJ44 UOF44:UOG44 UPC44:UPD44 UPZ44:UQA44 UQW44:UQX44 URT44:URU44 USQ44:USR44 UTN44:UTO44 UUK44:UUL44 UVH44:UVI44 UWE44:UWF44 UXB44:UXC44 UXY44:UXZ44 UYV44:UYW44 UZS44:UZT44 VAP44:VAQ44 VBM44:VBN44 VCJ44:VCK44 VDG44:VDH44 VED44:VEE44 VFA44:VFB44 VFX44:VFY44 VGU44:VGV44 VHR44:VHS44 VIO44:VIP44 VJL44:VJM44 VKI44:VKJ44 VLF44:VLG44 VMC44:VMD44 VMZ44:VNA44 VNW44:VNX44 VOT44:VOU44 VPQ44:VPR44 VQN44:VQO44 VRK44:VRL44 VSH44:VSI44 VTE44:VTF44 VUB44:VUC44 VUY44:VUZ44 VVV44:VVW44 VWS44:VWT44 VXP44:VXQ44 VYM44:VYN44 VZJ44:VZK44 WAG44:WAH44 WBD44:WBE44 WCA44:WCB44 WCX44:WCY44 WDU44:WDV44 WER44:WES44 WFO44:WFP44 WGL44:WGM44 WHI44:WHJ44 WIF44:WIG44 WJC44:WJD44 WJZ44:WKA44 WKW44:WKX44 WLT44:WLU44 WMQ44:WMR44 WNN44:WNO44 WOK44:WOL44 WPH44:WPI44 WQE44:WQF44 WRB44:WRC44 WRY44:WRZ44 WSV44:WSW44 WTS44:WTT44 WUP44:WUQ44 WVM44:WVN44 WWJ44:WWK44 WXG44:WXH44 WYD44:WYE44 WZA44:WZB44 WZX44:WZY44 XAU44:XAV44 XBR44:XBS44 XCO44:XCP44 XDL44:XDM44 XEI44:XEJ44">
    <cfRule type="containsText" dxfId="8" priority="103" stopIfTrue="1" operator="containsText" text="R">
      <formula>NOT(ISERROR(SEARCH("R",AG44)))</formula>
    </cfRule>
    <cfRule type="containsText" dxfId="7" priority="104" stopIfTrue="1" operator="containsText" text="E">
      <formula>NOT(ISERROR(SEARCH("E",AG44)))</formula>
    </cfRule>
    <cfRule type="containsText" dxfId="6" priority="105" stopIfTrue="1" operator="containsText" text="P">
      <formula>NOT(ISERROR(SEARCH("P",AG44)))</formula>
    </cfRule>
  </conditionalFormatting>
  <conditionalFormatting sqref="K61:L61">
    <cfRule type="containsText" dxfId="5" priority="4" stopIfTrue="1" operator="containsText" text="R">
      <formula>NOT(ISERROR(SEARCH("R",K61)))</formula>
    </cfRule>
    <cfRule type="containsText" dxfId="4" priority="5" stopIfTrue="1" operator="containsText" text="E">
      <formula>NOT(ISERROR(SEARCH("E",K61)))</formula>
    </cfRule>
    <cfRule type="containsText" dxfId="3" priority="6" stopIfTrue="1" operator="containsText" text="P">
      <formula>NOT(ISERROR(SEARCH("P",K61)))</formula>
    </cfRule>
  </conditionalFormatting>
  <conditionalFormatting sqref="K66:L66">
    <cfRule type="containsText" dxfId="2" priority="1" stopIfTrue="1" operator="containsText" text="R">
      <formula>NOT(ISERROR(SEARCH("R",K66)))</formula>
    </cfRule>
    <cfRule type="containsText" dxfId="1" priority="2" stopIfTrue="1" operator="containsText" text="E">
      <formula>NOT(ISERROR(SEARCH("E",K66)))</formula>
    </cfRule>
    <cfRule type="containsText" dxfId="0" priority="3" stopIfTrue="1" operator="containsText" text="P">
      <formula>NOT(ISERROR(SEARCH("P",K66)))</formula>
    </cfRule>
  </conditionalFormatting>
  <dataValidations count="7">
    <dataValidation type="list" allowBlank="1" showInputMessage="1" showErrorMessage="1" sqref="M44 I61 I44 M54:M56 M63:M69 I38:I41 I35 M35 M15:M33 I15:I33 M47:M48 I63:I69 I47:I48 I54:I56 M61 M38">
      <formula1>$W$264:$W$275</formula1>
    </dataValidation>
    <dataValidation type="list" allowBlank="1" showInputMessage="1" showErrorMessage="1" sqref="M36 I36 I34 M34">
      <formula1>$W$266:$W$277</formula1>
    </dataValidation>
    <dataValidation type="list" allowBlank="1" showInputMessage="1" showErrorMessage="1" sqref="M49:M50 I42:I43 I49:I50 I37 M37 M39:M43">
      <formula1>$W$265:$W$276</formula1>
    </dataValidation>
    <dataValidation type="list" allowBlank="1" showInputMessage="1" showErrorMessage="1" sqref="M51:M53 I51:I53 M57 I57">
      <formula1>$W$267:$W$278</formula1>
    </dataValidation>
    <dataValidation type="list" allowBlank="1" showInputMessage="1" showErrorMessage="1" sqref="M45:M46 M62 I45:I46 M58:M60 I58:I60 I62">
      <formula1>$W$268:$W$279</formula1>
    </dataValidation>
    <dataValidation type="list" allowBlank="1" showInputMessage="1" showErrorMessage="1" sqref="I70 M70">
      <formula1>#REF!</formula1>
    </dataValidation>
    <dataValidation type="list" allowBlank="1" showInputMessage="1" showErrorMessage="1" sqref="J70 N70:Q70">
      <formula1>$X$13:$X$71</formula1>
    </dataValidation>
  </dataValidations>
  <hyperlinks>
    <hyperlink ref="R18" r:id="rId1"/>
    <hyperlink ref="R41" r:id="rId2"/>
    <hyperlink ref="R48" r:id="rId3"/>
    <hyperlink ref="R44" r:id="rId4"/>
    <hyperlink ref="R29" r:id="rId5"/>
    <hyperlink ref="R35" r:id="rId6"/>
    <hyperlink ref="R33" r:id="rId7"/>
  </hyperlinks>
  <pageMargins left="0.7" right="0.7" top="0.75" bottom="0.75" header="0.3" footer="0.3"/>
  <pageSetup orientation="portrait" r:id="rId8"/>
  <drawing r:id="rId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57021CD53DF5D4C82D999B0A9258347" ma:contentTypeVersion="0" ma:contentTypeDescription="Crear nuevo documento." ma:contentTypeScope="" ma:versionID="fc600db9f536533e8d2f945636ed5275">
  <xsd:schema xmlns:xsd="http://www.w3.org/2001/XMLSchema" xmlns:xs="http://www.w3.org/2001/XMLSchema" xmlns:p="http://schemas.microsoft.com/office/2006/metadata/properties" targetNamespace="http://schemas.microsoft.com/office/2006/metadata/properties" ma:root="true" ma:fieldsID="26ff3a126252e742cc2543983a566b0e">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2CBB848-B72D-4A9A-A887-E3A21D966536}"/>
</file>

<file path=customXml/itemProps2.xml><?xml version="1.0" encoding="utf-8"?>
<ds:datastoreItem xmlns:ds="http://schemas.openxmlformats.org/officeDocument/2006/customXml" ds:itemID="{A0E3E895-D565-4B7F-B591-B06CB87E8EB0}"/>
</file>

<file path=customXml/itemProps3.xml><?xml version="1.0" encoding="utf-8"?>
<ds:datastoreItem xmlns:ds="http://schemas.openxmlformats.org/officeDocument/2006/customXml" ds:itemID="{577CBC92-4B95-4EFE-9C1E-98CD45EB22E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CRONOGRAMA 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Heisa Buelvas</dc:creator>
  <cp:lastModifiedBy>GESTION HUMANA</cp:lastModifiedBy>
  <cp:lastPrinted>2023-09-28T19:30:26Z</cp:lastPrinted>
  <dcterms:created xsi:type="dcterms:W3CDTF">2009-01-29T13:27:41Z</dcterms:created>
  <dcterms:modified xsi:type="dcterms:W3CDTF">2025-01-15T16:55:16Z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0x010100457021CD53DF5D4C82D999B0A9258347</vt:lpwstr>
  </property>
  <property fmtid="{D5CDD505-2E9C-101B-9397-08002B2CF9AE}" pid="3" name="Order">
    <vt:r8>54300</vt:r8>
  </property>
  <property fmtid="{D5CDD505-2E9C-101B-9397-08002B2CF9AE}" pid="4" name="xd_Signature">
    <vt:bool>false</vt:bool>
  </property>
  <property fmtid="{D5CDD505-2E9C-101B-9397-08002B2CF9AE}" pid="5" name="_ExtendedDescription">
    <vt:lpwstr/>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ies>
</file>