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10.10.50.91\calidad biosteel\SISTEMA DE GESTION DE CALIDAD\1. CALIDAD\3. CRONOGRAMA DE CAPACITACIONES\"/>
    </mc:Choice>
  </mc:AlternateContent>
  <bookViews>
    <workbookView showHorizontalScroll="0" showVerticalScroll="0" showSheetTabs="0" xWindow="0" yWindow="0" windowWidth="28800" windowHeight="12330" tabRatio="843"/>
  </bookViews>
  <sheets>
    <sheet name="CRONOGRAMA 2023" sheetId="15" r:id="rId1"/>
  </sheets>
  <definedNames>
    <definedName name="_xlnm._FilterDatabase" localSheetId="0" hidden="1">'CRONOGRAMA 2023'!$A$14:$X$84</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08" i="15" l="1"/>
  <c r="I108" i="15"/>
  <c r="J108" i="15"/>
  <c r="E116" i="15"/>
  <c r="D116" i="15"/>
  <c r="E115" i="15"/>
  <c r="D115" i="15"/>
  <c r="E114" i="15"/>
  <c r="D114" i="15"/>
  <c r="E110" i="15"/>
  <c r="E109" i="15"/>
  <c r="D110" i="15"/>
  <c r="E113" i="15"/>
  <c r="D113" i="15"/>
  <c r="E112" i="15"/>
  <c r="D112" i="15"/>
  <c r="E111" i="15"/>
  <c r="D111" i="15"/>
  <c r="D97" i="15"/>
  <c r="D92" i="15"/>
  <c r="D109" i="15"/>
  <c r="E108" i="15"/>
  <c r="D108" i="15"/>
  <c r="I120" i="15" l="1"/>
  <c r="D94" i="15"/>
  <c r="E90" i="15" l="1"/>
  <c r="E91" i="15"/>
  <c r="D90" i="15"/>
  <c r="D91" i="15"/>
  <c r="E96" i="15"/>
  <c r="D96" i="15"/>
  <c r="E95" i="15"/>
  <c r="D95" i="15"/>
  <c r="E94" i="15"/>
  <c r="E92" i="15"/>
  <c r="E93" i="15"/>
  <c r="H95" i="15" l="1"/>
  <c r="I89" i="15"/>
  <c r="F89" i="15"/>
  <c r="H89" i="15"/>
  <c r="K119" i="15"/>
  <c r="K118" i="15"/>
  <c r="K117" i="15"/>
  <c r="K116" i="15"/>
  <c r="K115" i="15"/>
  <c r="K114" i="15"/>
  <c r="K113" i="15"/>
  <c r="K112" i="15"/>
  <c r="K111" i="15"/>
  <c r="K110" i="15"/>
  <c r="E100" i="15"/>
  <c r="E99" i="15"/>
  <c r="E98" i="15"/>
  <c r="E97" i="15"/>
  <c r="D100" i="15"/>
  <c r="D99" i="15"/>
  <c r="D98" i="15"/>
  <c r="D93" i="15"/>
  <c r="J89" i="15" l="1"/>
  <c r="H92" i="15"/>
  <c r="F97" i="15"/>
  <c r="F96" i="15"/>
  <c r="E120" i="15"/>
  <c r="F91" i="15"/>
  <c r="K120" i="15"/>
  <c r="I98" i="15"/>
  <c r="F90" i="15"/>
  <c r="I95" i="15"/>
  <c r="H98" i="15"/>
  <c r="I92" i="15"/>
  <c r="F99" i="15"/>
  <c r="F100" i="15"/>
  <c r="F92" i="15"/>
  <c r="F93" i="15"/>
  <c r="F95" i="15"/>
  <c r="F98" i="15"/>
  <c r="F94" i="15"/>
  <c r="D120" i="15" l="1"/>
  <c r="J95" i="15"/>
  <c r="J98" i="15"/>
  <c r="J92" i="15"/>
</calcChain>
</file>

<file path=xl/sharedStrings.xml><?xml version="1.0" encoding="utf-8"?>
<sst xmlns="http://schemas.openxmlformats.org/spreadsheetml/2006/main" count="628" uniqueCount="224">
  <si>
    <t>RECURSOS</t>
  </si>
  <si>
    <t>OBJETIVO</t>
  </si>
  <si>
    <t>ALCANCE</t>
  </si>
  <si>
    <t>P</t>
  </si>
  <si>
    <t>E</t>
  </si>
  <si>
    <t>RESPONSABLE</t>
  </si>
  <si>
    <t>DESCRIPCIÓN DE  ACTIVIDADES</t>
  </si>
  <si>
    <t>ESTADO</t>
  </si>
  <si>
    <t>FECHA ULTIMA ACTUALIZACION</t>
  </si>
  <si>
    <t>MES</t>
  </si>
  <si>
    <t>DIA</t>
  </si>
  <si>
    <t>CARGO</t>
  </si>
  <si>
    <t>OBSERVACIONES</t>
  </si>
  <si>
    <t>ENERO</t>
  </si>
  <si>
    <t>FEBRERO</t>
  </si>
  <si>
    <t>MARZO</t>
  </si>
  <si>
    <t>ABRIL</t>
  </si>
  <si>
    <t>MAYO</t>
  </si>
  <si>
    <t>JUNIO</t>
  </si>
  <si>
    <t>JULIO</t>
  </si>
  <si>
    <t>AGOSTO</t>
  </si>
  <si>
    <t>SEPTIEMBRE</t>
  </si>
  <si>
    <t>OCTUBRE</t>
  </si>
  <si>
    <t>NOVIEMBRE</t>
  </si>
  <si>
    <t>DICIEMBRE</t>
  </si>
  <si>
    <t>DIRIGIDO POR:</t>
  </si>
  <si>
    <t>DIRIGIDO A:</t>
  </si>
  <si>
    <t>PROGRAMACION</t>
  </si>
  <si>
    <t xml:space="preserve">FECHA ESTIMADA </t>
  </si>
  <si>
    <t>FECHA REAL</t>
  </si>
  <si>
    <t>%CUMPL</t>
  </si>
  <si>
    <t>TRIMESTRE</t>
  </si>
  <si>
    <t>PROGRAMADAS</t>
  </si>
  <si>
    <t>EJECUTADAS</t>
  </si>
  <si>
    <t>PRIMERO</t>
  </si>
  <si>
    <t>SEGUNDO</t>
  </si>
  <si>
    <t>TERCERO</t>
  </si>
  <si>
    <t>CUARTO</t>
  </si>
  <si>
    <t>LOGO</t>
  </si>
  <si>
    <t>CRONONOGRAMA 2023</t>
  </si>
  <si>
    <t>Recursos
Asesores Externos Especialistas 
Computador Portátil y Proyector
Impresoras Para Imprimir Formatos De Asistencias y Evaluaciones
Espacio y Tiempo para impartir Tematicas</t>
  </si>
  <si>
    <t>CAPACITACION</t>
  </si>
  <si>
    <t xml:space="preserve">SEGUROS DE VIDA </t>
  </si>
  <si>
    <t>LIDERES</t>
  </si>
  <si>
    <t>ERICKA</t>
  </si>
  <si>
    <t>METODOLOGIA</t>
  </si>
  <si>
    <t>PRESENCIAL</t>
  </si>
  <si>
    <t>VIRTUAL</t>
  </si>
  <si>
    <t>TOTAL</t>
  </si>
  <si>
    <t xml:space="preserve">SISTEMA </t>
  </si>
  <si>
    <t>SGC</t>
  </si>
  <si>
    <t>SISTEMA DE GESTION</t>
  </si>
  <si>
    <t>SST</t>
  </si>
  <si>
    <t>INVIMA</t>
  </si>
  <si>
    <t xml:space="preserve">DATOS TRIMESTRAL INDICADORES </t>
  </si>
  <si>
    <t xml:space="preserve">DATOS MENSUAL INDICADORES </t>
  </si>
  <si>
    <t>Fecha de elaboración:                                                                                       
01 De Agosto 2023</t>
  </si>
  <si>
    <t xml:space="preserve">Fecha Aprobación:                                                                                01 De Agosto 2023                                                                                                                                                     </t>
  </si>
  <si>
    <t>Versión: 01</t>
  </si>
  <si>
    <t>Pagina: 0 de 1</t>
  </si>
  <si>
    <t>LIDER DE GESTION HUMANA</t>
  </si>
  <si>
    <t>HEISA BUELVAS</t>
  </si>
  <si>
    <t>Codigo : FOR-GH-031</t>
  </si>
  <si>
    <t>CRONOGRAMA DE CAPACITACIÓN Y ENTRENAMIENTO</t>
  </si>
  <si>
    <t>Proporsionar a los colaboradores para la mejora, actualizacion y fortalecimiento de conocimiento requerido  para la ejecución de sus funciones,ademas de concientizar e implementar los sistemas de gestion SGC-SGSST.</t>
  </si>
  <si>
    <t>El presente cronograma tiene alcance a  todos los colaboradores de BIOSTEEL DE COLOMBIA S.A., tanto del procesos  administrativa y asistenciales,  Se asegurará que todas las capacitaciones o instrucciones sean coherentes con las competencias requeridas para el desempeño laboral de los colaboradores de la empresa.</t>
  </si>
  <si>
    <t xml:space="preserve">BRIGADA DE SALUD </t>
  </si>
  <si>
    <t xml:space="preserve">ANDRES QUINTERO </t>
  </si>
  <si>
    <t>SGSST</t>
  </si>
  <si>
    <t xml:space="preserve">TECNOVIGILANCIA </t>
  </si>
  <si>
    <t xml:space="preserve">COORDINADORAS </t>
  </si>
  <si>
    <t xml:space="preserve">INVIMA </t>
  </si>
  <si>
    <t xml:space="preserve"> CLAVO CEFALOMEDULAR </t>
  </si>
  <si>
    <t xml:space="preserve">ASISTENCIA TECNICA </t>
  </si>
  <si>
    <t xml:space="preserve">GIOVANNI JARAMILLO </t>
  </si>
  <si>
    <t xml:space="preserve">COMITÉ PARITARIO DEL SISTEMA DE GESTIÓN DE SEGURIDAD Y SALUD EN EL TRABAJO COPASST </t>
  </si>
  <si>
    <t xml:space="preserve">GESTION HUMANA </t>
  </si>
  <si>
    <t xml:space="preserve">ARL SURA </t>
  </si>
  <si>
    <t xml:space="preserve">IDENTIFICACIÓN DE PELIGROS, EVALUACIÓN, VALORACIÓN, CLASIFICACIÓN Y CONTROL DE RIESGOS LABORALES </t>
  </si>
  <si>
    <t xml:space="preserve">SEGURIDAD ALMACENAMIENTO Y BODEGAJE </t>
  </si>
  <si>
    <t xml:space="preserve">ALMACEN </t>
  </si>
  <si>
    <t xml:space="preserve">HABILIDADES PROFESIONALES </t>
  </si>
  <si>
    <t xml:space="preserve">CARLOS ANDRES MACHA </t>
  </si>
  <si>
    <t xml:space="preserve">POLITICAS DE SST </t>
  </si>
  <si>
    <t xml:space="preserve">HEISA BUELVAS </t>
  </si>
  <si>
    <t xml:space="preserve">CODIGO DE ETICA Y CONDUCTA </t>
  </si>
  <si>
    <t xml:space="preserve">POLITICA DE USO RESPONSABLE DEL CELULAR </t>
  </si>
  <si>
    <t xml:space="preserve">CLAVO CEFALOMEDULAR- CLAVO DE RECONSTRUCCION DE TIBIA </t>
  </si>
  <si>
    <t xml:space="preserve">MICHAEL CASIBLANCO </t>
  </si>
  <si>
    <t xml:space="preserve">POLITICA DE ALCOHOL Y NO A LAS DROGAS </t>
  </si>
  <si>
    <t>MARELVIS BASTIDAS</t>
  </si>
  <si>
    <t xml:space="preserve">PREVENCIÓN DE ACOSO LABORAL </t>
  </si>
  <si>
    <t xml:space="preserve">FINANCIAMIENTO FAMILIAR </t>
  </si>
  <si>
    <t xml:space="preserve">EJECUCIÓN DE PRESUPUESTO </t>
  </si>
  <si>
    <t xml:space="preserve">HABITOS FINANCIEROS POSITIVOS </t>
  </si>
  <si>
    <t xml:space="preserve">YEIMI ILIAS </t>
  </si>
  <si>
    <t xml:space="preserve">PRESENTACION PORTAFOLIO ABUMAC </t>
  </si>
  <si>
    <t xml:space="preserve">MIGUEL CARMONA </t>
  </si>
  <si>
    <t xml:space="preserve">JOSE ARRIETA </t>
  </si>
  <si>
    <t xml:space="preserve">MANEJO DE FORMATOS </t>
  </si>
  <si>
    <t xml:space="preserve">MANEJO DE FIRMA DIGITAL </t>
  </si>
  <si>
    <t>TAREK CASTAÑEDA</t>
  </si>
  <si>
    <t>CLAVO CEFALOMEDULAR</t>
  </si>
  <si>
    <t>EDGAR HERRERA</t>
  </si>
  <si>
    <t xml:space="preserve">ATENCIÓN AL CLIENTE </t>
  </si>
  <si>
    <t>STELLA SANCHEZ</t>
  </si>
  <si>
    <t>INDUCCION Y REINDUCCION SGS -SST</t>
  </si>
  <si>
    <t xml:space="preserve">HIGIENE POSTURAL </t>
  </si>
  <si>
    <t>SEMINARIO TRAUMA BASICO ORTOPEDIA I</t>
  </si>
  <si>
    <t xml:space="preserve">KEYLA PEREZ- JESNY LOMBO </t>
  </si>
  <si>
    <t>SACRILAFT</t>
  </si>
  <si>
    <t xml:space="preserve">RETENCION EN LA FUENTE </t>
  </si>
  <si>
    <t xml:space="preserve">CONTABILIDAD </t>
  </si>
  <si>
    <t>MARTHA OROZCO</t>
  </si>
  <si>
    <t xml:space="preserve">RED DE PROCESOS Y ORGANIGRAMA </t>
  </si>
  <si>
    <t xml:space="preserve">RETENCION NOTAS CREDITO IPS CALI </t>
  </si>
  <si>
    <t xml:space="preserve">FACTURACION </t>
  </si>
  <si>
    <t>JORGE GOMEZ</t>
  </si>
  <si>
    <t>LILIS</t>
  </si>
  <si>
    <t>PROCESO DE FACTURACION Y CONTABILIDAD</t>
  </si>
  <si>
    <t xml:space="preserve">MANUAL DE FUNCIONES </t>
  </si>
  <si>
    <t xml:space="preserve">NICOL ORTEGA </t>
  </si>
  <si>
    <t xml:space="preserve">ADMINISTRATIVO </t>
  </si>
  <si>
    <t xml:space="preserve">REINDUCCION DE INVENTARIO </t>
  </si>
  <si>
    <t xml:space="preserve">PAULA DE LEÓN </t>
  </si>
  <si>
    <t>INSTRUCTIVO DE SOLICITUDES</t>
  </si>
  <si>
    <t xml:space="preserve">PROCESO DE ALMACEN Y GESTION HUMANA </t>
  </si>
  <si>
    <t>JUAN GALVA</t>
  </si>
  <si>
    <t xml:space="preserve">VISION Y MISION </t>
  </si>
  <si>
    <t xml:space="preserve">TITANIO </t>
  </si>
  <si>
    <t xml:space="preserve">NATHALIE DONADO </t>
  </si>
  <si>
    <t xml:space="preserve">AUXILIAR DE COMPRAS, AUXILIAR CONTABLE. </t>
  </si>
  <si>
    <t xml:space="preserve">PROCESO DE LIMPIEZA Y DESINFECCION DE MATERIAL QUIRURGICO </t>
  </si>
  <si>
    <t>PLACA PHILOS- TORNILLOS MILAGRO TENA</t>
  </si>
  <si>
    <t>ASISTENCIA TECNICA CALI</t>
  </si>
  <si>
    <t>DIANA RAMIREZ</t>
  </si>
  <si>
    <t xml:space="preserve">INVENTARIO </t>
  </si>
  <si>
    <t xml:space="preserve">COMPRAS </t>
  </si>
  <si>
    <t>Generar espacios de reetroalimentacion de informacion general e importante de Biosteel de colombia SA.</t>
  </si>
  <si>
    <t>ASISTENCIA TECNICA/CALI</t>
  </si>
  <si>
    <t>CREACION DE GASTOS (RETROALIMENTACION)</t>
  </si>
  <si>
    <t xml:space="preserve">ASISTENCIA TECNICA/BARRANQUILLA </t>
  </si>
  <si>
    <t>FORTALECER  LAS ACTIVIDADES DE PROMOCIÓN, PREVENCIÓN CAPACITACIÓN Y ENTRENAMIENTO A COLABORADORES</t>
  </si>
  <si>
    <t>ACUSE DE RECIBIDO DE FACTURAS Y NOTAS CREDITO PLATAFORMA (TITANIO)</t>
  </si>
  <si>
    <t xml:space="preserve">MAXILO 1.3-1.6 RP DENTAL </t>
  </si>
  <si>
    <t xml:space="preserve">ASISTENCIA TECNICA CALI </t>
  </si>
  <si>
    <t>EDNA BOLAÑOS</t>
  </si>
  <si>
    <t>MANIFRAGMENTOS BIOART Y MAXILO</t>
  </si>
  <si>
    <t xml:space="preserve">ZHARICK PADILLA </t>
  </si>
  <si>
    <t xml:space="preserve">SEGURIDAD CIBERNETICA </t>
  </si>
  <si>
    <t>PROCESO DE ALMACEN, GESTION HUMANA, FACTURACION Y CONTABILIDAD</t>
  </si>
  <si>
    <t>Reetroalimentar al equipo de almacen sobre manejo de inventario y procesos a llevar acabo en Biosteel de colombia SA.</t>
  </si>
  <si>
    <t>Generar espacios de retroalimentacion sobre compras y sus procedimientos.</t>
  </si>
  <si>
    <t>Crear espacios socializadores en donde se genere nuevo conocimiento sobre el sistema de sacrilaft a los colaboradores de asistencia tecnica.</t>
  </si>
  <si>
    <t>Fomentar espacio de aprendizaje y retroalimentacion que permitan desarrollar ideas sobre la mision y vision de Biosteel de colombia SA.</t>
  </si>
  <si>
    <t>RIESGO</t>
  </si>
  <si>
    <t>Generar espacios de aprendizaje sobre consciencia del riesgo según la normatividad ISO 31000 ICONTEC</t>
  </si>
  <si>
    <t>JORGE POSADA</t>
  </si>
  <si>
    <t>PRE EVALUACION</t>
  </si>
  <si>
    <t>SI</t>
  </si>
  <si>
    <t>PROCESO DE ALMACEN, FACTURACION Y CONTABILIDAD</t>
  </si>
  <si>
    <t>PROCESO DE ALMACEN,  FACTURACION Y CONTABILIDAD</t>
  </si>
  <si>
    <t xml:space="preserve">Reforzar la comprensión de los conceptos básicos de la ciberseguridad, reconociendo y gestionando amenazas cibernéticas comunes, la protección de datos personales y el mejoramiento de la seguridad de sus contraseñas, mejorando así la protección de sus datos y contribución a la seguridad cibernética. </t>
  </si>
  <si>
    <t>Reforzar a los colaboradores, en los métodos, medios y tiempos estipulados para la realización de las solicitudes establecidas en Biosteel de Colombia s.a.</t>
  </si>
  <si>
    <t>Reforzar habilidades de los colaboradores para llevar a cabo firmas digitales en diversos entornos y plataformas, asegurando así un proceso efectivo.</t>
  </si>
  <si>
    <t>Reconocer, identificar y prevenir riesgos de higiene postural en las actividades diarias realizadas día a día por los colaboradores de Biosteel de Colombia SA.</t>
  </si>
  <si>
    <t>Lograr que todos los colaboradores adquieran el conocimiento necesario para distinguir las secciones editables y no editables en los formatos, lo que permitirá una utilización debida de los documentos de Biosteel de Colombia SA.</t>
  </si>
  <si>
    <t>Generar espacios de seguridad de la salud por medio de entidades como seguros bolívar; para brindar momentos de bienestar a los líderes de Biosteel de Colombia s.a.</t>
  </si>
  <si>
    <t>Agilizar los procesos referentes a facturación, tener un control y filtro de la información relacionada en las facturas de los proveedores.</t>
  </si>
  <si>
    <t>Comprender, identificar, evaluar, gestionar y divulgar eventos o incidentes adversos como consecuencia del uso de los dispositivos médicos del uso humano.</t>
  </si>
  <si>
    <t>Conocer e identificar las sedes y bodegas establecidas en la sede de Cali de Biosteel de Colombia S.A</t>
  </si>
  <si>
    <t>Conocer e identificar montaje de clavo cefalomedular y evaluar conocimientos adquiridos, dirigido a instrumentadores quirúrgicos.</t>
  </si>
  <si>
    <t>Identificación de los riesgos laborales dentro de la institución, establecer controles y prevención de aquellos riesgos encontrados y posibles riesgos.</t>
  </si>
  <si>
    <t>Conocer e identificar montaje de clavo cefalomedular y evaluar conocimientos adquiridos.</t>
  </si>
  <si>
    <t>Reforzar el cumplimiento de los distintos reglamentos de seguridad dependiendo en tipo de almacenamiento, regulando entre los flujos de entrada (stock) y salida.</t>
  </si>
  <si>
    <t xml:space="preserve">Motivar a los colaboradores en mejorar sus expectativas, progresar en sus aptitudes y buscar aumentar sus objetivos profesionales.   </t>
  </si>
  <si>
    <t>Transmitir a los colaboradores el objetivo de ética y conducta, estableciendo los marcos de valores, comportamientos deseables y correctos, direccionando el comportamiento de los colaboradores dentro y fuera de las instalaciones de la institución.</t>
  </si>
  <si>
    <t>Generar espacios de retroalimentación sobre temas como:  clavo cefalomedular y clavo de reconstrucción, a los asesores qx de Biosteel de Colombia SA.</t>
  </si>
  <si>
    <t>Brindar conocimiento de tareas, descripción de cargo y responsabilidad dentro del puesto.</t>
  </si>
  <si>
    <t>Generar espacios socializadores en donde se refuerce el conocimiento en el manejo de inventario a los colaboradores del proceso de almacén.</t>
  </si>
  <si>
    <t>Reforzar los procedimientos, utensilios, tiempos estipulados en la limpieza y desinfección del material quirúrgico.</t>
  </si>
  <si>
    <t>Crear nuevos hábitos de responsabilidad sobre el uso del celular, como herramienta de prevención, promoción y cuidado de lesiones o accidentes a los colaboradores de Biosteel de Colombia SA.</t>
  </si>
  <si>
    <t>Concientizar sobre el uso, consumo de drogas y alcohol, con el objetivo de minimizar los riesgos, brindando a los colaboradores el compromiso de un lugar de trabajo seguro y saludable.</t>
  </si>
  <si>
    <t>Brindar espacios que permitan socializar y concientizar   a los colaboradores sobre el entorno y conductas saludables dentro de la organización.</t>
  </si>
  <si>
    <t>Garantizar la identificación de peligros y riesgos estableciendo los respectivos controles, con el fin evitar y minimizar las enfermedades laborales, accidentes o lesiones personales en los colaboradores de Biosteel de Colombia SA.</t>
  </si>
  <si>
    <t>Definir e identificar tipos de fracturas, reconocer y aplicar instrumental básico en ortopedia con el fin de brindar soluciones rápidas.</t>
  </si>
  <si>
    <t>conocer e identificar montaje de clavo cefalomedular y evaluar conocimientos adquiridos a los asesores quirúrgicos de Biosteel de Colombia SA.</t>
  </si>
  <si>
    <t>Fomentar espacios de aprendizaje que permitan a los colaboradores obtener técnicas de control para sus finanzas personales.</t>
  </si>
  <si>
    <t>Conocer e identificar montaje de clavo cefalomedular y evaluar conocimientos adquiridos a los asesores quirúrgicos de Biosteel de Colombia SA sede de santa marta.</t>
  </si>
  <si>
    <t>Generar espacios de nuevas oportunidades a través del reconocimiento de nuevos proveedores y su portafolio de productos, líneas y/o ofertas.</t>
  </si>
  <si>
    <t>Identificar y clasificar modelos financieros, con el objetivo de mejorar las estrategias personales de las finanzas individuales de los colaboradores de Biosteel de Colombia SA.</t>
  </si>
  <si>
    <t>Socializar tips para la implementación del ahorro familiar a los colaboradores.</t>
  </si>
  <si>
    <t>Reforzar los conocimientos adquiridos, fortalecer los mecanismos de control y cruce de información.</t>
  </si>
  <si>
    <t>Fomentar espacios socializadores en donde se brinden nuevas estrategias, metodologías y reglas de la atención al cliente para los colaboradores de Biosteel de Colombia SA.</t>
  </si>
  <si>
    <t>Retroalimentar sobre el organigrama y red de procesos de Biosteel de Colombia SA.</t>
  </si>
  <si>
    <t>Retroalimentar al equipo de facturación sobre retención notas crédito de la ips Cali.</t>
  </si>
  <si>
    <t>Generar espacios de retroalimentación sobre acuse de recibido de facturas y notas créditos de la plataforma (titanio)</t>
  </si>
  <si>
    <t>Prevenir enfermedades mediante la información y chequeo rutinario, así como exámenes de toma de temperatura, presión arterial y scanner cuántico biométrico.</t>
  </si>
  <si>
    <t xml:space="preserve">Se realiza la capacitación de el sistema placa filos Advance con el fin de identificar los diferentes instrumentales y el nuevo aporte al implante como lo es la inyeccion de cemento en sus tornillos canulados, se espera que el personal logre identificar cada uno de estos instrumentales para su uso debido </t>
  </si>
  <si>
    <t xml:space="preserve">El proposito de la capacitación se realiza con el objetivo de identificar los diferentes diametros y longitudes de los sistemas para así hacer uso correcto de los implantes, logrando identificar las brocas, medidores y atornillador correspondientes para el uso adecuado. </t>
  </si>
  <si>
    <t xml:space="preserve">Se realiza capacitación de los equipos de maxilo de RP DENTAL con el fin de identificar las bandejas del equipo para asi poder hacer uso de todas sus capacidades en cuanto a implantes. </t>
  </si>
  <si>
    <t xml:space="preserve">DISPOSITIVOS MEDICOS RETIRADOS </t>
  </si>
  <si>
    <t>KEYLA PEREZ</t>
  </si>
  <si>
    <t xml:space="preserve">ANATOMIA Y TRAUMA BASICO </t>
  </si>
  <si>
    <t xml:space="preserve">PRIMEROS AUXILIOS </t>
  </si>
  <si>
    <t xml:space="preserve">PROCESO DE ALMACEN, ASISTENCIA TECNICA, CONTABILIDAD, GESTION HUMANA Y FACTURACION. </t>
  </si>
  <si>
    <t xml:space="preserve">MILEIDYS OROZCO </t>
  </si>
  <si>
    <t xml:space="preserve">Identificar los dispositivos medicos y reconocer el procedimiento para realizar un retiro de dispositivos medicos. </t>
  </si>
  <si>
    <t xml:space="preserve">Identificar posición y planos anatomicos, conocer la ubicación de huesos en el esqueleto humano, reconocer tornillos y placas y asociar material de osteosintesis según las anatomia. </t>
  </si>
  <si>
    <t xml:space="preserve">Socializar conocimientos de primeros auxilios basicos a los colaboradores de Biosteel de Colombia. </t>
  </si>
  <si>
    <t>PERCEPCION DEL RIESGO Y AUTOCUIDADO</t>
  </si>
  <si>
    <t xml:space="preserve">PROCESO DE FACTURACION, CONTABILIDAD, GESTION HUMANA, ASISTENCIA TECNICA. </t>
  </si>
  <si>
    <t xml:space="preserve">conocimiento de conceptos basicos en la identificación, evaluacion, control del riesgo y autocuidado. </t>
  </si>
  <si>
    <t xml:space="preserve">RIESGO CARDIOVASCULAR </t>
  </si>
  <si>
    <t>PROCESO DE FACTURACION, CONTABILIDAD, GESTION HUMANA.</t>
  </si>
  <si>
    <t xml:space="preserve">PROGRAMAS OFFICE </t>
  </si>
  <si>
    <t xml:space="preserve">Conocer el conjunto de herramientas de productividad para los entornos laborales, educativos y personales. </t>
  </si>
  <si>
    <t xml:space="preserve">PROCESO DE FACTURACIÓN. CONTABILIDAD, GESTIÓN HUMANA, ALMACEN. </t>
  </si>
  <si>
    <t xml:space="preserve">NUEVAS TENDENCIAS EN EL PROCESO DE SELECCIÓN DEL PERSONAL </t>
  </si>
  <si>
    <t xml:space="preserve">Conocer los nuevos procesos de selección de personal en la incorporación de nuevas tecnologias, cambios en las dinamicas laborales y mayor enfoque en la experiencia del candidato. </t>
  </si>
  <si>
    <t>PROCESO DE GESTION HUAMANA</t>
  </si>
  <si>
    <t>REDACCIÓN DE TEXTOS</t>
  </si>
  <si>
    <t xml:space="preserve">Reforzar las habilidades de redacción en diversos contextos, logrando una comunicación  clara, coherente y efectiva por escrito. </t>
  </si>
  <si>
    <t>Generar espacios de aprendizaje sobre la salud individual, en particular sobre el riesgo cardivascular, la importancia del cuidado y como prevenir enfermedades.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</si>
</sst>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_(* #,##0.00_);_(* \(#,##0.00\);_(* &quot;-&quot;??_);_(@_)"/>
    <numFmt numFmtId="165" formatCode="0;[Red]0"/>
  </numFmts>
  <fonts count="16" x14ac:knownFonts="1">
    <font>
      <sz val="10"/>
      <name val="Arial"/>
    </font>
    <font>
      <sz val="10"/>
      <name val="Arial"/>
      <family val="2"/>
    </font>
    <font>
      <b/>
      <sz val="10"/>
      <name val="Arial"/>
      <family val="2"/>
    </font>
    <font>
      <b/>
      <sz val="12"/>
      <name val="Arial"/>
      <family val="2"/>
    </font>
    <font>
      <sz val="10"/>
      <color indexed="8"/>
      <name val="Arial"/>
      <family val="2"/>
    </font>
    <font>
      <sz val="11"/>
      <name val="Arial"/>
      <family val="2"/>
    </font>
    <font>
      <b/>
      <sz val="11"/>
      <name val="Arial"/>
      <family val="2"/>
    </font>
    <font>
      <sz val="10"/>
      <color indexed="9"/>
      <name val="Arial"/>
      <family val="2"/>
    </font>
    <font>
      <b/>
      <sz val="9"/>
      <name val="Arial"/>
      <family val="2"/>
    </font>
    <font>
      <b/>
      <sz val="18"/>
      <name val="Arial"/>
      <family val="2"/>
    </font>
    <font>
      <sz val="11"/>
      <color theme="1"/>
      <name val="Calibri"/>
      <family val="2"/>
      <scheme val="minor"/>
    </font>
    <font>
      <sz val="10"/>
      <color theme="1"/>
      <name val="Arial"/>
      <family val="2"/>
    </font>
    <font>
      <b/>
      <sz val="10"/>
      <color theme="0"/>
      <name val="Arial"/>
      <family val="2"/>
    </font>
    <font>
      <b/>
      <sz val="9"/>
      <color theme="0"/>
      <name val="Arial"/>
      <family val="2"/>
    </font>
    <font>
      <b/>
      <sz val="12"/>
      <color theme="1"/>
      <name val="Arial"/>
      <family val="2"/>
    </font>
    <font>
      <sz val="11"/>
      <name val="Calibri"/>
      <family val="2"/>
      <scheme val="minor"/>
    </font>
  </fonts>
  <fills count="6">
    <fill>
      <patternFill patternType="none"/>
    </fill>
    <fill>
      <patternFill patternType="gray125"/>
    </fill>
    <fill>
      <patternFill patternType="solid">
        <fgColor theme="0"/>
        <bgColor indexed="64"/>
      </patternFill>
    </fill>
    <fill>
      <patternFill patternType="solid">
        <fgColor rgb="FF203562"/>
        <bgColor indexed="49"/>
      </patternFill>
    </fill>
    <fill>
      <patternFill patternType="solid">
        <fgColor rgb="FF203562"/>
        <bgColor indexed="64"/>
      </patternFill>
    </fill>
    <fill>
      <patternFill patternType="solid">
        <fgColor rgb="FFFF000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7">
    <xf numFmtId="0" fontId="0" fillId="0" borderId="0"/>
    <xf numFmtId="164" fontId="10"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cellStyleXfs>
  <cellXfs count="156">
    <xf numFmtId="0" fontId="0" fillId="0" borderId="0" xfId="0"/>
    <xf numFmtId="0" fontId="1" fillId="0" borderId="0" xfId="0" applyFont="1" applyProtection="1">
      <protection locked="0"/>
    </xf>
    <xf numFmtId="0" fontId="1" fillId="0" borderId="0" xfId="0" applyFont="1" applyAlignment="1" applyProtection="1">
      <alignment horizontal="justify" vertical="center" wrapText="1"/>
      <protection locked="0"/>
    </xf>
    <xf numFmtId="0" fontId="2" fillId="0" borderId="0" xfId="0" applyFont="1" applyAlignment="1" applyProtection="1">
      <alignment horizontal="center"/>
      <protection locked="0"/>
    </xf>
    <xf numFmtId="0" fontId="2" fillId="0" borderId="0" xfId="0" applyFont="1" applyAlignment="1" applyProtection="1">
      <alignment horizontal="center" vertical="center"/>
      <protection locked="0"/>
    </xf>
    <xf numFmtId="165" fontId="4" fillId="0" borderId="0" xfId="0" applyNumberFormat="1" applyFont="1" applyAlignment="1" applyProtection="1">
      <alignment horizontal="center" vertical="center" wrapText="1"/>
      <protection locked="0"/>
    </xf>
    <xf numFmtId="0" fontId="2" fillId="0" borderId="1" xfId="0" applyFont="1" applyBorder="1" applyAlignment="1" applyProtection="1">
      <alignment horizontal="center" vertical="center" wrapText="1"/>
      <protection locked="0"/>
    </xf>
    <xf numFmtId="0" fontId="2" fillId="0" borderId="1" xfId="0" applyFont="1" applyBorder="1" applyAlignment="1" applyProtection="1">
      <alignment horizontal="center" vertical="center"/>
      <protection locked="0"/>
    </xf>
    <xf numFmtId="0" fontId="2" fillId="0" borderId="1" xfId="3"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7" fillId="0" borderId="0" xfId="0" applyFont="1" applyProtection="1">
      <protection locked="0"/>
    </xf>
    <xf numFmtId="0" fontId="8" fillId="0" borderId="1" xfId="3" applyFont="1" applyBorder="1" applyAlignment="1" applyProtection="1">
      <alignment horizontal="center" vertical="center" wrapText="1"/>
      <protection locked="0"/>
    </xf>
    <xf numFmtId="0" fontId="1" fillId="0" borderId="0" xfId="0" applyFont="1" applyAlignment="1" applyProtection="1">
      <alignment vertical="center" wrapText="1"/>
      <protection locked="0"/>
    </xf>
    <xf numFmtId="0" fontId="11" fillId="2" borderId="0" xfId="0" applyFont="1" applyFill="1" applyAlignment="1" applyProtection="1">
      <alignment horizontal="center" vertical="center" wrapText="1"/>
      <protection locked="0"/>
    </xf>
    <xf numFmtId="0" fontId="2" fillId="0" borderId="0" xfId="3" applyFont="1" applyAlignment="1" applyProtection="1">
      <alignment horizontal="center" vertical="center" wrapText="1"/>
      <protection locked="0"/>
    </xf>
    <xf numFmtId="0" fontId="8" fillId="0" borderId="0" xfId="3" applyFont="1" applyAlignment="1" applyProtection="1">
      <alignment horizontal="center" vertical="center" wrapText="1"/>
      <protection locked="0"/>
    </xf>
    <xf numFmtId="0" fontId="2" fillId="0" borderId="0" xfId="3" applyFont="1" applyAlignment="1" applyProtection="1">
      <alignment vertical="center" wrapText="1"/>
      <protection locked="0"/>
    </xf>
    <xf numFmtId="0" fontId="1" fillId="0" borderId="0" xfId="0" applyFont="1" applyAlignment="1" applyProtection="1">
      <alignment horizontal="center"/>
      <protection locked="0"/>
    </xf>
    <xf numFmtId="0" fontId="2" fillId="0" borderId="2" xfId="0" applyFont="1" applyBorder="1" applyAlignment="1" applyProtection="1">
      <alignment horizontal="center" vertical="center"/>
      <protection locked="0"/>
    </xf>
    <xf numFmtId="0" fontId="2" fillId="0" borderId="2" xfId="3" applyFont="1" applyBorder="1" applyAlignment="1" applyProtection="1">
      <alignment horizontal="center" vertical="center" wrapText="1"/>
      <protection locked="0"/>
    </xf>
    <xf numFmtId="1" fontId="8" fillId="0" borderId="1" xfId="6" applyNumberFormat="1" applyFont="1" applyFill="1" applyBorder="1" applyAlignment="1" applyProtection="1">
      <alignment horizontal="center" vertical="center"/>
      <protection locked="0"/>
    </xf>
    <xf numFmtId="0" fontId="1" fillId="0" borderId="1" xfId="3" applyBorder="1" applyAlignment="1">
      <alignment horizontal="left" vertical="center" wrapText="1"/>
    </xf>
    <xf numFmtId="3" fontId="12" fillId="3" borderId="4" xfId="0" applyNumberFormat="1" applyFont="1" applyFill="1" applyBorder="1" applyAlignment="1" applyProtection="1">
      <alignment horizontal="left" vertical="center"/>
      <protection locked="0"/>
    </xf>
    <xf numFmtId="3" fontId="12" fillId="3" borderId="1" xfId="0" applyNumberFormat="1" applyFont="1" applyFill="1" applyBorder="1" applyAlignment="1" applyProtection="1">
      <alignment horizontal="left" vertical="center"/>
      <protection locked="0"/>
    </xf>
    <xf numFmtId="0" fontId="13" fillId="4" borderId="4" xfId="0" applyFont="1" applyFill="1" applyBorder="1" applyAlignment="1" applyProtection="1">
      <alignment horizontal="center" vertical="center"/>
      <protection locked="0"/>
    </xf>
    <xf numFmtId="3" fontId="12" fillId="3" borderId="1" xfId="0" applyNumberFormat="1" applyFont="1" applyFill="1" applyBorder="1" applyAlignment="1" applyProtection="1">
      <alignment vertical="center"/>
      <protection locked="0"/>
    </xf>
    <xf numFmtId="0" fontId="12" fillId="3" borderId="1" xfId="0" applyFont="1" applyFill="1" applyBorder="1" applyAlignment="1" applyProtection="1">
      <alignment horizontal="center" vertical="center" wrapText="1"/>
      <protection locked="0"/>
    </xf>
    <xf numFmtId="3" fontId="12" fillId="3" borderId="1" xfId="0" applyNumberFormat="1" applyFont="1" applyFill="1" applyBorder="1" applyAlignment="1" applyProtection="1">
      <alignment horizontal="center" vertical="center" wrapText="1"/>
      <protection locked="0"/>
    </xf>
    <xf numFmtId="3" fontId="12" fillId="3" borderId="2" xfId="0" applyNumberFormat="1" applyFont="1" applyFill="1" applyBorder="1" applyAlignment="1" applyProtection="1">
      <alignment horizontal="center" vertical="center" wrapText="1"/>
      <protection locked="0"/>
    </xf>
    <xf numFmtId="0" fontId="5" fillId="4" borderId="2" xfId="3" applyFont="1" applyFill="1" applyBorder="1" applyAlignment="1" applyProtection="1">
      <alignment vertical="center" wrapText="1"/>
      <protection locked="0"/>
    </xf>
    <xf numFmtId="0" fontId="5" fillId="4" borderId="5" xfId="3" applyFont="1" applyFill="1" applyBorder="1" applyAlignment="1" applyProtection="1">
      <alignment vertical="center" wrapText="1"/>
      <protection locked="0"/>
    </xf>
    <xf numFmtId="0" fontId="6" fillId="4" borderId="5" xfId="3" applyFont="1" applyFill="1" applyBorder="1" applyAlignment="1" applyProtection="1">
      <alignment horizontal="center" vertical="center" wrapText="1"/>
      <protection locked="0"/>
    </xf>
    <xf numFmtId="1" fontId="1" fillId="0" borderId="1" xfId="0" applyNumberFormat="1" applyFont="1" applyBorder="1" applyProtection="1">
      <protection locked="0"/>
    </xf>
    <xf numFmtId="0" fontId="1" fillId="2" borderId="1" xfId="3" applyFill="1" applyBorder="1" applyAlignment="1">
      <alignment horizontal="left" vertical="center" wrapText="1"/>
    </xf>
    <xf numFmtId="1" fontId="2" fillId="0" borderId="1" xfId="0" applyNumberFormat="1" applyFont="1" applyBorder="1" applyProtection="1">
      <protection locked="0"/>
    </xf>
    <xf numFmtId="0" fontId="5" fillId="0" borderId="2" xfId="3" applyFont="1" applyBorder="1" applyAlignment="1" applyProtection="1">
      <alignment horizontal="center" vertical="center" wrapText="1"/>
      <protection locked="0"/>
    </xf>
    <xf numFmtId="0" fontId="5" fillId="0" borderId="5" xfId="3" applyFont="1" applyBorder="1" applyAlignment="1" applyProtection="1">
      <alignment horizontal="center" vertical="center" wrapText="1"/>
      <protection locked="0"/>
    </xf>
    <xf numFmtId="0" fontId="5" fillId="0" borderId="9" xfId="3" applyFont="1" applyBorder="1" applyAlignment="1" applyProtection="1">
      <alignment horizontal="center" vertical="center" wrapText="1"/>
      <protection locked="0"/>
    </xf>
    <xf numFmtId="0" fontId="2" fillId="0" borderId="2" xfId="0" quotePrefix="1" applyFont="1" applyBorder="1" applyAlignment="1" applyProtection="1">
      <alignment horizontal="center" vertical="center"/>
      <protection locked="0"/>
    </xf>
    <xf numFmtId="9" fontId="8" fillId="5" borderId="1" xfId="6" applyFont="1" applyFill="1" applyBorder="1" applyAlignment="1" applyProtection="1">
      <alignment horizontal="center" vertical="center"/>
      <protection locked="0"/>
    </xf>
    <xf numFmtId="0" fontId="2" fillId="2" borderId="1" xfId="0" applyFont="1" applyFill="1" applyBorder="1" applyAlignment="1" applyProtection="1">
      <alignment horizontal="center" vertical="center" wrapText="1"/>
      <protection locked="0"/>
    </xf>
    <xf numFmtId="0" fontId="2" fillId="2" borderId="1" xfId="0" applyFont="1" applyFill="1" applyBorder="1" applyAlignment="1" applyProtection="1">
      <alignment horizontal="center" vertical="center"/>
      <protection locked="0"/>
    </xf>
    <xf numFmtId="0" fontId="2" fillId="2" borderId="1" xfId="3" applyFont="1" applyFill="1" applyBorder="1" applyAlignment="1" applyProtection="1">
      <alignment horizontal="center" vertical="center" wrapText="1"/>
      <protection locked="0"/>
    </xf>
    <xf numFmtId="0" fontId="2" fillId="2" borderId="2" xfId="0" applyFont="1" applyFill="1" applyBorder="1" applyAlignment="1" applyProtection="1">
      <alignment horizontal="center" vertical="center"/>
      <protection locked="0"/>
    </xf>
    <xf numFmtId="0" fontId="1" fillId="2" borderId="2" xfId="3" applyFill="1" applyBorder="1" applyAlignment="1" applyProtection="1">
      <alignment horizontal="left" vertical="center" wrapText="1"/>
      <protection locked="0"/>
    </xf>
    <xf numFmtId="0" fontId="1" fillId="2" borderId="9" xfId="3" applyFill="1" applyBorder="1" applyAlignment="1" applyProtection="1">
      <alignment horizontal="left" vertical="center" wrapText="1"/>
      <protection locked="0"/>
    </xf>
    <xf numFmtId="0" fontId="1" fillId="2" borderId="2" xfId="3" applyFill="1" applyBorder="1" applyAlignment="1" applyProtection="1">
      <alignment horizontal="center" vertical="center" wrapText="1"/>
      <protection locked="0"/>
    </xf>
    <xf numFmtId="0" fontId="1" fillId="2" borderId="9" xfId="3" applyFill="1" applyBorder="1" applyAlignment="1" applyProtection="1">
      <alignment horizontal="center" vertical="center" wrapText="1"/>
      <protection locked="0"/>
    </xf>
    <xf numFmtId="3" fontId="12" fillId="3" borderId="3" xfId="0" applyNumberFormat="1" applyFont="1" applyFill="1" applyBorder="1" applyAlignment="1" applyProtection="1">
      <alignment horizontal="center" vertical="center"/>
      <protection locked="0"/>
    </xf>
    <xf numFmtId="0" fontId="0" fillId="0" borderId="8" xfId="0" applyBorder="1" applyAlignment="1">
      <alignment horizontal="center" vertical="center"/>
    </xf>
    <xf numFmtId="0" fontId="0" fillId="0" borderId="4" xfId="0" applyBorder="1" applyAlignment="1">
      <alignment horizontal="center" vertical="center"/>
    </xf>
    <xf numFmtId="0" fontId="1" fillId="0" borderId="1" xfId="3" applyBorder="1" applyAlignment="1" applyProtection="1">
      <alignment horizontal="center" vertical="center" wrapText="1"/>
      <protection locked="0"/>
    </xf>
    <xf numFmtId="0" fontId="1" fillId="0" borderId="2" xfId="3" applyBorder="1" applyAlignment="1" applyProtection="1">
      <alignment horizontal="center" vertical="center" wrapText="1"/>
      <protection locked="0"/>
    </xf>
    <xf numFmtId="0" fontId="1" fillId="0" borderId="9" xfId="3" applyBorder="1" applyAlignment="1" applyProtection="1">
      <alignment horizontal="center" vertical="center" wrapText="1"/>
      <protection locked="0"/>
    </xf>
    <xf numFmtId="0" fontId="1" fillId="0" borderId="2" xfId="3" applyBorder="1" applyAlignment="1" applyProtection="1">
      <alignment horizontal="left" vertical="center" wrapText="1"/>
      <protection locked="0"/>
    </xf>
    <xf numFmtId="0" fontId="1" fillId="0" borderId="9" xfId="3" applyBorder="1" applyAlignment="1" applyProtection="1">
      <alignment horizontal="left" vertical="center" wrapText="1"/>
      <protection locked="0"/>
    </xf>
    <xf numFmtId="0" fontId="1" fillId="0" borderId="1" xfId="3" applyBorder="1" applyAlignment="1" applyProtection="1">
      <alignment horizontal="left" vertical="center" wrapText="1"/>
      <protection locked="0"/>
    </xf>
    <xf numFmtId="0" fontId="5" fillId="0" borderId="1" xfId="3" applyFont="1" applyBorder="1" applyAlignment="1" applyProtection="1">
      <alignment horizontal="center" vertical="center" wrapText="1"/>
      <protection locked="0"/>
    </xf>
    <xf numFmtId="0" fontId="0" fillId="0" borderId="9" xfId="0" applyBorder="1" applyAlignment="1">
      <alignment horizontal="center" vertical="center" wrapText="1"/>
    </xf>
    <xf numFmtId="0" fontId="5" fillId="0" borderId="2" xfId="3" applyFont="1" applyBorder="1" applyAlignment="1" applyProtection="1">
      <alignment horizontal="center" vertical="center" wrapText="1"/>
      <protection locked="0"/>
    </xf>
    <xf numFmtId="0" fontId="0" fillId="0" borderId="5" xfId="0" applyBorder="1" applyAlignment="1">
      <alignment horizontal="center" vertical="center" wrapText="1"/>
    </xf>
    <xf numFmtId="0" fontId="12" fillId="4" borderId="2" xfId="0" applyFont="1" applyFill="1" applyBorder="1" applyAlignment="1" applyProtection="1">
      <alignment horizontal="center" vertical="center" wrapText="1"/>
      <protection locked="0"/>
    </xf>
    <xf numFmtId="0" fontId="12" fillId="4" borderId="9" xfId="0" applyFont="1" applyFill="1" applyBorder="1" applyAlignment="1">
      <alignment horizontal="center"/>
    </xf>
    <xf numFmtId="0" fontId="13" fillId="4" borderId="1" xfId="0" applyFont="1" applyFill="1" applyBorder="1" applyAlignment="1" applyProtection="1">
      <alignment horizontal="center" vertical="center"/>
      <protection locked="0"/>
    </xf>
    <xf numFmtId="9" fontId="8" fillId="0" borderId="1" xfId="6" applyFont="1" applyFill="1" applyBorder="1" applyAlignment="1" applyProtection="1">
      <alignment horizontal="center" vertical="center"/>
      <protection locked="0"/>
    </xf>
    <xf numFmtId="0" fontId="13" fillId="3" borderId="12" xfId="0" applyFont="1" applyFill="1" applyBorder="1" applyAlignment="1" applyProtection="1">
      <alignment horizontal="center" vertical="center" wrapText="1"/>
      <protection locked="0"/>
    </xf>
    <xf numFmtId="0" fontId="0" fillId="0" borderId="0" xfId="0" applyAlignment="1">
      <alignment horizontal="center" vertical="center" wrapText="1"/>
    </xf>
    <xf numFmtId="0" fontId="0" fillId="0" borderId="0" xfId="0"/>
    <xf numFmtId="0" fontId="13" fillId="3" borderId="1" xfId="0" applyFont="1" applyFill="1" applyBorder="1" applyAlignment="1" applyProtection="1">
      <alignment horizontal="center" vertical="center" wrapText="1"/>
      <protection locked="0"/>
    </xf>
    <xf numFmtId="0" fontId="1" fillId="0" borderId="0" xfId="0" applyFont="1" applyAlignment="1" applyProtection="1">
      <alignment horizontal="center"/>
      <protection locked="0"/>
    </xf>
    <xf numFmtId="0" fontId="2" fillId="0" borderId="0" xfId="0" applyFont="1" applyAlignment="1" applyProtection="1">
      <alignment horizontal="center" vertical="center"/>
      <protection locked="0"/>
    </xf>
    <xf numFmtId="9" fontId="8" fillId="0" borderId="3" xfId="6" applyFont="1" applyFill="1" applyBorder="1" applyAlignment="1" applyProtection="1">
      <alignment horizontal="center" vertical="center"/>
      <protection locked="0"/>
    </xf>
    <xf numFmtId="9" fontId="8" fillId="0" borderId="8" xfId="6" applyFont="1" applyFill="1" applyBorder="1" applyAlignment="1" applyProtection="1">
      <alignment horizontal="center" vertical="center"/>
      <protection locked="0"/>
    </xf>
    <xf numFmtId="9" fontId="8" fillId="0" borderId="4" xfId="6" applyFont="1" applyFill="1" applyBorder="1" applyAlignment="1" applyProtection="1">
      <alignment horizontal="center" vertical="center"/>
      <protection locked="0"/>
    </xf>
    <xf numFmtId="9" fontId="2" fillId="5" borderId="10" xfId="0" applyNumberFormat="1" applyFont="1" applyFill="1" applyBorder="1" applyAlignment="1" applyProtection="1">
      <alignment horizontal="center" vertical="center"/>
      <protection locked="0"/>
    </xf>
    <xf numFmtId="9" fontId="2" fillId="5" borderId="6" xfId="0" applyNumberFormat="1" applyFont="1" applyFill="1" applyBorder="1" applyAlignment="1" applyProtection="1">
      <alignment horizontal="center" vertical="center"/>
      <protection locked="0"/>
    </xf>
    <xf numFmtId="9" fontId="2" fillId="5" borderId="11" xfId="0" applyNumberFormat="1" applyFont="1" applyFill="1" applyBorder="1" applyAlignment="1" applyProtection="1">
      <alignment horizontal="center" vertical="center"/>
      <protection locked="0"/>
    </xf>
    <xf numFmtId="9" fontId="2" fillId="5" borderId="12" xfId="0" applyNumberFormat="1" applyFont="1" applyFill="1" applyBorder="1" applyAlignment="1" applyProtection="1">
      <alignment horizontal="center" vertical="center"/>
      <protection locked="0"/>
    </xf>
    <xf numFmtId="9" fontId="2" fillId="5" borderId="0" xfId="0" applyNumberFormat="1" applyFont="1" applyFill="1" applyAlignment="1" applyProtection="1">
      <alignment horizontal="center" vertical="center"/>
      <protection locked="0"/>
    </xf>
    <xf numFmtId="9" fontId="2" fillId="5" borderId="13" xfId="0" applyNumberFormat="1" applyFont="1" applyFill="1" applyBorder="1" applyAlignment="1" applyProtection="1">
      <alignment horizontal="center" vertical="center"/>
      <protection locked="0"/>
    </xf>
    <xf numFmtId="9" fontId="2" fillId="5" borderId="14" xfId="0" applyNumberFormat="1" applyFont="1" applyFill="1" applyBorder="1" applyAlignment="1" applyProtection="1">
      <alignment horizontal="center" vertical="center"/>
      <protection locked="0"/>
    </xf>
    <xf numFmtId="9" fontId="2" fillId="5" borderId="7" xfId="0" applyNumberFormat="1" applyFont="1" applyFill="1" applyBorder="1" applyAlignment="1" applyProtection="1">
      <alignment horizontal="center" vertical="center"/>
      <protection locked="0"/>
    </xf>
    <xf numFmtId="9" fontId="2" fillId="5" borderId="15" xfId="0" applyNumberFormat="1" applyFont="1" applyFill="1" applyBorder="1" applyAlignment="1" applyProtection="1">
      <alignment horizontal="center" vertical="center"/>
      <protection locked="0"/>
    </xf>
    <xf numFmtId="1" fontId="8" fillId="0" borderId="3" xfId="6" applyNumberFormat="1" applyFont="1" applyFill="1" applyBorder="1" applyAlignment="1" applyProtection="1">
      <alignment horizontal="center" vertical="center"/>
      <protection locked="0"/>
    </xf>
    <xf numFmtId="1" fontId="8" fillId="0" borderId="8" xfId="6" applyNumberFormat="1" applyFont="1" applyFill="1" applyBorder="1" applyAlignment="1" applyProtection="1">
      <alignment horizontal="center" vertical="center"/>
      <protection locked="0"/>
    </xf>
    <xf numFmtId="1" fontId="8" fillId="0" borderId="4" xfId="6" applyNumberFormat="1" applyFont="1" applyFill="1" applyBorder="1" applyAlignment="1" applyProtection="1">
      <alignment horizontal="center" vertical="center"/>
      <protection locked="0"/>
    </xf>
    <xf numFmtId="0" fontId="13" fillId="4" borderId="4" xfId="0" applyFont="1" applyFill="1" applyBorder="1" applyAlignment="1" applyProtection="1">
      <alignment horizontal="center" vertical="center"/>
      <protection locked="0"/>
    </xf>
    <xf numFmtId="0" fontId="2" fillId="0" borderId="1" xfId="0" applyFont="1" applyBorder="1" applyAlignment="1" applyProtection="1">
      <alignment horizontal="center" vertical="center" wrapText="1"/>
      <protection locked="0"/>
    </xf>
    <xf numFmtId="0" fontId="13" fillId="3" borderId="1" xfId="0" applyFont="1" applyFill="1" applyBorder="1" applyAlignment="1" applyProtection="1">
      <alignment horizontal="center" vertical="center"/>
      <protection locked="0"/>
    </xf>
    <xf numFmtId="14" fontId="14" fillId="2" borderId="2" xfId="0" applyNumberFormat="1" applyFont="1" applyFill="1" applyBorder="1" applyAlignment="1" applyProtection="1">
      <alignment horizontal="center" vertical="center" wrapText="1"/>
      <protection locked="0"/>
    </xf>
    <xf numFmtId="0" fontId="14" fillId="2" borderId="5" xfId="0" applyFont="1" applyFill="1" applyBorder="1" applyAlignment="1" applyProtection="1">
      <alignment horizontal="center" vertical="center" wrapText="1"/>
      <protection locked="0"/>
    </xf>
    <xf numFmtId="0" fontId="14" fillId="2" borderId="9" xfId="0" applyFont="1" applyFill="1" applyBorder="1" applyAlignment="1" applyProtection="1">
      <alignment horizontal="center" vertical="center" wrapText="1"/>
      <protection locked="0"/>
    </xf>
    <xf numFmtId="0" fontId="1" fillId="0" borderId="2" xfId="0" applyFont="1" applyBorder="1" applyAlignment="1">
      <alignment horizontal="left" vertical="center" wrapText="1"/>
    </xf>
    <xf numFmtId="0" fontId="0" fillId="0" borderId="9" xfId="0" applyBorder="1" applyAlignment="1">
      <alignment horizontal="left" vertical="center" wrapText="1"/>
    </xf>
    <xf numFmtId="0" fontId="15" fillId="2" borderId="2" xfId="0" applyFont="1" applyFill="1" applyBorder="1" applyAlignment="1">
      <alignment horizontal="center" vertical="center" wrapText="1"/>
    </xf>
    <xf numFmtId="0" fontId="15" fillId="2" borderId="9" xfId="0" applyFont="1" applyFill="1" applyBorder="1" applyAlignment="1">
      <alignment horizontal="center" vertical="center" wrapText="1"/>
    </xf>
    <xf numFmtId="0" fontId="2" fillId="0" borderId="1" xfId="3" applyFont="1" applyBorder="1" applyAlignment="1" applyProtection="1">
      <alignment horizontal="center" vertical="center" wrapText="1"/>
      <protection locked="0"/>
    </xf>
    <xf numFmtId="0" fontId="5" fillId="0" borderId="5" xfId="3" applyFont="1" applyBorder="1" applyAlignment="1" applyProtection="1">
      <alignment horizontal="center" vertical="center" wrapText="1"/>
      <protection locked="0"/>
    </xf>
    <xf numFmtId="0" fontId="5" fillId="0" borderId="9" xfId="3" applyFont="1" applyBorder="1" applyAlignment="1" applyProtection="1">
      <alignment horizontal="center" vertical="center" wrapText="1"/>
      <protection locked="0"/>
    </xf>
    <xf numFmtId="0" fontId="5" fillId="4" borderId="1" xfId="3" applyFont="1" applyFill="1" applyBorder="1" applyAlignment="1" applyProtection="1">
      <alignment horizontal="center" vertical="center" wrapText="1"/>
      <protection locked="0"/>
    </xf>
    <xf numFmtId="0" fontId="1" fillId="2" borderId="1" xfId="3" applyFill="1" applyBorder="1" applyAlignment="1" applyProtection="1">
      <alignment horizontal="left" vertical="center" wrapText="1"/>
      <protection locked="0"/>
    </xf>
    <xf numFmtId="0" fontId="1" fillId="0" borderId="2" xfId="0" applyFont="1" applyBorder="1" applyAlignment="1" applyProtection="1">
      <alignment horizontal="center" vertical="center" wrapText="1"/>
      <protection locked="0"/>
    </xf>
    <xf numFmtId="0" fontId="1" fillId="0" borderId="5" xfId="0" applyFont="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0" fontId="3" fillId="0" borderId="2" xfId="0" applyFont="1" applyBorder="1" applyAlignment="1" applyProtection="1">
      <alignment horizontal="center" vertical="center" wrapText="1"/>
      <protection locked="0"/>
    </xf>
    <xf numFmtId="0" fontId="3" fillId="0" borderId="5" xfId="0" applyFont="1" applyBorder="1" applyAlignment="1" applyProtection="1">
      <alignment horizontal="center" vertical="center" wrapText="1"/>
      <protection locked="0"/>
    </xf>
    <xf numFmtId="0" fontId="3" fillId="0" borderId="9" xfId="0" applyFont="1" applyBorder="1" applyAlignment="1" applyProtection="1">
      <alignment horizontal="center" vertical="center" wrapText="1"/>
      <protection locked="0"/>
    </xf>
    <xf numFmtId="0" fontId="9" fillId="0" borderId="10" xfId="0" applyFont="1" applyBorder="1" applyAlignment="1" applyProtection="1">
      <alignment horizontal="center" vertical="center" wrapText="1"/>
      <protection locked="0"/>
    </xf>
    <xf numFmtId="0" fontId="9" fillId="0" borderId="6" xfId="0" applyFont="1" applyBorder="1" applyAlignment="1" applyProtection="1">
      <alignment horizontal="center" vertical="center" wrapText="1"/>
      <protection locked="0"/>
    </xf>
    <xf numFmtId="0" fontId="9" fillId="0" borderId="11" xfId="0" applyFont="1" applyBorder="1" applyAlignment="1" applyProtection="1">
      <alignment horizontal="center" vertical="center" wrapText="1"/>
      <protection locked="0"/>
    </xf>
    <xf numFmtId="0" fontId="9" fillId="0" borderId="14" xfId="0" applyFont="1" applyBorder="1" applyAlignment="1" applyProtection="1">
      <alignment horizontal="center" vertical="center" wrapText="1"/>
      <protection locked="0"/>
    </xf>
    <xf numFmtId="0" fontId="9" fillId="0" borderId="7" xfId="0" applyFont="1" applyBorder="1" applyAlignment="1" applyProtection="1">
      <alignment horizontal="center" vertical="center" wrapText="1"/>
      <protection locked="0"/>
    </xf>
    <xf numFmtId="0" fontId="9" fillId="0" borderId="15" xfId="0" applyFont="1" applyBorder="1" applyAlignment="1" applyProtection="1">
      <alignment horizontal="center" vertical="center" wrapText="1"/>
      <protection locked="0"/>
    </xf>
    <xf numFmtId="3" fontId="12" fillId="3" borderId="1" xfId="0" applyNumberFormat="1" applyFont="1" applyFill="1" applyBorder="1" applyAlignment="1" applyProtection="1">
      <alignment horizontal="center" vertical="center" wrapText="1"/>
      <protection locked="0"/>
    </xf>
    <xf numFmtId="3" fontId="12" fillId="3" borderId="2" xfId="0" applyNumberFormat="1" applyFont="1" applyFill="1" applyBorder="1" applyAlignment="1" applyProtection="1">
      <alignment horizontal="center" vertical="center" wrapText="1"/>
      <protection locked="0"/>
    </xf>
    <xf numFmtId="3" fontId="2" fillId="4" borderId="1" xfId="0" applyNumberFormat="1" applyFont="1" applyFill="1" applyBorder="1" applyAlignment="1" applyProtection="1">
      <alignment horizontal="center"/>
      <protection locked="0"/>
    </xf>
    <xf numFmtId="3" fontId="12" fillId="4" borderId="2" xfId="0" applyNumberFormat="1" applyFont="1" applyFill="1" applyBorder="1" applyAlignment="1" applyProtection="1">
      <alignment horizontal="center" vertical="center"/>
      <protection locked="0"/>
    </xf>
    <xf numFmtId="3" fontId="12" fillId="4" borderId="5" xfId="0" applyNumberFormat="1" applyFont="1" applyFill="1" applyBorder="1" applyAlignment="1" applyProtection="1">
      <alignment horizontal="center" vertical="center"/>
      <protection locked="0"/>
    </xf>
    <xf numFmtId="3" fontId="12" fillId="4" borderId="9" xfId="0" applyNumberFormat="1" applyFont="1" applyFill="1" applyBorder="1" applyAlignment="1" applyProtection="1">
      <alignment horizontal="center" vertical="center"/>
      <protection locked="0"/>
    </xf>
    <xf numFmtId="0" fontId="12" fillId="3" borderId="3" xfId="0" applyFont="1" applyFill="1" applyBorder="1" applyAlignment="1" applyProtection="1">
      <alignment horizontal="center" vertical="center" wrapText="1"/>
      <protection locked="0"/>
    </xf>
    <xf numFmtId="0" fontId="12" fillId="3" borderId="4" xfId="0" applyFont="1" applyFill="1" applyBorder="1" applyAlignment="1" applyProtection="1">
      <alignment horizontal="center" vertical="center" wrapText="1"/>
      <protection locked="0"/>
    </xf>
    <xf numFmtId="0" fontId="1" fillId="0" borderId="10" xfId="0" applyFont="1" applyBorder="1" applyAlignment="1" applyProtection="1">
      <alignment horizontal="left" vertical="center" wrapText="1"/>
      <protection locked="0"/>
    </xf>
    <xf numFmtId="0" fontId="1" fillId="0" borderId="6" xfId="0" applyFont="1" applyBorder="1" applyAlignment="1" applyProtection="1">
      <alignment horizontal="left" vertical="center" wrapText="1"/>
      <protection locked="0"/>
    </xf>
    <xf numFmtId="0" fontId="1" fillId="0" borderId="11" xfId="0" applyFont="1" applyBorder="1" applyAlignment="1" applyProtection="1">
      <alignment horizontal="left" vertical="center" wrapText="1"/>
      <protection locked="0"/>
    </xf>
    <xf numFmtId="0" fontId="1" fillId="0" borderId="14" xfId="0" applyFont="1" applyBorder="1" applyAlignment="1" applyProtection="1">
      <alignment horizontal="left" vertical="center" wrapText="1"/>
      <protection locked="0"/>
    </xf>
    <xf numFmtId="0" fontId="1" fillId="0" borderId="7" xfId="0" applyFont="1" applyBorder="1" applyAlignment="1" applyProtection="1">
      <alignment horizontal="left" vertical="center" wrapText="1"/>
      <protection locked="0"/>
    </xf>
    <xf numFmtId="0" fontId="1" fillId="0" borderId="15" xfId="0" applyFont="1" applyBorder="1" applyAlignment="1" applyProtection="1">
      <alignment horizontal="left" vertical="center" wrapText="1"/>
      <protection locked="0"/>
    </xf>
    <xf numFmtId="3" fontId="12" fillId="3" borderId="10" xfId="0" applyNumberFormat="1" applyFont="1" applyFill="1" applyBorder="1" applyAlignment="1" applyProtection="1">
      <alignment horizontal="center" vertical="center"/>
      <protection locked="0"/>
    </xf>
    <xf numFmtId="3" fontId="12" fillId="3" borderId="11" xfId="0" applyNumberFormat="1" applyFont="1" applyFill="1" applyBorder="1" applyAlignment="1" applyProtection="1">
      <alignment horizontal="center" vertical="center"/>
      <protection locked="0"/>
    </xf>
    <xf numFmtId="3" fontId="12" fillId="3" borderId="14" xfId="0" applyNumberFormat="1" applyFont="1" applyFill="1" applyBorder="1" applyAlignment="1" applyProtection="1">
      <alignment horizontal="center" vertical="center"/>
      <protection locked="0"/>
    </xf>
    <xf numFmtId="3" fontId="12" fillId="3" borderId="15" xfId="0" applyNumberFormat="1" applyFont="1" applyFill="1" applyBorder="1" applyAlignment="1" applyProtection="1">
      <alignment horizontal="center" vertical="center"/>
      <protection locked="0"/>
    </xf>
    <xf numFmtId="3" fontId="12" fillId="3" borderId="10" xfId="0" applyNumberFormat="1" applyFont="1" applyFill="1" applyBorder="1" applyAlignment="1" applyProtection="1">
      <alignment horizontal="center" vertical="center" wrapText="1"/>
      <protection locked="0"/>
    </xf>
    <xf numFmtId="3" fontId="12" fillId="3" borderId="11" xfId="0" applyNumberFormat="1" applyFont="1" applyFill="1" applyBorder="1" applyAlignment="1" applyProtection="1">
      <alignment horizontal="center" vertical="center" wrapText="1"/>
      <protection locked="0"/>
    </xf>
    <xf numFmtId="3" fontId="12" fillId="3" borderId="14" xfId="0" applyNumberFormat="1" applyFont="1" applyFill="1" applyBorder="1" applyAlignment="1" applyProtection="1">
      <alignment horizontal="center" vertical="center" wrapText="1"/>
      <protection locked="0"/>
    </xf>
    <xf numFmtId="3" fontId="12" fillId="3" borderId="15" xfId="0" applyNumberFormat="1" applyFont="1" applyFill="1" applyBorder="1" applyAlignment="1" applyProtection="1">
      <alignment horizontal="center" vertical="center" wrapText="1"/>
      <protection locked="0"/>
    </xf>
    <xf numFmtId="0" fontId="1" fillId="0" borderId="3" xfId="0" applyFont="1" applyBorder="1" applyAlignment="1" applyProtection="1">
      <alignment horizontal="center" vertical="center" wrapText="1"/>
      <protection locked="0"/>
    </xf>
    <xf numFmtId="0" fontId="1" fillId="0" borderId="8" xfId="0" applyFont="1" applyBorder="1" applyAlignment="1" applyProtection="1">
      <alignment horizontal="center" vertical="center" wrapText="1"/>
      <protection locked="0"/>
    </xf>
    <xf numFmtId="0" fontId="1" fillId="0" borderId="4" xfId="0" applyFont="1" applyBorder="1" applyAlignment="1" applyProtection="1">
      <alignment horizontal="center" vertical="center" wrapText="1"/>
      <protection locked="0"/>
    </xf>
    <xf numFmtId="0" fontId="14" fillId="0" borderId="2" xfId="0" applyFont="1" applyBorder="1" applyAlignment="1" applyProtection="1">
      <alignment horizontal="center" vertical="center" wrapText="1"/>
      <protection locked="0"/>
    </xf>
    <xf numFmtId="0" fontId="14" fillId="0" borderId="5" xfId="0" applyFont="1" applyBorder="1" applyAlignment="1" applyProtection="1">
      <alignment horizontal="center" vertical="center" wrapText="1"/>
      <protection locked="0"/>
    </xf>
    <xf numFmtId="0" fontId="14" fillId="0" borderId="9" xfId="0" applyFont="1" applyBorder="1" applyAlignment="1" applyProtection="1">
      <alignment horizontal="center" vertical="center" wrapText="1"/>
      <protection locked="0"/>
    </xf>
    <xf numFmtId="0" fontId="12" fillId="3" borderId="1" xfId="0" applyFont="1" applyFill="1" applyBorder="1" applyAlignment="1" applyProtection="1">
      <alignment horizontal="center" vertical="center" wrapText="1"/>
      <protection locked="0"/>
    </xf>
    <xf numFmtId="3" fontId="12" fillId="3" borderId="1" xfId="0" applyNumberFormat="1" applyFont="1" applyFill="1" applyBorder="1" applyAlignment="1" applyProtection="1">
      <alignment horizontal="center" vertical="center"/>
      <protection locked="0"/>
    </xf>
    <xf numFmtId="0" fontId="13" fillId="3" borderId="2" xfId="0" applyFont="1" applyFill="1" applyBorder="1" applyAlignment="1" applyProtection="1">
      <alignment horizontal="center" vertical="center" wrapText="1"/>
      <protection locked="0"/>
    </xf>
    <xf numFmtId="0" fontId="11" fillId="0" borderId="1" xfId="0" applyFont="1" applyBorder="1" applyAlignment="1" applyProtection="1">
      <alignment horizontal="center" vertical="center" wrapText="1"/>
      <protection locked="0"/>
    </xf>
    <xf numFmtId="3" fontId="1" fillId="0" borderId="2" xfId="0" applyNumberFormat="1" applyFont="1" applyBorder="1" applyAlignment="1" applyProtection="1">
      <alignment horizontal="left" vertical="center" wrapText="1"/>
      <protection locked="0"/>
    </xf>
    <xf numFmtId="3" fontId="1" fillId="0" borderId="5" xfId="0" applyNumberFormat="1" applyFont="1" applyBorder="1" applyAlignment="1" applyProtection="1">
      <alignment horizontal="left" vertical="center" wrapText="1"/>
      <protection locked="0"/>
    </xf>
    <xf numFmtId="3" fontId="1" fillId="0" borderId="9" xfId="0" applyNumberFormat="1" applyFont="1" applyBorder="1" applyAlignment="1" applyProtection="1">
      <alignment horizontal="left" vertical="center" wrapText="1"/>
      <protection locked="0"/>
    </xf>
    <xf numFmtId="3" fontId="12" fillId="3" borderId="2" xfId="0" applyNumberFormat="1" applyFont="1" applyFill="1" applyBorder="1" applyAlignment="1" applyProtection="1">
      <alignment horizontal="center" vertical="center"/>
      <protection locked="0"/>
    </xf>
    <xf numFmtId="3" fontId="12" fillId="4" borderId="1" xfId="0" applyNumberFormat="1" applyFont="1" applyFill="1" applyBorder="1" applyAlignment="1" applyProtection="1">
      <alignment horizontal="center" vertical="center"/>
      <protection locked="0"/>
    </xf>
    <xf numFmtId="0" fontId="12" fillId="3" borderId="10" xfId="0" applyFont="1" applyFill="1" applyBorder="1" applyAlignment="1" applyProtection="1">
      <alignment horizontal="center" vertical="center" wrapText="1"/>
      <protection locked="0"/>
    </xf>
    <xf numFmtId="0" fontId="12" fillId="3" borderId="6" xfId="0" applyFont="1" applyFill="1" applyBorder="1" applyAlignment="1" applyProtection="1">
      <alignment horizontal="center" vertical="center" wrapText="1"/>
      <protection locked="0"/>
    </xf>
    <xf numFmtId="0" fontId="12" fillId="3" borderId="11" xfId="0" applyFont="1" applyFill="1" applyBorder="1" applyAlignment="1" applyProtection="1">
      <alignment horizontal="center" vertical="center" wrapText="1"/>
      <protection locked="0"/>
    </xf>
    <xf numFmtId="0" fontId="12" fillId="3" borderId="14" xfId="0" applyFont="1" applyFill="1" applyBorder="1" applyAlignment="1" applyProtection="1">
      <alignment horizontal="center" vertical="center" wrapText="1"/>
      <protection locked="0"/>
    </xf>
    <xf numFmtId="0" fontId="12" fillId="3" borderId="7" xfId="0" applyFont="1" applyFill="1" applyBorder="1" applyAlignment="1" applyProtection="1">
      <alignment horizontal="center" vertical="center" wrapText="1"/>
      <protection locked="0"/>
    </xf>
    <xf numFmtId="0" fontId="12" fillId="3" borderId="15" xfId="0" applyFont="1" applyFill="1" applyBorder="1" applyAlignment="1" applyProtection="1">
      <alignment horizontal="center" vertical="center" wrapText="1"/>
      <protection locked="0"/>
    </xf>
  </cellXfs>
  <cellStyles count="7">
    <cellStyle name="Millares 2" xfId="1"/>
    <cellStyle name="Normal" xfId="0" builtinId="0"/>
    <cellStyle name="Normal 2" xfId="2"/>
    <cellStyle name="Normal 2 2" xfId="3"/>
    <cellStyle name="Normal 3" xfId="4"/>
    <cellStyle name="Normal 9" xfId="5"/>
    <cellStyle name="Porcentaje" xfId="6" builtinId="5"/>
  </cellStyles>
  <dxfs count="3">
    <dxf>
      <font>
        <color theme="0"/>
      </font>
      <fill>
        <patternFill>
          <bgColor rgb="FFFF0000"/>
        </patternFill>
      </fill>
    </dxf>
    <dxf>
      <font>
        <color theme="0"/>
      </font>
      <fill>
        <patternFill>
          <bgColor rgb="FF00B050"/>
        </patternFill>
      </fill>
    </dxf>
    <dxf>
      <fill>
        <patternFill>
          <bgColor theme="5" tint="0.39994506668294322"/>
        </patternFill>
      </fill>
    </dxf>
  </dxfs>
  <tableStyles count="0" defaultTableStyle="TableStyleMedium9" defaultPivotStyle="PivotStyleLight16"/>
  <colors>
    <mruColors>
      <color rgb="FF20356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409575</xdr:colOff>
      <xdr:row>1</xdr:row>
      <xdr:rowOff>150019</xdr:rowOff>
    </xdr:from>
    <xdr:to>
      <xdr:col>1</xdr:col>
      <xdr:colOff>2066925</xdr:colOff>
      <xdr:row>3</xdr:row>
      <xdr:rowOff>397669</xdr:rowOff>
    </xdr:to>
    <xdr:pic>
      <xdr:nvPicPr>
        <xdr:cNvPr id="10459564" name="0 Imagen">
          <a:extLst>
            <a:ext uri="{FF2B5EF4-FFF2-40B4-BE49-F238E27FC236}">
              <a16:creationId xmlns:a16="http://schemas.microsoft.com/office/drawing/2014/main" id="{89203706-D651-6EC5-FE6C-02D33657F2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3388" y="173832"/>
          <a:ext cx="1657350" cy="9382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X291"/>
  <sheetViews>
    <sheetView showGridLines="0" tabSelected="1" topLeftCell="A59" zoomScale="80" zoomScaleNormal="80" workbookViewId="0">
      <selection activeCell="C64" sqref="C64:D64"/>
    </sheetView>
  </sheetViews>
  <sheetFormatPr baseColWidth="10" defaultColWidth="9.140625" defaultRowHeight="12.75" x14ac:dyDescent="0.2"/>
  <cols>
    <col min="1" max="1" width="0.42578125" style="1" customWidth="1"/>
    <col min="2" max="2" width="41.42578125" style="2" customWidth="1"/>
    <col min="3" max="3" width="19.5703125" style="1" customWidth="1"/>
    <col min="4" max="4" width="24.140625" style="1" customWidth="1"/>
    <col min="5" max="5" width="16" style="1" customWidth="1"/>
    <col min="6" max="6" width="14.42578125" style="1" customWidth="1"/>
    <col min="7" max="7" width="17" style="1" customWidth="1"/>
    <col min="8" max="8" width="16.5703125" style="1" customWidth="1"/>
    <col min="9" max="9" width="17.5703125" style="3" customWidth="1"/>
    <col min="10" max="10" width="12.85546875" style="4" customWidth="1"/>
    <col min="11" max="11" width="8.85546875" style="1" customWidth="1"/>
    <col min="12" max="12" width="5.5703125" style="1" customWidth="1"/>
    <col min="13" max="13" width="17.140625" style="3" customWidth="1"/>
    <col min="14" max="14" width="6.28515625" style="4" customWidth="1"/>
    <col min="15" max="17" width="19.85546875" style="4" customWidth="1"/>
    <col min="18" max="18" width="9.85546875" style="1" customWidth="1"/>
    <col min="19" max="19" width="7.85546875" style="1" customWidth="1"/>
    <col min="20" max="20" width="7.28515625" style="1" customWidth="1"/>
    <col min="21" max="22" width="9.140625" style="1"/>
    <col min="23" max="23" width="13.5703125" style="1" customWidth="1"/>
    <col min="24" max="24" width="9.140625" style="1" customWidth="1"/>
    <col min="25" max="16384" width="9.140625" style="1"/>
  </cols>
  <sheetData>
    <row r="1" spans="2:24" ht="1.5" customHeight="1" x14ac:dyDescent="0.2">
      <c r="N1" s="101"/>
      <c r="O1" s="102"/>
      <c r="P1" s="102"/>
      <c r="Q1" s="102"/>
      <c r="R1" s="102"/>
      <c r="S1" s="102"/>
      <c r="T1" s="103"/>
    </row>
    <row r="2" spans="2:24" ht="27" customHeight="1" x14ac:dyDescent="0.2">
      <c r="B2" s="135" t="s">
        <v>38</v>
      </c>
      <c r="C2" s="107" t="s">
        <v>63</v>
      </c>
      <c r="D2" s="108"/>
      <c r="E2" s="108"/>
      <c r="F2" s="108"/>
      <c r="G2" s="108"/>
      <c r="H2" s="108"/>
      <c r="I2" s="108"/>
      <c r="J2" s="108"/>
      <c r="K2" s="108"/>
      <c r="L2" s="108"/>
      <c r="M2" s="109"/>
      <c r="N2" s="104" t="s">
        <v>62</v>
      </c>
      <c r="O2" s="105"/>
      <c r="P2" s="105"/>
      <c r="Q2" s="105"/>
      <c r="R2" s="105"/>
      <c r="S2" s="105"/>
      <c r="T2" s="106"/>
    </row>
    <row r="3" spans="2:24" ht="27" customHeight="1" x14ac:dyDescent="0.2">
      <c r="B3" s="136"/>
      <c r="C3" s="110"/>
      <c r="D3" s="111"/>
      <c r="E3" s="111"/>
      <c r="F3" s="111"/>
      <c r="G3" s="111"/>
      <c r="H3" s="111"/>
      <c r="I3" s="111"/>
      <c r="J3" s="111"/>
      <c r="K3" s="111"/>
      <c r="L3" s="111"/>
      <c r="M3" s="112"/>
      <c r="N3" s="104" t="s">
        <v>58</v>
      </c>
      <c r="O3" s="105"/>
      <c r="P3" s="105"/>
      <c r="Q3" s="105"/>
      <c r="R3" s="105"/>
      <c r="S3" s="105"/>
      <c r="T3" s="106"/>
    </row>
    <row r="4" spans="2:24" ht="45" customHeight="1" x14ac:dyDescent="0.2">
      <c r="B4" s="137"/>
      <c r="C4" s="138" t="s">
        <v>56</v>
      </c>
      <c r="D4" s="139"/>
      <c r="E4" s="139"/>
      <c r="F4" s="139"/>
      <c r="G4" s="140"/>
      <c r="H4" s="104" t="s">
        <v>57</v>
      </c>
      <c r="I4" s="105"/>
      <c r="J4" s="105"/>
      <c r="K4" s="105"/>
      <c r="L4" s="105"/>
      <c r="M4" s="106"/>
      <c r="N4" s="104" t="s">
        <v>59</v>
      </c>
      <c r="O4" s="105"/>
      <c r="P4" s="105"/>
      <c r="Q4" s="105"/>
      <c r="R4" s="105"/>
      <c r="S4" s="105"/>
      <c r="T4" s="106"/>
    </row>
    <row r="5" spans="2:24" ht="4.5" customHeight="1" x14ac:dyDescent="0.2">
      <c r="B5" s="115"/>
      <c r="C5" s="115"/>
      <c r="D5" s="115"/>
      <c r="E5" s="115"/>
      <c r="F5" s="115"/>
      <c r="G5" s="115"/>
      <c r="H5" s="115"/>
      <c r="I5" s="115"/>
      <c r="J5" s="115"/>
      <c r="K5" s="115"/>
      <c r="L5" s="115"/>
      <c r="M5" s="115"/>
      <c r="N5" s="115"/>
      <c r="O5" s="115"/>
      <c r="P5" s="115"/>
      <c r="Q5" s="115"/>
      <c r="R5" s="115"/>
      <c r="S5" s="115"/>
      <c r="T5" s="115"/>
    </row>
    <row r="6" spans="2:24" ht="48" customHeight="1" x14ac:dyDescent="0.2">
      <c r="B6" s="22" t="s">
        <v>1</v>
      </c>
      <c r="C6" s="145" t="s">
        <v>64</v>
      </c>
      <c r="D6" s="146"/>
      <c r="E6" s="146"/>
      <c r="F6" s="146"/>
      <c r="G6" s="146"/>
      <c r="H6" s="146"/>
      <c r="I6" s="147"/>
      <c r="J6" s="150" t="s">
        <v>0</v>
      </c>
      <c r="K6" s="151"/>
      <c r="L6" s="152"/>
      <c r="M6" s="121" t="s">
        <v>40</v>
      </c>
      <c r="N6" s="122"/>
      <c r="O6" s="122"/>
      <c r="P6" s="122"/>
      <c r="Q6" s="122"/>
      <c r="R6" s="122"/>
      <c r="S6" s="122"/>
      <c r="T6" s="123"/>
    </row>
    <row r="7" spans="2:24" ht="46.5" customHeight="1" x14ac:dyDescent="0.2">
      <c r="B7" s="23" t="s">
        <v>2</v>
      </c>
      <c r="C7" s="145" t="s">
        <v>65</v>
      </c>
      <c r="D7" s="146"/>
      <c r="E7" s="146"/>
      <c r="F7" s="146"/>
      <c r="G7" s="146"/>
      <c r="H7" s="146"/>
      <c r="I7" s="147"/>
      <c r="J7" s="153"/>
      <c r="K7" s="154"/>
      <c r="L7" s="155"/>
      <c r="M7" s="124"/>
      <c r="N7" s="125"/>
      <c r="O7" s="125"/>
      <c r="P7" s="125"/>
      <c r="Q7" s="125"/>
      <c r="R7" s="125"/>
      <c r="S7" s="125"/>
      <c r="T7" s="126"/>
    </row>
    <row r="8" spans="2:24" ht="4.5" customHeight="1" x14ac:dyDescent="0.2">
      <c r="B8" s="116"/>
      <c r="C8" s="117"/>
      <c r="D8" s="117"/>
      <c r="E8" s="117"/>
      <c r="F8" s="117"/>
      <c r="G8" s="117"/>
      <c r="H8" s="117"/>
      <c r="I8" s="117"/>
      <c r="J8" s="117"/>
      <c r="K8" s="117"/>
      <c r="L8" s="117"/>
      <c r="M8" s="117"/>
      <c r="N8" s="117"/>
      <c r="O8" s="117"/>
      <c r="P8" s="117"/>
      <c r="Q8" s="117"/>
      <c r="R8" s="117"/>
      <c r="S8" s="117"/>
      <c r="T8" s="118"/>
    </row>
    <row r="9" spans="2:24" ht="28.5" customHeight="1" x14ac:dyDescent="0.2">
      <c r="B9" s="25" t="s">
        <v>8</v>
      </c>
      <c r="C9" s="89">
        <v>45139</v>
      </c>
      <c r="D9" s="90"/>
      <c r="E9" s="91"/>
      <c r="F9" s="141" t="s">
        <v>5</v>
      </c>
      <c r="G9" s="141"/>
      <c r="H9" s="104" t="s">
        <v>61</v>
      </c>
      <c r="I9" s="105"/>
      <c r="J9" s="141" t="s">
        <v>11</v>
      </c>
      <c r="K9" s="141"/>
      <c r="L9" s="141"/>
      <c r="M9" s="87" t="s">
        <v>60</v>
      </c>
      <c r="N9" s="87"/>
      <c r="O9" s="87"/>
      <c r="P9" s="87"/>
      <c r="Q9" s="87"/>
      <c r="R9" s="87"/>
      <c r="S9" s="87"/>
      <c r="T9" s="87"/>
    </row>
    <row r="10" spans="2:24" ht="4.5" customHeight="1" x14ac:dyDescent="0.2">
      <c r="B10" s="115"/>
      <c r="C10" s="115"/>
      <c r="D10" s="115"/>
      <c r="E10" s="115"/>
      <c r="F10" s="115"/>
      <c r="G10" s="115"/>
      <c r="H10" s="115"/>
      <c r="I10" s="115"/>
      <c r="J10" s="115"/>
      <c r="K10" s="115"/>
      <c r="L10" s="115"/>
      <c r="M10" s="115"/>
      <c r="N10" s="115"/>
      <c r="O10" s="115"/>
      <c r="P10" s="115"/>
      <c r="Q10" s="115"/>
      <c r="R10" s="115"/>
      <c r="S10" s="115"/>
      <c r="T10" s="115"/>
    </row>
    <row r="11" spans="2:24" ht="18.75" customHeight="1" x14ac:dyDescent="0.2">
      <c r="B11" s="142" t="s">
        <v>39</v>
      </c>
      <c r="C11" s="142"/>
      <c r="D11" s="142"/>
      <c r="E11" s="142"/>
      <c r="F11" s="142"/>
      <c r="G11" s="142"/>
      <c r="H11" s="142"/>
      <c r="I11" s="142" t="s">
        <v>27</v>
      </c>
      <c r="J11" s="142"/>
      <c r="K11" s="142"/>
      <c r="L11" s="142"/>
      <c r="M11" s="142"/>
      <c r="N11" s="148"/>
      <c r="O11" s="48" t="s">
        <v>45</v>
      </c>
      <c r="P11" s="48" t="s">
        <v>49</v>
      </c>
      <c r="Q11" s="48" t="s">
        <v>158</v>
      </c>
      <c r="R11" s="142" t="s">
        <v>12</v>
      </c>
      <c r="S11" s="142"/>
      <c r="T11" s="142"/>
    </row>
    <row r="12" spans="2:24" ht="18.75" customHeight="1" x14ac:dyDescent="0.2">
      <c r="B12" s="119" t="s">
        <v>41</v>
      </c>
      <c r="C12" s="127" t="s">
        <v>6</v>
      </c>
      <c r="D12" s="128"/>
      <c r="E12" s="127" t="s">
        <v>26</v>
      </c>
      <c r="F12" s="128"/>
      <c r="G12" s="131" t="s">
        <v>25</v>
      </c>
      <c r="H12" s="132"/>
      <c r="I12" s="113" t="s">
        <v>28</v>
      </c>
      <c r="J12" s="113"/>
      <c r="K12" s="149" t="s">
        <v>7</v>
      </c>
      <c r="L12" s="149"/>
      <c r="M12" s="113" t="s">
        <v>29</v>
      </c>
      <c r="N12" s="114"/>
      <c r="O12" s="49"/>
      <c r="P12" s="49"/>
      <c r="Q12" s="49"/>
      <c r="R12" s="142"/>
      <c r="S12" s="142"/>
      <c r="T12" s="142"/>
    </row>
    <row r="13" spans="2:24" ht="18.75" customHeight="1" x14ac:dyDescent="0.2">
      <c r="B13" s="120"/>
      <c r="C13" s="129"/>
      <c r="D13" s="130"/>
      <c r="E13" s="129"/>
      <c r="F13" s="130"/>
      <c r="G13" s="133"/>
      <c r="H13" s="134"/>
      <c r="I13" s="27" t="s">
        <v>9</v>
      </c>
      <c r="J13" s="27" t="s">
        <v>10</v>
      </c>
      <c r="K13" s="26" t="s">
        <v>3</v>
      </c>
      <c r="L13" s="26" t="s">
        <v>4</v>
      </c>
      <c r="M13" s="27" t="s">
        <v>9</v>
      </c>
      <c r="N13" s="28" t="s">
        <v>10</v>
      </c>
      <c r="O13" s="50"/>
      <c r="P13" s="50"/>
      <c r="Q13" s="50"/>
      <c r="R13" s="142"/>
      <c r="S13" s="142"/>
      <c r="T13" s="142"/>
      <c r="X13" s="5"/>
    </row>
    <row r="14" spans="2:24" ht="17.25" customHeight="1" x14ac:dyDescent="0.2">
      <c r="B14" s="29"/>
      <c r="C14" s="30"/>
      <c r="D14" s="30"/>
      <c r="E14" s="30"/>
      <c r="F14" s="30"/>
      <c r="G14" s="30"/>
      <c r="H14" s="30"/>
      <c r="I14" s="31"/>
      <c r="J14" s="31"/>
      <c r="K14" s="30"/>
      <c r="L14" s="30"/>
      <c r="M14" s="31"/>
      <c r="N14" s="31"/>
      <c r="O14" s="31"/>
      <c r="P14" s="31"/>
      <c r="Q14" s="31"/>
      <c r="R14" s="99"/>
      <c r="S14" s="99"/>
      <c r="T14" s="99"/>
      <c r="X14" s="5"/>
    </row>
    <row r="15" spans="2:24" ht="122.25" customHeight="1" x14ac:dyDescent="0.2">
      <c r="B15" s="33" t="s">
        <v>149</v>
      </c>
      <c r="C15" s="54" t="s">
        <v>162</v>
      </c>
      <c r="D15" s="55"/>
      <c r="E15" s="51" t="s">
        <v>150</v>
      </c>
      <c r="F15" s="51"/>
      <c r="G15" s="51" t="s">
        <v>101</v>
      </c>
      <c r="H15" s="51"/>
      <c r="I15" s="6" t="s">
        <v>13</v>
      </c>
      <c r="J15" s="7">
        <v>5</v>
      </c>
      <c r="K15" s="8"/>
      <c r="L15" s="8" t="s">
        <v>4</v>
      </c>
      <c r="M15" s="6" t="s">
        <v>13</v>
      </c>
      <c r="N15" s="18">
        <v>5</v>
      </c>
      <c r="O15" s="18" t="s">
        <v>46</v>
      </c>
      <c r="P15" s="18" t="s">
        <v>50</v>
      </c>
      <c r="Q15" s="18"/>
      <c r="R15" s="57"/>
      <c r="S15" s="57"/>
      <c r="T15" s="57"/>
      <c r="X15" s="5"/>
    </row>
    <row r="16" spans="2:24" ht="84.75" customHeight="1" x14ac:dyDescent="0.2">
      <c r="B16" s="33" t="s">
        <v>106</v>
      </c>
      <c r="C16" s="54" t="s">
        <v>138</v>
      </c>
      <c r="D16" s="55"/>
      <c r="E16" s="51" t="s">
        <v>150</v>
      </c>
      <c r="F16" s="51"/>
      <c r="G16" s="51" t="s">
        <v>84</v>
      </c>
      <c r="H16" s="51"/>
      <c r="I16" s="6" t="s">
        <v>13</v>
      </c>
      <c r="J16" s="7">
        <v>18</v>
      </c>
      <c r="K16" s="8"/>
      <c r="L16" s="8" t="s">
        <v>4</v>
      </c>
      <c r="M16" s="6" t="s">
        <v>13</v>
      </c>
      <c r="N16" s="18">
        <v>18</v>
      </c>
      <c r="O16" s="18" t="s">
        <v>46</v>
      </c>
      <c r="P16" s="18" t="s">
        <v>52</v>
      </c>
      <c r="Q16" s="18"/>
      <c r="R16" s="57"/>
      <c r="S16" s="57"/>
      <c r="T16" s="57"/>
      <c r="X16" s="5"/>
    </row>
    <row r="17" spans="2:24" ht="84.75" customHeight="1" x14ac:dyDescent="0.2">
      <c r="B17" s="33" t="s">
        <v>125</v>
      </c>
      <c r="C17" s="54" t="s">
        <v>163</v>
      </c>
      <c r="D17" s="55"/>
      <c r="E17" s="51" t="s">
        <v>160</v>
      </c>
      <c r="F17" s="51"/>
      <c r="G17" s="51" t="s">
        <v>90</v>
      </c>
      <c r="H17" s="51"/>
      <c r="I17" s="6" t="s">
        <v>13</v>
      </c>
      <c r="J17" s="7">
        <v>25</v>
      </c>
      <c r="K17" s="8"/>
      <c r="L17" s="8" t="s">
        <v>4</v>
      </c>
      <c r="M17" s="6" t="s">
        <v>13</v>
      </c>
      <c r="N17" s="18">
        <v>25</v>
      </c>
      <c r="O17" s="18" t="s">
        <v>46</v>
      </c>
      <c r="P17" s="18" t="s">
        <v>50</v>
      </c>
      <c r="Q17" s="18"/>
      <c r="R17" s="57"/>
      <c r="S17" s="57"/>
      <c r="T17" s="57"/>
      <c r="X17" s="5"/>
    </row>
    <row r="18" spans="2:24" ht="111" customHeight="1" x14ac:dyDescent="0.2">
      <c r="B18" s="21" t="s">
        <v>100</v>
      </c>
      <c r="C18" s="56" t="s">
        <v>166</v>
      </c>
      <c r="D18" s="56"/>
      <c r="E18" s="51" t="s">
        <v>150</v>
      </c>
      <c r="F18" s="51"/>
      <c r="G18" s="51" t="s">
        <v>101</v>
      </c>
      <c r="H18" s="51"/>
      <c r="I18" s="6" t="s">
        <v>14</v>
      </c>
      <c r="J18" s="7">
        <v>14</v>
      </c>
      <c r="K18" s="8"/>
      <c r="L18" s="8" t="s">
        <v>4</v>
      </c>
      <c r="M18" s="6" t="s">
        <v>14</v>
      </c>
      <c r="N18" s="18">
        <v>14</v>
      </c>
      <c r="O18" s="18" t="s">
        <v>46</v>
      </c>
      <c r="P18" s="18" t="s">
        <v>50</v>
      </c>
      <c r="Q18" s="18"/>
      <c r="R18" s="57"/>
      <c r="S18" s="57"/>
      <c r="T18" s="57"/>
      <c r="X18" s="5"/>
    </row>
    <row r="19" spans="2:24" ht="74.25" customHeight="1" x14ac:dyDescent="0.2">
      <c r="B19" s="21" t="s">
        <v>99</v>
      </c>
      <c r="C19" s="56" t="s">
        <v>164</v>
      </c>
      <c r="D19" s="56"/>
      <c r="E19" s="51" t="s">
        <v>150</v>
      </c>
      <c r="F19" s="51"/>
      <c r="G19" s="51" t="s">
        <v>101</v>
      </c>
      <c r="H19" s="51"/>
      <c r="I19" s="6" t="s">
        <v>14</v>
      </c>
      <c r="J19" s="7">
        <v>14</v>
      </c>
      <c r="K19" s="8"/>
      <c r="L19" s="8" t="s">
        <v>4</v>
      </c>
      <c r="M19" s="6" t="s">
        <v>14</v>
      </c>
      <c r="N19" s="18">
        <v>14</v>
      </c>
      <c r="O19" s="18" t="s">
        <v>46</v>
      </c>
      <c r="P19" s="18" t="s">
        <v>50</v>
      </c>
      <c r="Q19" s="18"/>
      <c r="R19" s="57"/>
      <c r="S19" s="57"/>
      <c r="T19" s="57"/>
      <c r="X19" s="5"/>
    </row>
    <row r="20" spans="2:24" ht="84.75" customHeight="1" x14ac:dyDescent="0.2">
      <c r="B20" s="33" t="s">
        <v>107</v>
      </c>
      <c r="C20" s="54" t="s">
        <v>165</v>
      </c>
      <c r="D20" s="55"/>
      <c r="E20" s="51" t="s">
        <v>150</v>
      </c>
      <c r="F20" s="51"/>
      <c r="G20" s="51" t="s">
        <v>118</v>
      </c>
      <c r="H20" s="51"/>
      <c r="I20" s="6" t="s">
        <v>14</v>
      </c>
      <c r="J20" s="7">
        <v>23</v>
      </c>
      <c r="K20" s="8"/>
      <c r="L20" s="8" t="s">
        <v>4</v>
      </c>
      <c r="M20" s="6" t="s">
        <v>14</v>
      </c>
      <c r="N20" s="18">
        <v>23</v>
      </c>
      <c r="O20" s="18" t="s">
        <v>46</v>
      </c>
      <c r="P20" s="18" t="s">
        <v>52</v>
      </c>
      <c r="Q20" s="18"/>
      <c r="R20" s="59"/>
      <c r="S20" s="60"/>
      <c r="T20" s="58"/>
      <c r="X20" s="5"/>
    </row>
    <row r="21" spans="2:24" ht="84.75" customHeight="1" x14ac:dyDescent="0.2">
      <c r="B21" s="21" t="s">
        <v>42</v>
      </c>
      <c r="C21" s="54" t="s">
        <v>167</v>
      </c>
      <c r="D21" s="55"/>
      <c r="E21" s="51" t="s">
        <v>43</v>
      </c>
      <c r="F21" s="51"/>
      <c r="G21" s="51" t="s">
        <v>44</v>
      </c>
      <c r="H21" s="51"/>
      <c r="I21" s="6" t="s">
        <v>15</v>
      </c>
      <c r="J21" s="7">
        <v>29</v>
      </c>
      <c r="K21" s="8"/>
      <c r="L21" s="8" t="s">
        <v>4</v>
      </c>
      <c r="M21" s="18" t="s">
        <v>15</v>
      </c>
      <c r="N21" s="18">
        <v>29</v>
      </c>
      <c r="O21" s="18" t="s">
        <v>46</v>
      </c>
      <c r="P21" s="18" t="s">
        <v>50</v>
      </c>
      <c r="Q21" s="18"/>
      <c r="R21" s="59"/>
      <c r="S21" s="60"/>
      <c r="T21" s="58"/>
      <c r="X21" s="5"/>
    </row>
    <row r="22" spans="2:24" ht="84.75" customHeight="1" x14ac:dyDescent="0.2">
      <c r="B22" s="33" t="s">
        <v>129</v>
      </c>
      <c r="C22" s="54" t="s">
        <v>168</v>
      </c>
      <c r="D22" s="55"/>
      <c r="E22" s="51" t="s">
        <v>131</v>
      </c>
      <c r="F22" s="51"/>
      <c r="G22" s="51" t="s">
        <v>130</v>
      </c>
      <c r="H22" s="51"/>
      <c r="I22" s="6" t="s">
        <v>15</v>
      </c>
      <c r="J22" s="7">
        <v>31</v>
      </c>
      <c r="K22" s="8"/>
      <c r="L22" s="8" t="s">
        <v>4</v>
      </c>
      <c r="M22" s="6" t="s">
        <v>15</v>
      </c>
      <c r="N22" s="18">
        <v>31</v>
      </c>
      <c r="O22" s="18" t="s">
        <v>46</v>
      </c>
      <c r="P22" s="18" t="s">
        <v>50</v>
      </c>
      <c r="Q22" s="18"/>
      <c r="R22" s="59"/>
      <c r="S22" s="60"/>
      <c r="T22" s="58"/>
      <c r="X22" s="5"/>
    </row>
    <row r="23" spans="2:24" ht="102.75" customHeight="1" x14ac:dyDescent="0.2">
      <c r="B23" s="33" t="s">
        <v>133</v>
      </c>
      <c r="C23" s="54" t="s">
        <v>198</v>
      </c>
      <c r="D23" s="55"/>
      <c r="E23" s="51" t="s">
        <v>134</v>
      </c>
      <c r="F23" s="51"/>
      <c r="G23" s="51" t="s">
        <v>135</v>
      </c>
      <c r="H23" s="51"/>
      <c r="I23" s="6" t="s">
        <v>16</v>
      </c>
      <c r="J23" s="7">
        <v>13</v>
      </c>
      <c r="K23" s="8"/>
      <c r="L23" s="8" t="s">
        <v>4</v>
      </c>
      <c r="M23" s="6" t="s">
        <v>16</v>
      </c>
      <c r="N23" s="18">
        <v>13</v>
      </c>
      <c r="O23" s="18" t="s">
        <v>46</v>
      </c>
      <c r="P23" s="18" t="s">
        <v>50</v>
      </c>
      <c r="Q23" s="18"/>
      <c r="R23" s="59"/>
      <c r="S23" s="60"/>
      <c r="T23" s="58"/>
      <c r="X23" s="5"/>
    </row>
    <row r="24" spans="2:24" ht="69" customHeight="1" x14ac:dyDescent="0.2">
      <c r="B24" s="21" t="s">
        <v>66</v>
      </c>
      <c r="C24" s="54" t="s">
        <v>197</v>
      </c>
      <c r="D24" s="55"/>
      <c r="E24" s="51" t="s">
        <v>150</v>
      </c>
      <c r="F24" s="51"/>
      <c r="G24" s="51" t="s">
        <v>67</v>
      </c>
      <c r="H24" s="51"/>
      <c r="I24" s="6" t="s">
        <v>16</v>
      </c>
      <c r="J24" s="7">
        <v>20</v>
      </c>
      <c r="K24" s="8"/>
      <c r="L24" s="8" t="s">
        <v>4</v>
      </c>
      <c r="M24" s="6" t="s">
        <v>16</v>
      </c>
      <c r="N24" s="18">
        <v>13</v>
      </c>
      <c r="O24" s="18" t="s">
        <v>46</v>
      </c>
      <c r="P24" s="18" t="s">
        <v>68</v>
      </c>
      <c r="Q24" s="18"/>
      <c r="R24" s="57"/>
      <c r="S24" s="57"/>
      <c r="T24" s="57"/>
      <c r="X24" s="5"/>
    </row>
    <row r="25" spans="2:24" ht="102" customHeight="1" x14ac:dyDescent="0.2">
      <c r="B25" s="21" t="s">
        <v>147</v>
      </c>
      <c r="C25" s="54" t="s">
        <v>199</v>
      </c>
      <c r="D25" s="55"/>
      <c r="E25" s="51" t="s">
        <v>145</v>
      </c>
      <c r="F25" s="51"/>
      <c r="G25" s="51" t="s">
        <v>148</v>
      </c>
      <c r="H25" s="51"/>
      <c r="I25" s="6" t="s">
        <v>16</v>
      </c>
      <c r="J25" s="7">
        <v>25</v>
      </c>
      <c r="K25" s="8"/>
      <c r="L25" s="8" t="s">
        <v>4</v>
      </c>
      <c r="M25" s="6" t="s">
        <v>16</v>
      </c>
      <c r="N25" s="18">
        <v>25</v>
      </c>
      <c r="O25" s="18" t="s">
        <v>46</v>
      </c>
      <c r="P25" s="18" t="s">
        <v>50</v>
      </c>
      <c r="Q25" s="18"/>
      <c r="R25" s="57"/>
      <c r="S25" s="57"/>
      <c r="T25" s="57"/>
      <c r="X25" s="5"/>
    </row>
    <row r="26" spans="2:24" ht="78.75" customHeight="1" x14ac:dyDescent="0.2">
      <c r="B26" s="21" t="s">
        <v>144</v>
      </c>
      <c r="C26" s="54" t="s">
        <v>200</v>
      </c>
      <c r="D26" s="55"/>
      <c r="E26" s="51" t="s">
        <v>145</v>
      </c>
      <c r="F26" s="51"/>
      <c r="G26" s="51" t="s">
        <v>146</v>
      </c>
      <c r="H26" s="51"/>
      <c r="I26" s="6" t="s">
        <v>16</v>
      </c>
      <c r="J26" s="7">
        <v>25</v>
      </c>
      <c r="K26" s="8"/>
      <c r="L26" s="8" t="s">
        <v>4</v>
      </c>
      <c r="M26" s="6" t="s">
        <v>16</v>
      </c>
      <c r="N26" s="18">
        <v>25</v>
      </c>
      <c r="O26" s="18" t="s">
        <v>46</v>
      </c>
      <c r="P26" s="18" t="s">
        <v>50</v>
      </c>
      <c r="Q26" s="18"/>
      <c r="R26" s="57"/>
      <c r="S26" s="57"/>
      <c r="T26" s="57"/>
      <c r="X26" s="5"/>
    </row>
    <row r="27" spans="2:24" ht="85.5" customHeight="1" x14ac:dyDescent="0.2">
      <c r="B27" s="21" t="s">
        <v>69</v>
      </c>
      <c r="C27" s="54" t="s">
        <v>169</v>
      </c>
      <c r="D27" s="55"/>
      <c r="E27" s="51" t="s">
        <v>70</v>
      </c>
      <c r="F27" s="51"/>
      <c r="G27" s="51" t="s">
        <v>71</v>
      </c>
      <c r="H27" s="51"/>
      <c r="I27" s="6" t="s">
        <v>16</v>
      </c>
      <c r="J27" s="7">
        <v>28</v>
      </c>
      <c r="K27" s="8"/>
      <c r="L27" s="8" t="s">
        <v>4</v>
      </c>
      <c r="M27" s="6" t="s">
        <v>16</v>
      </c>
      <c r="N27" s="18">
        <v>28</v>
      </c>
      <c r="O27" s="18" t="s">
        <v>47</v>
      </c>
      <c r="P27" s="18" t="s">
        <v>68</v>
      </c>
      <c r="Q27" s="18"/>
      <c r="R27" s="57"/>
      <c r="S27" s="57"/>
      <c r="T27" s="57"/>
      <c r="X27" s="5"/>
    </row>
    <row r="28" spans="2:24" ht="73.5" customHeight="1" x14ac:dyDescent="0.2">
      <c r="B28" s="21" t="s">
        <v>140</v>
      </c>
      <c r="C28" s="54" t="s">
        <v>170</v>
      </c>
      <c r="D28" s="55"/>
      <c r="E28" s="52" t="s">
        <v>139</v>
      </c>
      <c r="F28" s="53"/>
      <c r="G28" s="52" t="s">
        <v>121</v>
      </c>
      <c r="H28" s="53"/>
      <c r="I28" s="6" t="s">
        <v>17</v>
      </c>
      <c r="J28" s="7">
        <v>9</v>
      </c>
      <c r="K28" s="8"/>
      <c r="L28" s="8" t="s">
        <v>4</v>
      </c>
      <c r="M28" s="6" t="s">
        <v>17</v>
      </c>
      <c r="N28" s="18">
        <v>9</v>
      </c>
      <c r="O28" s="18" t="s">
        <v>46</v>
      </c>
      <c r="P28" s="18" t="s">
        <v>50</v>
      </c>
      <c r="Q28" s="18"/>
      <c r="R28" s="59"/>
      <c r="S28" s="97"/>
      <c r="T28" s="98"/>
      <c r="X28" s="5"/>
    </row>
    <row r="29" spans="2:24" ht="83.25" customHeight="1" x14ac:dyDescent="0.2">
      <c r="B29" s="33" t="s">
        <v>72</v>
      </c>
      <c r="C29" s="54" t="s">
        <v>171</v>
      </c>
      <c r="D29" s="55"/>
      <c r="E29" s="51" t="s">
        <v>141</v>
      </c>
      <c r="F29" s="51"/>
      <c r="G29" s="94" t="s">
        <v>74</v>
      </c>
      <c r="H29" s="95"/>
      <c r="I29" s="6" t="s">
        <v>17</v>
      </c>
      <c r="J29" s="7">
        <v>15</v>
      </c>
      <c r="K29" s="8"/>
      <c r="L29" s="8" t="s">
        <v>4</v>
      </c>
      <c r="M29" s="6" t="s">
        <v>17</v>
      </c>
      <c r="N29" s="18">
        <v>15</v>
      </c>
      <c r="O29" s="18" t="s">
        <v>46</v>
      </c>
      <c r="P29" s="18" t="s">
        <v>50</v>
      </c>
      <c r="Q29" s="18"/>
      <c r="R29" s="57"/>
      <c r="S29" s="57"/>
      <c r="T29" s="57"/>
      <c r="X29" s="5"/>
    </row>
    <row r="30" spans="2:24" ht="87" customHeight="1" x14ac:dyDescent="0.2">
      <c r="B30" s="21" t="s">
        <v>75</v>
      </c>
      <c r="C30" s="54" t="s">
        <v>142</v>
      </c>
      <c r="D30" s="55"/>
      <c r="E30" s="51" t="s">
        <v>76</v>
      </c>
      <c r="F30" s="51"/>
      <c r="G30" s="51" t="s">
        <v>77</v>
      </c>
      <c r="H30" s="51"/>
      <c r="I30" s="6" t="s">
        <v>17</v>
      </c>
      <c r="J30" s="7">
        <v>15</v>
      </c>
      <c r="K30" s="8"/>
      <c r="L30" s="8" t="s">
        <v>4</v>
      </c>
      <c r="M30" s="6" t="s">
        <v>17</v>
      </c>
      <c r="N30" s="18">
        <v>15</v>
      </c>
      <c r="O30" s="18" t="s">
        <v>47</v>
      </c>
      <c r="P30" s="18" t="s">
        <v>50</v>
      </c>
      <c r="Q30" s="18"/>
      <c r="R30" s="57"/>
      <c r="S30" s="57"/>
      <c r="T30" s="57"/>
      <c r="X30" s="5"/>
    </row>
    <row r="31" spans="2:24" ht="87.75" customHeight="1" x14ac:dyDescent="0.2">
      <c r="B31" s="21" t="s">
        <v>78</v>
      </c>
      <c r="C31" s="54" t="s">
        <v>172</v>
      </c>
      <c r="D31" s="55"/>
      <c r="E31" s="51" t="s">
        <v>76</v>
      </c>
      <c r="F31" s="51"/>
      <c r="G31" s="51" t="s">
        <v>77</v>
      </c>
      <c r="H31" s="51"/>
      <c r="I31" s="6" t="s">
        <v>17</v>
      </c>
      <c r="J31" s="7">
        <v>16</v>
      </c>
      <c r="K31" s="8"/>
      <c r="L31" s="8" t="s">
        <v>4</v>
      </c>
      <c r="M31" s="6" t="s">
        <v>17</v>
      </c>
      <c r="N31" s="18">
        <v>16</v>
      </c>
      <c r="O31" s="18" t="s">
        <v>47</v>
      </c>
      <c r="P31" s="18" t="s">
        <v>50</v>
      </c>
      <c r="Q31" s="18"/>
      <c r="R31" s="57"/>
      <c r="S31" s="57"/>
      <c r="T31" s="57"/>
      <c r="X31" s="5"/>
    </row>
    <row r="32" spans="2:24" ht="87.75" customHeight="1" x14ac:dyDescent="0.2">
      <c r="B32" s="33" t="s">
        <v>102</v>
      </c>
      <c r="C32" s="54" t="s">
        <v>173</v>
      </c>
      <c r="D32" s="55"/>
      <c r="E32" s="51" t="s">
        <v>141</v>
      </c>
      <c r="F32" s="51"/>
      <c r="G32" s="51" t="s">
        <v>103</v>
      </c>
      <c r="H32" s="51"/>
      <c r="I32" s="6" t="s">
        <v>17</v>
      </c>
      <c r="J32" s="7">
        <v>17</v>
      </c>
      <c r="K32" s="8"/>
      <c r="L32" s="8" t="s">
        <v>4</v>
      </c>
      <c r="M32" s="6" t="s">
        <v>17</v>
      </c>
      <c r="N32" s="18">
        <v>17</v>
      </c>
      <c r="O32" s="18" t="s">
        <v>46</v>
      </c>
      <c r="P32" s="18" t="s">
        <v>50</v>
      </c>
      <c r="Q32" s="18"/>
      <c r="R32" s="57"/>
      <c r="S32" s="57"/>
      <c r="T32" s="57"/>
      <c r="X32" s="5"/>
    </row>
    <row r="33" spans="2:24" ht="87.75" customHeight="1" x14ac:dyDescent="0.2">
      <c r="B33" s="33" t="s">
        <v>79</v>
      </c>
      <c r="C33" s="54" t="s">
        <v>174</v>
      </c>
      <c r="D33" s="55"/>
      <c r="E33" s="51" t="s">
        <v>80</v>
      </c>
      <c r="F33" s="51"/>
      <c r="G33" s="51" t="s">
        <v>77</v>
      </c>
      <c r="H33" s="51"/>
      <c r="I33" s="6" t="s">
        <v>17</v>
      </c>
      <c r="J33" s="7">
        <v>18</v>
      </c>
      <c r="K33" s="8"/>
      <c r="L33" s="8" t="s">
        <v>4</v>
      </c>
      <c r="M33" s="6" t="s">
        <v>17</v>
      </c>
      <c r="N33" s="18">
        <v>18</v>
      </c>
      <c r="O33" s="18" t="s">
        <v>47</v>
      </c>
      <c r="P33" s="18" t="s">
        <v>50</v>
      </c>
      <c r="Q33" s="18"/>
      <c r="R33" s="57"/>
      <c r="S33" s="57"/>
      <c r="T33" s="57"/>
      <c r="X33" s="5"/>
    </row>
    <row r="34" spans="2:24" ht="87.75" customHeight="1" x14ac:dyDescent="0.2">
      <c r="B34" s="33" t="s">
        <v>136</v>
      </c>
      <c r="C34" s="54" t="s">
        <v>151</v>
      </c>
      <c r="D34" s="55"/>
      <c r="E34" s="51" t="s">
        <v>80</v>
      </c>
      <c r="F34" s="51"/>
      <c r="G34" s="51" t="s">
        <v>124</v>
      </c>
      <c r="H34" s="51"/>
      <c r="I34" s="6" t="s">
        <v>17</v>
      </c>
      <c r="J34" s="7">
        <v>30</v>
      </c>
      <c r="K34" s="8"/>
      <c r="L34" s="8" t="s">
        <v>4</v>
      </c>
      <c r="M34" s="6" t="s">
        <v>17</v>
      </c>
      <c r="N34" s="18">
        <v>30</v>
      </c>
      <c r="O34" s="18" t="s">
        <v>46</v>
      </c>
      <c r="P34" s="18" t="s">
        <v>50</v>
      </c>
      <c r="Q34" s="18"/>
      <c r="R34" s="57"/>
      <c r="S34" s="57"/>
      <c r="T34" s="57"/>
      <c r="X34" s="5"/>
    </row>
    <row r="35" spans="2:24" ht="87.75" customHeight="1" x14ac:dyDescent="0.2">
      <c r="B35" s="21" t="s">
        <v>81</v>
      </c>
      <c r="C35" s="54" t="s">
        <v>175</v>
      </c>
      <c r="D35" s="55"/>
      <c r="E35" s="51" t="s">
        <v>150</v>
      </c>
      <c r="F35" s="51"/>
      <c r="G35" s="51" t="s">
        <v>82</v>
      </c>
      <c r="H35" s="51"/>
      <c r="I35" s="6" t="s">
        <v>18</v>
      </c>
      <c r="J35" s="7">
        <v>8</v>
      </c>
      <c r="K35" s="8"/>
      <c r="L35" s="8" t="s">
        <v>4</v>
      </c>
      <c r="M35" s="6" t="s">
        <v>18</v>
      </c>
      <c r="N35" s="18">
        <v>8</v>
      </c>
      <c r="O35" s="18" t="s">
        <v>46</v>
      </c>
      <c r="P35" s="18" t="s">
        <v>50</v>
      </c>
      <c r="Q35" s="18"/>
      <c r="R35" s="57"/>
      <c r="S35" s="57"/>
      <c r="T35" s="57"/>
      <c r="X35" s="5"/>
    </row>
    <row r="36" spans="2:24" ht="113.25" customHeight="1" x14ac:dyDescent="0.2">
      <c r="B36" s="33" t="s">
        <v>85</v>
      </c>
      <c r="C36" s="54" t="s">
        <v>176</v>
      </c>
      <c r="D36" s="55"/>
      <c r="E36" s="51" t="s">
        <v>150</v>
      </c>
      <c r="F36" s="51"/>
      <c r="G36" s="51" t="s">
        <v>84</v>
      </c>
      <c r="H36" s="51"/>
      <c r="I36" s="6" t="s">
        <v>18</v>
      </c>
      <c r="J36" s="7">
        <v>8</v>
      </c>
      <c r="K36" s="8"/>
      <c r="L36" s="8" t="s">
        <v>4</v>
      </c>
      <c r="M36" s="6" t="s">
        <v>18</v>
      </c>
      <c r="N36" s="18">
        <v>8</v>
      </c>
      <c r="O36" s="18" t="s">
        <v>46</v>
      </c>
      <c r="P36" s="18" t="s">
        <v>50</v>
      </c>
      <c r="Q36" s="18"/>
      <c r="R36" s="57"/>
      <c r="S36" s="57"/>
      <c r="T36" s="57"/>
      <c r="X36" s="5"/>
    </row>
    <row r="37" spans="2:24" ht="99.75" customHeight="1" x14ac:dyDescent="0.2">
      <c r="B37" s="21" t="s">
        <v>87</v>
      </c>
      <c r="C37" s="54" t="s">
        <v>177</v>
      </c>
      <c r="D37" s="55"/>
      <c r="E37" s="51" t="s">
        <v>73</v>
      </c>
      <c r="F37" s="51"/>
      <c r="G37" s="51" t="s">
        <v>88</v>
      </c>
      <c r="H37" s="51"/>
      <c r="I37" s="6" t="s">
        <v>18</v>
      </c>
      <c r="J37" s="7">
        <v>22</v>
      </c>
      <c r="K37" s="8"/>
      <c r="L37" s="8" t="s">
        <v>4</v>
      </c>
      <c r="M37" s="6" t="s">
        <v>18</v>
      </c>
      <c r="N37" s="18">
        <v>22</v>
      </c>
      <c r="O37" s="18" t="s">
        <v>46</v>
      </c>
      <c r="P37" s="18" t="s">
        <v>50</v>
      </c>
      <c r="Q37" s="18"/>
      <c r="R37" s="57"/>
      <c r="S37" s="57"/>
      <c r="T37" s="57"/>
      <c r="X37" s="5"/>
    </row>
    <row r="38" spans="2:24" ht="79.5" customHeight="1" x14ac:dyDescent="0.2">
      <c r="B38" s="21" t="s">
        <v>120</v>
      </c>
      <c r="C38" s="54" t="s">
        <v>178</v>
      </c>
      <c r="D38" s="55"/>
      <c r="E38" s="52" t="s">
        <v>122</v>
      </c>
      <c r="F38" s="53"/>
      <c r="G38" s="52" t="s">
        <v>121</v>
      </c>
      <c r="H38" s="53"/>
      <c r="I38" s="6" t="s">
        <v>18</v>
      </c>
      <c r="J38" s="7">
        <v>26</v>
      </c>
      <c r="K38" s="8"/>
      <c r="L38" s="8" t="s">
        <v>4</v>
      </c>
      <c r="M38" s="6" t="s">
        <v>18</v>
      </c>
      <c r="N38" s="18">
        <v>26</v>
      </c>
      <c r="O38" s="18" t="s">
        <v>46</v>
      </c>
      <c r="P38" s="18" t="s">
        <v>50</v>
      </c>
      <c r="Q38" s="18"/>
      <c r="R38" s="59"/>
      <c r="S38" s="97"/>
      <c r="T38" s="98"/>
      <c r="X38" s="5"/>
    </row>
    <row r="39" spans="2:24" ht="90.75" customHeight="1" x14ac:dyDescent="0.2">
      <c r="B39" s="21" t="s">
        <v>123</v>
      </c>
      <c r="C39" s="92" t="s">
        <v>179</v>
      </c>
      <c r="D39" s="93"/>
      <c r="E39" s="52" t="s">
        <v>80</v>
      </c>
      <c r="F39" s="53"/>
      <c r="G39" s="52" t="s">
        <v>124</v>
      </c>
      <c r="H39" s="53"/>
      <c r="I39" s="6" t="s">
        <v>18</v>
      </c>
      <c r="J39" s="7">
        <v>28</v>
      </c>
      <c r="K39" s="8"/>
      <c r="L39" s="8" t="s">
        <v>4</v>
      </c>
      <c r="M39" s="6" t="s">
        <v>18</v>
      </c>
      <c r="N39" s="18">
        <v>28</v>
      </c>
      <c r="O39" s="38" t="s">
        <v>46</v>
      </c>
      <c r="P39" s="18" t="s">
        <v>50</v>
      </c>
      <c r="Q39" s="18"/>
      <c r="R39" s="35"/>
      <c r="S39" s="36"/>
      <c r="T39" s="37"/>
      <c r="X39" s="5"/>
    </row>
    <row r="40" spans="2:24" ht="90.75" customHeight="1" x14ac:dyDescent="0.2">
      <c r="B40" s="21" t="s">
        <v>132</v>
      </c>
      <c r="C40" s="56" t="s">
        <v>180</v>
      </c>
      <c r="D40" s="56"/>
      <c r="E40" s="51" t="s">
        <v>80</v>
      </c>
      <c r="F40" s="51"/>
      <c r="G40" s="51" t="s">
        <v>124</v>
      </c>
      <c r="H40" s="51"/>
      <c r="I40" s="6" t="s">
        <v>19</v>
      </c>
      <c r="J40" s="7">
        <v>4</v>
      </c>
      <c r="K40" s="8"/>
      <c r="L40" s="8" t="s">
        <v>4</v>
      </c>
      <c r="M40" s="6" t="s">
        <v>19</v>
      </c>
      <c r="N40" s="18">
        <v>4</v>
      </c>
      <c r="O40" s="18" t="s">
        <v>46</v>
      </c>
      <c r="P40" s="18" t="s">
        <v>50</v>
      </c>
      <c r="Q40" s="18"/>
      <c r="R40" s="57"/>
      <c r="S40" s="57"/>
      <c r="T40" s="57"/>
      <c r="X40" s="5"/>
    </row>
    <row r="41" spans="2:24" ht="117.75" customHeight="1" x14ac:dyDescent="0.2">
      <c r="B41" s="21" t="s">
        <v>86</v>
      </c>
      <c r="C41" s="56" t="s">
        <v>181</v>
      </c>
      <c r="D41" s="56"/>
      <c r="E41" s="51" t="s">
        <v>150</v>
      </c>
      <c r="F41" s="51"/>
      <c r="G41" s="51" t="s">
        <v>84</v>
      </c>
      <c r="H41" s="51"/>
      <c r="I41" s="6" t="s">
        <v>19</v>
      </c>
      <c r="J41" s="7">
        <v>21</v>
      </c>
      <c r="K41" s="8"/>
      <c r="L41" s="8" t="s">
        <v>4</v>
      </c>
      <c r="M41" s="6" t="s">
        <v>19</v>
      </c>
      <c r="N41" s="18">
        <v>21</v>
      </c>
      <c r="O41" s="18" t="s">
        <v>46</v>
      </c>
      <c r="P41" s="18" t="s">
        <v>50</v>
      </c>
      <c r="Q41" s="18"/>
      <c r="R41" s="57"/>
      <c r="S41" s="57"/>
      <c r="T41" s="57"/>
      <c r="X41" s="5"/>
    </row>
    <row r="42" spans="2:24" ht="109.5" customHeight="1" x14ac:dyDescent="0.2">
      <c r="B42" s="21" t="s">
        <v>89</v>
      </c>
      <c r="C42" s="56" t="s">
        <v>182</v>
      </c>
      <c r="D42" s="56"/>
      <c r="E42" s="51" t="s">
        <v>150</v>
      </c>
      <c r="F42" s="51"/>
      <c r="G42" s="51" t="s">
        <v>90</v>
      </c>
      <c r="H42" s="51"/>
      <c r="I42" s="6" t="s">
        <v>19</v>
      </c>
      <c r="J42" s="7">
        <v>21</v>
      </c>
      <c r="K42" s="8"/>
      <c r="L42" s="8" t="s">
        <v>4</v>
      </c>
      <c r="M42" s="6" t="s">
        <v>19</v>
      </c>
      <c r="N42" s="18">
        <v>21</v>
      </c>
      <c r="O42" s="18" t="s">
        <v>46</v>
      </c>
      <c r="P42" s="18" t="s">
        <v>50</v>
      </c>
      <c r="Q42" s="18"/>
      <c r="R42" s="57"/>
      <c r="S42" s="57"/>
      <c r="T42" s="57"/>
      <c r="X42" s="5"/>
    </row>
    <row r="43" spans="2:24" ht="98.25" customHeight="1" x14ac:dyDescent="0.2">
      <c r="B43" s="21" t="s">
        <v>91</v>
      </c>
      <c r="C43" s="56" t="s">
        <v>183</v>
      </c>
      <c r="D43" s="56"/>
      <c r="E43" s="51" t="s">
        <v>150</v>
      </c>
      <c r="F43" s="51"/>
      <c r="G43" s="51" t="s">
        <v>90</v>
      </c>
      <c r="H43" s="51"/>
      <c r="I43" s="6" t="s">
        <v>19</v>
      </c>
      <c r="J43" s="7">
        <v>21</v>
      </c>
      <c r="K43" s="8"/>
      <c r="L43" s="8" t="s">
        <v>4</v>
      </c>
      <c r="M43" s="6" t="s">
        <v>19</v>
      </c>
      <c r="N43" s="18">
        <v>21</v>
      </c>
      <c r="O43" s="18" t="s">
        <v>46</v>
      </c>
      <c r="P43" s="18" t="s">
        <v>50</v>
      </c>
      <c r="Q43" s="18"/>
      <c r="R43" s="57"/>
      <c r="S43" s="57"/>
      <c r="T43" s="57"/>
      <c r="X43" s="5"/>
    </row>
    <row r="44" spans="2:24" ht="109.5" customHeight="1" x14ac:dyDescent="0.2">
      <c r="B44" s="21" t="s">
        <v>83</v>
      </c>
      <c r="C44" s="54" t="s">
        <v>184</v>
      </c>
      <c r="D44" s="55"/>
      <c r="E44" s="51" t="s">
        <v>161</v>
      </c>
      <c r="F44" s="51"/>
      <c r="G44" s="51" t="s">
        <v>90</v>
      </c>
      <c r="H44" s="51"/>
      <c r="I44" s="6" t="s">
        <v>19</v>
      </c>
      <c r="J44" s="7">
        <v>21</v>
      </c>
      <c r="K44" s="8"/>
      <c r="L44" s="8" t="s">
        <v>4</v>
      </c>
      <c r="M44" s="6" t="s">
        <v>19</v>
      </c>
      <c r="N44" s="18">
        <v>21</v>
      </c>
      <c r="O44" s="18" t="s">
        <v>46</v>
      </c>
      <c r="P44" s="18" t="s">
        <v>50</v>
      </c>
      <c r="Q44" s="18"/>
      <c r="R44" s="57"/>
      <c r="S44" s="57"/>
      <c r="T44" s="57"/>
      <c r="X44" s="5"/>
    </row>
    <row r="45" spans="2:24" ht="109.5" customHeight="1" x14ac:dyDescent="0.2">
      <c r="B45" s="21" t="s">
        <v>108</v>
      </c>
      <c r="C45" s="54" t="s">
        <v>185</v>
      </c>
      <c r="D45" s="55"/>
      <c r="E45" s="51" t="s">
        <v>73</v>
      </c>
      <c r="F45" s="51"/>
      <c r="G45" s="51" t="s">
        <v>109</v>
      </c>
      <c r="H45" s="51"/>
      <c r="I45" s="6" t="s">
        <v>19</v>
      </c>
      <c r="J45" s="7">
        <v>25</v>
      </c>
      <c r="K45" s="8"/>
      <c r="L45" s="8" t="s">
        <v>4</v>
      </c>
      <c r="M45" s="6" t="s">
        <v>19</v>
      </c>
      <c r="N45" s="18">
        <v>25</v>
      </c>
      <c r="O45" s="18" t="s">
        <v>46</v>
      </c>
      <c r="P45" s="18" t="s">
        <v>50</v>
      </c>
      <c r="Q45" s="18"/>
      <c r="R45" s="57"/>
      <c r="S45" s="57"/>
      <c r="T45" s="57"/>
      <c r="X45" s="5"/>
    </row>
    <row r="46" spans="2:24" ht="93.75" customHeight="1" x14ac:dyDescent="0.2">
      <c r="B46" s="21" t="s">
        <v>108</v>
      </c>
      <c r="C46" s="54" t="s">
        <v>185</v>
      </c>
      <c r="D46" s="55"/>
      <c r="E46" s="51" t="s">
        <v>73</v>
      </c>
      <c r="F46" s="51"/>
      <c r="G46" s="51" t="s">
        <v>109</v>
      </c>
      <c r="H46" s="51"/>
      <c r="I46" s="6" t="s">
        <v>19</v>
      </c>
      <c r="J46" s="7">
        <v>26</v>
      </c>
      <c r="K46" s="8"/>
      <c r="L46" s="8" t="s">
        <v>4</v>
      </c>
      <c r="M46" s="6" t="s">
        <v>19</v>
      </c>
      <c r="N46" s="18">
        <v>26</v>
      </c>
      <c r="O46" s="18" t="s">
        <v>46</v>
      </c>
      <c r="P46" s="18" t="s">
        <v>50</v>
      </c>
      <c r="Q46" s="18"/>
      <c r="R46" s="57"/>
      <c r="S46" s="57"/>
      <c r="T46" s="57"/>
      <c r="X46" s="5"/>
    </row>
    <row r="47" spans="2:24" ht="88.5" customHeight="1" x14ac:dyDescent="0.2">
      <c r="B47" s="21" t="s">
        <v>108</v>
      </c>
      <c r="C47" s="54" t="s">
        <v>185</v>
      </c>
      <c r="D47" s="55"/>
      <c r="E47" s="51" t="s">
        <v>73</v>
      </c>
      <c r="F47" s="51"/>
      <c r="G47" s="51" t="s">
        <v>109</v>
      </c>
      <c r="H47" s="51"/>
      <c r="I47" s="6" t="s">
        <v>19</v>
      </c>
      <c r="J47" s="7">
        <v>27</v>
      </c>
      <c r="K47" s="8"/>
      <c r="L47" s="8" t="s">
        <v>4</v>
      </c>
      <c r="M47" s="6" t="s">
        <v>19</v>
      </c>
      <c r="N47" s="18">
        <v>27</v>
      </c>
      <c r="O47" s="18" t="s">
        <v>46</v>
      </c>
      <c r="P47" s="18" t="s">
        <v>50</v>
      </c>
      <c r="Q47" s="18"/>
      <c r="R47" s="57"/>
      <c r="S47" s="57"/>
      <c r="T47" s="57"/>
      <c r="X47" s="5"/>
    </row>
    <row r="48" spans="2:24" ht="93.75" customHeight="1" x14ac:dyDescent="0.2">
      <c r="B48" s="21" t="s">
        <v>72</v>
      </c>
      <c r="C48" s="54" t="s">
        <v>186</v>
      </c>
      <c r="D48" s="55"/>
      <c r="E48" s="51" t="s">
        <v>73</v>
      </c>
      <c r="F48" s="51"/>
      <c r="G48" s="51" t="s">
        <v>74</v>
      </c>
      <c r="H48" s="51"/>
      <c r="I48" s="6" t="s">
        <v>19</v>
      </c>
      <c r="J48" s="7">
        <v>28</v>
      </c>
      <c r="K48" s="8"/>
      <c r="L48" s="8" t="s">
        <v>4</v>
      </c>
      <c r="M48" s="6" t="s">
        <v>19</v>
      </c>
      <c r="N48" s="18">
        <v>28</v>
      </c>
      <c r="O48" s="18" t="s">
        <v>46</v>
      </c>
      <c r="P48" s="18" t="s">
        <v>50</v>
      </c>
      <c r="Q48" s="18"/>
      <c r="R48" s="57"/>
      <c r="S48" s="57"/>
      <c r="T48" s="57"/>
      <c r="X48" s="5"/>
    </row>
    <row r="49" spans="2:24" ht="109.5" customHeight="1" x14ac:dyDescent="0.2">
      <c r="B49" s="21" t="s">
        <v>94</v>
      </c>
      <c r="C49" s="54" t="s">
        <v>187</v>
      </c>
      <c r="D49" s="55"/>
      <c r="E49" s="51" t="s">
        <v>150</v>
      </c>
      <c r="F49" s="51"/>
      <c r="G49" s="51" t="s">
        <v>127</v>
      </c>
      <c r="H49" s="51"/>
      <c r="I49" s="6" t="s">
        <v>20</v>
      </c>
      <c r="J49" s="7">
        <v>3</v>
      </c>
      <c r="K49" s="8"/>
      <c r="L49" s="8" t="s">
        <v>4</v>
      </c>
      <c r="M49" s="6" t="s">
        <v>20</v>
      </c>
      <c r="N49" s="18">
        <v>3</v>
      </c>
      <c r="O49" s="18" t="s">
        <v>46</v>
      </c>
      <c r="P49" s="18" t="s">
        <v>50</v>
      </c>
      <c r="Q49" s="18"/>
      <c r="R49" s="57"/>
      <c r="S49" s="57"/>
      <c r="T49" s="57"/>
      <c r="X49" s="5"/>
    </row>
    <row r="50" spans="2:24" ht="102" customHeight="1" x14ac:dyDescent="0.2">
      <c r="B50" s="21" t="s">
        <v>102</v>
      </c>
      <c r="C50" s="54" t="s">
        <v>188</v>
      </c>
      <c r="D50" s="55"/>
      <c r="E50" s="52" t="s">
        <v>73</v>
      </c>
      <c r="F50" s="53"/>
      <c r="G50" s="51" t="s">
        <v>74</v>
      </c>
      <c r="H50" s="51"/>
      <c r="I50" s="6" t="s">
        <v>20</v>
      </c>
      <c r="J50" s="7">
        <v>10</v>
      </c>
      <c r="K50" s="8"/>
      <c r="L50" s="8" t="s">
        <v>4</v>
      </c>
      <c r="M50" s="6" t="s">
        <v>20</v>
      </c>
      <c r="N50" s="18">
        <v>10</v>
      </c>
      <c r="O50" s="18" t="s">
        <v>46</v>
      </c>
      <c r="P50" s="18" t="s">
        <v>50</v>
      </c>
      <c r="Q50" s="18"/>
      <c r="R50" s="59"/>
      <c r="S50" s="97"/>
      <c r="T50" s="98"/>
      <c r="X50" s="5"/>
    </row>
    <row r="51" spans="2:24" ht="94.5" customHeight="1" x14ac:dyDescent="0.2">
      <c r="B51" s="21" t="s">
        <v>96</v>
      </c>
      <c r="C51" s="56" t="s">
        <v>189</v>
      </c>
      <c r="D51" s="56"/>
      <c r="E51" s="51" t="s">
        <v>73</v>
      </c>
      <c r="F51" s="51"/>
      <c r="G51" s="51" t="s">
        <v>97</v>
      </c>
      <c r="H51" s="51"/>
      <c r="I51" s="6" t="s">
        <v>20</v>
      </c>
      <c r="J51" s="7">
        <v>11</v>
      </c>
      <c r="K51" s="8"/>
      <c r="L51" s="8" t="s">
        <v>4</v>
      </c>
      <c r="M51" s="6" t="s">
        <v>20</v>
      </c>
      <c r="N51" s="18">
        <v>11</v>
      </c>
      <c r="O51" s="18" t="s">
        <v>46</v>
      </c>
      <c r="P51" s="18" t="s">
        <v>50</v>
      </c>
      <c r="Q51" s="18"/>
      <c r="R51" s="57"/>
      <c r="S51" s="57"/>
      <c r="T51" s="57"/>
      <c r="X51" s="5"/>
    </row>
    <row r="52" spans="2:24" ht="109.5" customHeight="1" x14ac:dyDescent="0.2">
      <c r="B52" s="21" t="s">
        <v>93</v>
      </c>
      <c r="C52" s="56" t="s">
        <v>190</v>
      </c>
      <c r="D52" s="56"/>
      <c r="E52" s="51" t="s">
        <v>150</v>
      </c>
      <c r="F52" s="51"/>
      <c r="G52" s="51" t="s">
        <v>95</v>
      </c>
      <c r="H52" s="51"/>
      <c r="I52" s="6" t="s">
        <v>20</v>
      </c>
      <c r="J52" s="7">
        <v>11</v>
      </c>
      <c r="K52" s="8"/>
      <c r="L52" s="8" t="s">
        <v>4</v>
      </c>
      <c r="M52" s="6" t="s">
        <v>20</v>
      </c>
      <c r="N52" s="18">
        <v>11</v>
      </c>
      <c r="O52" s="18" t="s">
        <v>46</v>
      </c>
      <c r="P52" s="18" t="s">
        <v>50</v>
      </c>
      <c r="Q52" s="18"/>
      <c r="R52" s="57"/>
      <c r="S52" s="57"/>
      <c r="T52" s="57"/>
      <c r="X52" s="5"/>
    </row>
    <row r="53" spans="2:24" ht="74.25" customHeight="1" x14ac:dyDescent="0.2">
      <c r="B53" s="21" t="s">
        <v>92</v>
      </c>
      <c r="C53" s="56" t="s">
        <v>191</v>
      </c>
      <c r="D53" s="56"/>
      <c r="E53" s="51" t="s">
        <v>150</v>
      </c>
      <c r="F53" s="51"/>
      <c r="G53" s="51" t="s">
        <v>98</v>
      </c>
      <c r="H53" s="51"/>
      <c r="I53" s="6" t="s">
        <v>20</v>
      </c>
      <c r="J53" s="7">
        <v>22</v>
      </c>
      <c r="K53" s="8"/>
      <c r="L53" s="8" t="s">
        <v>4</v>
      </c>
      <c r="M53" s="6" t="s">
        <v>20</v>
      </c>
      <c r="N53" s="18">
        <v>23</v>
      </c>
      <c r="O53" s="18" t="s">
        <v>46</v>
      </c>
      <c r="P53" s="18" t="s">
        <v>50</v>
      </c>
      <c r="Q53" s="18"/>
      <c r="R53" s="57"/>
      <c r="S53" s="57"/>
      <c r="T53" s="57"/>
      <c r="X53" s="5"/>
    </row>
    <row r="54" spans="2:24" ht="74.25" customHeight="1" x14ac:dyDescent="0.2">
      <c r="B54" s="21" t="s">
        <v>111</v>
      </c>
      <c r="C54" s="56" t="s">
        <v>192</v>
      </c>
      <c r="D54" s="56"/>
      <c r="E54" s="52" t="s">
        <v>112</v>
      </c>
      <c r="F54" s="53"/>
      <c r="G54" s="52" t="s">
        <v>113</v>
      </c>
      <c r="H54" s="53"/>
      <c r="I54" s="6" t="s">
        <v>21</v>
      </c>
      <c r="J54" s="7">
        <v>4</v>
      </c>
      <c r="K54" s="8"/>
      <c r="L54" s="8" t="s">
        <v>4</v>
      </c>
      <c r="M54" s="6" t="s">
        <v>21</v>
      </c>
      <c r="N54" s="18">
        <v>4</v>
      </c>
      <c r="O54" s="18" t="s">
        <v>46</v>
      </c>
      <c r="P54" s="18" t="s">
        <v>50</v>
      </c>
      <c r="Q54" s="18"/>
      <c r="R54" s="57"/>
      <c r="S54" s="57"/>
      <c r="T54" s="57"/>
      <c r="X54" s="5"/>
    </row>
    <row r="55" spans="2:24" ht="74.25" customHeight="1" x14ac:dyDescent="0.2">
      <c r="B55" s="33" t="s">
        <v>137</v>
      </c>
      <c r="C55" s="56" t="s">
        <v>152</v>
      </c>
      <c r="D55" s="56"/>
      <c r="E55" s="51" t="s">
        <v>80</v>
      </c>
      <c r="F55" s="51"/>
      <c r="G55" s="51" t="s">
        <v>124</v>
      </c>
      <c r="H55" s="51"/>
      <c r="I55" s="6" t="s">
        <v>21</v>
      </c>
      <c r="J55" s="7">
        <v>13</v>
      </c>
      <c r="K55" s="8"/>
      <c r="L55" s="8" t="s">
        <v>4</v>
      </c>
      <c r="M55" s="6" t="s">
        <v>21</v>
      </c>
      <c r="N55" s="18">
        <v>13</v>
      </c>
      <c r="O55" s="18" t="s">
        <v>46</v>
      </c>
      <c r="P55" s="18" t="s">
        <v>50</v>
      </c>
      <c r="Q55" s="18"/>
      <c r="R55" s="57"/>
      <c r="S55" s="57"/>
      <c r="T55" s="57"/>
      <c r="X55" s="5"/>
    </row>
    <row r="56" spans="2:24" ht="93.75" customHeight="1" x14ac:dyDescent="0.2">
      <c r="B56" s="21" t="s">
        <v>104</v>
      </c>
      <c r="C56" s="56" t="s">
        <v>193</v>
      </c>
      <c r="D56" s="56"/>
      <c r="E56" s="51" t="s">
        <v>150</v>
      </c>
      <c r="F56" s="51"/>
      <c r="G56" s="51" t="s">
        <v>105</v>
      </c>
      <c r="H56" s="51"/>
      <c r="I56" s="6" t="s">
        <v>21</v>
      </c>
      <c r="J56" s="7">
        <v>16</v>
      </c>
      <c r="K56" s="8"/>
      <c r="L56" s="8" t="s">
        <v>4</v>
      </c>
      <c r="M56" s="6" t="s">
        <v>21</v>
      </c>
      <c r="N56" s="18">
        <v>16</v>
      </c>
      <c r="O56" s="18" t="s">
        <v>46</v>
      </c>
      <c r="P56" s="18" t="s">
        <v>50</v>
      </c>
      <c r="Q56" s="18"/>
      <c r="R56" s="57"/>
      <c r="S56" s="57"/>
      <c r="T56" s="57"/>
      <c r="X56" s="5"/>
    </row>
    <row r="57" spans="2:24" ht="93.75" customHeight="1" x14ac:dyDescent="0.2">
      <c r="B57" s="21" t="s">
        <v>114</v>
      </c>
      <c r="C57" s="54" t="s">
        <v>194</v>
      </c>
      <c r="D57" s="55"/>
      <c r="E57" s="52" t="s">
        <v>119</v>
      </c>
      <c r="F57" s="53"/>
      <c r="G57" s="52" t="s">
        <v>84</v>
      </c>
      <c r="H57" s="53"/>
      <c r="I57" s="6" t="s">
        <v>21</v>
      </c>
      <c r="J57" s="7">
        <v>20</v>
      </c>
      <c r="K57" s="8"/>
      <c r="L57" s="8" t="s">
        <v>4</v>
      </c>
      <c r="M57" s="6" t="s">
        <v>21</v>
      </c>
      <c r="N57" s="18">
        <v>20</v>
      </c>
      <c r="O57" s="18" t="s">
        <v>46</v>
      </c>
      <c r="P57" s="18" t="s">
        <v>50</v>
      </c>
      <c r="Q57" s="18"/>
      <c r="R57" s="59"/>
      <c r="S57" s="97"/>
      <c r="T57" s="98"/>
      <c r="X57" s="5"/>
    </row>
    <row r="58" spans="2:24" ht="65.25" customHeight="1" x14ac:dyDescent="0.2">
      <c r="B58" s="33" t="s">
        <v>110</v>
      </c>
      <c r="C58" s="100" t="s">
        <v>153</v>
      </c>
      <c r="D58" s="100"/>
      <c r="E58" s="52" t="s">
        <v>73</v>
      </c>
      <c r="F58" s="53"/>
      <c r="G58" s="51" t="s">
        <v>84</v>
      </c>
      <c r="H58" s="51"/>
      <c r="I58" s="6" t="s">
        <v>21</v>
      </c>
      <c r="J58" s="7">
        <v>25</v>
      </c>
      <c r="K58" s="8"/>
      <c r="L58" s="8" t="s">
        <v>4</v>
      </c>
      <c r="M58" s="6" t="s">
        <v>21</v>
      </c>
      <c r="N58" s="18">
        <v>25</v>
      </c>
      <c r="O58" s="18" t="s">
        <v>47</v>
      </c>
      <c r="P58" s="18" t="s">
        <v>50</v>
      </c>
      <c r="Q58" s="18"/>
      <c r="R58" s="57"/>
      <c r="S58" s="57"/>
      <c r="T58" s="57"/>
      <c r="X58" s="5"/>
    </row>
    <row r="59" spans="2:24" ht="65.25" customHeight="1" x14ac:dyDescent="0.2">
      <c r="B59" s="21" t="s">
        <v>114</v>
      </c>
      <c r="C59" s="54" t="s">
        <v>194</v>
      </c>
      <c r="D59" s="55"/>
      <c r="E59" s="52" t="s">
        <v>126</v>
      </c>
      <c r="F59" s="53"/>
      <c r="G59" s="52" t="s">
        <v>84</v>
      </c>
      <c r="H59" s="53"/>
      <c r="I59" s="6" t="s">
        <v>21</v>
      </c>
      <c r="J59" s="7">
        <v>26</v>
      </c>
      <c r="K59" s="8"/>
      <c r="L59" s="8" t="s">
        <v>4</v>
      </c>
      <c r="M59" s="6" t="s">
        <v>21</v>
      </c>
      <c r="N59" s="18">
        <v>26</v>
      </c>
      <c r="O59" s="18" t="s">
        <v>46</v>
      </c>
      <c r="P59" s="18" t="s">
        <v>50</v>
      </c>
      <c r="Q59" s="18"/>
      <c r="R59" s="57"/>
      <c r="S59" s="57"/>
      <c r="T59" s="57"/>
      <c r="X59" s="5"/>
    </row>
    <row r="60" spans="2:24" ht="65.25" customHeight="1" x14ac:dyDescent="0.2">
      <c r="B60" s="21" t="s">
        <v>115</v>
      </c>
      <c r="C60" s="54" t="s">
        <v>195</v>
      </c>
      <c r="D60" s="55"/>
      <c r="E60" s="52" t="s">
        <v>116</v>
      </c>
      <c r="F60" s="53"/>
      <c r="G60" s="52" t="s">
        <v>117</v>
      </c>
      <c r="H60" s="53"/>
      <c r="I60" s="6" t="s">
        <v>21</v>
      </c>
      <c r="J60" s="7">
        <v>28</v>
      </c>
      <c r="K60" s="8"/>
      <c r="L60" s="8" t="s">
        <v>4</v>
      </c>
      <c r="M60" s="6" t="s">
        <v>21</v>
      </c>
      <c r="N60" s="18">
        <v>28</v>
      </c>
      <c r="O60" s="18" t="s">
        <v>46</v>
      </c>
      <c r="P60" s="18" t="s">
        <v>50</v>
      </c>
      <c r="Q60" s="18"/>
      <c r="R60" s="57"/>
      <c r="S60" s="57"/>
      <c r="T60" s="57"/>
      <c r="X60" s="5"/>
    </row>
    <row r="61" spans="2:24" ht="65.25" customHeight="1" x14ac:dyDescent="0.2">
      <c r="B61" s="21" t="s">
        <v>143</v>
      </c>
      <c r="C61" s="54" t="s">
        <v>196</v>
      </c>
      <c r="D61" s="55"/>
      <c r="E61" s="52" t="s">
        <v>116</v>
      </c>
      <c r="F61" s="53"/>
      <c r="G61" s="52" t="s">
        <v>117</v>
      </c>
      <c r="H61" s="53"/>
      <c r="I61" s="6" t="s">
        <v>21</v>
      </c>
      <c r="J61" s="7">
        <v>28</v>
      </c>
      <c r="K61" s="8"/>
      <c r="L61" s="8" t="s">
        <v>4</v>
      </c>
      <c r="M61" s="6" t="s">
        <v>21</v>
      </c>
      <c r="N61" s="18">
        <v>28</v>
      </c>
      <c r="O61" s="18" t="s">
        <v>46</v>
      </c>
      <c r="P61" s="18" t="s">
        <v>50</v>
      </c>
      <c r="Q61" s="18"/>
      <c r="R61" s="57"/>
      <c r="S61" s="57"/>
      <c r="T61" s="57"/>
      <c r="X61" s="5"/>
    </row>
    <row r="62" spans="2:24" ht="65.25" customHeight="1" x14ac:dyDescent="0.2">
      <c r="B62" s="21" t="s">
        <v>128</v>
      </c>
      <c r="C62" s="54" t="s">
        <v>154</v>
      </c>
      <c r="D62" s="55"/>
      <c r="E62" s="51" t="s">
        <v>150</v>
      </c>
      <c r="F62" s="51"/>
      <c r="G62" s="52" t="s">
        <v>84</v>
      </c>
      <c r="H62" s="53"/>
      <c r="I62" s="6" t="s">
        <v>21</v>
      </c>
      <c r="J62" s="7">
        <v>29</v>
      </c>
      <c r="K62" s="8"/>
      <c r="L62" s="8" t="s">
        <v>4</v>
      </c>
      <c r="M62" s="6" t="s">
        <v>21</v>
      </c>
      <c r="N62" s="18"/>
      <c r="O62" s="18" t="s">
        <v>46</v>
      </c>
      <c r="P62" s="18" t="s">
        <v>50</v>
      </c>
      <c r="Q62" s="18"/>
      <c r="R62" s="57"/>
      <c r="S62" s="57"/>
      <c r="T62" s="57"/>
      <c r="X62" s="5"/>
    </row>
    <row r="63" spans="2:24" ht="65.25" customHeight="1" x14ac:dyDescent="0.2">
      <c r="B63" s="21" t="s">
        <v>155</v>
      </c>
      <c r="C63" s="54" t="s">
        <v>156</v>
      </c>
      <c r="D63" s="93"/>
      <c r="E63" s="52" t="s">
        <v>43</v>
      </c>
      <c r="F63" s="58"/>
      <c r="G63" s="52" t="s">
        <v>157</v>
      </c>
      <c r="H63" s="58"/>
      <c r="I63" s="6" t="s">
        <v>22</v>
      </c>
      <c r="J63" s="7">
        <v>24</v>
      </c>
      <c r="K63" s="8"/>
      <c r="L63" s="8" t="s">
        <v>4</v>
      </c>
      <c r="M63" s="6" t="s">
        <v>22</v>
      </c>
      <c r="N63" s="18">
        <v>24</v>
      </c>
      <c r="O63" s="18" t="s">
        <v>46</v>
      </c>
      <c r="P63" s="18" t="s">
        <v>50</v>
      </c>
      <c r="Q63" s="18" t="s">
        <v>159</v>
      </c>
      <c r="R63" s="59"/>
      <c r="S63" s="60"/>
      <c r="T63" s="58"/>
      <c r="X63" s="5"/>
    </row>
    <row r="64" spans="2:24" ht="63.75" customHeight="1" x14ac:dyDescent="0.2">
      <c r="B64" s="21" t="s">
        <v>201</v>
      </c>
      <c r="C64" s="56" t="s">
        <v>207</v>
      </c>
      <c r="D64" s="56"/>
      <c r="E64" s="51" t="s">
        <v>80</v>
      </c>
      <c r="F64" s="51"/>
      <c r="G64" s="51" t="s">
        <v>202</v>
      </c>
      <c r="H64" s="51"/>
      <c r="I64" s="6" t="s">
        <v>22</v>
      </c>
      <c r="J64" s="7">
        <v>27</v>
      </c>
      <c r="K64" s="8"/>
      <c r="L64" s="8" t="s">
        <v>4</v>
      </c>
      <c r="M64" s="6" t="s">
        <v>22</v>
      </c>
      <c r="N64" s="18">
        <v>27</v>
      </c>
      <c r="O64" s="18" t="s">
        <v>46</v>
      </c>
      <c r="P64" s="18" t="s">
        <v>50</v>
      </c>
      <c r="Q64" s="18" t="s">
        <v>159</v>
      </c>
      <c r="R64" s="57"/>
      <c r="S64" s="57"/>
      <c r="T64" s="57"/>
      <c r="X64" s="5"/>
    </row>
    <row r="65" spans="2:24" ht="63.75" customHeight="1" x14ac:dyDescent="0.2">
      <c r="B65" s="21" t="s">
        <v>203</v>
      </c>
      <c r="C65" s="56" t="s">
        <v>208</v>
      </c>
      <c r="D65" s="56"/>
      <c r="E65" s="51" t="s">
        <v>80</v>
      </c>
      <c r="F65" s="51"/>
      <c r="G65" s="51" t="s">
        <v>202</v>
      </c>
      <c r="H65" s="51"/>
      <c r="I65" s="6" t="s">
        <v>23</v>
      </c>
      <c r="J65" s="7">
        <v>9</v>
      </c>
      <c r="K65" s="8"/>
      <c r="L65" s="8" t="s">
        <v>4</v>
      </c>
      <c r="M65" s="6" t="s">
        <v>23</v>
      </c>
      <c r="N65" s="18">
        <v>9</v>
      </c>
      <c r="O65" s="18" t="s">
        <v>46</v>
      </c>
      <c r="P65" s="18" t="s">
        <v>50</v>
      </c>
      <c r="Q65" s="18" t="s">
        <v>159</v>
      </c>
      <c r="R65" s="57"/>
      <c r="S65" s="57"/>
      <c r="T65" s="57"/>
      <c r="X65" s="5"/>
    </row>
    <row r="66" spans="2:24" ht="55.5" customHeight="1" x14ac:dyDescent="0.2">
      <c r="B66" s="21" t="s">
        <v>204</v>
      </c>
      <c r="C66" s="56" t="s">
        <v>209</v>
      </c>
      <c r="D66" s="56"/>
      <c r="E66" s="51" t="s">
        <v>205</v>
      </c>
      <c r="F66" s="51"/>
      <c r="G66" s="51" t="s">
        <v>206</v>
      </c>
      <c r="H66" s="51"/>
      <c r="I66" s="6" t="s">
        <v>23</v>
      </c>
      <c r="J66" s="7">
        <v>14</v>
      </c>
      <c r="K66" s="8"/>
      <c r="L66" s="8" t="s">
        <v>4</v>
      </c>
      <c r="M66" s="6" t="s">
        <v>23</v>
      </c>
      <c r="N66" s="18">
        <v>14</v>
      </c>
      <c r="O66" s="18" t="s">
        <v>46</v>
      </c>
      <c r="P66" s="18" t="s">
        <v>50</v>
      </c>
      <c r="Q66" s="18" t="s">
        <v>159</v>
      </c>
      <c r="R66" s="57"/>
      <c r="S66" s="57"/>
      <c r="T66" s="57"/>
      <c r="X66" s="5"/>
    </row>
    <row r="67" spans="2:24" ht="55.5" customHeight="1" x14ac:dyDescent="0.2">
      <c r="B67" s="21" t="s">
        <v>210</v>
      </c>
      <c r="C67" s="56" t="s">
        <v>212</v>
      </c>
      <c r="D67" s="56"/>
      <c r="E67" s="51" t="s">
        <v>211</v>
      </c>
      <c r="F67" s="51"/>
      <c r="G67" s="51" t="s">
        <v>206</v>
      </c>
      <c r="H67" s="51"/>
      <c r="I67" s="6" t="s">
        <v>23</v>
      </c>
      <c r="J67" s="7">
        <v>22</v>
      </c>
      <c r="K67" s="8"/>
      <c r="L67" s="8" t="s">
        <v>4</v>
      </c>
      <c r="M67" s="6" t="s">
        <v>23</v>
      </c>
      <c r="N67" s="18">
        <v>22</v>
      </c>
      <c r="O67" s="18" t="s">
        <v>46</v>
      </c>
      <c r="P67" s="18" t="s">
        <v>50</v>
      </c>
      <c r="Q67" s="18" t="s">
        <v>159</v>
      </c>
      <c r="R67" s="57"/>
      <c r="S67" s="57"/>
      <c r="T67" s="57"/>
      <c r="X67" s="5"/>
    </row>
    <row r="68" spans="2:24" ht="55.5" customHeight="1" x14ac:dyDescent="0.2">
      <c r="B68" s="21" t="s">
        <v>213</v>
      </c>
      <c r="C68" s="56" t="s">
        <v>223</v>
      </c>
      <c r="D68" s="56"/>
      <c r="E68" s="51" t="s">
        <v>214</v>
      </c>
      <c r="F68" s="51"/>
      <c r="G68" s="51" t="s">
        <v>206</v>
      </c>
      <c r="H68" s="51"/>
      <c r="I68" s="6" t="s">
        <v>23</v>
      </c>
      <c r="J68" s="7">
        <v>29</v>
      </c>
      <c r="K68" s="8"/>
      <c r="L68" s="8" t="s">
        <v>4</v>
      </c>
      <c r="M68" s="6" t="s">
        <v>23</v>
      </c>
      <c r="N68" s="18">
        <v>29</v>
      </c>
      <c r="O68" s="18" t="s">
        <v>46</v>
      </c>
      <c r="P68" s="18" t="s">
        <v>50</v>
      </c>
      <c r="Q68" s="18"/>
      <c r="R68" s="35"/>
      <c r="S68" s="36"/>
      <c r="T68" s="37"/>
      <c r="X68" s="5"/>
    </row>
    <row r="69" spans="2:24" ht="55.5" customHeight="1" x14ac:dyDescent="0.2">
      <c r="B69" s="33" t="s">
        <v>215</v>
      </c>
      <c r="C69" s="44" t="s">
        <v>216</v>
      </c>
      <c r="D69" s="45"/>
      <c r="E69" s="46" t="s">
        <v>217</v>
      </c>
      <c r="F69" s="47"/>
      <c r="G69" s="46" t="s">
        <v>101</v>
      </c>
      <c r="H69" s="47"/>
      <c r="I69" s="40" t="s">
        <v>24</v>
      </c>
      <c r="J69" s="41">
        <v>5</v>
      </c>
      <c r="K69" s="42"/>
      <c r="L69" s="42" t="s">
        <v>4</v>
      </c>
      <c r="M69" s="40" t="s">
        <v>24</v>
      </c>
      <c r="N69" s="43">
        <v>5</v>
      </c>
      <c r="O69" s="43" t="s">
        <v>46</v>
      </c>
      <c r="P69" s="43" t="s">
        <v>50</v>
      </c>
      <c r="Q69" s="18"/>
      <c r="R69" s="35"/>
      <c r="S69" s="36"/>
      <c r="T69" s="37"/>
      <c r="X69" s="5"/>
    </row>
    <row r="70" spans="2:24" ht="55.5" customHeight="1" x14ac:dyDescent="0.2">
      <c r="B70" s="33" t="s">
        <v>218</v>
      </c>
      <c r="C70" s="44" t="s">
        <v>219</v>
      </c>
      <c r="D70" s="45"/>
      <c r="E70" s="46" t="s">
        <v>220</v>
      </c>
      <c r="F70" s="47"/>
      <c r="G70" s="46" t="s">
        <v>206</v>
      </c>
      <c r="H70" s="47"/>
      <c r="I70" s="40" t="s">
        <v>24</v>
      </c>
      <c r="J70" s="41">
        <v>19</v>
      </c>
      <c r="K70" s="42"/>
      <c r="L70" s="42" t="s">
        <v>4</v>
      </c>
      <c r="M70" s="40" t="s">
        <v>24</v>
      </c>
      <c r="N70" s="43">
        <v>19</v>
      </c>
      <c r="O70" s="43" t="s">
        <v>46</v>
      </c>
      <c r="P70" s="43" t="s">
        <v>50</v>
      </c>
      <c r="Q70" s="18"/>
      <c r="R70" s="35"/>
      <c r="S70" s="36"/>
      <c r="T70" s="37"/>
      <c r="X70" s="5"/>
    </row>
    <row r="71" spans="2:24" ht="55.5" customHeight="1" x14ac:dyDescent="0.2">
      <c r="B71" s="33" t="s">
        <v>221</v>
      </c>
      <c r="C71" s="44" t="s">
        <v>222</v>
      </c>
      <c r="D71" s="45"/>
      <c r="E71" s="46" t="s">
        <v>217</v>
      </c>
      <c r="F71" s="47"/>
      <c r="G71" s="46" t="s">
        <v>206</v>
      </c>
      <c r="H71" s="47"/>
      <c r="I71" s="40" t="s">
        <v>24</v>
      </c>
      <c r="J71" s="41">
        <v>27</v>
      </c>
      <c r="K71" s="42"/>
      <c r="L71" s="42" t="s">
        <v>4</v>
      </c>
      <c r="M71" s="40" t="s">
        <v>24</v>
      </c>
      <c r="N71" s="43">
        <v>27</v>
      </c>
      <c r="O71" s="43" t="s">
        <v>46</v>
      </c>
      <c r="P71" s="43" t="s">
        <v>50</v>
      </c>
      <c r="Q71" s="18"/>
      <c r="R71" s="35"/>
      <c r="S71" s="36"/>
      <c r="T71" s="37"/>
      <c r="X71" s="5"/>
    </row>
    <row r="72" spans="2:24" ht="56.25" customHeight="1" x14ac:dyDescent="0.2">
      <c r="B72" s="21"/>
      <c r="C72" s="52"/>
      <c r="D72" s="53"/>
      <c r="E72" s="52"/>
      <c r="F72" s="53"/>
      <c r="G72" s="52"/>
      <c r="H72" s="53"/>
      <c r="I72" s="6"/>
      <c r="J72" s="7"/>
      <c r="K72" s="8"/>
      <c r="L72" s="8"/>
      <c r="M72" s="6"/>
      <c r="N72" s="18"/>
      <c r="O72" s="18"/>
      <c r="P72" s="18"/>
      <c r="Q72" s="18"/>
      <c r="R72" s="59"/>
      <c r="S72" s="97"/>
      <c r="T72" s="98"/>
      <c r="X72" s="5"/>
    </row>
    <row r="73" spans="2:24" ht="42" hidden="1" customHeight="1" x14ac:dyDescent="0.2">
      <c r="B73" s="21"/>
      <c r="C73" s="51"/>
      <c r="D73" s="51"/>
      <c r="E73" s="51"/>
      <c r="F73" s="51"/>
      <c r="G73" s="51"/>
      <c r="H73" s="51"/>
      <c r="I73" s="6"/>
      <c r="J73" s="7"/>
      <c r="K73" s="8"/>
      <c r="L73" s="8"/>
      <c r="M73" s="6"/>
      <c r="N73" s="18"/>
      <c r="O73" s="18"/>
      <c r="P73" s="18"/>
      <c r="Q73" s="18"/>
      <c r="R73" s="57"/>
      <c r="S73" s="57"/>
      <c r="T73" s="57"/>
      <c r="X73" s="5"/>
    </row>
    <row r="74" spans="2:24" ht="42" hidden="1" customHeight="1" x14ac:dyDescent="0.2">
      <c r="B74" s="21"/>
      <c r="C74" s="144"/>
      <c r="D74" s="144"/>
      <c r="E74" s="51"/>
      <c r="F74" s="51"/>
      <c r="G74" s="51"/>
      <c r="H74" s="51"/>
      <c r="I74" s="6"/>
      <c r="J74" s="7"/>
      <c r="K74" s="8"/>
      <c r="L74" s="8"/>
      <c r="M74" s="6"/>
      <c r="N74" s="18"/>
      <c r="O74" s="18"/>
      <c r="P74" s="18"/>
      <c r="Q74" s="18"/>
      <c r="R74" s="57"/>
      <c r="S74" s="57"/>
      <c r="T74" s="57"/>
      <c r="W74" s="9"/>
      <c r="X74" s="5"/>
    </row>
    <row r="75" spans="2:24" ht="42" hidden="1" customHeight="1" x14ac:dyDescent="0.2">
      <c r="B75" s="21"/>
      <c r="C75" s="144"/>
      <c r="D75" s="144"/>
      <c r="E75" s="51"/>
      <c r="F75" s="51"/>
      <c r="G75" s="51"/>
      <c r="H75" s="51"/>
      <c r="I75" s="6"/>
      <c r="J75" s="7"/>
      <c r="K75" s="8"/>
      <c r="L75" s="8"/>
      <c r="M75" s="6"/>
      <c r="N75" s="18"/>
      <c r="O75" s="18"/>
      <c r="P75" s="18"/>
      <c r="Q75" s="18"/>
      <c r="R75" s="57"/>
      <c r="S75" s="57"/>
      <c r="T75" s="57"/>
      <c r="W75" s="9"/>
      <c r="X75" s="5"/>
    </row>
    <row r="76" spans="2:24" s="10" customFormat="1" ht="42" hidden="1" customHeight="1" x14ac:dyDescent="0.2">
      <c r="B76" s="21"/>
      <c r="C76" s="144"/>
      <c r="D76" s="144"/>
      <c r="E76" s="51"/>
      <c r="F76" s="51"/>
      <c r="G76" s="51"/>
      <c r="H76" s="51"/>
      <c r="I76" s="6"/>
      <c r="J76" s="7"/>
      <c r="K76" s="8"/>
      <c r="L76" s="8"/>
      <c r="M76" s="6"/>
      <c r="N76" s="18"/>
      <c r="O76" s="18"/>
      <c r="P76" s="18"/>
      <c r="Q76" s="18"/>
      <c r="R76" s="57"/>
      <c r="S76" s="57"/>
      <c r="T76" s="57"/>
      <c r="X76" s="5"/>
    </row>
    <row r="77" spans="2:24" s="10" customFormat="1" ht="42" hidden="1" customHeight="1" x14ac:dyDescent="0.2">
      <c r="B77" s="21"/>
      <c r="C77" s="144"/>
      <c r="D77" s="144"/>
      <c r="E77" s="51"/>
      <c r="F77" s="51"/>
      <c r="G77" s="51"/>
      <c r="H77" s="51"/>
      <c r="I77" s="6"/>
      <c r="J77" s="7"/>
      <c r="K77" s="8"/>
      <c r="L77" s="8"/>
      <c r="M77" s="6"/>
      <c r="N77" s="18"/>
      <c r="O77" s="18"/>
      <c r="P77" s="18"/>
      <c r="Q77" s="18"/>
      <c r="R77" s="57"/>
      <c r="S77" s="57"/>
      <c r="T77" s="57"/>
      <c r="X77" s="5"/>
    </row>
    <row r="78" spans="2:24" s="10" customFormat="1" ht="42" hidden="1" customHeight="1" x14ac:dyDescent="0.2">
      <c r="B78" s="21"/>
      <c r="C78" s="144"/>
      <c r="D78" s="144"/>
      <c r="E78" s="51"/>
      <c r="F78" s="51"/>
      <c r="G78" s="51"/>
      <c r="H78" s="51"/>
      <c r="I78" s="6"/>
      <c r="J78" s="7"/>
      <c r="K78" s="8"/>
      <c r="L78" s="8"/>
      <c r="M78" s="6"/>
      <c r="N78" s="18"/>
      <c r="O78" s="18"/>
      <c r="P78" s="18"/>
      <c r="Q78" s="18"/>
      <c r="R78" s="57"/>
      <c r="S78" s="57"/>
      <c r="T78" s="57"/>
      <c r="X78" s="5"/>
    </row>
    <row r="79" spans="2:24" s="10" customFormat="1" ht="42" hidden="1" customHeight="1" x14ac:dyDescent="0.2">
      <c r="B79" s="21"/>
      <c r="C79" s="144"/>
      <c r="D79" s="144"/>
      <c r="E79" s="51"/>
      <c r="F79" s="51"/>
      <c r="G79" s="51"/>
      <c r="H79" s="51"/>
      <c r="I79" s="6"/>
      <c r="J79" s="7"/>
      <c r="K79" s="8"/>
      <c r="L79" s="8"/>
      <c r="M79" s="6"/>
      <c r="N79" s="18"/>
      <c r="O79" s="18"/>
      <c r="P79" s="18"/>
      <c r="Q79" s="18"/>
      <c r="R79" s="57"/>
      <c r="S79" s="57"/>
      <c r="T79" s="57"/>
      <c r="X79" s="5"/>
    </row>
    <row r="80" spans="2:24" s="10" customFormat="1" ht="42" hidden="1" customHeight="1" x14ac:dyDescent="0.2">
      <c r="B80" s="21"/>
      <c r="C80" s="144"/>
      <c r="D80" s="144"/>
      <c r="E80" s="51"/>
      <c r="F80" s="51"/>
      <c r="G80" s="51"/>
      <c r="H80" s="51"/>
      <c r="I80" s="6"/>
      <c r="J80" s="7"/>
      <c r="K80" s="8"/>
      <c r="L80" s="8"/>
      <c r="M80" s="6"/>
      <c r="N80" s="18"/>
      <c r="O80" s="18"/>
      <c r="P80" s="18"/>
      <c r="Q80" s="18"/>
      <c r="R80" s="57"/>
      <c r="S80" s="57"/>
      <c r="T80" s="57"/>
      <c r="X80" s="5"/>
    </row>
    <row r="81" spans="2:24" s="10" customFormat="1" ht="42" hidden="1" customHeight="1" x14ac:dyDescent="0.2">
      <c r="B81" s="21"/>
      <c r="C81" s="144"/>
      <c r="D81" s="144"/>
      <c r="E81" s="51"/>
      <c r="F81" s="51"/>
      <c r="G81" s="51"/>
      <c r="H81" s="51"/>
      <c r="I81" s="6"/>
      <c r="J81" s="7"/>
      <c r="K81" s="8"/>
      <c r="L81" s="8"/>
      <c r="M81" s="6"/>
      <c r="N81" s="18"/>
      <c r="O81" s="18"/>
      <c r="P81" s="18"/>
      <c r="Q81" s="18"/>
      <c r="R81" s="57"/>
      <c r="S81" s="57"/>
      <c r="T81" s="57"/>
      <c r="X81" s="5"/>
    </row>
    <row r="82" spans="2:24" s="10" customFormat="1" ht="42" hidden="1" customHeight="1" x14ac:dyDescent="0.2">
      <c r="B82" s="21"/>
      <c r="C82" s="144"/>
      <c r="D82" s="144"/>
      <c r="E82" s="51"/>
      <c r="F82" s="51"/>
      <c r="G82" s="51"/>
      <c r="H82" s="51"/>
      <c r="I82" s="6"/>
      <c r="J82" s="7"/>
      <c r="K82" s="8"/>
      <c r="L82" s="8"/>
      <c r="M82" s="6"/>
      <c r="N82" s="18"/>
      <c r="O82" s="18"/>
      <c r="P82" s="18"/>
      <c r="Q82" s="18"/>
      <c r="R82" s="57"/>
      <c r="S82" s="57"/>
      <c r="T82" s="57"/>
      <c r="X82" s="5"/>
    </row>
    <row r="83" spans="2:24" s="10" customFormat="1" ht="42" hidden="1" customHeight="1" x14ac:dyDescent="0.2">
      <c r="B83" s="21"/>
      <c r="C83" s="144"/>
      <c r="D83" s="144"/>
      <c r="E83" s="96"/>
      <c r="F83" s="96"/>
      <c r="G83" s="96"/>
      <c r="H83" s="96"/>
      <c r="I83" s="6"/>
      <c r="J83" s="7"/>
      <c r="K83" s="8"/>
      <c r="L83" s="8"/>
      <c r="M83" s="6"/>
      <c r="N83" s="18"/>
      <c r="O83" s="18"/>
      <c r="P83" s="18"/>
      <c r="Q83" s="18"/>
      <c r="R83" s="57"/>
      <c r="S83" s="57"/>
      <c r="T83" s="57"/>
      <c r="X83" s="5"/>
    </row>
    <row r="84" spans="2:24" s="10" customFormat="1" ht="42" hidden="1" customHeight="1" x14ac:dyDescent="0.2">
      <c r="B84" s="21"/>
      <c r="C84" s="144"/>
      <c r="D84" s="144"/>
      <c r="E84" s="96"/>
      <c r="F84" s="96"/>
      <c r="G84" s="96"/>
      <c r="H84" s="96"/>
      <c r="I84" s="11"/>
      <c r="J84" s="11"/>
      <c r="K84" s="8"/>
      <c r="L84" s="8"/>
      <c r="M84" s="8"/>
      <c r="N84" s="19"/>
      <c r="O84" s="19"/>
      <c r="P84" s="19"/>
      <c r="Q84" s="19"/>
      <c r="R84" s="57"/>
      <c r="S84" s="57"/>
      <c r="T84" s="57"/>
      <c r="X84" s="5"/>
    </row>
    <row r="85" spans="2:24" s="10" customFormat="1" ht="42" hidden="1" customHeight="1" x14ac:dyDescent="0.2">
      <c r="B85" s="21"/>
      <c r="C85" s="144"/>
      <c r="D85" s="144"/>
      <c r="E85" s="96"/>
      <c r="F85" s="96"/>
      <c r="G85" s="96"/>
      <c r="H85" s="96"/>
      <c r="I85" s="11"/>
      <c r="J85" s="11"/>
      <c r="K85" s="8"/>
      <c r="L85" s="8"/>
      <c r="M85" s="8"/>
      <c r="N85" s="19"/>
      <c r="O85" s="19"/>
      <c r="P85" s="19"/>
      <c r="Q85" s="19"/>
      <c r="R85" s="57"/>
      <c r="S85" s="57"/>
      <c r="T85" s="57"/>
      <c r="X85" s="5"/>
    </row>
    <row r="86" spans="2:24" s="10" customFormat="1" ht="42" hidden="1" customHeight="1" x14ac:dyDescent="0.2">
      <c r="B86" s="12"/>
      <c r="C86" s="13"/>
      <c r="D86" s="13"/>
      <c r="E86" s="14"/>
      <c r="F86" s="14"/>
      <c r="G86" s="14"/>
      <c r="H86" s="14"/>
      <c r="I86" s="15"/>
      <c r="J86" s="15"/>
      <c r="K86" s="14"/>
      <c r="L86" s="14"/>
      <c r="M86" s="14"/>
      <c r="N86" s="14"/>
      <c r="O86" s="14"/>
      <c r="P86" s="14"/>
      <c r="Q86" s="14"/>
      <c r="R86" s="16"/>
      <c r="X86" s="5"/>
    </row>
    <row r="87" spans="2:24" s="10" customFormat="1" ht="20.25" customHeight="1" x14ac:dyDescent="0.2">
      <c r="B87" s="68" t="s">
        <v>55</v>
      </c>
      <c r="C87" s="68"/>
      <c r="D87" s="68"/>
      <c r="E87" s="68"/>
      <c r="F87" s="68"/>
      <c r="G87" s="88" t="s">
        <v>54</v>
      </c>
      <c r="H87" s="88"/>
      <c r="I87" s="88"/>
      <c r="J87" s="88"/>
      <c r="K87" s="88"/>
      <c r="L87" s="88"/>
      <c r="M87" s="3"/>
      <c r="N87" s="70"/>
      <c r="O87" s="70"/>
      <c r="P87" s="70"/>
      <c r="Q87" s="70"/>
      <c r="R87" s="70"/>
      <c r="S87" s="69"/>
      <c r="T87" s="69"/>
      <c r="X87" s="5"/>
    </row>
    <row r="88" spans="2:24" ht="32.25" customHeight="1" x14ac:dyDescent="0.2">
      <c r="B88" s="63" t="s">
        <v>9</v>
      </c>
      <c r="C88" s="63"/>
      <c r="D88" s="24" t="s">
        <v>32</v>
      </c>
      <c r="E88" s="24" t="s">
        <v>33</v>
      </c>
      <c r="F88" s="24" t="s">
        <v>30</v>
      </c>
      <c r="G88" s="24" t="s">
        <v>31</v>
      </c>
      <c r="H88" s="24" t="s">
        <v>32</v>
      </c>
      <c r="I88" s="24" t="s">
        <v>33</v>
      </c>
      <c r="J88" s="86" t="s">
        <v>30</v>
      </c>
      <c r="K88" s="86"/>
      <c r="L88" s="86"/>
      <c r="N88" s="70"/>
      <c r="O88" s="70"/>
      <c r="P88" s="70"/>
      <c r="Q88" s="70"/>
      <c r="R88" s="70"/>
      <c r="S88" s="69"/>
      <c r="T88" s="69"/>
      <c r="U88" s="69"/>
      <c r="V88" s="69"/>
    </row>
    <row r="89" spans="2:24" ht="18.75" customHeight="1" x14ac:dyDescent="0.2">
      <c r="B89" s="64" t="s">
        <v>13</v>
      </c>
      <c r="C89" s="64"/>
      <c r="D89" s="20">
        <v>1</v>
      </c>
      <c r="E89" s="20">
        <v>1</v>
      </c>
      <c r="F89" s="39">
        <f>D89/E89</f>
        <v>1</v>
      </c>
      <c r="G89" s="71" t="s">
        <v>34</v>
      </c>
      <c r="H89" s="83">
        <f>SUM(D89:D91)</f>
        <v>6</v>
      </c>
      <c r="I89" s="83">
        <f>SUM(E89:E91)</f>
        <v>6</v>
      </c>
      <c r="J89" s="74">
        <f>H89/I89</f>
        <v>1</v>
      </c>
      <c r="K89" s="75"/>
      <c r="L89" s="76"/>
      <c r="N89" s="70"/>
      <c r="O89" s="70"/>
      <c r="P89" s="70"/>
      <c r="Q89" s="70"/>
      <c r="R89" s="70"/>
      <c r="S89" s="69"/>
      <c r="T89" s="69"/>
      <c r="U89" s="69"/>
      <c r="V89" s="69"/>
    </row>
    <row r="90" spans="2:24" ht="18.75" customHeight="1" x14ac:dyDescent="0.2">
      <c r="B90" s="64" t="s">
        <v>14</v>
      </c>
      <c r="C90" s="64"/>
      <c r="D90" s="20">
        <f>COUNTIF(I14:I84,"FEBRERO")</f>
        <v>3</v>
      </c>
      <c r="E90" s="20">
        <f>COUNTIF(M13:M83,"FEBRERO")</f>
        <v>3</v>
      </c>
      <c r="F90" s="39">
        <f t="shared" ref="F90:F100" si="0">D90/E90</f>
        <v>1</v>
      </c>
      <c r="G90" s="72"/>
      <c r="H90" s="84"/>
      <c r="I90" s="84"/>
      <c r="J90" s="77"/>
      <c r="K90" s="78"/>
      <c r="L90" s="79"/>
      <c r="U90" s="69"/>
      <c r="V90" s="69"/>
    </row>
    <row r="91" spans="2:24" ht="18.75" customHeight="1" x14ac:dyDescent="0.2">
      <c r="B91" s="64" t="s">
        <v>15</v>
      </c>
      <c r="C91" s="64"/>
      <c r="D91" s="20">
        <f>COUNTIF(I16:I85,"MARZO")</f>
        <v>2</v>
      </c>
      <c r="E91" s="20">
        <f>COUNTIF(M14:M84,"MARZO")</f>
        <v>2</v>
      </c>
      <c r="F91" s="39">
        <f t="shared" si="0"/>
        <v>1</v>
      </c>
      <c r="G91" s="73"/>
      <c r="H91" s="85"/>
      <c r="I91" s="85"/>
      <c r="J91" s="80"/>
      <c r="K91" s="81"/>
      <c r="L91" s="82"/>
    </row>
    <row r="92" spans="2:24" ht="18.75" customHeight="1" x14ac:dyDescent="0.2">
      <c r="B92" s="64" t="s">
        <v>16</v>
      </c>
      <c r="C92" s="64"/>
      <c r="D92" s="20">
        <f>COUNTIF(I16:I85,"ABRIL")</f>
        <v>5</v>
      </c>
      <c r="E92" s="20">
        <f>COUNTIF(M16:M85,"ABRIL")</f>
        <v>5</v>
      </c>
      <c r="F92" s="39">
        <f t="shared" si="0"/>
        <v>1</v>
      </c>
      <c r="G92" s="71" t="s">
        <v>35</v>
      </c>
      <c r="H92" s="83">
        <f>SUM(D92:D94)</f>
        <v>17</v>
      </c>
      <c r="I92" s="83">
        <f>SUM(E92:E94)</f>
        <v>17</v>
      </c>
      <c r="J92" s="74">
        <f>H92/I92</f>
        <v>1</v>
      </c>
      <c r="K92" s="75"/>
      <c r="L92" s="76"/>
    </row>
    <row r="93" spans="2:24" ht="18.75" customHeight="1" x14ac:dyDescent="0.2">
      <c r="B93" s="64" t="s">
        <v>17</v>
      </c>
      <c r="C93" s="64"/>
      <c r="D93" s="20">
        <f>COUNTIF(I16:I85,"MAYO")</f>
        <v>7</v>
      </c>
      <c r="E93" s="20">
        <f>COUNTIF(M16:M85,"MAYO")</f>
        <v>7</v>
      </c>
      <c r="F93" s="39">
        <f t="shared" si="0"/>
        <v>1</v>
      </c>
      <c r="G93" s="72"/>
      <c r="H93" s="84"/>
      <c r="I93" s="84"/>
      <c r="J93" s="77"/>
      <c r="K93" s="78"/>
      <c r="L93" s="79"/>
    </row>
    <row r="94" spans="2:24" ht="18.75" customHeight="1" x14ac:dyDescent="0.2">
      <c r="B94" s="64" t="s">
        <v>18</v>
      </c>
      <c r="C94" s="64"/>
      <c r="D94" s="20">
        <f>COUNTIF(I16:I85,"JUNIO")</f>
        <v>5</v>
      </c>
      <c r="E94" s="20">
        <f>COUNTIF(M16:M85,"JUNIO")</f>
        <v>5</v>
      </c>
      <c r="F94" s="39">
        <f t="shared" si="0"/>
        <v>1</v>
      </c>
      <c r="G94" s="73"/>
      <c r="H94" s="85"/>
      <c r="I94" s="85"/>
      <c r="J94" s="80"/>
      <c r="K94" s="81"/>
      <c r="L94" s="82"/>
    </row>
    <row r="95" spans="2:24" ht="18.75" customHeight="1" x14ac:dyDescent="0.2">
      <c r="B95" s="64" t="s">
        <v>19</v>
      </c>
      <c r="C95" s="64"/>
      <c r="D95" s="20">
        <f>COUNTIF(I16:I85,"JULIO")</f>
        <v>9</v>
      </c>
      <c r="E95" s="20">
        <f>COUNTIF(M16:M85,"JULIO")</f>
        <v>9</v>
      </c>
      <c r="F95" s="39">
        <f t="shared" si="0"/>
        <v>1</v>
      </c>
      <c r="G95" s="71" t="s">
        <v>36</v>
      </c>
      <c r="H95" s="83">
        <f>SUM(D95:D97)</f>
        <v>23</v>
      </c>
      <c r="I95" s="83">
        <f>SUM(E95:E97)</f>
        <v>23</v>
      </c>
      <c r="J95" s="74">
        <f>H95/I95</f>
        <v>1</v>
      </c>
      <c r="K95" s="75"/>
      <c r="L95" s="76"/>
    </row>
    <row r="96" spans="2:24" ht="18.75" customHeight="1" x14ac:dyDescent="0.2">
      <c r="B96" s="64" t="s">
        <v>20</v>
      </c>
      <c r="C96" s="64"/>
      <c r="D96" s="20">
        <f>COUNTIF(I16:I85,"AGOSTO")</f>
        <v>5</v>
      </c>
      <c r="E96" s="20">
        <f>COUNTIF(M16:M85,"AGOSTO")</f>
        <v>5</v>
      </c>
      <c r="F96" s="39">
        <f t="shared" si="0"/>
        <v>1</v>
      </c>
      <c r="G96" s="72"/>
      <c r="H96" s="84"/>
      <c r="I96" s="84"/>
      <c r="J96" s="77"/>
      <c r="K96" s="78"/>
      <c r="L96" s="79"/>
    </row>
    <row r="97" spans="2:17" ht="18.75" customHeight="1" x14ac:dyDescent="0.2">
      <c r="B97" s="64" t="s">
        <v>21</v>
      </c>
      <c r="C97" s="64"/>
      <c r="D97" s="20">
        <f>COUNTIF(I16:I85,"SEPTIEMBRE")</f>
        <v>9</v>
      </c>
      <c r="E97" s="20">
        <f>COUNTIF(M16:M85,"SEPTIEMBRE")</f>
        <v>9</v>
      </c>
      <c r="F97" s="39">
        <f t="shared" si="0"/>
        <v>1</v>
      </c>
      <c r="G97" s="73"/>
      <c r="H97" s="85"/>
      <c r="I97" s="85"/>
      <c r="J97" s="80"/>
      <c r="K97" s="81"/>
      <c r="L97" s="82"/>
    </row>
    <row r="98" spans="2:17" ht="18.75" customHeight="1" x14ac:dyDescent="0.2">
      <c r="B98" s="64" t="s">
        <v>22</v>
      </c>
      <c r="C98" s="64"/>
      <c r="D98" s="20">
        <f>COUNTIF(I16:I85,"OCTUBRE")</f>
        <v>2</v>
      </c>
      <c r="E98" s="20">
        <f>COUNTIF(M16:M85,"OCTUBRE")</f>
        <v>2</v>
      </c>
      <c r="F98" s="39">
        <f t="shared" si="0"/>
        <v>1</v>
      </c>
      <c r="G98" s="71" t="s">
        <v>37</v>
      </c>
      <c r="H98" s="83">
        <f>SUM(D98:D100)</f>
        <v>9</v>
      </c>
      <c r="I98" s="83">
        <f>SUM(E98:E100)</f>
        <v>9</v>
      </c>
      <c r="J98" s="74">
        <f>H98/I98</f>
        <v>1</v>
      </c>
      <c r="K98" s="75"/>
      <c r="L98" s="76"/>
    </row>
    <row r="99" spans="2:17" ht="18.75" customHeight="1" x14ac:dyDescent="0.2">
      <c r="B99" s="64" t="s">
        <v>23</v>
      </c>
      <c r="C99" s="64"/>
      <c r="D99" s="20">
        <f>COUNTIF(I16:I85,"NOVIEMBRE")</f>
        <v>4</v>
      </c>
      <c r="E99" s="20">
        <f>COUNTIF(M16:M85,"NOVIEMBRE")</f>
        <v>4</v>
      </c>
      <c r="F99" s="39">
        <f t="shared" si="0"/>
        <v>1</v>
      </c>
      <c r="G99" s="72"/>
      <c r="H99" s="84"/>
      <c r="I99" s="84"/>
      <c r="J99" s="77"/>
      <c r="K99" s="78"/>
      <c r="L99" s="79"/>
    </row>
    <row r="100" spans="2:17" ht="18.75" customHeight="1" x14ac:dyDescent="0.2">
      <c r="B100" s="64" t="s">
        <v>24</v>
      </c>
      <c r="C100" s="64"/>
      <c r="D100" s="20">
        <f>COUNTIF(I16:I85,"DICIEMBRE")</f>
        <v>3</v>
      </c>
      <c r="E100" s="20">
        <f>COUNTIF(M16:M85,"DICIEMBRE")</f>
        <v>3</v>
      </c>
      <c r="F100" s="39">
        <f t="shared" si="0"/>
        <v>1</v>
      </c>
      <c r="G100" s="73"/>
      <c r="H100" s="85"/>
      <c r="I100" s="85"/>
      <c r="J100" s="80"/>
      <c r="K100" s="81"/>
      <c r="L100" s="82"/>
    </row>
    <row r="101" spans="2:17" ht="18.75" customHeight="1" x14ac:dyDescent="0.2">
      <c r="B101" s="1"/>
    </row>
    <row r="102" spans="2:17" x14ac:dyDescent="0.2">
      <c r="B102" s="1"/>
    </row>
    <row r="103" spans="2:17" x14ac:dyDescent="0.2">
      <c r="B103" s="1"/>
    </row>
    <row r="104" spans="2:17" x14ac:dyDescent="0.2">
      <c r="B104" s="1"/>
    </row>
    <row r="105" spans="2:17" x14ac:dyDescent="0.2">
      <c r="B105" s="1"/>
    </row>
    <row r="106" spans="2:17" x14ac:dyDescent="0.2">
      <c r="B106" s="143" t="s">
        <v>45</v>
      </c>
      <c r="C106" s="60"/>
      <c r="D106" s="60"/>
      <c r="E106" s="58"/>
      <c r="G106" s="65" t="s">
        <v>51</v>
      </c>
      <c r="H106" s="66"/>
      <c r="I106" s="66"/>
      <c r="J106" s="66"/>
      <c r="K106" s="67"/>
      <c r="L106" s="3"/>
      <c r="M106" s="4"/>
      <c r="O106" s="1"/>
      <c r="P106" s="1"/>
      <c r="Q106" s="1"/>
    </row>
    <row r="107" spans="2:17" ht="12.75" customHeight="1" x14ac:dyDescent="0.2">
      <c r="B107" s="63" t="s">
        <v>9</v>
      </c>
      <c r="C107" s="63"/>
      <c r="D107" s="24" t="s">
        <v>46</v>
      </c>
      <c r="E107" s="24" t="s">
        <v>47</v>
      </c>
      <c r="G107" s="63" t="s">
        <v>9</v>
      </c>
      <c r="H107" s="63"/>
      <c r="I107" s="24" t="s">
        <v>50</v>
      </c>
      <c r="J107" s="24" t="s">
        <v>52</v>
      </c>
      <c r="K107" s="24" t="s">
        <v>53</v>
      </c>
      <c r="P107" s="1"/>
      <c r="Q107" s="1"/>
    </row>
    <row r="108" spans="2:17" x14ac:dyDescent="0.2">
      <c r="B108" s="64" t="s">
        <v>13</v>
      </c>
      <c r="C108" s="64"/>
      <c r="D108" s="20">
        <f>COUNTIF(M16:O16,"PRESENCIAL")</f>
        <v>1</v>
      </c>
      <c r="E108" s="20">
        <f>COUNTIF(M16:O16,"VIRTUAL")</f>
        <v>0</v>
      </c>
      <c r="G108" s="64" t="s">
        <v>13</v>
      </c>
      <c r="H108" s="64"/>
      <c r="I108" s="20">
        <f>COUNTIF($O$16:$P$16,"SGC")</f>
        <v>0</v>
      </c>
      <c r="J108" s="20">
        <f>COUNTIF($O$16:$P$16,"SST")</f>
        <v>1</v>
      </c>
      <c r="K108" s="20">
        <f>COUNTIF($O$16:$P$16,"INVIMA")</f>
        <v>0</v>
      </c>
      <c r="P108" s="1"/>
      <c r="Q108" s="1"/>
    </row>
    <row r="109" spans="2:17" x14ac:dyDescent="0.2">
      <c r="B109" s="64" t="s">
        <v>14</v>
      </c>
      <c r="C109" s="64"/>
      <c r="D109" s="20">
        <f>COUNTIF(M20:O20,"PRESENCIAL")</f>
        <v>1</v>
      </c>
      <c r="E109" s="20">
        <f>COUNTIF(M20:O20,"VIRTUAL")</f>
        <v>0</v>
      </c>
      <c r="G109" s="64" t="s">
        <v>14</v>
      </c>
      <c r="H109" s="64"/>
      <c r="I109" s="20"/>
      <c r="J109" s="20"/>
      <c r="K109" s="20">
        <v>0</v>
      </c>
      <c r="P109" s="1"/>
      <c r="Q109" s="1"/>
    </row>
    <row r="110" spans="2:17" x14ac:dyDescent="0.2">
      <c r="B110" s="64" t="s">
        <v>15</v>
      </c>
      <c r="C110" s="64"/>
      <c r="D110" s="20">
        <f>COUNTIF(M21:O21,"PRESENCIAL")</f>
        <v>1</v>
      </c>
      <c r="E110" s="20">
        <f>COUNTIF(M21:O21,"VIRTUAL")</f>
        <v>0</v>
      </c>
      <c r="G110" s="64" t="s">
        <v>15</v>
      </c>
      <c r="H110" s="64"/>
      <c r="I110" s="20"/>
      <c r="J110" s="20"/>
      <c r="K110" s="20">
        <f>COUNTIF(S79:S104,"MARZO")</f>
        <v>0</v>
      </c>
      <c r="P110" s="1"/>
      <c r="Q110" s="1"/>
    </row>
    <row r="111" spans="2:17" x14ac:dyDescent="0.2">
      <c r="B111" s="64" t="s">
        <v>16</v>
      </c>
      <c r="C111" s="64"/>
      <c r="D111" s="20">
        <f>COUNTIF(M24:O27,"PRESENCIAL")</f>
        <v>3</v>
      </c>
      <c r="E111" s="20">
        <f>COUNTIF(M24:O27,"VIRTUAL")</f>
        <v>1</v>
      </c>
      <c r="G111" s="64" t="s">
        <v>16</v>
      </c>
      <c r="H111" s="64"/>
      <c r="I111" s="20"/>
      <c r="J111" s="20"/>
      <c r="K111" s="20">
        <f>COUNTIF(S79:S104,"ABRIL")</f>
        <v>0</v>
      </c>
      <c r="P111" s="1"/>
      <c r="Q111" s="1"/>
    </row>
    <row r="112" spans="2:17" x14ac:dyDescent="0.2">
      <c r="B112" s="64" t="s">
        <v>17</v>
      </c>
      <c r="C112" s="64"/>
      <c r="D112" s="20">
        <f>COUNTIF(M29:O33,"PRESENCIAL")</f>
        <v>2</v>
      </c>
      <c r="E112" s="20">
        <f>COUNTIF(M29:O33,"VIRTUAL")</f>
        <v>3</v>
      </c>
      <c r="G112" s="64" t="s">
        <v>17</v>
      </c>
      <c r="H112" s="64"/>
      <c r="I112" s="20"/>
      <c r="J112" s="20"/>
      <c r="K112" s="20">
        <f>COUNTIF(S79:S104,"MAYO")</f>
        <v>0</v>
      </c>
      <c r="P112" s="1"/>
      <c r="Q112" s="1"/>
    </row>
    <row r="113" spans="2:18" x14ac:dyDescent="0.2">
      <c r="B113" s="64" t="s">
        <v>18</v>
      </c>
      <c r="C113" s="64"/>
      <c r="D113" s="20">
        <f>COUNTIF(M35:O37,"PRESENCIAL")</f>
        <v>3</v>
      </c>
      <c r="E113" s="20">
        <f>COUNTIF(M35:O37,"VIRTUAL")</f>
        <v>0</v>
      </c>
      <c r="G113" s="64" t="s">
        <v>18</v>
      </c>
      <c r="H113" s="64"/>
      <c r="I113" s="20"/>
      <c r="J113" s="20"/>
      <c r="K113" s="20">
        <f>COUNTIF(S79:S104,"JUNIO")</f>
        <v>0</v>
      </c>
      <c r="P113" s="1"/>
      <c r="Q113" s="1"/>
    </row>
    <row r="114" spans="2:18" x14ac:dyDescent="0.2">
      <c r="B114" s="64" t="s">
        <v>19</v>
      </c>
      <c r="C114" s="64"/>
      <c r="D114" s="20">
        <f>COUNTIF(M41:O48,"PRESENCIAL")</f>
        <v>8</v>
      </c>
      <c r="E114" s="20">
        <f>COUNTIF(M41:O48,"VIRTUAL")</f>
        <v>0</v>
      </c>
      <c r="G114" s="64" t="s">
        <v>19</v>
      </c>
      <c r="H114" s="64"/>
      <c r="I114" s="20"/>
      <c r="J114" s="20"/>
      <c r="K114" s="20">
        <f>COUNTIF(S79:S104,"JULIO")</f>
        <v>0</v>
      </c>
      <c r="P114" s="1"/>
      <c r="Q114" s="1"/>
    </row>
    <row r="115" spans="2:18" x14ac:dyDescent="0.2">
      <c r="B115" s="64" t="s">
        <v>20</v>
      </c>
      <c r="C115" s="64"/>
      <c r="D115" s="20">
        <f>COUNTIF(M49:O53,"PRESENCIAL")</f>
        <v>5</v>
      </c>
      <c r="E115" s="20">
        <f>COUNTIF(M49:O53,"VIRTUAL")</f>
        <v>0</v>
      </c>
      <c r="G115" s="64" t="s">
        <v>20</v>
      </c>
      <c r="H115" s="64"/>
      <c r="I115" s="20"/>
      <c r="J115" s="20"/>
      <c r="K115" s="20">
        <f>COUNTIF(S79:S104,"AGOSTO")</f>
        <v>0</v>
      </c>
      <c r="P115" s="1"/>
      <c r="Q115" s="1"/>
    </row>
    <row r="116" spans="2:18" x14ac:dyDescent="0.2">
      <c r="B116" s="64" t="s">
        <v>21</v>
      </c>
      <c r="C116" s="64"/>
      <c r="D116" s="20">
        <f>COUNTIF(M54:O61,"PRESENCIAL")</f>
        <v>7</v>
      </c>
      <c r="E116" s="20">
        <f>COUNTIF(M54:O61,"VIRTUAL")</f>
        <v>1</v>
      </c>
      <c r="G116" s="64" t="s">
        <v>21</v>
      </c>
      <c r="H116" s="64"/>
      <c r="I116" s="20"/>
      <c r="J116" s="20"/>
      <c r="K116" s="20">
        <f>COUNTIF(S79:S104,"SEPTIEMBRE")</f>
        <v>0</v>
      </c>
      <c r="P116" s="1"/>
      <c r="Q116" s="1"/>
    </row>
    <row r="117" spans="2:18" x14ac:dyDescent="0.2">
      <c r="B117" s="64" t="s">
        <v>22</v>
      </c>
      <c r="C117" s="64"/>
      <c r="D117" s="20"/>
      <c r="E117" s="20"/>
      <c r="G117" s="64" t="s">
        <v>22</v>
      </c>
      <c r="H117" s="64"/>
      <c r="I117" s="20"/>
      <c r="J117" s="20"/>
      <c r="K117" s="20">
        <f>COUNTIF(S79:S104,"OCTUBRE")</f>
        <v>0</v>
      </c>
      <c r="P117" s="1"/>
      <c r="Q117" s="1"/>
    </row>
    <row r="118" spans="2:18" x14ac:dyDescent="0.2">
      <c r="B118" s="64" t="s">
        <v>23</v>
      </c>
      <c r="C118" s="64"/>
      <c r="D118" s="20"/>
      <c r="E118" s="20"/>
      <c r="G118" s="64" t="s">
        <v>23</v>
      </c>
      <c r="H118" s="64"/>
      <c r="I118" s="20"/>
      <c r="J118" s="20"/>
      <c r="K118" s="20">
        <f>COUNTIF(S79:S104,"NOVIEMBRE")</f>
        <v>0</v>
      </c>
      <c r="P118" s="1"/>
      <c r="Q118" s="1"/>
    </row>
    <row r="119" spans="2:18" x14ac:dyDescent="0.2">
      <c r="B119" s="64" t="s">
        <v>24</v>
      </c>
      <c r="C119" s="64"/>
      <c r="D119" s="20"/>
      <c r="E119" s="20"/>
      <c r="G119" s="64" t="s">
        <v>24</v>
      </c>
      <c r="H119" s="64"/>
      <c r="I119" s="20"/>
      <c r="J119" s="20"/>
      <c r="K119" s="20">
        <f>COUNTIF(S79:S104,"DICIEMBRE")</f>
        <v>0</v>
      </c>
      <c r="P119" s="1"/>
      <c r="Q119" s="1"/>
    </row>
    <row r="120" spans="2:18" x14ac:dyDescent="0.2">
      <c r="B120" s="61" t="s">
        <v>48</v>
      </c>
      <c r="C120" s="62"/>
      <c r="D120" s="34">
        <f>SUM(D108:D119)</f>
        <v>31</v>
      </c>
      <c r="E120" s="34">
        <f>SUM(E108:E119)</f>
        <v>5</v>
      </c>
      <c r="G120" s="61" t="s">
        <v>48</v>
      </c>
      <c r="H120" s="62"/>
      <c r="I120" s="32">
        <f>SUM(I108:I119)</f>
        <v>0</v>
      </c>
      <c r="J120" s="32"/>
      <c r="K120" s="32">
        <f>SUM(K108:K119)</f>
        <v>0</v>
      </c>
      <c r="M120" s="1"/>
      <c r="N120" s="3"/>
      <c r="R120" s="4"/>
    </row>
    <row r="276" spans="23:23" x14ac:dyDescent="0.2">
      <c r="W276" s="17" t="s">
        <v>13</v>
      </c>
    </row>
    <row r="277" spans="23:23" x14ac:dyDescent="0.2">
      <c r="W277" s="17" t="s">
        <v>14</v>
      </c>
    </row>
    <row r="278" spans="23:23" x14ac:dyDescent="0.2">
      <c r="W278" s="17" t="s">
        <v>15</v>
      </c>
    </row>
    <row r="279" spans="23:23" x14ac:dyDescent="0.2">
      <c r="W279" s="17" t="s">
        <v>16</v>
      </c>
    </row>
    <row r="280" spans="23:23" x14ac:dyDescent="0.2">
      <c r="W280" s="17" t="s">
        <v>17</v>
      </c>
    </row>
    <row r="281" spans="23:23" x14ac:dyDescent="0.2">
      <c r="W281" s="17" t="s">
        <v>18</v>
      </c>
    </row>
    <row r="282" spans="23:23" x14ac:dyDescent="0.2">
      <c r="W282" s="17" t="s">
        <v>19</v>
      </c>
    </row>
    <row r="283" spans="23:23" x14ac:dyDescent="0.2">
      <c r="W283" s="17" t="s">
        <v>20</v>
      </c>
    </row>
    <row r="284" spans="23:23" x14ac:dyDescent="0.2">
      <c r="W284" s="17" t="s">
        <v>21</v>
      </c>
    </row>
    <row r="285" spans="23:23" x14ac:dyDescent="0.2">
      <c r="W285" s="17" t="s">
        <v>22</v>
      </c>
    </row>
    <row r="286" spans="23:23" x14ac:dyDescent="0.2">
      <c r="W286" s="17" t="s">
        <v>23</v>
      </c>
    </row>
    <row r="287" spans="23:23" x14ac:dyDescent="0.2">
      <c r="W287" s="17" t="s">
        <v>24</v>
      </c>
    </row>
    <row r="288" spans="23:23" x14ac:dyDescent="0.2">
      <c r="W288" s="17"/>
    </row>
    <row r="289" spans="23:23" x14ac:dyDescent="0.2">
      <c r="W289" s="17"/>
    </row>
    <row r="290" spans="23:23" x14ac:dyDescent="0.2">
      <c r="W290" s="17"/>
    </row>
    <row r="291" spans="23:23" x14ac:dyDescent="0.2">
      <c r="W291" s="17"/>
    </row>
  </sheetData>
  <mergeCells count="384">
    <mergeCell ref="C47:D47"/>
    <mergeCell ref="E47:F47"/>
    <mergeCell ref="G47:H47"/>
    <mergeCell ref="C37:D37"/>
    <mergeCell ref="E37:F37"/>
    <mergeCell ref="E78:F78"/>
    <mergeCell ref="G77:H77"/>
    <mergeCell ref="G74:H74"/>
    <mergeCell ref="G76:H76"/>
    <mergeCell ref="C75:D75"/>
    <mergeCell ref="C15:D15"/>
    <mergeCell ref="E15:F15"/>
    <mergeCell ref="G15:H15"/>
    <mergeCell ref="R15:T15"/>
    <mergeCell ref="R17:T17"/>
    <mergeCell ref="R28:T28"/>
    <mergeCell ref="R57:T57"/>
    <mergeCell ref="C59:D59"/>
    <mergeCell ref="E59:F59"/>
    <mergeCell ref="G59:H59"/>
    <mergeCell ref="R59:T59"/>
    <mergeCell ref="C46:D46"/>
    <mergeCell ref="C32:D32"/>
    <mergeCell ref="E32:F32"/>
    <mergeCell ref="E54:F54"/>
    <mergeCell ref="C57:D57"/>
    <mergeCell ref="E57:F57"/>
    <mergeCell ref="G57:H57"/>
    <mergeCell ref="R46:T46"/>
    <mergeCell ref="B119:C119"/>
    <mergeCell ref="B107:C107"/>
    <mergeCell ref="B108:C108"/>
    <mergeCell ref="B109:C109"/>
    <mergeCell ref="B110:C110"/>
    <mergeCell ref="B111:C111"/>
    <mergeCell ref="B112:C112"/>
    <mergeCell ref="B113:C113"/>
    <mergeCell ref="B114:C114"/>
    <mergeCell ref="B115:C115"/>
    <mergeCell ref="B116:C116"/>
    <mergeCell ref="B117:C117"/>
    <mergeCell ref="B118:C118"/>
    <mergeCell ref="C6:I6"/>
    <mergeCell ref="F9:G9"/>
    <mergeCell ref="I11:N11"/>
    <mergeCell ref="K12:L12"/>
    <mergeCell ref="I12:J12"/>
    <mergeCell ref="G79:H79"/>
    <mergeCell ref="E80:F80"/>
    <mergeCell ref="G78:H78"/>
    <mergeCell ref="H9:I9"/>
    <mergeCell ref="B11:H11"/>
    <mergeCell ref="C7:I7"/>
    <mergeCell ref="J6:L7"/>
    <mergeCell ref="C61:D61"/>
    <mergeCell ref="E49:F49"/>
    <mergeCell ref="C48:D48"/>
    <mergeCell ref="E48:F48"/>
    <mergeCell ref="C30:D30"/>
    <mergeCell ref="C63:D63"/>
    <mergeCell ref="E63:F63"/>
    <mergeCell ref="C52:D52"/>
    <mergeCell ref="G60:H60"/>
    <mergeCell ref="E79:F79"/>
    <mergeCell ref="G72:H72"/>
    <mergeCell ref="G80:H80"/>
    <mergeCell ref="B106:E106"/>
    <mergeCell ref="C85:D85"/>
    <mergeCell ref="E85:F85"/>
    <mergeCell ref="B96:C96"/>
    <mergeCell ref="B97:C97"/>
    <mergeCell ref="B98:C98"/>
    <mergeCell ref="B99:C99"/>
    <mergeCell ref="B90:C90"/>
    <mergeCell ref="C81:D81"/>
    <mergeCell ref="C82:D82"/>
    <mergeCell ref="B93:C93"/>
    <mergeCell ref="B91:C91"/>
    <mergeCell ref="B92:C92"/>
    <mergeCell ref="B88:C88"/>
    <mergeCell ref="B89:C89"/>
    <mergeCell ref="B100:C100"/>
    <mergeCell ref="B94:C94"/>
    <mergeCell ref="B95:C95"/>
    <mergeCell ref="C84:D84"/>
    <mergeCell ref="E84:F84"/>
    <mergeCell ref="E83:F83"/>
    <mergeCell ref="C83:D83"/>
    <mergeCell ref="E82:F82"/>
    <mergeCell ref="E81:F81"/>
    <mergeCell ref="G98:G100"/>
    <mergeCell ref="C18:D18"/>
    <mergeCell ref="E18:F18"/>
    <mergeCell ref="N1:T1"/>
    <mergeCell ref="N2:T2"/>
    <mergeCell ref="N3:T3"/>
    <mergeCell ref="C2:M3"/>
    <mergeCell ref="M12:N12"/>
    <mergeCell ref="B5:T5"/>
    <mergeCell ref="B8:T8"/>
    <mergeCell ref="B12:B13"/>
    <mergeCell ref="M6:T7"/>
    <mergeCell ref="E12:F13"/>
    <mergeCell ref="B10:T10"/>
    <mergeCell ref="C12:D13"/>
    <mergeCell ref="G12:H13"/>
    <mergeCell ref="B2:B4"/>
    <mergeCell ref="C4:G4"/>
    <mergeCell ref="H4:M4"/>
    <mergeCell ref="N4:T4"/>
    <mergeCell ref="J9:L9"/>
    <mergeCell ref="O11:O13"/>
    <mergeCell ref="R11:T13"/>
    <mergeCell ref="C76:D76"/>
    <mergeCell ref="E51:F51"/>
    <mergeCell ref="C56:D56"/>
    <mergeCell ref="C55:D55"/>
    <mergeCell ref="E55:F55"/>
    <mergeCell ref="E62:F62"/>
    <mergeCell ref="E56:F56"/>
    <mergeCell ref="C41:D41"/>
    <mergeCell ref="E64:F64"/>
    <mergeCell ref="G95:G97"/>
    <mergeCell ref="C73:D73"/>
    <mergeCell ref="G85:H85"/>
    <mergeCell ref="C80:D80"/>
    <mergeCell ref="C77:D77"/>
    <mergeCell ref="G75:H75"/>
    <mergeCell ref="G73:H73"/>
    <mergeCell ref="E72:F72"/>
    <mergeCell ref="C79:D79"/>
    <mergeCell ref="E74:F74"/>
    <mergeCell ref="E77:F77"/>
    <mergeCell ref="C74:D74"/>
    <mergeCell ref="E73:F73"/>
    <mergeCell ref="C78:D78"/>
    <mergeCell ref="E75:F75"/>
    <mergeCell ref="E76:F76"/>
    <mergeCell ref="R14:T14"/>
    <mergeCell ref="R16:T16"/>
    <mergeCell ref="R24:T24"/>
    <mergeCell ref="R27:T27"/>
    <mergeCell ref="R18:T18"/>
    <mergeCell ref="R41:T41"/>
    <mergeCell ref="R42:T42"/>
    <mergeCell ref="R50:T50"/>
    <mergeCell ref="R45:T45"/>
    <mergeCell ref="R20:T20"/>
    <mergeCell ref="R21:T21"/>
    <mergeCell ref="R32:T32"/>
    <mergeCell ref="R47:T47"/>
    <mergeCell ref="R49:T49"/>
    <mergeCell ref="R37:T37"/>
    <mergeCell ref="R43:T43"/>
    <mergeCell ref="R38:T38"/>
    <mergeCell ref="R19:T19"/>
    <mergeCell ref="R22:T22"/>
    <mergeCell ref="R23:T23"/>
    <mergeCell ref="R77:T77"/>
    <mergeCell ref="R78:T78"/>
    <mergeCell ref="G48:H48"/>
    <mergeCell ref="R73:T73"/>
    <mergeCell ref="R74:T74"/>
    <mergeCell ref="G64:H64"/>
    <mergeCell ref="R64:T64"/>
    <mergeCell ref="G58:H58"/>
    <mergeCell ref="G56:H56"/>
    <mergeCell ref="R72:T72"/>
    <mergeCell ref="G65:H65"/>
    <mergeCell ref="R65:T65"/>
    <mergeCell ref="R60:T60"/>
    <mergeCell ref="G55:H55"/>
    <mergeCell ref="R55:T55"/>
    <mergeCell ref="G62:H62"/>
    <mergeCell ref="R62:T62"/>
    <mergeCell ref="R61:T61"/>
    <mergeCell ref="G61:H61"/>
    <mergeCell ref="R66:T66"/>
    <mergeCell ref="G66:H66"/>
    <mergeCell ref="G54:H54"/>
    <mergeCell ref="G51:H51"/>
    <mergeCell ref="R51:T51"/>
    <mergeCell ref="R79:T79"/>
    <mergeCell ref="R80:T80"/>
    <mergeCell ref="R81:T81"/>
    <mergeCell ref="R82:T82"/>
    <mergeCell ref="G84:H84"/>
    <mergeCell ref="G81:H81"/>
    <mergeCell ref="G82:H82"/>
    <mergeCell ref="R83:T83"/>
    <mergeCell ref="R84:T84"/>
    <mergeCell ref="G83:H83"/>
    <mergeCell ref="R85:T85"/>
    <mergeCell ref="C16:D16"/>
    <mergeCell ref="E16:F16"/>
    <mergeCell ref="E24:F24"/>
    <mergeCell ref="C43:D43"/>
    <mergeCell ref="G36:H36"/>
    <mergeCell ref="E29:F29"/>
    <mergeCell ref="C39:D39"/>
    <mergeCell ref="C36:D36"/>
    <mergeCell ref="C28:D28"/>
    <mergeCell ref="E28:F28"/>
    <mergeCell ref="G28:H28"/>
    <mergeCell ref="C17:D17"/>
    <mergeCell ref="E17:F17"/>
    <mergeCell ref="G17:H17"/>
    <mergeCell ref="E27:F27"/>
    <mergeCell ref="C24:D24"/>
    <mergeCell ref="C27:D27"/>
    <mergeCell ref="C29:D29"/>
    <mergeCell ref="G24:H24"/>
    <mergeCell ref="G27:H27"/>
    <mergeCell ref="G29:H29"/>
    <mergeCell ref="G30:H30"/>
    <mergeCell ref="C38:D38"/>
    <mergeCell ref="C9:E9"/>
    <mergeCell ref="C33:D33"/>
    <mergeCell ref="C35:D35"/>
    <mergeCell ref="E33:F33"/>
    <mergeCell ref="E35:F35"/>
    <mergeCell ref="G35:H35"/>
    <mergeCell ref="G31:H31"/>
    <mergeCell ref="E52:F52"/>
    <mergeCell ref="G52:H52"/>
    <mergeCell ref="E31:F31"/>
    <mergeCell ref="C20:D20"/>
    <mergeCell ref="C21:D21"/>
    <mergeCell ref="E20:F20"/>
    <mergeCell ref="E21:F21"/>
    <mergeCell ref="G20:H20"/>
    <mergeCell ref="G21:H21"/>
    <mergeCell ref="C44:D44"/>
    <mergeCell ref="C49:D49"/>
    <mergeCell ref="G38:H38"/>
    <mergeCell ref="C19:D19"/>
    <mergeCell ref="E19:F19"/>
    <mergeCell ref="G19:H19"/>
    <mergeCell ref="E39:F39"/>
    <mergeCell ref="G16:H16"/>
    <mergeCell ref="M9:T9"/>
    <mergeCell ref="R31:T31"/>
    <mergeCell ref="R36:T36"/>
    <mergeCell ref="R53:T53"/>
    <mergeCell ref="J98:L100"/>
    <mergeCell ref="S88:T88"/>
    <mergeCell ref="S89:T89"/>
    <mergeCell ref="G87:L87"/>
    <mergeCell ref="G89:G91"/>
    <mergeCell ref="H95:H97"/>
    <mergeCell ref="I95:I97"/>
    <mergeCell ref="H98:H100"/>
    <mergeCell ref="I98:I100"/>
    <mergeCell ref="J95:L97"/>
    <mergeCell ref="G44:H44"/>
    <mergeCell ref="R75:T75"/>
    <mergeCell ref="R76:T76"/>
    <mergeCell ref="R29:T29"/>
    <mergeCell ref="R30:T30"/>
    <mergeCell ref="R33:T33"/>
    <mergeCell ref="R35:T35"/>
    <mergeCell ref="R48:T48"/>
    <mergeCell ref="R44:T44"/>
    <mergeCell ref="R52:T52"/>
    <mergeCell ref="U88:V88"/>
    <mergeCell ref="U89:V89"/>
    <mergeCell ref="U90:V90"/>
    <mergeCell ref="N87:R87"/>
    <mergeCell ref="N88:R88"/>
    <mergeCell ref="N89:R89"/>
    <mergeCell ref="S87:T87"/>
    <mergeCell ref="G92:G94"/>
    <mergeCell ref="J89:L91"/>
    <mergeCell ref="J92:L94"/>
    <mergeCell ref="H89:H91"/>
    <mergeCell ref="I89:I91"/>
    <mergeCell ref="H92:H94"/>
    <mergeCell ref="I92:I94"/>
    <mergeCell ref="J88:L88"/>
    <mergeCell ref="B120:C120"/>
    <mergeCell ref="P11:P13"/>
    <mergeCell ref="G107:H107"/>
    <mergeCell ref="G108:H108"/>
    <mergeCell ref="G109:H109"/>
    <mergeCell ref="G110:H110"/>
    <mergeCell ref="G111:H111"/>
    <mergeCell ref="G112:H112"/>
    <mergeCell ref="G113:H113"/>
    <mergeCell ref="G114:H114"/>
    <mergeCell ref="G115:H115"/>
    <mergeCell ref="G116:H116"/>
    <mergeCell ref="G117:H117"/>
    <mergeCell ref="G118:H118"/>
    <mergeCell ref="G119:H119"/>
    <mergeCell ref="G120:H120"/>
    <mergeCell ref="G106:K106"/>
    <mergeCell ref="B87:F87"/>
    <mergeCell ref="G18:H18"/>
    <mergeCell ref="G39:H39"/>
    <mergeCell ref="G49:H49"/>
    <mergeCell ref="G43:H43"/>
    <mergeCell ref="G46:H46"/>
    <mergeCell ref="C53:D53"/>
    <mergeCell ref="R25:T25"/>
    <mergeCell ref="C26:D26"/>
    <mergeCell ref="G37:H37"/>
    <mergeCell ref="G41:H41"/>
    <mergeCell ref="G42:H42"/>
    <mergeCell ref="G50:H50"/>
    <mergeCell ref="G45:H45"/>
    <mergeCell ref="C72:D72"/>
    <mergeCell ref="C60:D60"/>
    <mergeCell ref="E60:F60"/>
    <mergeCell ref="E26:F26"/>
    <mergeCell ref="G26:H26"/>
    <mergeCell ref="R26:T26"/>
    <mergeCell ref="R58:T58"/>
    <mergeCell ref="R56:T56"/>
    <mergeCell ref="R54:T54"/>
    <mergeCell ref="E41:F41"/>
    <mergeCell ref="C42:D42"/>
    <mergeCell ref="E42:F42"/>
    <mergeCell ref="C50:D50"/>
    <mergeCell ref="E50:F50"/>
    <mergeCell ref="C45:D45"/>
    <mergeCell ref="E45:F45"/>
    <mergeCell ref="E36:F36"/>
    <mergeCell ref="C68:D68"/>
    <mergeCell ref="E68:F68"/>
    <mergeCell ref="G68:H68"/>
    <mergeCell ref="C67:D67"/>
    <mergeCell ref="E67:F67"/>
    <mergeCell ref="G67:H67"/>
    <mergeCell ref="R67:T67"/>
    <mergeCell ref="R40:T40"/>
    <mergeCell ref="R34:T34"/>
    <mergeCell ref="G63:H63"/>
    <mergeCell ref="R63:T63"/>
    <mergeCell ref="C64:D64"/>
    <mergeCell ref="C66:D66"/>
    <mergeCell ref="E66:F66"/>
    <mergeCell ref="C51:D51"/>
    <mergeCell ref="C54:D54"/>
    <mergeCell ref="E38:F38"/>
    <mergeCell ref="C65:D65"/>
    <mergeCell ref="E65:F65"/>
    <mergeCell ref="C62:D62"/>
    <mergeCell ref="E44:F44"/>
    <mergeCell ref="C58:D58"/>
    <mergeCell ref="E58:F58"/>
    <mergeCell ref="E46:F46"/>
    <mergeCell ref="Q11:Q13"/>
    <mergeCell ref="E53:F53"/>
    <mergeCell ref="E43:F43"/>
    <mergeCell ref="E61:F61"/>
    <mergeCell ref="E30:F30"/>
    <mergeCell ref="C31:D31"/>
    <mergeCell ref="C40:D40"/>
    <mergeCell ref="E40:F40"/>
    <mergeCell ref="G40:H40"/>
    <mergeCell ref="C34:D34"/>
    <mergeCell ref="E34:F34"/>
    <mergeCell ref="G34:H34"/>
    <mergeCell ref="G53:H53"/>
    <mergeCell ref="G33:H33"/>
    <mergeCell ref="C25:D25"/>
    <mergeCell ref="E25:F25"/>
    <mergeCell ref="G25:H25"/>
    <mergeCell ref="G32:H32"/>
    <mergeCell ref="C22:D22"/>
    <mergeCell ref="E22:F22"/>
    <mergeCell ref="G22:H22"/>
    <mergeCell ref="C23:D23"/>
    <mergeCell ref="E23:F23"/>
    <mergeCell ref="G23:H23"/>
    <mergeCell ref="C69:D69"/>
    <mergeCell ref="E69:F69"/>
    <mergeCell ref="G69:H69"/>
    <mergeCell ref="C70:D70"/>
    <mergeCell ref="E70:F70"/>
    <mergeCell ref="G70:H70"/>
    <mergeCell ref="C71:D71"/>
    <mergeCell ref="E71:F71"/>
    <mergeCell ref="G71:H71"/>
  </mergeCells>
  <conditionalFormatting sqref="K15:L86">
    <cfRule type="containsText" dxfId="2" priority="1" stopIfTrue="1" operator="containsText" text="R">
      <formula>NOT(ISERROR(SEARCH("R",K15)))</formula>
    </cfRule>
    <cfRule type="containsText" dxfId="1" priority="2" stopIfTrue="1" operator="containsText" text="E">
      <formula>NOT(ISERROR(SEARCH("E",K15)))</formula>
    </cfRule>
    <cfRule type="containsText" dxfId="0" priority="3" stopIfTrue="1" operator="containsText" text="P">
      <formula>NOT(ISERROR(SEARCH("P",K15)))</formula>
    </cfRule>
  </conditionalFormatting>
  <dataValidations count="3">
    <dataValidation type="list" allowBlank="1" showInputMessage="1" showErrorMessage="1" sqref="I84:I86 M84:M86">
      <formula1>$W$74:$W$75</formula1>
    </dataValidation>
    <dataValidation type="list" allowBlank="1" showInputMessage="1" showErrorMessage="1" sqref="J84:J86 N84:Q86">
      <formula1>$X$13:$X$83</formula1>
    </dataValidation>
    <dataValidation type="list" allowBlank="1" showInputMessage="1" showErrorMessage="1" sqref="I15:I83 M15:M83">
      <formula1>$W$276:$W$287</formula1>
    </dataValidation>
  </dataValidations>
  <pageMargins left="0.7" right="0.7" top="0.75" bottom="0.75" header="0.3" footer="0.3"/>
  <pageSetup orientation="portrait" r:id="rId1"/>
  <ignoredErrors>
    <ignoredError sqref="D108:D110 E108:E116 D111:D116" unlockedFormula="1"/>
  </ignoredError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57021CD53DF5D4C82D999B0A9258347" ma:contentTypeVersion="0" ma:contentTypeDescription="Crear nuevo documento." ma:contentTypeScope="" ma:versionID="fc600db9f536533e8d2f945636ed5275">
  <xsd:schema xmlns:xsd="http://www.w3.org/2001/XMLSchema" xmlns:xs="http://www.w3.org/2001/XMLSchema" xmlns:p="http://schemas.microsoft.com/office/2006/metadata/properties" targetNamespace="http://schemas.microsoft.com/office/2006/metadata/properties" ma:root="true" ma:fieldsID="26ff3a126252e742cc2543983a566b0e">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4E66AD5-8495-4285-9077-83AA82E9EF1D}"/>
</file>

<file path=customXml/itemProps2.xml><?xml version="1.0" encoding="utf-8"?>
<ds:datastoreItem xmlns:ds="http://schemas.openxmlformats.org/officeDocument/2006/customXml" ds:itemID="{5B12473D-9CAB-436D-A1D7-97E24482432C}"/>
</file>

<file path=customXml/itemProps3.xml><?xml version="1.0" encoding="utf-8"?>
<ds:datastoreItem xmlns:ds="http://schemas.openxmlformats.org/officeDocument/2006/customXml" ds:itemID="{2A2A4C2E-090B-40DA-B92D-26C3F81B11A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CRONOGRAMA 2023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Heisa Buelvas</dc:creator>
  <cp:lastModifiedBy>GESTION HUMANA</cp:lastModifiedBy>
  <cp:lastPrinted>2023-09-28T19:30:26Z</cp:lastPrinted>
  <dcterms:created xsi:type="dcterms:W3CDTF">2009-01-29T13:27:41Z</dcterms:created>
  <dcterms:modified xsi:type="dcterms:W3CDTF">2025-01-12T16:07:28Z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0x010100457021CD53DF5D4C82D999B0A9258347</vt:lpwstr>
  </property>
  <property fmtid="{D5CDD505-2E9C-101B-9397-08002B2CF9AE}" pid="3" name="Order">
    <vt:r8>52700</vt:r8>
  </property>
  <property fmtid="{D5CDD505-2E9C-101B-9397-08002B2CF9AE}" pid="4" name="xd_Signature">
    <vt:bool>false</vt:bool>
  </property>
  <property fmtid="{D5CDD505-2E9C-101B-9397-08002B2CF9AE}" pid="5" name="_ExtendedDescription">
    <vt:lpwstr/>
  </property>
  <property fmtid="{D5CDD505-2E9C-101B-9397-08002B2CF9AE}" pid="6" name="xd_ProgID">
    <vt:lpwstr/>
  </property>
  <property fmtid="{D5CDD505-2E9C-101B-9397-08002B2CF9AE}" pid="7" name="TriggerFlowInfo">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y fmtid="{D5CDD505-2E9C-101B-9397-08002B2CF9AE}" pid="11" name="TemplateUrl">
    <vt:lpwstr/>
  </property>
</Properties>
</file>