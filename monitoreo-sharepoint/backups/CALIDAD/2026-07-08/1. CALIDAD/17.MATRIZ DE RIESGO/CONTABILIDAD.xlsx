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7.MATRIZ DE RIESGO\"/>
    </mc:Choice>
  </mc:AlternateContent>
  <xr:revisionPtr revIDLastSave="0" documentId="13_ncr:1_{217E9C19-8CFD-4E4F-BE2D-4075872885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bilidad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1" l="1"/>
  <c r="W9" i="11" l="1"/>
  <c r="AA12" i="11"/>
  <c r="W12" i="11"/>
  <c r="W11" i="11"/>
  <c r="L12" i="11"/>
  <c r="L13" i="11" l="1"/>
  <c r="AM11" i="11"/>
  <c r="AA11" i="11"/>
  <c r="W10" i="11"/>
  <c r="X9" i="11" l="1"/>
  <c r="W13" i="11" l="1"/>
  <c r="Z9" i="11" l="1"/>
  <c r="AA13" i="11" l="1"/>
  <c r="X13" i="11"/>
  <c r="AM12" i="11"/>
  <c r="L11" i="11"/>
  <c r="AM10" i="11"/>
  <c r="Z10" i="11"/>
  <c r="AA10" i="11" s="1"/>
  <c r="L10" i="11"/>
  <c r="AM9" i="11"/>
  <c r="L9" i="11"/>
  <c r="AM8" i="11"/>
  <c r="AA8" i="11"/>
  <c r="L8" i="11"/>
  <c r="AA9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<sst xmlns="http://schemas.openxmlformats.org/spreadsheetml/2006/main" count="507" uniqueCount="262">
  <si>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</si>
  <si>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</si>
  <si>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</si>
  <si>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</si>
  <si>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</si>
  <si>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</si>
  <si>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</si>
  <si>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</si>
  <si>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</si>
  <si>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</si>
  <si>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</si>
  <si>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</si>
  <si>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</si>
  <si>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</si>
  <si>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</si>
  <si>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</si>
  <si>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</si>
  <si>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</si>
  <si>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</si>
  <si>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</si>
  <si>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</si>
  <si>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</si>
  <si>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</si>
  <si>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</si>
  <si>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</si>
  <si>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</si>
  <si>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</si>
  <si>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</si>
  <si>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</si>
  <si>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</si>
  <si>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</si>
  <si>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</si>
  <si>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</si>
  <si>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</si>
  <si>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</si>
  <si>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</si>
  <si>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</si>
  <si>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</si>
  <si>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</si>
  <si>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</si>
  <si>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</si>
  <si>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</si>
  <si>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</si>
  <si>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</si>
  <si>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</si>
  <si>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</si>
  <si>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</si>
  <si>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</si>
  <si>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</si>
  <si>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</si>
  <si>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</si>
  <si>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</si>
  <si>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</si>
  <si>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</si>
  <si>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</si>
  <si>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</si>
  <si>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</si>
  <si>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</si>
  <si>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</si>
  <si>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</si>
  <si>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</si>
  <si>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</si>
  <si>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</si>
  <si>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</si>
  <si>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</si>
  <si>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</si>
  <si>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</si>
  <si>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</si>
  <si>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</si>
  <si>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</si>
  <si>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</si>
  <si>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</si>
  <si>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</si>
  <si>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</si>
  <si>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</si>
  <si>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</si>
  <si>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</si>
  <si>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</si>
  <si>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</si>
  <si>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</si>
  <si>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</si>
  <si>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</si>
  <si>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</si>
  <si>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</si>
  <si>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</si>
  <si>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</si>
  <si>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</si>
  <si>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</si>
  <si>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</si>
  <si>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</si>
  <si>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</si>
  <si>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</si>
  <si>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</si>
  <si>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</si>
  <si>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</si>
  <si>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</si>
  <si>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</si>
  <si>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</si>
  <si>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</si>
  <si>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</si>
  <si>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</si>
  <si>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</si>
  <si>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</si>
  <si>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</si>
  <si>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</si>
  <si>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</si>
  <si>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</si>
  <si>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</si>
  <si>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</si>
  <si>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</si>
  <si>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</si>
  <si>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</si>
  <si>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</si>
  <si>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</si>
  <si>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</si>
  <si>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</si>
  <si>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</si>
  <si>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</si>
  <si>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</si>
  <si>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</si>
  <si>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</si>
  <si>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</si>
  <si>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</si>
  <si>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</si>
  <si>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</si>
  <si>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</si>
  <si>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</si>
  <si>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</si>
  <si>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</si>
  <si>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</si>
  <si>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</si>
  <si>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</si>
  <si>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</si>
  <si>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</si>
  <si>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</si>
  <si>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</si>
  <si>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</si>
  <si>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</si>
  <si>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</si>
  <si>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</si>
  <si>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</si>
  <si>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</si>
  <si>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</si>
  <si>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</si>
  <si>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</si>
  <si>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</si>
  <si>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</si>
  <si>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</si>
  <si>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</si>
  <si>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</si>
  <si>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</si>
  <si>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</si>
  <si>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</si>
  <si>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</si>
  <si>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</si>
  <si>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</si>
  <si>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</si>
  <si>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</si>
  <si>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</si>
  <si>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</si>
  <si>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</si>
  <si>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</si>
  <si>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</si>
  <si>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</si>
  <si>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</si>
  <si>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</si>
  <si>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</si>
  <si>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</si>
  <si>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</si>
  <si>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</si>
  <si>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</si>
  <si>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</si>
  <si>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</si>
  <si>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</si>
  <si>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</si>
  <si>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</si>
  <si>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</si>
  <si>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</si>
  <si>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</si>
  <si>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</si>
  <si>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</si>
  <si>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</si>
  <si>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</si>
  <si>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</si>
  <si>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</si>
  <si>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</si>
  <si>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</si>
  <si>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</si>
  <si>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</si>
  <si>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</si>
  <si>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</si>
  <si>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</si>
  <si>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</si>
  <si>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</si>
  <si>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</si>
  <si>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</si>
  <si>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</si>
  <si>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</si>
  <si>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Preventivo</t>
  </si>
  <si>
    <t>N/A</t>
  </si>
  <si>
    <t>EVALUACIÓN DEL RIESGO CON CONTROLES EXISTENTES</t>
  </si>
  <si>
    <t>Mensual</t>
  </si>
  <si>
    <t>cuando aplique</t>
  </si>
  <si>
    <t>MENSUAL</t>
  </si>
  <si>
    <t>Gerente Administrativo.</t>
  </si>
  <si>
    <t>Gerente Administrativo</t>
  </si>
  <si>
    <t>PROCEDIMIENTO/DOCUMENTO</t>
  </si>
  <si>
    <t>Cuando aplique.</t>
  </si>
  <si>
    <t>FECHA ACTUALIZACION: 21/05/2021</t>
  </si>
  <si>
    <t>Revision por la direccion.</t>
  </si>
  <si>
    <t>Gerente Administrativo y Lideres de procesos.</t>
  </si>
  <si>
    <t>Importacion de dispositivos medicos.</t>
  </si>
  <si>
    <t>Requisicion de dispositivos medicos importados</t>
  </si>
  <si>
    <t>c</t>
  </si>
  <si>
    <t>Semestral</t>
  </si>
  <si>
    <t>1. Inadecuado cierre de no conformes por falta de recursos financieros. 2. .Entrega de informes fiuera de los tiempos estipulados.3. No presentar informe de revision por la direccion.</t>
  </si>
  <si>
    <t>1. Demoras en los tiempo de revision u entrega de informe.</t>
  </si>
  <si>
    <t>3. No tomar decisiones pertinenetes por falta de informacion. 1 No cierre de no conformidades. 2. Errores en la toma de decisiones por falta de informacion. 2. No entrega a tiempo de informes RXD 3.</t>
  </si>
  <si>
    <t>1. Evidencias de revision por la direccion. 3.. Actas de reuniones. 4..Cronograma de entrega de informes.</t>
  </si>
  <si>
    <t>1. Formato acta de reunion .2. Formato de asistencia 3. Formato revision por la direccion. .</t>
  </si>
  <si>
    <t>Notificaciones a la Socios.</t>
  </si>
  <si>
    <t>1. No rendicion de cuentas a socios .</t>
  </si>
  <si>
    <t xml:space="preserve">1. Falta de informacion para la realizacion del informe. 2. Retrazo en la informacion contable/ financiera  para la rendicion de cuentas </t>
  </si>
  <si>
    <t>1. Llamado de atencion a Gerencia administrativo. 2. Falta de informacion para toma de decisiones por parte de los socios.</t>
  </si>
  <si>
    <t xml:space="preserve">1. Informe mensual financiero .  </t>
  </si>
  <si>
    <t>Gerente Administrativo .</t>
  </si>
  <si>
    <t>1. Informacion documentada : correos electronicos y via telefonica.</t>
  </si>
  <si>
    <t>1. Fallas en la documentacion requerida para la importacion. 2. Negociacion inapropiada.</t>
  </si>
  <si>
    <t>1. No cumplir con los requisitos exigibles para la importacion.  2. Fluctuacion monetaria.</t>
  </si>
  <si>
    <t>1.Perder potenciales negociaciones  con clientes nacionales. 2. Desventajas competitivas.</t>
  </si>
  <si>
    <t>1. Certificacion CCAA.. 2. Certificacion por ISO 13485.</t>
  </si>
  <si>
    <t>Cuando se requiera</t>
  </si>
  <si>
    <t>Gerente administrativo</t>
  </si>
  <si>
    <t>Contabilidad</t>
  </si>
  <si>
    <t xml:space="preserve">.1. Descuadre de caja  2. Falta de efectivo </t>
  </si>
  <si>
    <t xml:space="preserve">
1..Disponibilidad de dinero en  la  empresa.         2. Descuadre de dinero.
</t>
  </si>
  <si>
    <t xml:space="preserve">1..Falta de dinero para los casos urgentes..
2..Incumplimiento de indicadores de caja menor  visualizando falnte de dinero.
</t>
  </si>
  <si>
    <t xml:space="preserve">1. Formato de arqueo de caja menor. 2. Recibo de caja menor.                       3. Relacion mensual de caja menor. 4. Formato de reembolso de cajamenor </t>
  </si>
  <si>
    <t>Auxiliar contable /Lider de contabilidad</t>
  </si>
  <si>
    <t>1.Acta de arqueo de caja menor/ Notificacion por correo electronico</t>
  </si>
  <si>
    <t>Lider de contabilidad / Auxiliar contable.</t>
  </si>
  <si>
    <t>Parametrizar facturas de ventas y registrar las facturas de compra.</t>
  </si>
  <si>
    <t xml:space="preserve">1. Error Humano.  </t>
  </si>
  <si>
    <t>Procedimiento de Parametrizacion/Registro  Factura de Compras y Ventas</t>
  </si>
  <si>
    <t>Procedimiento de Caja Menor</t>
  </si>
  <si>
    <t xml:space="preserve"> Procedimiento de Parametrizacion/Registro  Factura de Compras y Ventas</t>
  </si>
  <si>
    <t>1. Re proceso en el Parametrizacion y registro de facturas.. 2.Anulaciones de facturas. 3. Fallas en los demas procesos estrategicos y misionales.</t>
  </si>
  <si>
    <t xml:space="preserve">1. Retraso en cierre de informes                2. Reproceso en la anulacion de facturas. </t>
  </si>
  <si>
    <t xml:space="preserve"> 1.Capacitacion permanente  2.Seleccion, evaluacion y comunicación con proveedores..3.Acuerdos en la prestacion del servicio al cliente a traves de reuniones  y evidencia  por medios comunicativos.</t>
  </si>
  <si>
    <t>Lider de conbtabilidad / auxiliar contable</t>
  </si>
  <si>
    <t>1.Analisis  de errores para evitar incurrencias.  2  Evidencia documentada.</t>
  </si>
  <si>
    <t>1. Analisis de errores .2. Determinar el impacto de los errores en el proceso de contabilidad.
3 Generar estrategia decapacitacion centrada en la concentracion.</t>
  </si>
  <si>
    <t>CODIGO</t>
  </si>
  <si>
    <t>FOR-GC-010</t>
  </si>
  <si>
    <r>
      <t xml:space="preserve">RIESGO O  / </t>
    </r>
    <r>
      <rPr>
        <b/>
        <sz val="9"/>
        <color rgb="FFFFFFFF"/>
        <rFont val="Arial Narrow"/>
        <family val="2"/>
      </rPr>
      <t>OPORTUNIDAD GENERADA</t>
    </r>
  </si>
  <si>
    <t>CAUSAS (Causa raiz por el cual podria ocurrir?)</t>
  </si>
  <si>
    <t>IMPACTO (consecuencias o impacto )</t>
  </si>
  <si>
    <t>Probabilidad</t>
  </si>
  <si>
    <t>Impacto</t>
  </si>
  <si>
    <t xml:space="preserve"> RIESGO ABSOLUTO/INICAL</t>
  </si>
  <si>
    <t>VALORACION DEL RIESGO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</si>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</sst>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8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/>
      <protection locked="0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5" fillId="5" borderId="72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vertical="center" wrapText="1"/>
    </xf>
    <xf numFmtId="0" fontId="5" fillId="5" borderId="38" xfId="0" applyFont="1" applyFill="1" applyBorder="1" applyAlignment="1">
      <alignment vertical="center" wrapText="1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2619375</xdr:colOff>
      <xdr:row>0</xdr:row>
      <xdr:rowOff>57150</xdr:rowOff>
    </xdr:from>
    <xdr:to>
      <xdr:col>5</xdr:col>
      <xdr:colOff>933450</xdr:colOff>
      <xdr:row>1</xdr:row>
      <xdr:rowOff>222532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674688</xdr:colOff>
          <xdr:row>5</xdr:row>
          <xdr:rowOff>106362</xdr:rowOff>
        </xdr:from>
        <xdr:to>
          <xdr:col>3</xdr:col>
          <xdr:colOff>658067</xdr:colOff>
          <xdr:row>18</xdr:row>
          <xdr:rowOff>3531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5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74688" y="1677987"/>
              <a:ext cx="6174629" cy="22704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29158</xdr:colOff>
          <xdr:row>25</xdr:row>
          <xdr:rowOff>0</xdr:rowOff>
        </xdr:from>
        <xdr:to>
          <xdr:col>2</xdr:col>
          <xdr:colOff>1117729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52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09515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52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1"/>
  <sheetViews>
    <sheetView showGridLines="0" tabSelected="1" zoomScale="60" zoomScaleNormal="100" workbookViewId="0">
      <pane xSplit="1" ySplit="7" topLeftCell="F8" activePane="bottomRight" state="frozen"/>
      <selection pane="topRight" activeCell="B1" sqref="B1"/>
      <selection pane="bottomLeft" activeCell="A8" sqref="A8"/>
      <selection pane="bottomRight" activeCell="H14" sqref="H14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27.109375" style="51" customWidth="1"/>
    <col min="4" max="4" width="49.44140625" style="51" customWidth="1"/>
    <col min="5" max="5" width="40.5546875" style="51" customWidth="1"/>
    <col min="6" max="6" width="38.5546875" style="51" customWidth="1"/>
    <col min="7" max="7" width="17.33203125" style="51" customWidth="1"/>
    <col min="8" max="8" width="39.33203125" style="51" customWidth="1"/>
    <col min="9" max="9" width="33.6640625" style="51" customWidth="1"/>
    <col min="10" max="11" width="4.44140625" style="51" customWidth="1"/>
    <col min="12" max="12" width="11.33203125" style="51" customWidth="1"/>
    <col min="13" max="13" width="31.44140625" style="51" customWidth="1"/>
    <col min="14" max="15" width="24" style="51" customWidth="1"/>
    <col min="16" max="16" width="17" style="51" customWidth="1"/>
    <col min="17" max="17" width="18.88671875" style="51" customWidth="1"/>
    <col min="18" max="23" width="17" style="51" customWidth="1"/>
    <col min="24" max="24" width="15.33203125" style="51" customWidth="1"/>
    <col min="25" max="26" width="4.44140625" style="51" customWidth="1"/>
    <col min="27" max="31" width="16.5546875" style="51" customWidth="1"/>
    <col min="32" max="32" width="15" style="51" customWidth="1"/>
    <col min="33" max="33" width="23" style="51" customWidth="1"/>
    <col min="34" max="34" width="27.6640625" style="51" customWidth="1"/>
    <col min="35" max="35" width="18.33203125" style="51" customWidth="1"/>
    <col min="36" max="36" width="22" style="51" customWidth="1"/>
    <col min="37" max="38" width="4.44140625" style="51" customWidth="1"/>
    <col min="39" max="16384" width="11.44140625" style="51"/>
  </cols>
  <sheetData>
    <row r="1" spans="2:39" ht="27.75" customHeight="1" thickBot="1" x14ac:dyDescent="0.3">
      <c r="F1" s="322" t="s">
        <v>88</v>
      </c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2"/>
      <c r="AE1" s="322"/>
      <c r="AF1" s="322"/>
      <c r="AG1" s="322"/>
      <c r="AH1" s="322"/>
      <c r="AI1" s="322"/>
      <c r="AJ1" s="296" t="s">
        <v>42</v>
      </c>
      <c r="AK1" s="298">
        <v>1</v>
      </c>
      <c r="AL1" s="298"/>
      <c r="AM1" s="298"/>
    </row>
    <row r="2" spans="2:39" ht="24.9" customHeight="1" x14ac:dyDescent="0.25">
      <c r="B2" s="299"/>
      <c r="C2" s="300"/>
      <c r="D2" s="300"/>
      <c r="E2" s="300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212" t="s">
        <v>252</v>
      </c>
      <c r="AK2" s="303" t="s">
        <v>253</v>
      </c>
      <c r="AL2" s="303"/>
      <c r="AM2" s="304"/>
    </row>
    <row r="3" spans="2:39" ht="24.9" customHeight="1" thickBot="1" x14ac:dyDescent="0.3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213" t="s">
        <v>41</v>
      </c>
      <c r="AK3" s="305">
        <v>44284</v>
      </c>
      <c r="AL3" s="306"/>
      <c r="AM3" s="307"/>
    </row>
    <row r="4" spans="2:3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2:39" ht="16.2" thickBot="1" x14ac:dyDescent="0.35">
      <c r="B5" s="116" t="s">
        <v>208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ht="30" customHeight="1" thickBot="1" x14ac:dyDescent="0.3">
      <c r="B6" s="310" t="s">
        <v>188</v>
      </c>
      <c r="C6" s="311"/>
      <c r="D6" s="311"/>
      <c r="E6" s="311"/>
      <c r="F6" s="315"/>
      <c r="G6" s="297" t="s">
        <v>8</v>
      </c>
      <c r="H6" s="310" t="s">
        <v>18</v>
      </c>
      <c r="I6" s="315"/>
      <c r="J6" s="311" t="s">
        <v>260</v>
      </c>
      <c r="K6" s="311"/>
      <c r="L6" s="311"/>
      <c r="M6" s="310" t="s">
        <v>154</v>
      </c>
      <c r="N6" s="311"/>
      <c r="O6" s="315"/>
      <c r="P6" s="311" t="s">
        <v>189</v>
      </c>
      <c r="Q6" s="311"/>
      <c r="R6" s="311"/>
      <c r="S6" s="311"/>
      <c r="T6" s="311"/>
      <c r="U6" s="311"/>
      <c r="V6" s="311"/>
      <c r="W6" s="315"/>
      <c r="X6" s="310" t="s">
        <v>190</v>
      </c>
      <c r="Y6" s="311"/>
      <c r="Z6" s="311"/>
      <c r="AA6" s="315"/>
      <c r="AB6" s="316" t="s">
        <v>154</v>
      </c>
      <c r="AC6" s="317"/>
      <c r="AD6" s="317"/>
      <c r="AE6" s="317"/>
      <c r="AF6" s="317"/>
      <c r="AG6" s="317"/>
      <c r="AH6" s="318" t="s">
        <v>193</v>
      </c>
      <c r="AI6" s="319"/>
      <c r="AJ6" s="320"/>
      <c r="AK6" s="308" t="s">
        <v>195</v>
      </c>
      <c r="AL6" s="321"/>
      <c r="AM6" s="309"/>
    </row>
    <row r="7" spans="2:39" ht="79.8" thickBot="1" x14ac:dyDescent="0.3">
      <c r="B7" s="117" t="s">
        <v>7</v>
      </c>
      <c r="C7" s="118" t="s">
        <v>29</v>
      </c>
      <c r="D7" s="118" t="s">
        <v>57</v>
      </c>
      <c r="E7" s="184" t="s">
        <v>254</v>
      </c>
      <c r="F7" s="119" t="s">
        <v>206</v>
      </c>
      <c r="G7" s="120" t="s">
        <v>9</v>
      </c>
      <c r="H7" s="354" t="s">
        <v>255</v>
      </c>
      <c r="I7" s="355" t="s">
        <v>256</v>
      </c>
      <c r="J7" s="127" t="s">
        <v>257</v>
      </c>
      <c r="K7" s="124" t="s">
        <v>258</v>
      </c>
      <c r="L7" s="125" t="s">
        <v>259</v>
      </c>
      <c r="M7" s="356" t="s">
        <v>40</v>
      </c>
      <c r="N7" s="357" t="s">
        <v>152</v>
      </c>
      <c r="O7" s="357" t="s">
        <v>153</v>
      </c>
      <c r="P7" s="125" t="s">
        <v>44</v>
      </c>
      <c r="Q7" s="126" t="s">
        <v>45</v>
      </c>
      <c r="R7" s="117" t="s">
        <v>46</v>
      </c>
      <c r="S7" s="117" t="s">
        <v>47</v>
      </c>
      <c r="T7" s="117" t="s">
        <v>58</v>
      </c>
      <c r="U7" s="117" t="s">
        <v>48</v>
      </c>
      <c r="V7" s="117" t="s">
        <v>49</v>
      </c>
      <c r="W7" s="117" t="s">
        <v>50</v>
      </c>
      <c r="X7" s="123" t="s">
        <v>191</v>
      </c>
      <c r="Y7" s="127" t="s">
        <v>35</v>
      </c>
      <c r="Z7" s="124" t="s">
        <v>38</v>
      </c>
      <c r="AA7" s="128" t="s">
        <v>200</v>
      </c>
      <c r="AB7" s="214" t="s">
        <v>154</v>
      </c>
      <c r="AC7" s="130" t="s">
        <v>0</v>
      </c>
      <c r="AD7" s="130" t="s">
        <v>155</v>
      </c>
      <c r="AE7" s="130" t="s">
        <v>156</v>
      </c>
      <c r="AF7" s="130" t="s">
        <v>157</v>
      </c>
      <c r="AG7" s="127" t="s">
        <v>158</v>
      </c>
      <c r="AH7" s="214" t="s">
        <v>21</v>
      </c>
      <c r="AI7" s="124" t="s">
        <v>194</v>
      </c>
      <c r="AJ7" s="128" t="s">
        <v>0</v>
      </c>
      <c r="AK7" s="130" t="s">
        <v>35</v>
      </c>
      <c r="AL7" s="124" t="s">
        <v>38</v>
      </c>
      <c r="AM7" s="128" t="s">
        <v>37</v>
      </c>
    </row>
    <row r="8" spans="2:39" ht="127.5" customHeight="1" x14ac:dyDescent="0.25">
      <c r="B8" s="53" t="s">
        <v>90</v>
      </c>
      <c r="C8" s="215" t="s">
        <v>233</v>
      </c>
      <c r="D8" s="55"/>
      <c r="E8" s="248" t="s">
        <v>234</v>
      </c>
      <c r="F8" s="288" t="s">
        <v>244</v>
      </c>
      <c r="G8" s="53" t="s">
        <v>31</v>
      </c>
      <c r="H8" s="56" t="s">
        <v>235</v>
      </c>
      <c r="I8" s="250" t="s">
        <v>236</v>
      </c>
      <c r="J8" s="269">
        <v>2</v>
      </c>
      <c r="K8" s="242">
        <v>1</v>
      </c>
      <c r="L8" s="275">
        <f>J8*K8</f>
        <v>2</v>
      </c>
      <c r="M8" s="56" t="s">
        <v>237</v>
      </c>
      <c r="N8" s="267" t="s">
        <v>198</v>
      </c>
      <c r="O8" s="268" t="s">
        <v>201</v>
      </c>
      <c r="P8" s="251">
        <v>15</v>
      </c>
      <c r="Q8" s="58">
        <v>5</v>
      </c>
      <c r="R8" s="58">
        <v>0</v>
      </c>
      <c r="S8" s="58">
        <v>10</v>
      </c>
      <c r="T8" s="58">
        <v>15</v>
      </c>
      <c r="U8" s="58">
        <v>10</v>
      </c>
      <c r="V8" s="58">
        <v>30</v>
      </c>
      <c r="W8" s="135">
        <f>SUM(P8:V8)</f>
        <v>85</v>
      </c>
      <c r="X8" s="137">
        <v>2</v>
      </c>
      <c r="Y8" s="74">
        <v>1</v>
      </c>
      <c r="Z8" s="245">
        <v>2</v>
      </c>
      <c r="AA8" s="139">
        <f t="shared" ref="AA8:AA13" si="0">Y8*Z8</f>
        <v>2</v>
      </c>
      <c r="AB8" s="251" t="s">
        <v>177</v>
      </c>
      <c r="AC8" s="289" t="s">
        <v>238</v>
      </c>
      <c r="AD8" s="63" t="s">
        <v>203</v>
      </c>
      <c r="AE8" s="290" t="s">
        <v>207</v>
      </c>
      <c r="AF8" s="63" t="s">
        <v>199</v>
      </c>
      <c r="AG8" s="291" t="s">
        <v>239</v>
      </c>
      <c r="AH8" s="239" t="s">
        <v>199</v>
      </c>
      <c r="AI8" s="216" t="s">
        <v>202</v>
      </c>
      <c r="AJ8" s="217" t="s">
        <v>240</v>
      </c>
      <c r="AK8" s="63">
        <v>1</v>
      </c>
      <c r="AL8" s="60">
        <v>3</v>
      </c>
      <c r="AM8" s="254">
        <f>AK8*AL8</f>
        <v>3</v>
      </c>
    </row>
    <row r="9" spans="2:39" ht="69" x14ac:dyDescent="0.25">
      <c r="B9" s="158" t="s">
        <v>91</v>
      </c>
      <c r="C9" s="215" t="s">
        <v>233</v>
      </c>
      <c r="D9" s="186" t="s">
        <v>241</v>
      </c>
      <c r="E9" s="66" t="s">
        <v>242</v>
      </c>
      <c r="F9" s="67" t="s">
        <v>245</v>
      </c>
      <c r="G9" s="64" t="s">
        <v>31</v>
      </c>
      <c r="H9" s="69" t="s">
        <v>246</v>
      </c>
      <c r="I9" s="70" t="s">
        <v>247</v>
      </c>
      <c r="J9" s="270">
        <v>2</v>
      </c>
      <c r="K9" s="20">
        <v>1</v>
      </c>
      <c r="L9" s="276">
        <f>J9*K9</f>
        <v>2</v>
      </c>
      <c r="M9" s="69" t="s">
        <v>248</v>
      </c>
      <c r="N9" s="267" t="s">
        <v>198</v>
      </c>
      <c r="O9" s="76" t="s">
        <v>214</v>
      </c>
      <c r="P9" s="72">
        <v>15</v>
      </c>
      <c r="Q9" s="73">
        <v>5</v>
      </c>
      <c r="R9" s="73">
        <v>15</v>
      </c>
      <c r="S9" s="73">
        <v>10</v>
      </c>
      <c r="T9" s="73">
        <v>15</v>
      </c>
      <c r="U9" s="73">
        <v>10</v>
      </c>
      <c r="V9" s="73">
        <v>30</v>
      </c>
      <c r="W9" s="135">
        <f>SUM(P9:V9)</f>
        <v>100</v>
      </c>
      <c r="X9" s="137">
        <f>IF(W9&lt;51,"0",IF(W9&lt;76,1,2))</f>
        <v>2</v>
      </c>
      <c r="Y9" s="74">
        <v>1</v>
      </c>
      <c r="Z9" s="245">
        <f>K9</f>
        <v>1</v>
      </c>
      <c r="AA9" s="139">
        <f t="shared" si="0"/>
        <v>1</v>
      </c>
      <c r="AB9" s="251" t="s">
        <v>177</v>
      </c>
      <c r="AC9" s="289" t="s">
        <v>249</v>
      </c>
      <c r="AD9" s="63" t="s">
        <v>202</v>
      </c>
      <c r="AE9" s="292" t="s">
        <v>207</v>
      </c>
      <c r="AF9" s="255" t="s">
        <v>199</v>
      </c>
      <c r="AG9" s="293" t="s">
        <v>250</v>
      </c>
      <c r="AH9" s="239" t="s">
        <v>251</v>
      </c>
      <c r="AI9" s="75" t="s">
        <v>202</v>
      </c>
      <c r="AJ9" s="76" t="s">
        <v>240</v>
      </c>
      <c r="AK9" s="63">
        <v>1</v>
      </c>
      <c r="AL9" s="74">
        <v>1</v>
      </c>
      <c r="AM9" s="68">
        <f>AK9*AL9</f>
        <v>1</v>
      </c>
    </row>
    <row r="10" spans="2:39" ht="69" x14ac:dyDescent="0.25">
      <c r="B10" s="64" t="s">
        <v>96</v>
      </c>
      <c r="C10" s="215" t="s">
        <v>205</v>
      </c>
      <c r="D10" s="186" t="s">
        <v>209</v>
      </c>
      <c r="E10" s="186" t="s">
        <v>215</v>
      </c>
      <c r="F10" s="67" t="s">
        <v>209</v>
      </c>
      <c r="G10" s="64" t="s">
        <v>31</v>
      </c>
      <c r="H10" s="69" t="s">
        <v>216</v>
      </c>
      <c r="I10" s="70" t="s">
        <v>217</v>
      </c>
      <c r="J10" s="270">
        <v>1</v>
      </c>
      <c r="K10" s="150">
        <v>3</v>
      </c>
      <c r="L10" s="276">
        <f t="shared" ref="L10:L11" si="1">J10*K10</f>
        <v>3</v>
      </c>
      <c r="M10" s="69" t="s">
        <v>218</v>
      </c>
      <c r="N10" s="267" t="s">
        <v>198</v>
      </c>
      <c r="O10" s="76" t="s">
        <v>201</v>
      </c>
      <c r="P10" s="251">
        <v>15</v>
      </c>
      <c r="Q10" s="58">
        <v>5</v>
      </c>
      <c r="R10" s="58">
        <v>0</v>
      </c>
      <c r="S10" s="58">
        <v>10</v>
      </c>
      <c r="T10" s="58">
        <v>15</v>
      </c>
      <c r="U10" s="58">
        <v>10</v>
      </c>
      <c r="V10" s="58">
        <v>30</v>
      </c>
      <c r="W10" s="135">
        <f>SUM(P10:V10)</f>
        <v>85</v>
      </c>
      <c r="X10" s="137">
        <v>1</v>
      </c>
      <c r="Y10" s="74">
        <v>1</v>
      </c>
      <c r="Z10" s="245">
        <f t="shared" ref="Z10" si="2">K10</f>
        <v>3</v>
      </c>
      <c r="AA10" s="139">
        <f t="shared" si="0"/>
        <v>3</v>
      </c>
      <c r="AB10" s="251" t="s">
        <v>177</v>
      </c>
      <c r="AC10" s="289" t="s">
        <v>210</v>
      </c>
      <c r="AD10" s="63" t="s">
        <v>201</v>
      </c>
      <c r="AE10" s="290"/>
      <c r="AF10" s="63" t="s">
        <v>199</v>
      </c>
      <c r="AG10" s="293" t="s">
        <v>219</v>
      </c>
      <c r="AH10" s="239" t="s">
        <v>199</v>
      </c>
      <c r="AI10" s="75" t="s">
        <v>202</v>
      </c>
      <c r="AJ10" s="76" t="s">
        <v>204</v>
      </c>
      <c r="AK10" s="63">
        <v>1</v>
      </c>
      <c r="AL10" s="74">
        <v>3</v>
      </c>
      <c r="AM10" s="68">
        <f t="shared" ref="AM10:AM12" si="3">AK10*AL10</f>
        <v>3</v>
      </c>
    </row>
    <row r="11" spans="2:39" ht="41.4" x14ac:dyDescent="0.25">
      <c r="B11" s="158" t="s">
        <v>97</v>
      </c>
      <c r="C11" s="295" t="s">
        <v>205</v>
      </c>
      <c r="D11" s="256" t="s">
        <v>220</v>
      </c>
      <c r="E11" s="257" t="s">
        <v>221</v>
      </c>
      <c r="F11" s="294" t="s">
        <v>243</v>
      </c>
      <c r="G11" s="158" t="s">
        <v>31</v>
      </c>
      <c r="H11" s="260" t="s">
        <v>222</v>
      </c>
      <c r="I11" s="261" t="s">
        <v>223</v>
      </c>
      <c r="J11" s="271">
        <v>1</v>
      </c>
      <c r="K11" s="243">
        <v>1</v>
      </c>
      <c r="L11" s="276">
        <f t="shared" si="1"/>
        <v>1</v>
      </c>
      <c r="M11" s="69" t="s">
        <v>224</v>
      </c>
      <c r="N11" s="267" t="s">
        <v>198</v>
      </c>
      <c r="O11" s="76" t="s">
        <v>201</v>
      </c>
      <c r="P11" s="72">
        <v>0</v>
      </c>
      <c r="Q11" s="73">
        <v>5</v>
      </c>
      <c r="R11" s="73">
        <v>0</v>
      </c>
      <c r="S11" s="73">
        <v>10</v>
      </c>
      <c r="T11" s="73">
        <v>15</v>
      </c>
      <c r="U11" s="73">
        <v>10</v>
      </c>
      <c r="V11" s="73">
        <v>30</v>
      </c>
      <c r="W11" s="135">
        <f>SUM(P11,Q11:V11)</f>
        <v>70</v>
      </c>
      <c r="X11" s="137">
        <v>1</v>
      </c>
      <c r="Y11" s="74">
        <v>1</v>
      </c>
      <c r="Z11" s="245">
        <v>1</v>
      </c>
      <c r="AA11" s="139">
        <f t="shared" si="0"/>
        <v>1</v>
      </c>
      <c r="AB11" s="251" t="s">
        <v>177</v>
      </c>
      <c r="AC11" s="289" t="s">
        <v>225</v>
      </c>
      <c r="AD11" s="63" t="s">
        <v>201</v>
      </c>
      <c r="AE11" s="292" t="s">
        <v>199</v>
      </c>
      <c r="AF11" s="255" t="s">
        <v>199</v>
      </c>
      <c r="AG11" s="70" t="s">
        <v>226</v>
      </c>
      <c r="AH11" s="239" t="s">
        <v>199</v>
      </c>
      <c r="AI11" s="75" t="s">
        <v>199</v>
      </c>
      <c r="AJ11" s="76" t="s">
        <v>199</v>
      </c>
      <c r="AK11" s="63">
        <v>1</v>
      </c>
      <c r="AL11" s="74">
        <v>1</v>
      </c>
      <c r="AM11" s="68">
        <f>AK11*AL11</f>
        <v>1</v>
      </c>
    </row>
    <row r="12" spans="2:39" ht="69" customHeight="1" x14ac:dyDescent="0.25">
      <c r="B12" s="64" t="s">
        <v>98</v>
      </c>
      <c r="C12" s="215" t="s">
        <v>205</v>
      </c>
      <c r="D12" s="186" t="s">
        <v>211</v>
      </c>
      <c r="E12" s="66" t="s">
        <v>227</v>
      </c>
      <c r="F12" s="294" t="s">
        <v>212</v>
      </c>
      <c r="G12" s="265" t="s">
        <v>31</v>
      </c>
      <c r="H12" s="69" t="s">
        <v>228</v>
      </c>
      <c r="I12" s="70" t="s">
        <v>229</v>
      </c>
      <c r="J12" s="272">
        <v>1</v>
      </c>
      <c r="K12" s="20">
        <v>1</v>
      </c>
      <c r="L12" s="276">
        <f>J12*K12</f>
        <v>1</v>
      </c>
      <c r="M12" s="239" t="s">
        <v>230</v>
      </c>
      <c r="N12" s="267" t="s">
        <v>198</v>
      </c>
      <c r="O12" s="76" t="s">
        <v>231</v>
      </c>
      <c r="P12" s="251">
        <v>15</v>
      </c>
      <c r="Q12" s="58">
        <v>5</v>
      </c>
      <c r="R12" s="58">
        <v>0</v>
      </c>
      <c r="S12" s="58">
        <v>10</v>
      </c>
      <c r="T12" s="58">
        <v>15</v>
      </c>
      <c r="U12" s="58">
        <v>10</v>
      </c>
      <c r="V12" s="58">
        <v>30</v>
      </c>
      <c r="W12" s="135">
        <f>SUM(P12+Q12+R12+S12+T12+U12+V12)</f>
        <v>85</v>
      </c>
      <c r="X12" s="137">
        <v>2</v>
      </c>
      <c r="Y12" s="74">
        <v>1</v>
      </c>
      <c r="Z12" s="245">
        <v>1</v>
      </c>
      <c r="AA12" s="139">
        <f t="shared" si="0"/>
        <v>1</v>
      </c>
      <c r="AB12" s="251" t="s">
        <v>177</v>
      </c>
      <c r="AC12" s="289" t="s">
        <v>232</v>
      </c>
      <c r="AD12" s="63"/>
      <c r="AE12" s="290"/>
      <c r="AF12" s="63"/>
      <c r="AG12" s="54"/>
      <c r="AH12" s="239"/>
      <c r="AI12" s="208"/>
      <c r="AJ12" s="252"/>
      <c r="AK12" s="63">
        <v>1</v>
      </c>
      <c r="AL12" s="74">
        <v>4</v>
      </c>
      <c r="AM12" s="68">
        <f t="shared" si="3"/>
        <v>4</v>
      </c>
    </row>
    <row r="13" spans="2:39" ht="99.75" customHeight="1" x14ac:dyDescent="0.25">
      <c r="B13" s="64" t="s">
        <v>99</v>
      </c>
      <c r="C13" s="215"/>
      <c r="D13" s="186"/>
      <c r="E13" s="66"/>
      <c r="F13" s="294"/>
      <c r="G13" s="64"/>
      <c r="H13" s="69"/>
      <c r="I13" s="70"/>
      <c r="J13" s="270"/>
      <c r="K13" s="150"/>
      <c r="L13" s="276">
        <f>J13*K13</f>
        <v>0</v>
      </c>
      <c r="M13" s="69"/>
      <c r="N13" s="267"/>
      <c r="O13" s="76"/>
      <c r="P13" s="72"/>
      <c r="Q13" s="73"/>
      <c r="R13" s="73"/>
      <c r="S13" s="73"/>
      <c r="T13" s="73"/>
      <c r="U13" s="73"/>
      <c r="V13" s="73"/>
      <c r="W13" s="135">
        <f t="shared" ref="W13" si="4">SUM(P13:V13)</f>
        <v>0</v>
      </c>
      <c r="X13" s="137" t="str">
        <f t="shared" ref="X13" si="5">IF(W13&lt;51,"0",IF(W13&lt;76,1,2))</f>
        <v>0</v>
      </c>
      <c r="Y13" s="74"/>
      <c r="Z13" s="245"/>
      <c r="AA13" s="139">
        <f t="shared" si="0"/>
        <v>0</v>
      </c>
      <c r="AB13" s="251"/>
      <c r="AC13" s="289"/>
      <c r="AD13" s="63" t="s">
        <v>213</v>
      </c>
      <c r="AE13" s="292"/>
      <c r="AF13" s="255"/>
      <c r="AG13" s="54"/>
      <c r="AH13" s="239"/>
      <c r="AI13" s="75"/>
      <c r="AJ13" s="76"/>
      <c r="AK13" s="63">
        <v>2</v>
      </c>
      <c r="AL13" s="74">
        <v>3</v>
      </c>
      <c r="AM13" s="68"/>
    </row>
    <row r="14" spans="2:39" s="94" customFormat="1" ht="76.5" customHeight="1" x14ac:dyDescent="0.25"/>
    <row r="15" spans="2:39" s="94" customFormat="1" x14ac:dyDescent="0.25"/>
    <row r="16" spans="2:39" ht="66" customHeight="1" x14ac:dyDescent="0.25"/>
    <row r="17" spans="5:5" ht="50.25" customHeight="1" x14ac:dyDescent="0.25"/>
    <row r="21" spans="5:5" x14ac:dyDescent="0.25">
      <c r="E21" s="114"/>
    </row>
  </sheetData>
  <mergeCells count="14">
    <mergeCell ref="H6:I6"/>
    <mergeCell ref="J6:L6"/>
    <mergeCell ref="M6:O6"/>
    <mergeCell ref="AK1:AM1"/>
    <mergeCell ref="B6:F6"/>
    <mergeCell ref="B2:E3"/>
    <mergeCell ref="AK2:AM2"/>
    <mergeCell ref="AK3:AM3"/>
    <mergeCell ref="P6:W6"/>
    <mergeCell ref="X6:AA6"/>
    <mergeCell ref="AB6:AG6"/>
    <mergeCell ref="AH6:AJ6"/>
    <mergeCell ref="AK6:AM6"/>
    <mergeCell ref="F1:AI3"/>
  </mergeCells>
  <conditionalFormatting sqref="L8:L13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A8:AG13 AM8:AM13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1000000}">
          <x14:formula1>
            <xm:f>Hoja4!$C$6:$C$9</xm:f>
          </x14:formula1>
          <xm:sqref>AK8:AL13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V8:V13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U8:U13 S8:S13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Q8:Q13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T8:T13 R8:R13 P8:P13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AB8:AB13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Y8:Y13 J8:K13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G8:G13</xm:sqref>
        </x14:dataValidation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G18:G47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4.33203125" style="51" customWidth="1"/>
    <col min="8" max="8" width="19" style="51" customWidth="1"/>
    <col min="9" max="9" width="38.8867187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28.10937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4" width="16.5546875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14.4" thickBot="1" x14ac:dyDescent="0.3"/>
    <row r="2" spans="2:40" ht="24.9" customHeight="1" x14ac:dyDescent="0.25">
      <c r="B2" s="299"/>
      <c r="C2" s="300"/>
      <c r="D2" s="300"/>
      <c r="E2" s="300"/>
      <c r="F2" s="300" t="s">
        <v>88</v>
      </c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212" t="s">
        <v>41</v>
      </c>
      <c r="AL2" s="303">
        <v>43979</v>
      </c>
      <c r="AM2" s="303"/>
      <c r="AN2" s="304"/>
    </row>
    <row r="3" spans="2:40" ht="24.9" customHeight="1" thickBot="1" x14ac:dyDescent="0.3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213" t="s">
        <v>42</v>
      </c>
      <c r="AL3" s="306" t="s">
        <v>151</v>
      </c>
      <c r="AM3" s="306"/>
      <c r="AN3" s="307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160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1"/>
      <c r="C6" s="308" t="s">
        <v>188</v>
      </c>
      <c r="D6" s="311"/>
      <c r="E6" s="311"/>
      <c r="F6" s="309"/>
      <c r="G6" s="308" t="s">
        <v>8</v>
      </c>
      <c r="H6" s="309"/>
      <c r="I6" s="310" t="s">
        <v>18</v>
      </c>
      <c r="J6" s="311"/>
      <c r="K6" s="311"/>
      <c r="L6" s="311"/>
      <c r="M6" s="311"/>
      <c r="N6" s="312" t="s">
        <v>40</v>
      </c>
      <c r="O6" s="312" t="s">
        <v>152</v>
      </c>
      <c r="P6" s="312" t="s">
        <v>153</v>
      </c>
      <c r="Q6" s="311" t="s">
        <v>189</v>
      </c>
      <c r="R6" s="311"/>
      <c r="S6" s="311"/>
      <c r="T6" s="311"/>
      <c r="U6" s="311"/>
      <c r="V6" s="311"/>
      <c r="W6" s="311"/>
      <c r="X6" s="315"/>
      <c r="Y6" s="310" t="s">
        <v>190</v>
      </c>
      <c r="Z6" s="311"/>
      <c r="AA6" s="311"/>
      <c r="AB6" s="315"/>
      <c r="AC6" s="316" t="s">
        <v>154</v>
      </c>
      <c r="AD6" s="317"/>
      <c r="AE6" s="317"/>
      <c r="AF6" s="317"/>
      <c r="AG6" s="317"/>
      <c r="AH6" s="317"/>
      <c r="AI6" s="318" t="s">
        <v>193</v>
      </c>
      <c r="AJ6" s="319"/>
      <c r="AK6" s="320"/>
      <c r="AL6" s="308" t="s">
        <v>195</v>
      </c>
      <c r="AM6" s="321"/>
      <c r="AN6" s="309"/>
    </row>
    <row r="7" spans="2:40" ht="79.8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3"/>
      <c r="O7" s="314"/>
      <c r="P7" s="314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191</v>
      </c>
      <c r="Z7" s="127" t="s">
        <v>35</v>
      </c>
      <c r="AA7" s="124" t="s">
        <v>38</v>
      </c>
      <c r="AB7" s="128" t="s">
        <v>192</v>
      </c>
      <c r="AC7" s="214" t="s">
        <v>154</v>
      </c>
      <c r="AD7" s="130" t="s">
        <v>0</v>
      </c>
      <c r="AE7" s="130" t="s">
        <v>155</v>
      </c>
      <c r="AF7" s="130" t="s">
        <v>156</v>
      </c>
      <c r="AG7" s="130" t="s">
        <v>157</v>
      </c>
      <c r="AH7" s="127" t="s">
        <v>158</v>
      </c>
      <c r="AI7" s="214" t="s">
        <v>21</v>
      </c>
      <c r="AJ7" s="124" t="s">
        <v>194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69" x14ac:dyDescent="0.25">
      <c r="B8" s="53" t="s">
        <v>90</v>
      </c>
      <c r="C8" s="215" t="s">
        <v>159</v>
      </c>
      <c r="D8" s="55" t="s">
        <v>92</v>
      </c>
      <c r="E8" s="248" t="s">
        <v>107</v>
      </c>
      <c r="F8" s="288" t="s">
        <v>131</v>
      </c>
      <c r="G8" s="53" t="s">
        <v>30</v>
      </c>
      <c r="H8" s="249" t="s">
        <v>14</v>
      </c>
      <c r="I8" s="56" t="s">
        <v>132</v>
      </c>
      <c r="J8" s="250" t="s">
        <v>114</v>
      </c>
      <c r="K8" s="269">
        <v>2</v>
      </c>
      <c r="L8" s="242">
        <v>3</v>
      </c>
      <c r="M8" s="275">
        <f>K8*L8</f>
        <v>6</v>
      </c>
      <c r="N8" s="56" t="s">
        <v>161</v>
      </c>
      <c r="O8" s="267" t="s">
        <v>164</v>
      </c>
      <c r="P8" s="268" t="s">
        <v>169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1.4" x14ac:dyDescent="0.25">
      <c r="B9" s="158" t="s">
        <v>91</v>
      </c>
      <c r="C9" s="215" t="s">
        <v>159</v>
      </c>
      <c r="D9" s="186" t="s">
        <v>93</v>
      </c>
      <c r="E9" s="66" t="s">
        <v>106</v>
      </c>
      <c r="F9" s="67" t="s">
        <v>108</v>
      </c>
      <c r="G9" s="64" t="s">
        <v>30</v>
      </c>
      <c r="H9" s="68" t="s">
        <v>16</v>
      </c>
      <c r="I9" s="69" t="s">
        <v>110</v>
      </c>
      <c r="J9" s="70" t="s">
        <v>115</v>
      </c>
      <c r="K9" s="270">
        <v>4</v>
      </c>
      <c r="L9" s="20">
        <v>3</v>
      </c>
      <c r="M9" s="276">
        <f>K9*L9</f>
        <v>12</v>
      </c>
      <c r="N9" s="69" t="s">
        <v>133</v>
      </c>
      <c r="O9" s="267" t="s">
        <v>164</v>
      </c>
      <c r="P9" s="76" t="s">
        <v>169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121</v>
      </c>
      <c r="AJ9" s="75"/>
      <c r="AK9" s="76"/>
      <c r="AL9" s="63"/>
      <c r="AM9" s="74"/>
      <c r="AN9" s="68">
        <f>AL9*AM9</f>
        <v>0</v>
      </c>
    </row>
    <row r="10" spans="2:40" ht="41.4" x14ac:dyDescent="0.25">
      <c r="B10" s="64" t="s">
        <v>96</v>
      </c>
      <c r="C10" s="215" t="s">
        <v>159</v>
      </c>
      <c r="D10" s="186" t="s">
        <v>100</v>
      </c>
      <c r="E10" s="186" t="s">
        <v>105</v>
      </c>
      <c r="F10" s="67" t="s">
        <v>134</v>
      </c>
      <c r="G10" s="64" t="s">
        <v>12</v>
      </c>
      <c r="H10" s="68" t="s">
        <v>14</v>
      </c>
      <c r="I10" s="69" t="s">
        <v>111</v>
      </c>
      <c r="J10" s="70" t="s">
        <v>116</v>
      </c>
      <c r="K10" s="270">
        <v>3</v>
      </c>
      <c r="L10" s="150">
        <v>2</v>
      </c>
      <c r="M10" s="276">
        <f t="shared" ref="M10:M23" si="4">K10*L10</f>
        <v>6</v>
      </c>
      <c r="N10" s="69" t="s">
        <v>120</v>
      </c>
      <c r="O10" s="267" t="s">
        <v>164</v>
      </c>
      <c r="P10" s="76" t="s">
        <v>165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122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27.6" x14ac:dyDescent="0.25">
      <c r="B11" s="158" t="s">
        <v>97</v>
      </c>
      <c r="C11" s="215" t="s">
        <v>159</v>
      </c>
      <c r="D11" s="256" t="s">
        <v>95</v>
      </c>
      <c r="E11" s="257" t="s">
        <v>135</v>
      </c>
      <c r="F11" s="258" t="s">
        <v>134</v>
      </c>
      <c r="G11" s="158" t="s">
        <v>11</v>
      </c>
      <c r="H11" s="259" t="s">
        <v>14</v>
      </c>
      <c r="I11" s="260" t="s">
        <v>112</v>
      </c>
      <c r="J11" s="261" t="s">
        <v>117</v>
      </c>
      <c r="K11" s="271">
        <v>3</v>
      </c>
      <c r="L11" s="243">
        <v>3</v>
      </c>
      <c r="M11" s="276">
        <f t="shared" si="4"/>
        <v>9</v>
      </c>
      <c r="N11" s="69" t="s">
        <v>162</v>
      </c>
      <c r="O11" s="267" t="s">
        <v>164</v>
      </c>
      <c r="P11" s="76" t="s">
        <v>166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123</v>
      </c>
      <c r="AJ11" s="75"/>
      <c r="AK11" s="76" t="s">
        <v>136</v>
      </c>
      <c r="AL11" s="63"/>
      <c r="AM11" s="74"/>
      <c r="AN11" s="68">
        <f t="shared" si="7"/>
        <v>0</v>
      </c>
    </row>
    <row r="12" spans="2:40" ht="41.4" x14ac:dyDescent="0.25">
      <c r="B12" s="64" t="s">
        <v>98</v>
      </c>
      <c r="C12" s="215" t="s">
        <v>159</v>
      </c>
      <c r="D12" s="186" t="s">
        <v>101</v>
      </c>
      <c r="E12" s="66" t="s">
        <v>104</v>
      </c>
      <c r="F12" s="264" t="s">
        <v>109</v>
      </c>
      <c r="G12" s="265" t="s">
        <v>31</v>
      </c>
      <c r="H12" s="68" t="s">
        <v>16</v>
      </c>
      <c r="I12" s="69" t="s">
        <v>113</v>
      </c>
      <c r="J12" s="70" t="s">
        <v>118</v>
      </c>
      <c r="K12" s="272">
        <v>2</v>
      </c>
      <c r="L12" s="20">
        <v>4</v>
      </c>
      <c r="M12" s="276">
        <f t="shared" si="4"/>
        <v>8</v>
      </c>
      <c r="N12" s="239" t="s">
        <v>119</v>
      </c>
      <c r="O12" s="267" t="s">
        <v>164</v>
      </c>
      <c r="P12" s="76" t="s">
        <v>167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124</v>
      </c>
      <c r="AJ12" s="208"/>
      <c r="AK12" s="252" t="s">
        <v>138</v>
      </c>
      <c r="AL12" s="63"/>
      <c r="AM12" s="74"/>
      <c r="AN12" s="68">
        <f t="shared" si="7"/>
        <v>0</v>
      </c>
    </row>
    <row r="13" spans="2:40" ht="69" x14ac:dyDescent="0.25">
      <c r="B13" s="158" t="s">
        <v>99</v>
      </c>
      <c r="C13" s="215" t="s">
        <v>159</v>
      </c>
      <c r="D13" s="186" t="s">
        <v>102</v>
      </c>
      <c r="E13" s="66" t="s">
        <v>103</v>
      </c>
      <c r="F13" s="67" t="s">
        <v>139</v>
      </c>
      <c r="G13" s="64" t="s">
        <v>30</v>
      </c>
      <c r="H13" s="68" t="s">
        <v>14</v>
      </c>
      <c r="I13" s="69" t="s">
        <v>140</v>
      </c>
      <c r="J13" s="70" t="s">
        <v>141</v>
      </c>
      <c r="K13" s="270">
        <v>3</v>
      </c>
      <c r="L13" s="150">
        <v>3</v>
      </c>
      <c r="M13" s="276">
        <f t="shared" si="4"/>
        <v>9</v>
      </c>
      <c r="N13" s="69" t="s">
        <v>163</v>
      </c>
      <c r="O13" s="267" t="s">
        <v>164</v>
      </c>
      <c r="P13" s="76" t="s">
        <v>168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143</v>
      </c>
      <c r="AJ13" s="75"/>
      <c r="AK13" s="76" t="s">
        <v>144</v>
      </c>
      <c r="AL13" s="63"/>
      <c r="AM13" s="74"/>
      <c r="AN13" s="68">
        <f t="shared" si="7"/>
        <v>0</v>
      </c>
    </row>
    <row r="14" spans="2:40" s="94" customFormat="1" ht="41.4" x14ac:dyDescent="0.25">
      <c r="B14" s="64" t="s">
        <v>126</v>
      </c>
      <c r="C14" s="215" t="s">
        <v>159</v>
      </c>
      <c r="D14" s="186"/>
      <c r="E14" s="66" t="s">
        <v>145</v>
      </c>
      <c r="F14" s="67" t="s">
        <v>134</v>
      </c>
      <c r="G14" s="64" t="s">
        <v>30</v>
      </c>
      <c r="H14" s="68" t="s">
        <v>14</v>
      </c>
      <c r="I14" s="69" t="s">
        <v>146</v>
      </c>
      <c r="J14" s="70" t="s">
        <v>147</v>
      </c>
      <c r="K14" s="270">
        <v>3</v>
      </c>
      <c r="L14" s="150">
        <v>3</v>
      </c>
      <c r="M14" s="276">
        <f t="shared" si="4"/>
        <v>9</v>
      </c>
      <c r="N14" s="69" t="s">
        <v>137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148</v>
      </c>
      <c r="AJ14" s="90"/>
      <c r="AK14" s="76" t="s">
        <v>149</v>
      </c>
      <c r="AL14" s="92"/>
      <c r="AM14" s="93"/>
      <c r="AN14" s="68">
        <f t="shared" si="7"/>
        <v>0</v>
      </c>
    </row>
    <row r="15" spans="2:40" s="94" customFormat="1" ht="69" x14ac:dyDescent="0.25">
      <c r="B15" s="64" t="s">
        <v>171</v>
      </c>
      <c r="C15" s="54" t="s">
        <v>159</v>
      </c>
      <c r="D15" s="186" t="s">
        <v>172</v>
      </c>
      <c r="E15" s="66" t="s">
        <v>173</v>
      </c>
      <c r="F15" s="67" t="s">
        <v>174</v>
      </c>
      <c r="G15" s="64" t="s">
        <v>30</v>
      </c>
      <c r="H15" s="68" t="s">
        <v>14</v>
      </c>
      <c r="I15" s="69" t="s">
        <v>175</v>
      </c>
      <c r="J15" s="70" t="s">
        <v>176</v>
      </c>
      <c r="K15" s="270">
        <v>4</v>
      </c>
      <c r="L15" s="150">
        <v>3</v>
      </c>
      <c r="M15" s="276">
        <f t="shared" si="4"/>
        <v>12</v>
      </c>
      <c r="N15" s="69" t="s">
        <v>197</v>
      </c>
      <c r="O15" s="66" t="s">
        <v>164</v>
      </c>
      <c r="P15" s="76" t="s">
        <v>170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25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25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25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25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25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25">
      <c r="B21" s="220" t="s">
        <v>125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25">
      <c r="B22" s="220" t="s">
        <v>127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4.4" thickBot="1" x14ac:dyDescent="0.3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25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200-000000000000}">
          <x14:formula1>
            <xm:f>'D:\Mtto\Clinica Bahia\PM3 Urgencia\[Caracterizacion y Matriz de Riesgo - copia.xlsx]Hoja3'!#REF!</xm:f>
          </x14:formula1>
          <xm:sqref>G21:H53 AL21:AM23 Q21:W23</xm:sqref>
        </x14:dataValidation>
        <x14:dataValidation type="list" allowBlank="1" showInputMessage="1" showErrorMessage="1" xr:uid="{00000000-0002-0000-02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2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2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2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2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2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2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2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11.44140625" defaultRowHeight="13.8" x14ac:dyDescent="0.25"/>
  <cols>
    <col min="1" max="1" width="1.109375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2.6640625" style="51" bestFit="1" customWidth="1"/>
    <col min="8" max="8" width="19" style="51" customWidth="1"/>
    <col min="9" max="10" width="33.6640625" style="51" customWidth="1"/>
    <col min="11" max="12" width="4.44140625" style="51" customWidth="1"/>
    <col min="13" max="13" width="11.44140625" style="51" customWidth="1"/>
    <col min="14" max="14" width="24" style="51" customWidth="1"/>
    <col min="15" max="15" width="17" style="51" customWidth="1"/>
    <col min="16" max="16" width="18.88671875" style="51" customWidth="1"/>
    <col min="17" max="22" width="17" style="51" customWidth="1"/>
    <col min="23" max="23" width="15.33203125" style="51" customWidth="1"/>
    <col min="24" max="25" width="4.44140625" style="51" customWidth="1"/>
    <col min="26" max="26" width="16.5546875" style="51" customWidth="1"/>
    <col min="27" max="27" width="22" style="51" bestFit="1" customWidth="1"/>
    <col min="28" max="28" width="18.33203125" style="51" customWidth="1"/>
    <col min="29" max="29" width="22" style="51" customWidth="1"/>
    <col min="30" max="31" width="4.44140625" style="51" customWidth="1"/>
    <col min="32" max="16384" width="11.44140625" style="51"/>
  </cols>
  <sheetData>
    <row r="1" spans="2:32" ht="14.4" thickBot="1" x14ac:dyDescent="0.3"/>
    <row r="2" spans="2:32" ht="24.9" customHeight="1" thickBot="1" x14ac:dyDescent="0.3">
      <c r="B2" s="299"/>
      <c r="C2" s="300"/>
      <c r="D2" s="300"/>
      <c r="E2" s="300"/>
      <c r="F2" s="300" t="s">
        <v>88</v>
      </c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32"/>
      <c r="AC2" s="115" t="s">
        <v>41</v>
      </c>
      <c r="AD2" s="329">
        <v>43360</v>
      </c>
      <c r="AE2" s="330"/>
      <c r="AF2" s="331"/>
    </row>
    <row r="3" spans="2:32" ht="24.9" customHeight="1" thickBot="1" x14ac:dyDescent="0.3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33"/>
      <c r="AC3" s="115" t="s">
        <v>42</v>
      </c>
      <c r="AD3" s="326" t="s">
        <v>43</v>
      </c>
      <c r="AE3" s="327"/>
      <c r="AF3" s="328"/>
    </row>
    <row r="5" spans="2:32" ht="16.2" thickBot="1" x14ac:dyDescent="0.35">
      <c r="B5" s="116" t="s">
        <v>89</v>
      </c>
      <c r="C5" s="1"/>
      <c r="D5" s="52">
        <v>43466</v>
      </c>
    </row>
    <row r="6" spans="2:32" ht="30" customHeight="1" thickBot="1" x14ac:dyDescent="0.3">
      <c r="B6" s="196"/>
      <c r="C6" s="308" t="s">
        <v>55</v>
      </c>
      <c r="D6" s="311"/>
      <c r="E6" s="311"/>
      <c r="F6" s="309"/>
      <c r="G6" s="308" t="s">
        <v>8</v>
      </c>
      <c r="H6" s="309"/>
      <c r="I6" s="310" t="s">
        <v>18</v>
      </c>
      <c r="J6" s="311"/>
      <c r="K6" s="311"/>
      <c r="L6" s="311"/>
      <c r="M6" s="315"/>
      <c r="N6" s="312" t="s">
        <v>40</v>
      </c>
      <c r="O6" s="310" t="s">
        <v>51</v>
      </c>
      <c r="P6" s="311"/>
      <c r="Q6" s="311"/>
      <c r="R6" s="311"/>
      <c r="S6" s="311"/>
      <c r="T6" s="311"/>
      <c r="U6" s="311"/>
      <c r="V6" s="315"/>
      <c r="W6" s="310" t="s">
        <v>36</v>
      </c>
      <c r="X6" s="311"/>
      <c r="Y6" s="311"/>
      <c r="Z6" s="315"/>
      <c r="AA6" s="334" t="s">
        <v>22</v>
      </c>
      <c r="AB6" s="321"/>
      <c r="AC6" s="309"/>
      <c r="AD6" s="308" t="s">
        <v>54</v>
      </c>
      <c r="AE6" s="321"/>
      <c r="AF6" s="309"/>
    </row>
    <row r="7" spans="2:32" ht="84.75" customHeight="1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14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55.2" x14ac:dyDescent="0.25">
      <c r="B8" s="53" t="s">
        <v>90</v>
      </c>
      <c r="C8" s="323" t="s">
        <v>150</v>
      </c>
      <c r="D8" s="55" t="s">
        <v>92</v>
      </c>
      <c r="E8" s="141" t="s">
        <v>107</v>
      </c>
      <c r="F8" s="142" t="s">
        <v>131</v>
      </c>
      <c r="G8" s="145" t="s">
        <v>30</v>
      </c>
      <c r="H8" s="146" t="s">
        <v>14</v>
      </c>
      <c r="I8" s="147" t="s">
        <v>132</v>
      </c>
      <c r="J8" s="148" t="s">
        <v>114</v>
      </c>
      <c r="K8" s="149">
        <v>2</v>
      </c>
      <c r="L8" s="150">
        <v>3</v>
      </c>
      <c r="M8" s="59">
        <f>K8*L8</f>
        <v>6</v>
      </c>
      <c r="N8" s="197" t="s">
        <v>94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41.4" x14ac:dyDescent="0.25">
      <c r="B9" s="158" t="s">
        <v>91</v>
      </c>
      <c r="C9" s="324"/>
      <c r="D9" s="65" t="s">
        <v>93</v>
      </c>
      <c r="E9" s="143" t="s">
        <v>106</v>
      </c>
      <c r="F9" s="144" t="s">
        <v>108</v>
      </c>
      <c r="G9" s="151" t="s">
        <v>30</v>
      </c>
      <c r="H9" s="132" t="s">
        <v>16</v>
      </c>
      <c r="I9" s="152" t="s">
        <v>110</v>
      </c>
      <c r="J9" s="153" t="s">
        <v>115</v>
      </c>
      <c r="K9" s="149">
        <v>4</v>
      </c>
      <c r="L9" s="150">
        <v>3</v>
      </c>
      <c r="M9" s="59">
        <f>K9*L9</f>
        <v>12</v>
      </c>
      <c r="N9" s="198" t="s">
        <v>133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121</v>
      </c>
      <c r="AB9" s="75"/>
      <c r="AC9" s="76"/>
      <c r="AD9" s="63"/>
      <c r="AE9" s="74"/>
      <c r="AF9" s="132">
        <f>AD9*AE9</f>
        <v>0</v>
      </c>
    </row>
    <row r="10" spans="2:32" ht="55.2" x14ac:dyDescent="0.25">
      <c r="B10" s="64" t="s">
        <v>96</v>
      </c>
      <c r="C10" s="324"/>
      <c r="D10" s="187" t="s">
        <v>100</v>
      </c>
      <c r="E10" s="157" t="s">
        <v>105</v>
      </c>
      <c r="F10" s="144" t="s">
        <v>134</v>
      </c>
      <c r="G10" s="151" t="s">
        <v>12</v>
      </c>
      <c r="H10" s="132" t="s">
        <v>14</v>
      </c>
      <c r="I10" s="152" t="s">
        <v>111</v>
      </c>
      <c r="J10" s="153" t="s">
        <v>116</v>
      </c>
      <c r="K10" s="149">
        <v>3</v>
      </c>
      <c r="L10" s="150">
        <v>2</v>
      </c>
      <c r="M10" s="59">
        <f t="shared" ref="M10:M23" si="4">K10*L10</f>
        <v>6</v>
      </c>
      <c r="N10" s="198" t="s">
        <v>120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122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28.2" thickBot="1" x14ac:dyDescent="0.3">
      <c r="B11" s="95" t="s">
        <v>97</v>
      </c>
      <c r="C11" s="324"/>
      <c r="D11" s="7" t="s">
        <v>95</v>
      </c>
      <c r="E11" s="199" t="s">
        <v>135</v>
      </c>
      <c r="F11" s="200" t="s">
        <v>134</v>
      </c>
      <c r="G11" s="201" t="s">
        <v>11</v>
      </c>
      <c r="H11" s="134" t="s">
        <v>14</v>
      </c>
      <c r="I11" s="202" t="s">
        <v>112</v>
      </c>
      <c r="J11" s="203" t="s">
        <v>117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123</v>
      </c>
      <c r="AB11" s="111"/>
      <c r="AC11" s="211" t="s">
        <v>136</v>
      </c>
      <c r="AD11" s="113"/>
      <c r="AE11" s="109"/>
      <c r="AF11" s="134">
        <f t="shared" si="7"/>
        <v>0</v>
      </c>
    </row>
    <row r="12" spans="2:32" ht="41.4" x14ac:dyDescent="0.25">
      <c r="B12" s="188" t="s">
        <v>98</v>
      </c>
      <c r="C12" s="324"/>
      <c r="D12" s="189" t="s">
        <v>101</v>
      </c>
      <c r="E12" s="190" t="s">
        <v>104</v>
      </c>
      <c r="F12" s="191" t="s">
        <v>109</v>
      </c>
      <c r="G12" s="192" t="s">
        <v>31</v>
      </c>
      <c r="H12" s="131" t="s">
        <v>16</v>
      </c>
      <c r="I12" s="193" t="s">
        <v>113</v>
      </c>
      <c r="J12" s="194" t="s">
        <v>118</v>
      </c>
      <c r="K12" s="149">
        <v>2</v>
      </c>
      <c r="L12" s="150">
        <v>4</v>
      </c>
      <c r="M12" s="195">
        <f t="shared" si="4"/>
        <v>8</v>
      </c>
      <c r="N12" s="154" t="s">
        <v>119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124</v>
      </c>
      <c r="AB12" s="208"/>
      <c r="AC12" s="135" t="s">
        <v>138</v>
      </c>
      <c r="AD12" s="63"/>
      <c r="AE12" s="60"/>
      <c r="AF12" s="131">
        <f t="shared" si="7"/>
        <v>0</v>
      </c>
    </row>
    <row r="13" spans="2:32" ht="96.6" x14ac:dyDescent="0.25">
      <c r="B13" s="158" t="s">
        <v>99</v>
      </c>
      <c r="C13" s="324"/>
      <c r="D13" s="157" t="s">
        <v>102</v>
      </c>
      <c r="E13" s="143" t="s">
        <v>103</v>
      </c>
      <c r="F13" s="144" t="s">
        <v>139</v>
      </c>
      <c r="G13" s="151" t="s">
        <v>30</v>
      </c>
      <c r="H13" s="132" t="s">
        <v>14</v>
      </c>
      <c r="I13" s="152" t="s">
        <v>140</v>
      </c>
      <c r="J13" s="153" t="s">
        <v>141</v>
      </c>
      <c r="K13" s="149">
        <v>3</v>
      </c>
      <c r="L13" s="150">
        <v>3</v>
      </c>
      <c r="M13" s="59">
        <f t="shared" si="4"/>
        <v>9</v>
      </c>
      <c r="N13" s="71" t="s">
        <v>142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143</v>
      </c>
      <c r="AB13" s="75"/>
      <c r="AC13" s="76" t="s">
        <v>144</v>
      </c>
      <c r="AD13" s="63"/>
      <c r="AE13" s="74"/>
      <c r="AF13" s="132">
        <f t="shared" si="7"/>
        <v>0</v>
      </c>
    </row>
    <row r="14" spans="2:32" s="94" customFormat="1" ht="55.2" x14ac:dyDescent="0.25">
      <c r="B14" s="64" t="s">
        <v>126</v>
      </c>
      <c r="C14" s="325"/>
      <c r="D14" s="186" t="s">
        <v>128</v>
      </c>
      <c r="E14" s="66" t="s">
        <v>145</v>
      </c>
      <c r="F14" s="67" t="s">
        <v>134</v>
      </c>
      <c r="G14" s="151" t="s">
        <v>30</v>
      </c>
      <c r="H14" s="132" t="s">
        <v>14</v>
      </c>
      <c r="I14" s="69" t="s">
        <v>146</v>
      </c>
      <c r="J14" s="70" t="s">
        <v>147</v>
      </c>
      <c r="K14" s="57">
        <v>3</v>
      </c>
      <c r="L14" s="58">
        <v>3</v>
      </c>
      <c r="M14" s="59">
        <f t="shared" si="4"/>
        <v>9</v>
      </c>
      <c r="N14" s="71" t="s">
        <v>137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148</v>
      </c>
      <c r="AB14" s="90"/>
      <c r="AC14" s="76" t="s">
        <v>149</v>
      </c>
      <c r="AD14" s="92"/>
      <c r="AE14" s="93"/>
      <c r="AF14" s="132">
        <f t="shared" si="7"/>
        <v>0</v>
      </c>
    </row>
    <row r="15" spans="2:32" s="94" customFormat="1" x14ac:dyDescent="0.25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25">
      <c r="B16" s="159" t="s">
        <v>125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130</v>
      </c>
      <c r="AC16" s="180" t="s">
        <v>129</v>
      </c>
      <c r="AD16" s="181"/>
      <c r="AE16" s="175"/>
      <c r="AF16" s="182">
        <f t="shared" si="7"/>
        <v>0</v>
      </c>
    </row>
    <row r="17" spans="2:32" s="183" customFormat="1" x14ac:dyDescent="0.25">
      <c r="B17" s="159" t="s">
        <v>127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130</v>
      </c>
      <c r="AC17" s="185" t="s">
        <v>129</v>
      </c>
      <c r="AD17" s="181"/>
      <c r="AE17" s="175"/>
      <c r="AF17" s="182">
        <f t="shared" si="7"/>
        <v>0</v>
      </c>
    </row>
    <row r="18" spans="2:32" x14ac:dyDescent="0.25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25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25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25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25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4.4" thickBot="1" x14ac:dyDescent="0.3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25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3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3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3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3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3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3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3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3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3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3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3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3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3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3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7"/>
  <sheetViews>
    <sheetView showGridLines="0" topLeftCell="A21" zoomScale="96" zoomScaleNormal="98" workbookViewId="0">
      <selection activeCell="C21" sqref="C21"/>
    </sheetView>
  </sheetViews>
  <sheetFormatPr baseColWidth="10" defaultRowHeight="14.4" x14ac:dyDescent="0.3"/>
  <cols>
    <col min="1" max="1" width="10.109375" bestFit="1" customWidth="1"/>
    <col min="2" max="2" width="27.6640625" customWidth="1"/>
    <col min="3" max="3" width="52.5546875" customWidth="1"/>
    <col min="4" max="4" width="59" customWidth="1"/>
    <col min="13" max="13" width="26.109375" bestFit="1" customWidth="1"/>
    <col min="14" max="14" width="18" bestFit="1" customWidth="1"/>
  </cols>
  <sheetData>
    <row r="2" spans="1:4" ht="48.75" customHeight="1" x14ac:dyDescent="0.3">
      <c r="A2" s="240">
        <v>1</v>
      </c>
    </row>
    <row r="3" spans="1:4" ht="32.25" customHeight="1" x14ac:dyDescent="0.3">
      <c r="A3" s="240">
        <v>2</v>
      </c>
    </row>
    <row r="4" spans="1:4" x14ac:dyDescent="0.3">
      <c r="A4" s="240">
        <v>3</v>
      </c>
    </row>
    <row r="5" spans="1:4" x14ac:dyDescent="0.3">
      <c r="A5" s="240">
        <v>4</v>
      </c>
    </row>
    <row r="6" spans="1:4" x14ac:dyDescent="0.3">
      <c r="D6" s="15"/>
    </row>
    <row r="7" spans="1:4" x14ac:dyDescent="0.3">
      <c r="D7" s="15"/>
    </row>
    <row r="8" spans="1:4" x14ac:dyDescent="0.3">
      <c r="D8" s="15"/>
    </row>
    <row r="9" spans="1:4" x14ac:dyDescent="0.3">
      <c r="D9" s="15"/>
    </row>
    <row r="10" spans="1:4" x14ac:dyDescent="0.3">
      <c r="D10" s="15"/>
    </row>
    <row r="11" spans="1:4" x14ac:dyDescent="0.3">
      <c r="D11" s="15"/>
    </row>
    <row r="12" spans="1:4" x14ac:dyDescent="0.3">
      <c r="D12" s="15"/>
    </row>
    <row r="13" spans="1:4" x14ac:dyDescent="0.3">
      <c r="D13" s="15"/>
    </row>
    <row r="14" spans="1:4" x14ac:dyDescent="0.3">
      <c r="D14" s="15"/>
    </row>
    <row r="15" spans="1:4" x14ac:dyDescent="0.3">
      <c r="D15" s="15"/>
    </row>
    <row r="16" spans="1:4" x14ac:dyDescent="0.3">
      <c r="D16" s="15"/>
    </row>
    <row r="17" spans="2:14" x14ac:dyDescent="0.3">
      <c r="D17" s="15"/>
    </row>
    <row r="19" spans="2:14" ht="15" thickBot="1" x14ac:dyDescent="0.35"/>
    <row r="20" spans="2:14" ht="1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5">
      <c r="B21" s="4" t="s">
        <v>24</v>
      </c>
      <c r="C21" s="42" t="s">
        <v>261</v>
      </c>
      <c r="D21" s="43" t="s">
        <v>78</v>
      </c>
    </row>
    <row r="22" spans="2:14" ht="66.75" customHeight="1" x14ac:dyDescent="0.3">
      <c r="B22" s="21" t="s">
        <v>61</v>
      </c>
      <c r="C22" s="19" t="s">
        <v>75</v>
      </c>
      <c r="D22" s="44" t="s">
        <v>79</v>
      </c>
    </row>
    <row r="23" spans="2:14" ht="106.5" customHeight="1" x14ac:dyDescent="0.3">
      <c r="B23" s="5" t="s">
        <v>59</v>
      </c>
      <c r="C23" s="3" t="s">
        <v>76</v>
      </c>
      <c r="D23" s="44" t="s">
        <v>80</v>
      </c>
    </row>
    <row r="24" spans="2:14" ht="106.5" customHeight="1" thickBot="1" x14ac:dyDescent="0.35">
      <c r="B24" s="6" t="s">
        <v>60</v>
      </c>
      <c r="C24" s="7" t="s">
        <v>77</v>
      </c>
      <c r="D24" s="45" t="s">
        <v>81</v>
      </c>
    </row>
    <row r="25" spans="2:14" ht="15" thickBot="1" x14ac:dyDescent="0.35"/>
    <row r="26" spans="2:14" ht="15" thickBot="1" x14ac:dyDescent="0.35">
      <c r="M26" s="36" t="s">
        <v>82</v>
      </c>
      <c r="N26" s="36" t="s">
        <v>83</v>
      </c>
    </row>
    <row r="27" spans="2:14" x14ac:dyDescent="0.3">
      <c r="M27" s="47" t="s">
        <v>84</v>
      </c>
      <c r="N27" s="48">
        <v>0</v>
      </c>
    </row>
    <row r="28" spans="2:14" x14ac:dyDescent="0.3">
      <c r="M28" s="47" t="s">
        <v>85</v>
      </c>
      <c r="N28" s="48">
        <v>1</v>
      </c>
    </row>
    <row r="29" spans="2:14" ht="15" thickBot="1" x14ac:dyDescent="0.35">
      <c r="M29" s="49" t="s">
        <v>86</v>
      </c>
      <c r="N29" s="50">
        <v>2</v>
      </c>
    </row>
    <row r="31" spans="2:14" ht="15" thickBot="1" x14ac:dyDescent="0.35"/>
    <row r="32" spans="2:14" ht="15" thickBot="1" x14ac:dyDescent="0.35">
      <c r="B32" s="335" t="s">
        <v>154</v>
      </c>
      <c r="C32" s="336"/>
    </row>
    <row r="33" spans="2:3" ht="55.2" x14ac:dyDescent="0.3">
      <c r="B33" s="137" t="s">
        <v>177</v>
      </c>
      <c r="C33" s="279" t="s">
        <v>178</v>
      </c>
    </row>
    <row r="34" spans="2:3" ht="55.2" x14ac:dyDescent="0.3">
      <c r="B34" s="151" t="s">
        <v>179</v>
      </c>
      <c r="C34" s="280" t="s">
        <v>180</v>
      </c>
    </row>
    <row r="35" spans="2:3" ht="110.4" x14ac:dyDescent="0.3">
      <c r="B35" s="151" t="s">
        <v>181</v>
      </c>
      <c r="C35" s="280" t="s">
        <v>182</v>
      </c>
    </row>
    <row r="36" spans="2:3" ht="82.8" x14ac:dyDescent="0.3">
      <c r="B36" s="151" t="s">
        <v>183</v>
      </c>
      <c r="C36" s="280" t="s">
        <v>184</v>
      </c>
    </row>
    <row r="37" spans="2:3" ht="55.8" thickBot="1" x14ac:dyDescent="0.35">
      <c r="B37" s="281" t="s">
        <v>185</v>
      </c>
      <c r="C37" s="282" t="s">
        <v>186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6:I17"/>
  <sheetViews>
    <sheetView workbookViewId="0">
      <selection activeCell="G15" sqref="G15"/>
    </sheetView>
  </sheetViews>
  <sheetFormatPr baseColWidth="10" defaultRowHeight="14.4" x14ac:dyDescent="0.3"/>
  <sheetData>
    <row r="6" spans="3:9" x14ac:dyDescent="0.3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3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3">
      <c r="C8" s="285">
        <v>3</v>
      </c>
      <c r="D8" s="285">
        <v>3</v>
      </c>
    </row>
    <row r="9" spans="3:9" x14ac:dyDescent="0.3">
      <c r="C9" s="285">
        <v>4</v>
      </c>
      <c r="D9" s="285">
        <v>4</v>
      </c>
    </row>
    <row r="13" spans="3:9" x14ac:dyDescent="0.3">
      <c r="C13" s="1" t="s">
        <v>31</v>
      </c>
    </row>
    <row r="14" spans="3:9" x14ac:dyDescent="0.3">
      <c r="C14" s="1" t="s">
        <v>10</v>
      </c>
    </row>
    <row r="15" spans="3:9" x14ac:dyDescent="0.3">
      <c r="C15" s="1" t="s">
        <v>30</v>
      </c>
      <c r="D15" s="1" t="s">
        <v>14</v>
      </c>
    </row>
    <row r="16" spans="3:9" x14ac:dyDescent="0.3">
      <c r="C16" s="1" t="s">
        <v>11</v>
      </c>
      <c r="D16" s="1" t="s">
        <v>15</v>
      </c>
    </row>
    <row r="17" spans="3:4" x14ac:dyDescent="0.3">
      <c r="C17" s="1" t="s">
        <v>196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L12"/>
  <sheetViews>
    <sheetView workbookViewId="0">
      <selection activeCell="G16" sqref="G16"/>
    </sheetView>
  </sheetViews>
  <sheetFormatPr baseColWidth="10" defaultColWidth="11.44140625" defaultRowHeight="14.4" x14ac:dyDescent="0.3"/>
  <cols>
    <col min="2" max="2" width="11.44140625" customWidth="1"/>
    <col min="3" max="3" width="17.44140625" customWidth="1"/>
    <col min="4" max="4" width="14.109375" customWidth="1"/>
    <col min="5" max="5" width="11.44140625" customWidth="1"/>
    <col min="6" max="6" width="17" customWidth="1"/>
  </cols>
  <sheetData>
    <row r="5" spans="3:12" x14ac:dyDescent="0.3">
      <c r="C5" s="1" t="s">
        <v>31</v>
      </c>
      <c r="F5">
        <v>0</v>
      </c>
      <c r="H5" s="46">
        <v>1</v>
      </c>
    </row>
    <row r="6" spans="3:12" x14ac:dyDescent="0.3">
      <c r="C6" s="1" t="s">
        <v>10</v>
      </c>
      <c r="F6">
        <v>1</v>
      </c>
      <c r="H6" s="46">
        <v>2</v>
      </c>
    </row>
    <row r="7" spans="3:12" x14ac:dyDescent="0.3">
      <c r="C7" s="1" t="s">
        <v>30</v>
      </c>
      <c r="D7" s="1" t="s">
        <v>14</v>
      </c>
      <c r="F7">
        <v>2</v>
      </c>
      <c r="H7" s="46">
        <v>3</v>
      </c>
    </row>
    <row r="8" spans="3:12" x14ac:dyDescent="0.3">
      <c r="C8" s="1" t="s">
        <v>11</v>
      </c>
      <c r="D8" s="1" t="s">
        <v>15</v>
      </c>
      <c r="H8" s="46">
        <v>4</v>
      </c>
    </row>
    <row r="9" spans="3:12" x14ac:dyDescent="0.3">
      <c r="C9" s="1" t="s">
        <v>12</v>
      </c>
      <c r="D9" s="1" t="s">
        <v>16</v>
      </c>
    </row>
    <row r="10" spans="3:12" x14ac:dyDescent="0.3">
      <c r="C10" s="1"/>
    </row>
    <row r="11" spans="3:12" x14ac:dyDescent="0.3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x14ac:dyDescent="0.3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6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3"/>
  <sheetViews>
    <sheetView workbookViewId="0">
      <selection activeCell="B3" sqref="B3:F9"/>
    </sheetView>
  </sheetViews>
  <sheetFormatPr baseColWidth="10" defaultRowHeight="14.4" x14ac:dyDescent="0.3"/>
  <cols>
    <col min="2" max="6" width="15.44140625" customWidth="1"/>
    <col min="7" max="7" width="11.44140625" customWidth="1"/>
    <col min="8" max="8" width="25.33203125" customWidth="1"/>
    <col min="10" max="10" width="10.109375" bestFit="1" customWidth="1"/>
    <col min="11" max="11" width="27.6640625" customWidth="1"/>
    <col min="12" max="12" width="52.5546875" customWidth="1"/>
  </cols>
  <sheetData>
    <row r="2" spans="2:8" ht="15" thickBot="1" x14ac:dyDescent="0.35"/>
    <row r="3" spans="2:8" ht="15" thickBot="1" x14ac:dyDescent="0.35">
      <c r="B3" s="340" t="s">
        <v>187</v>
      </c>
      <c r="C3" s="341"/>
      <c r="D3" s="341"/>
      <c r="E3" s="341"/>
      <c r="F3" s="342"/>
    </row>
    <row r="4" spans="2:8" x14ac:dyDescent="0.3">
      <c r="B4" s="343" t="s">
        <v>32</v>
      </c>
      <c r="C4" s="345" t="s">
        <v>39</v>
      </c>
      <c r="D4" s="346"/>
      <c r="E4" s="346"/>
      <c r="F4" s="347"/>
    </row>
    <row r="5" spans="2:8" ht="15" thickBot="1" x14ac:dyDescent="0.35">
      <c r="B5" s="344"/>
      <c r="C5" s="32" t="s">
        <v>27</v>
      </c>
      <c r="D5" s="11" t="s">
        <v>28</v>
      </c>
      <c r="E5" s="11" t="s">
        <v>62</v>
      </c>
      <c r="F5" s="10" t="s">
        <v>63</v>
      </c>
    </row>
    <row r="6" spans="2:8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" thickBot="1" x14ac:dyDescent="0.35"/>
    <row r="13" spans="2:8" ht="19.5" customHeight="1" thickBot="1" x14ac:dyDescent="0.35">
      <c r="B13" s="348" t="s">
        <v>2</v>
      </c>
      <c r="C13" s="349"/>
      <c r="D13" s="349"/>
      <c r="E13" s="349"/>
      <c r="F13" s="350"/>
      <c r="H13" s="2" t="s">
        <v>1</v>
      </c>
    </row>
    <row r="14" spans="2:8" ht="24" customHeight="1" x14ac:dyDescent="0.3">
      <c r="B14" s="351" t="s">
        <v>4</v>
      </c>
      <c r="C14" s="352"/>
      <c r="D14" s="352"/>
      <c r="E14" s="352"/>
      <c r="F14" s="353"/>
      <c r="H14" s="18" t="s">
        <v>33</v>
      </c>
    </row>
    <row r="15" spans="2:8" ht="26.25" customHeight="1" x14ac:dyDescent="0.3">
      <c r="B15" s="351" t="s">
        <v>3</v>
      </c>
      <c r="C15" s="352"/>
      <c r="D15" s="352"/>
      <c r="E15" s="352"/>
      <c r="F15" s="353"/>
      <c r="H15" s="16" t="s">
        <v>33</v>
      </c>
    </row>
    <row r="16" spans="2:8" ht="27.75" customHeight="1" thickBot="1" x14ac:dyDescent="0.35">
      <c r="B16" s="337" t="s">
        <v>6</v>
      </c>
      <c r="C16" s="338"/>
      <c r="D16" s="338"/>
      <c r="E16" s="338"/>
      <c r="F16" s="339"/>
      <c r="H16" s="17" t="s">
        <v>34</v>
      </c>
    </row>
    <row r="18" spans="10:12" ht="15" thickBot="1" x14ac:dyDescent="0.35"/>
    <row r="19" spans="10:12" ht="15" thickBot="1" x14ac:dyDescent="0.35">
      <c r="J19" s="14" t="s">
        <v>70</v>
      </c>
      <c r="K19" s="14" t="s">
        <v>68</v>
      </c>
      <c r="L19" s="36" t="s">
        <v>69</v>
      </c>
    </row>
    <row r="20" spans="10:12" ht="41.4" x14ac:dyDescent="0.3">
      <c r="J20" s="37" t="s">
        <v>72</v>
      </c>
      <c r="K20" s="33" t="s">
        <v>71</v>
      </c>
      <c r="L20" s="38" t="s">
        <v>64</v>
      </c>
    </row>
    <row r="21" spans="10:12" ht="55.2" x14ac:dyDescent="0.3">
      <c r="J21" s="37" t="s">
        <v>87</v>
      </c>
      <c r="K21" s="34" t="s">
        <v>61</v>
      </c>
      <c r="L21" s="38" t="s">
        <v>65</v>
      </c>
    </row>
    <row r="22" spans="10:12" ht="41.4" x14ac:dyDescent="0.3">
      <c r="J22" s="37" t="s">
        <v>73</v>
      </c>
      <c r="K22" s="35" t="s">
        <v>59</v>
      </c>
      <c r="L22" s="38" t="s">
        <v>66</v>
      </c>
    </row>
    <row r="23" spans="10:12" ht="69.599999999999994" thickBot="1" x14ac:dyDescent="0.35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342F0C-5890-40F4-B027-3E6E1B4CEB5D}"/>
</file>

<file path=customXml/itemProps2.xml><?xml version="1.0" encoding="utf-8"?>
<ds:datastoreItem xmlns:ds="http://schemas.openxmlformats.org/officeDocument/2006/customXml" ds:itemID="{83A9C989-4D84-4F19-9FD0-90F1A37F6345}"/>
</file>

<file path=customXml/itemProps3.xml><?xml version="1.0" encoding="utf-8"?>
<ds:datastoreItem xmlns:ds="http://schemas.openxmlformats.org/officeDocument/2006/customXml" ds:itemID="{A7602012-B41F-4EF6-8818-96CD787FA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Contabilidad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2025-10-24T16:11:46Z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71900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