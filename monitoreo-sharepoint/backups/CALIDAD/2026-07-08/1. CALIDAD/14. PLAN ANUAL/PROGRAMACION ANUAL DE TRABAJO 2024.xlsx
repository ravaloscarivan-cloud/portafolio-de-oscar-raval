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4. PLAN ANUAL\"/>
    </mc:Choice>
  </mc:AlternateContent>
  <xr:revisionPtr revIDLastSave="0" documentId="13_ncr:1_{57A91142-32D2-4C40-8975-4D412356E16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N DE TRABAJO ANUA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2IQUB33+puqLSf/IrTYn82EiRw=="/>
    </ext>
  </extLst>
</workbook>
</file>

<file path=xl/calcChain.xml><?xml version="1.0" encoding="utf-8"?>
<calcChain xmlns="http://schemas.openxmlformats.org/spreadsheetml/2006/main">
  <c r="BE27" i="1" l="1"/>
  <c r="BE76" i="1"/>
  <c r="BE110" i="1"/>
  <c r="BE86" i="1"/>
  <c r="BE22" i="1"/>
  <c r="AX117" i="1" l="1"/>
  <c r="AT117" i="1"/>
  <c r="AP117" i="1"/>
  <c r="AL117" i="1"/>
  <c r="AH117" i="1"/>
  <c r="AD117" i="1"/>
  <c r="Z117" i="1"/>
  <c r="V117" i="1"/>
  <c r="R117" i="1"/>
  <c r="N117" i="1"/>
  <c r="J117" i="1"/>
  <c r="F117" i="1"/>
  <c r="AX116" i="1"/>
  <c r="AT116" i="1"/>
  <c r="AP116" i="1"/>
  <c r="AL116" i="1"/>
  <c r="AH116" i="1"/>
  <c r="AD116" i="1"/>
  <c r="Z116" i="1"/>
  <c r="V116" i="1"/>
  <c r="R116" i="1"/>
  <c r="N116" i="1"/>
  <c r="J116" i="1"/>
  <c r="F116" i="1"/>
  <c r="BC114" i="1"/>
  <c r="BC112" i="1"/>
  <c r="BB112" i="1"/>
  <c r="AX109" i="1"/>
  <c r="AT109" i="1"/>
  <c r="AP109" i="1"/>
  <c r="AL109" i="1"/>
  <c r="AH109" i="1"/>
  <c r="AD109" i="1"/>
  <c r="Z109" i="1"/>
  <c r="V109" i="1"/>
  <c r="R109" i="1"/>
  <c r="N109" i="1"/>
  <c r="J109" i="1"/>
  <c r="F109" i="1"/>
  <c r="AX108" i="1"/>
  <c r="AT108" i="1"/>
  <c r="AP108" i="1"/>
  <c r="AL108" i="1"/>
  <c r="AH108" i="1"/>
  <c r="AD108" i="1"/>
  <c r="Z108" i="1"/>
  <c r="V108" i="1"/>
  <c r="R108" i="1"/>
  <c r="N108" i="1"/>
  <c r="J108" i="1"/>
  <c r="F108" i="1"/>
  <c r="BC106" i="1"/>
  <c r="BB106" i="1"/>
  <c r="BC102" i="1"/>
  <c r="BB102" i="1"/>
  <c r="BE100" i="1"/>
  <c r="BB96" i="1"/>
  <c r="BC94" i="1"/>
  <c r="BB94" i="1"/>
  <c r="BC92" i="1"/>
  <c r="BB92" i="1"/>
  <c r="BC90" i="1"/>
  <c r="BB90" i="1"/>
  <c r="AX85" i="1"/>
  <c r="AT85" i="1"/>
  <c r="AP85" i="1"/>
  <c r="AL85" i="1"/>
  <c r="AH85" i="1"/>
  <c r="AD85" i="1"/>
  <c r="Z85" i="1"/>
  <c r="V85" i="1"/>
  <c r="R85" i="1"/>
  <c r="N85" i="1"/>
  <c r="J85" i="1"/>
  <c r="F85" i="1"/>
  <c r="AX84" i="1"/>
  <c r="AX99" i="1" s="1"/>
  <c r="AT84" i="1"/>
  <c r="AT98" i="1" s="1"/>
  <c r="AP84" i="1"/>
  <c r="AL84" i="1"/>
  <c r="AH84" i="1"/>
  <c r="AD84" i="1"/>
  <c r="Z84" i="1"/>
  <c r="V84" i="1"/>
  <c r="R84" i="1"/>
  <c r="N84" i="1"/>
  <c r="N98" i="1" s="1"/>
  <c r="J84" i="1"/>
  <c r="F84" i="1"/>
  <c r="BC82" i="1"/>
  <c r="BB82" i="1"/>
  <c r="BC78" i="1"/>
  <c r="BB78" i="1"/>
  <c r="AX75" i="1"/>
  <c r="AT75" i="1"/>
  <c r="AP75" i="1"/>
  <c r="AL75" i="1"/>
  <c r="AH75" i="1"/>
  <c r="AD75" i="1"/>
  <c r="Z75" i="1"/>
  <c r="V75" i="1"/>
  <c r="R75" i="1"/>
  <c r="N75" i="1"/>
  <c r="J75" i="1"/>
  <c r="F75" i="1"/>
  <c r="AX74" i="1"/>
  <c r="AT74" i="1"/>
  <c r="AP74" i="1"/>
  <c r="AL74" i="1"/>
  <c r="AH74" i="1"/>
  <c r="AD74" i="1"/>
  <c r="Z74" i="1"/>
  <c r="V74" i="1"/>
  <c r="R74" i="1"/>
  <c r="N74" i="1"/>
  <c r="J74" i="1"/>
  <c r="F74" i="1"/>
  <c r="BC72" i="1"/>
  <c r="BB72" i="1"/>
  <c r="BC64" i="1"/>
  <c r="BB64" i="1"/>
  <c r="BC62" i="1"/>
  <c r="BB62" i="1"/>
  <c r="BC60" i="1"/>
  <c r="BB60" i="1"/>
  <c r="BE58" i="1"/>
  <c r="AX57" i="1"/>
  <c r="AT57" i="1"/>
  <c r="AP57" i="1"/>
  <c r="AL57" i="1"/>
  <c r="AH57" i="1"/>
  <c r="AD57" i="1"/>
  <c r="Z57" i="1"/>
  <c r="V57" i="1"/>
  <c r="R57" i="1"/>
  <c r="N57" i="1"/>
  <c r="J57" i="1"/>
  <c r="F57" i="1"/>
  <c r="AX56" i="1"/>
  <c r="AT56" i="1"/>
  <c r="AP56" i="1"/>
  <c r="AL56" i="1"/>
  <c r="AH56" i="1"/>
  <c r="AD56" i="1"/>
  <c r="Z56" i="1"/>
  <c r="V56" i="1"/>
  <c r="R56" i="1"/>
  <c r="N56" i="1"/>
  <c r="J56" i="1"/>
  <c r="F56" i="1"/>
  <c r="BC54" i="1"/>
  <c r="BB54" i="1"/>
  <c r="BC52" i="1"/>
  <c r="BB52" i="1"/>
  <c r="BC50" i="1"/>
  <c r="BB50" i="1"/>
  <c r="BC48" i="1"/>
  <c r="BB48" i="1"/>
  <c r="BC46" i="1"/>
  <c r="BB46" i="1"/>
  <c r="BC44" i="1"/>
  <c r="BB44" i="1"/>
  <c r="BE42" i="1"/>
  <c r="AX41" i="1"/>
  <c r="AT41" i="1"/>
  <c r="AP41" i="1"/>
  <c r="AL41" i="1"/>
  <c r="AH41" i="1"/>
  <c r="AD41" i="1"/>
  <c r="Z41" i="1"/>
  <c r="V41" i="1"/>
  <c r="R41" i="1"/>
  <c r="N41" i="1"/>
  <c r="J41" i="1"/>
  <c r="F41" i="1"/>
  <c r="AX40" i="1"/>
  <c r="AT40" i="1"/>
  <c r="AP40" i="1"/>
  <c r="AL40" i="1"/>
  <c r="AH40" i="1"/>
  <c r="AD40" i="1"/>
  <c r="Z40" i="1"/>
  <c r="V40" i="1"/>
  <c r="R40" i="1"/>
  <c r="N40" i="1"/>
  <c r="J40" i="1"/>
  <c r="F40" i="1"/>
  <c r="BC38" i="1"/>
  <c r="BB38" i="1"/>
  <c r="BC36" i="1"/>
  <c r="BB36" i="1"/>
  <c r="BC34" i="1"/>
  <c r="BB34" i="1"/>
  <c r="BC32" i="1"/>
  <c r="BB32" i="1"/>
  <c r="BC30" i="1"/>
  <c r="BB30" i="1"/>
  <c r="BC28" i="1"/>
  <c r="BB28" i="1"/>
  <c r="BC26" i="1"/>
  <c r="BB26" i="1"/>
  <c r="BC24" i="1"/>
  <c r="BB24" i="1"/>
  <c r="AX21" i="1"/>
  <c r="AT21" i="1"/>
  <c r="AP21" i="1"/>
  <c r="AL21" i="1"/>
  <c r="AH21" i="1"/>
  <c r="AD21" i="1"/>
  <c r="Z21" i="1"/>
  <c r="V21" i="1"/>
  <c r="R21" i="1"/>
  <c r="N21" i="1"/>
  <c r="J21" i="1"/>
  <c r="F21" i="1"/>
  <c r="AX20" i="1"/>
  <c r="AT20" i="1"/>
  <c r="AP20" i="1"/>
  <c r="AL20" i="1"/>
  <c r="AH20" i="1"/>
  <c r="AD20" i="1"/>
  <c r="Z20" i="1"/>
  <c r="V20" i="1"/>
  <c r="R20" i="1"/>
  <c r="N20" i="1"/>
  <c r="J20" i="1"/>
  <c r="F20" i="1"/>
  <c r="BC18" i="1"/>
  <c r="BB18" i="1"/>
  <c r="BC16" i="1"/>
  <c r="BB16" i="1"/>
  <c r="BC14" i="1"/>
  <c r="BB14" i="1"/>
  <c r="BC12" i="1"/>
  <c r="BB12" i="1"/>
  <c r="BC10" i="1"/>
  <c r="BB10" i="1"/>
  <c r="BC8" i="1"/>
  <c r="BB8" i="1"/>
  <c r="BE116" i="1" l="1"/>
  <c r="BD36" i="1"/>
  <c r="R99" i="1"/>
  <c r="Z99" i="1"/>
  <c r="V99" i="1"/>
  <c r="F99" i="1"/>
  <c r="J99" i="1"/>
  <c r="AP99" i="1"/>
  <c r="BD38" i="1"/>
  <c r="AD98" i="1"/>
  <c r="AH99" i="1"/>
  <c r="BD18" i="1"/>
  <c r="BD16" i="1"/>
  <c r="AL99" i="1"/>
  <c r="BD14" i="1"/>
  <c r="BD8" i="1"/>
  <c r="BD72" i="1"/>
  <c r="BD92" i="1"/>
  <c r="BD82" i="1"/>
  <c r="BD90" i="1"/>
  <c r="BD94" i="1"/>
  <c r="BD34" i="1"/>
  <c r="BD48" i="1"/>
  <c r="BD52" i="1"/>
  <c r="BD12" i="1"/>
  <c r="BD46" i="1"/>
  <c r="BD50" i="1"/>
  <c r="BD54" i="1"/>
  <c r="BD114" i="1"/>
  <c r="BD10" i="1"/>
  <c r="BD20" i="1"/>
  <c r="BD64" i="1"/>
  <c r="BD116" i="1"/>
  <c r="BD108" i="1"/>
  <c r="BD84" i="1"/>
  <c r="BD62" i="1"/>
  <c r="BD60" i="1"/>
  <c r="BD74" i="1"/>
  <c r="BD44" i="1"/>
  <c r="BD30" i="1"/>
  <c r="BD24" i="1"/>
  <c r="BD26" i="1"/>
  <c r="BD28" i="1"/>
  <c r="BD32" i="1"/>
  <c r="BD40" i="1"/>
  <c r="R98" i="1"/>
  <c r="R120" i="1" s="1"/>
  <c r="AH98" i="1"/>
  <c r="AX98" i="1"/>
  <c r="AX120" i="1" s="1"/>
  <c r="N99" i="1"/>
  <c r="N120" i="1" s="1"/>
  <c r="AD99" i="1"/>
  <c r="AD120" i="1" s="1"/>
  <c r="AT99" i="1"/>
  <c r="AT120" i="1" s="1"/>
  <c r="F98" i="1"/>
  <c r="F120" i="1" s="1"/>
  <c r="V98" i="1"/>
  <c r="V120" i="1" s="1"/>
  <c r="AL98" i="1"/>
  <c r="AL120" i="1" s="1"/>
  <c r="BD102" i="1"/>
  <c r="BD112" i="1"/>
  <c r="N119" i="1"/>
  <c r="AD119" i="1"/>
  <c r="AT119" i="1"/>
  <c r="BD56" i="1"/>
  <c r="J98" i="1"/>
  <c r="Z98" i="1"/>
  <c r="Z119" i="1" s="1"/>
  <c r="AP98" i="1"/>
  <c r="BD78" i="1"/>
  <c r="V119" i="1"/>
  <c r="AP120" i="1" l="1"/>
  <c r="AH120" i="1"/>
  <c r="J120" i="1"/>
  <c r="R119" i="1"/>
  <c r="R121" i="1" s="1"/>
  <c r="F119" i="1"/>
  <c r="F121" i="1" s="1"/>
  <c r="AL119" i="1"/>
  <c r="AL121" i="1" s="1"/>
  <c r="AX119" i="1"/>
  <c r="AX121" i="1" s="1"/>
  <c r="AH119" i="1"/>
  <c r="J119" i="1"/>
  <c r="AD121" i="1"/>
  <c r="N121" i="1"/>
  <c r="AT121" i="1"/>
  <c r="V121" i="1"/>
  <c r="Z120" i="1"/>
  <c r="Z121" i="1" s="1"/>
  <c r="AP119" i="1"/>
  <c r="J121" i="1" l="1"/>
  <c r="AP121" i="1"/>
  <c r="AH121" i="1"/>
  <c r="F122" i="1"/>
  <c r="BD96" i="1"/>
  <c r="BD98" i="1"/>
</calcChain>
</file>

<file path=xl/sharedStrings.xml><?xml version="1.0" encoding="utf-8"?>
<sst xmlns="http://schemas.openxmlformats.org/spreadsheetml/2006/main" count="608" uniqueCount="113">
  <si>
    <t>CARACTERIZACIÓN</t>
  </si>
  <si>
    <t>PROGRAMADO</t>
  </si>
  <si>
    <t>P</t>
  </si>
  <si>
    <t>REALIZADO</t>
  </si>
  <si>
    <t>R</t>
  </si>
  <si>
    <t>APLAZADO</t>
  </si>
  <si>
    <t>A</t>
  </si>
  <si>
    <t>CANCELADO</t>
  </si>
  <si>
    <t>C</t>
  </si>
  <si>
    <t>INVENTARIOS</t>
  </si>
  <si>
    <t>RESPONSABLES EJECUCIÓN</t>
  </si>
  <si>
    <t>ENERO</t>
  </si>
  <si>
    <t>FEBRERO</t>
  </si>
  <si>
    <t>MARZO</t>
  </si>
  <si>
    <t>ABRIL</t>
  </si>
  <si>
    <t>MAYO</t>
  </si>
  <si>
    <t>JUNIO</t>
  </si>
  <si>
    <t xml:space="preserve">JULIO </t>
  </si>
  <si>
    <t>AGOSTO</t>
  </si>
  <si>
    <t xml:space="preserve">SEPTIEMBRE </t>
  </si>
  <si>
    <t xml:space="preserve">OCTUBRE </t>
  </si>
  <si>
    <t>NOVIEMBRE</t>
  </si>
  <si>
    <t>DICIEMBRE</t>
  </si>
  <si>
    <t>COBERTURA MENSUAL</t>
  </si>
  <si>
    <t>COSTOS DE ACTIVIDAD</t>
  </si>
  <si>
    <t>OBSERVACIONES</t>
  </si>
  <si>
    <t>EJECUTADO</t>
  </si>
  <si>
    <t>%</t>
  </si>
  <si>
    <t xml:space="preserve">INVENTARIO SELECTIVO  DE BODEGA PRINCIPAL </t>
  </si>
  <si>
    <t xml:space="preserve">PAULA DE  LEON </t>
  </si>
  <si>
    <t>INVENTARIO BODEGA FUNDACION CAMBELL</t>
  </si>
  <si>
    <t>JESNY LOMBO</t>
  </si>
  <si>
    <t>INVENTARIO BODEGA CALI</t>
  </si>
  <si>
    <t>INVNETARIO BODEGA SANTA MARTA</t>
  </si>
  <si>
    <t>INVENTARIO BODEGA SINCELEJO</t>
  </si>
  <si>
    <t>MARCELA AVILA</t>
  </si>
  <si>
    <t xml:space="preserve">INVENTARIO BODEGA CARTAGENA </t>
  </si>
  <si>
    <t>MERCEDES MORENO</t>
  </si>
  <si>
    <t>TOTAL ACTIVIDADES PROGRAMADAS</t>
  </si>
  <si>
    <t>CUMPLIMIENTO ACUMULADO</t>
  </si>
  <si>
    <t>TOTAL ACTIVIDADES EJECUTADAS</t>
  </si>
  <si>
    <t xml:space="preserve">VIAJES </t>
  </si>
  <si>
    <t>VISITA A SANTA MARTA EVALUACION TRIMESTRAL</t>
  </si>
  <si>
    <t>KEYLA PEREZ</t>
  </si>
  <si>
    <t>VISITA A CALI (VALLESALUD)- EVALUACION TRIMESTRAL</t>
  </si>
  <si>
    <t>VISITA A CARTAGENA - EVALUACION TRIMESTRAL</t>
  </si>
  <si>
    <t xml:space="preserve">VISITA A SINCELEJO - EVALUACION TRIMESTRAL </t>
  </si>
  <si>
    <t>VISITA  A FUNDACION CAMPBELL - EVALUACION TRIMESTRAL</t>
  </si>
  <si>
    <t>CAPACITACIONES</t>
  </si>
  <si>
    <t>CAPACITACIONES PARA TODO EL PERSONAL</t>
  </si>
  <si>
    <t>La capacitaciones se llevan acabo con aliados e entidades gratuitas.</t>
  </si>
  <si>
    <t>PROCESO DE ALMACEN</t>
  </si>
  <si>
    <t xml:space="preserve">PROCESO DE FACTURACION </t>
  </si>
  <si>
    <t>JORGE GOMEZ</t>
  </si>
  <si>
    <t>PROCESO DE CONTABILIDAD</t>
  </si>
  <si>
    <t>MARTHA ORORZOC</t>
  </si>
  <si>
    <t>COORDINACION ASISTENCIAL</t>
  </si>
  <si>
    <t xml:space="preserve">ARREGLOS LOCATIVOS / INFRAESTRUCTURA </t>
  </si>
  <si>
    <t>RECARGA DE EXTINTORES</t>
  </si>
  <si>
    <t xml:space="preserve">FUMIGACION </t>
  </si>
  <si>
    <t xml:space="preserve">  PROMOCIÓN Y PREVENCIÓN</t>
  </si>
  <si>
    <t>EXAMENES MEDICO OCUPACIONALES</t>
  </si>
  <si>
    <t xml:space="preserve">RUMBA TERAPIAS </t>
  </si>
  <si>
    <t xml:space="preserve">VACUNAS Y JORNADAS DE SALUD </t>
  </si>
  <si>
    <t xml:space="preserve">INFORMES LIDERES </t>
  </si>
  <si>
    <t>INFORME PROCESO DE CONTABILIDAD</t>
  </si>
  <si>
    <t>MARTHA OROZCO</t>
  </si>
  <si>
    <t xml:space="preserve">INFORMES PROCESOS DE FACTURACION </t>
  </si>
  <si>
    <t>INFORME PROCESO DE ALMACEN</t>
  </si>
  <si>
    <t>INFORME ASISTENCIA TECNICA</t>
  </si>
  <si>
    <t xml:space="preserve">AUDITORIAS / REVISION POR LA DIRECCION / REUNION LIDERES </t>
  </si>
  <si>
    <t xml:space="preserve">REUNION LIDERES </t>
  </si>
  <si>
    <t>NATALIA TOVAR / LIDERES DE PROCESOS</t>
  </si>
  <si>
    <t>LIDERES DE PROCESOS / GERENCIA</t>
  </si>
  <si>
    <t xml:space="preserve">   EVALUACIÓNES DE DESEMPEÑO</t>
  </si>
  <si>
    <t xml:space="preserve">EVALUACION DE DESEMPEÑO PRIMER SEMESTRE </t>
  </si>
  <si>
    <t xml:space="preserve">EVALUACION DE DESEMPEÑO SEGUNDO SEMESTRE </t>
  </si>
  <si>
    <t xml:space="preserve">TOTAL ACTIVIDADES PROGRAMADAS AÑO </t>
  </si>
  <si>
    <t xml:space="preserve">TOTAL ACTIVIDADES EJECUTADAS AÑO </t>
  </si>
  <si>
    <t>META</t>
  </si>
  <si>
    <t>CUMPLIMIENTO ANUAL</t>
  </si>
  <si>
    <t>APROBADO POR :_____________________</t>
  </si>
  <si>
    <t>Durante esta visita la Coordinadora asistencial fue en compañía de auxiliar de sistemas de gestion  y gerente administrativa.</t>
  </si>
  <si>
    <t xml:space="preserve">INFRAESTRUCTURA U OTROS CONCEPTOS </t>
  </si>
  <si>
    <t xml:space="preserve">VIATICOS POR FESTIVIDADES, TIQUETES  U OTROS CONCEPTOS </t>
  </si>
  <si>
    <t>HEISA BUELVAS</t>
  </si>
  <si>
    <t>MANTENIMIENTO DE AIRES ACONDICIONADOS / CIUDADES</t>
  </si>
  <si>
    <t>El mantemimiento paso de ser Trimestral en Barranquilla y en la ciudad de Cali.</t>
  </si>
  <si>
    <t>Arreglo de baldozas, Pintara de aredes, cinta para escaleras entre otros.</t>
  </si>
  <si>
    <t>La fumigacion se realiza de manera trimenstral.</t>
  </si>
  <si>
    <t>AUDITORIA INTERNA/ SST</t>
  </si>
  <si>
    <t>ELABORADO POR: Heisa Buelvas Luna.</t>
  </si>
  <si>
    <t>Meriendad y transporte.</t>
  </si>
  <si>
    <t>Estadia  y viaticos.</t>
  </si>
  <si>
    <t>GESTION DE  LA CALIDA Y GESTION  HUMANA</t>
  </si>
  <si>
    <t>ARREGLO POR DAÑOS</t>
  </si>
  <si>
    <t>INFORME PROCESO DE GESTION HUMANA</t>
  </si>
  <si>
    <t>AUDITORIA INTERNA  O EXTERNA (Recertificacion) /CALIDAD</t>
  </si>
  <si>
    <t>KARINA RUEDA</t>
  </si>
  <si>
    <t>NICOLE ORTEGA</t>
  </si>
  <si>
    <t xml:space="preserve">KEILTYN PERALTA </t>
  </si>
  <si>
    <t>Tiquetes, vi, festividades como dia de la mujer/ hombre, acompañamiento a sepelio, arreglos funebres,arreglos y adornos navideños.</t>
  </si>
  <si>
    <t>SANITHELP IPS</t>
  </si>
  <si>
    <t>CAPACITADOR SACRILAFT</t>
  </si>
  <si>
    <t xml:space="preserve">Para las visitas se programaron reuniones por Teams, para verificacion, validacion y mejora del proceso de asistencia tecnica. </t>
  </si>
  <si>
    <t xml:space="preserve">Durante esta visita la Coordinadora asistencial fue en compañía de gerencia, coordinador administrativo y Lider de calidad para verificaciony validacion de la sede en el primer trimestre, asi como periodos de visitas consecutivos por temas de inventario, procesos y personal quirurgico. </t>
  </si>
  <si>
    <t xml:space="preserve">Durante esta visita la Coordinadora asistencial para verificacion de inventario y seguimiento a ciudad, adicional se llevaron acabo </t>
  </si>
  <si>
    <t>Se llevo acabo reuniones presenciales en la sede en donde se realizo seguimiento y validacion de los procesos.</t>
  </si>
  <si>
    <t>Mensualidad de agente juridico para el monitoreo, seguimiento y capacitacion del sistema sacrilaft.</t>
  </si>
  <si>
    <t>REUNION DE LIDERES DEL AÑO 2024 Y DESAYUNO A LIDERES,</t>
  </si>
  <si>
    <t xml:space="preserve">La capacitaciones se llevan acabo con aliados e entidades gratuitas. </t>
  </si>
  <si>
    <t>La Rumba terapia se llevan acabo con aliados e entidades gratuitas.</t>
  </si>
  <si>
    <t>PLAN  ANUAL BIOSTEEL DE COLOMBIA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</si>
</sst>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"/>
  </numFmts>
  <fonts count="29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24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name val="Arial"/>
      <family val="2"/>
    </font>
    <font>
      <b/>
      <sz val="14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</font>
    <font>
      <sz val="10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8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</font>
    <font>
      <sz val="9"/>
      <color theme="0"/>
      <name val="Calibri"/>
      <family val="2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E37113"/>
        <bgColor rgb="FFE3711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rgb="FFD8D8D8"/>
      </patternFill>
    </fill>
    <fill>
      <patternFill patternType="solid">
        <fgColor theme="1"/>
        <bgColor rgb="FFD8D8D8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9" fontId="3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/>
    <xf numFmtId="164" fontId="4" fillId="0" borderId="5" xfId="0" applyNumberFormat="1" applyFont="1" applyBorder="1"/>
    <xf numFmtId="0" fontId="9" fillId="2" borderId="16" xfId="0" applyFont="1" applyFill="1" applyBorder="1" applyAlignment="1">
      <alignment vertical="center" wrapText="1"/>
    </xf>
    <xf numFmtId="0" fontId="10" fillId="0" borderId="10" xfId="0" applyFont="1" applyBorder="1" applyAlignment="1">
      <alignment vertical="center"/>
    </xf>
    <xf numFmtId="0" fontId="9" fillId="10" borderId="16" xfId="0" applyFont="1" applyFill="1" applyBorder="1" applyAlignment="1">
      <alignment vertical="center" wrapText="1"/>
    </xf>
    <xf numFmtId="0" fontId="10" fillId="0" borderId="15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10" borderId="22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3" fillId="8" borderId="23" xfId="0" applyFont="1" applyFill="1" applyBorder="1"/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9" fillId="8" borderId="23" xfId="0" applyNumberFormat="1" applyFont="1" applyFill="1" applyBorder="1" applyAlignment="1">
      <alignment horizontal="center"/>
    </xf>
    <xf numFmtId="9" fontId="9" fillId="8" borderId="23" xfId="0" applyNumberFormat="1" applyFont="1" applyFill="1" applyBorder="1" applyAlignment="1">
      <alignment horizontal="center"/>
    </xf>
    <xf numFmtId="9" fontId="18" fillId="8" borderId="23" xfId="0" applyNumberFormat="1" applyFont="1" applyFill="1" applyBorder="1" applyAlignment="1">
      <alignment horizontal="center"/>
    </xf>
    <xf numFmtId="0" fontId="5" fillId="0" borderId="0" xfId="0" applyFont="1"/>
    <xf numFmtId="0" fontId="19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8" fillId="0" borderId="33" xfId="0" applyFont="1" applyBorder="1"/>
    <xf numFmtId="0" fontId="13" fillId="0" borderId="18" xfId="0" applyFont="1" applyBorder="1" applyAlignment="1">
      <alignment horizontal="center" vertical="center"/>
    </xf>
    <xf numFmtId="0" fontId="26" fillId="0" borderId="0" xfId="0" applyFont="1"/>
    <xf numFmtId="0" fontId="10" fillId="3" borderId="22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1" xfId="0" applyFont="1" applyBorder="1"/>
    <xf numFmtId="0" fontId="10" fillId="3" borderId="35" xfId="0" applyFont="1" applyFill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36" xfId="0" applyFont="1" applyFill="1" applyBorder="1" applyAlignment="1">
      <alignment horizontal="center" vertical="center" wrapText="1"/>
    </xf>
    <xf numFmtId="0" fontId="10" fillId="11" borderId="37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0" fillId="0" borderId="33" xfId="0" applyBorder="1"/>
    <xf numFmtId="164" fontId="4" fillId="0" borderId="2" xfId="0" applyNumberFormat="1" applyFont="1" applyBorder="1"/>
    <xf numFmtId="0" fontId="3" fillId="8" borderId="3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9" fillId="3" borderId="7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9" fillId="3" borderId="8" xfId="0" applyFont="1" applyFill="1" applyBorder="1" applyAlignment="1">
      <alignment horizontal="center" vertic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3" fillId="0" borderId="7" xfId="0" applyFont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20" fillId="8" borderId="7" xfId="0" applyFont="1" applyFill="1" applyBorder="1" applyAlignment="1">
      <alignment horizontal="left" vertical="center" wrapText="1"/>
    </xf>
    <xf numFmtId="1" fontId="9" fillId="8" borderId="2" xfId="0" applyNumberFormat="1" applyFont="1" applyFill="1" applyBorder="1" applyAlignment="1">
      <alignment horizontal="center" vertical="center"/>
    </xf>
    <xf numFmtId="0" fontId="22" fillId="0" borderId="7" xfId="0" applyFont="1" applyBorder="1" applyAlignment="1">
      <alignment horizontal="left" wrapText="1"/>
    </xf>
    <xf numFmtId="0" fontId="28" fillId="0" borderId="12" xfId="0" applyFont="1" applyBorder="1" applyAlignment="1">
      <alignment horizontal="left" wrapText="1"/>
    </xf>
    <xf numFmtId="0" fontId="6" fillId="0" borderId="8" xfId="0" applyFont="1" applyBorder="1" applyAlignment="1">
      <alignment horizontal="center" wrapText="1"/>
    </xf>
    <xf numFmtId="0" fontId="0" fillId="0" borderId="19" xfId="0" applyBorder="1"/>
    <xf numFmtId="0" fontId="0" fillId="0" borderId="22" xfId="0" applyBorder="1"/>
    <xf numFmtId="0" fontId="0" fillId="0" borderId="13" xfId="0" applyBorder="1"/>
    <xf numFmtId="0" fontId="0" fillId="0" borderId="20" xfId="0" applyBorder="1"/>
    <xf numFmtId="0" fontId="0" fillId="0" borderId="17" xfId="0" applyBorder="1"/>
    <xf numFmtId="0" fontId="12" fillId="0" borderId="8" xfId="0" applyFont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6" fillId="0" borderId="18" xfId="0" applyFont="1" applyBorder="1"/>
    <xf numFmtId="0" fontId="25" fillId="0" borderId="8" xfId="0" applyFont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164" fontId="9" fillId="3" borderId="7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20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20" fillId="8" borderId="11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9" fontId="11" fillId="0" borderId="7" xfId="0" applyNumberFormat="1" applyFont="1" applyBorder="1" applyAlignment="1">
      <alignment horizontal="center" vertical="center" wrapText="1"/>
    </xf>
    <xf numFmtId="0" fontId="24" fillId="0" borderId="15" xfId="0" applyFont="1" applyBorder="1"/>
    <xf numFmtId="0" fontId="11" fillId="0" borderId="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6" fillId="0" borderId="29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9" fontId="6" fillId="0" borderId="7" xfId="0" applyNumberFormat="1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22" fillId="0" borderId="7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12" fillId="8" borderId="7" xfId="0" applyFont="1" applyFill="1" applyBorder="1" applyAlignment="1">
      <alignment horizontal="left" vertical="center" wrapText="1"/>
    </xf>
    <xf numFmtId="0" fontId="6" fillId="0" borderId="21" xfId="0" applyFont="1" applyBorder="1"/>
    <xf numFmtId="1" fontId="9" fillId="8" borderId="2" xfId="0" applyNumberFormat="1" applyFont="1" applyFill="1" applyBorder="1" applyAlignment="1">
      <alignment horizontal="center"/>
    </xf>
    <xf numFmtId="9" fontId="9" fillId="8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9" fontId="18" fillId="10" borderId="2" xfId="0" applyNumberFormat="1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9" fontId="3" fillId="11" borderId="7" xfId="0" applyNumberFormat="1" applyFont="1" applyFill="1" applyBorder="1" applyAlignment="1">
      <alignment horizontal="center" vertical="center" wrapText="1"/>
    </xf>
    <xf numFmtId="9" fontId="3" fillId="11" borderId="12" xfId="0" applyNumberFormat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13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17" xfId="0" applyFont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9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3" fillId="0" borderId="26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4" xfId="0" applyFont="1" applyBorder="1" applyAlignment="1">
      <alignment horizont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0" fillId="8" borderId="32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left" wrapText="1"/>
    </xf>
    <xf numFmtId="0" fontId="21" fillId="0" borderId="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17" xfId="0" applyFont="1" applyBorder="1" applyAlignment="1">
      <alignment horizontal="center" wrapText="1"/>
    </xf>
    <xf numFmtId="0" fontId="3" fillId="0" borderId="3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wrapText="1"/>
    </xf>
    <xf numFmtId="0" fontId="21" fillId="0" borderId="19" xfId="0" applyFont="1" applyBorder="1" applyAlignment="1">
      <alignment horizontal="center" wrapText="1"/>
    </xf>
    <xf numFmtId="0" fontId="21" fillId="0" borderId="2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20" xfId="0" applyFont="1" applyBorder="1" applyAlignment="1">
      <alignment horizontal="center" wrapText="1"/>
    </xf>
    <xf numFmtId="0" fontId="21" fillId="0" borderId="17" xfId="0" applyFont="1" applyBorder="1" applyAlignment="1">
      <alignment horizontal="center" wrapText="1"/>
    </xf>
    <xf numFmtId="0" fontId="3" fillId="8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1057276</xdr:colOff>
      <xdr:row>0</xdr:row>
      <xdr:rowOff>19051</xdr:rowOff>
    </xdr:from>
    <xdr:ext cx="1162050" cy="10287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7276" y="19051"/>
          <a:ext cx="116205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008"/>
  <sheetViews>
    <sheetView showGridLines="0" tabSelected="1" workbookViewId="0">
      <selection activeCell="Z7" sqref="Z7"/>
    </sheetView>
  </sheetViews>
  <sheetFormatPr baseColWidth="10" defaultColWidth="14.44140625" defaultRowHeight="15" customHeight="1" x14ac:dyDescent="0.25"/>
  <cols>
    <col min="1" max="1" width="53.44140625" customWidth="1"/>
    <col min="2" max="2" width="4.109375" customWidth="1"/>
    <col min="3" max="3" width="5.6640625" customWidth="1"/>
    <col min="4" max="4" width="4.5546875" customWidth="1"/>
    <col min="5" max="5" width="5.6640625" customWidth="1"/>
    <col min="6" max="8" width="3.6640625" customWidth="1"/>
    <col min="9" max="9" width="3.5546875" customWidth="1"/>
    <col min="10" max="27" width="3.6640625" customWidth="1"/>
    <col min="28" max="28" width="3.5546875" customWidth="1"/>
    <col min="29" max="36" width="3.6640625" customWidth="1"/>
    <col min="37" max="37" width="4" customWidth="1"/>
    <col min="38" max="42" width="3.6640625" customWidth="1"/>
    <col min="43" max="43" width="4.5546875" customWidth="1"/>
    <col min="44" max="53" width="3.6640625" customWidth="1"/>
    <col min="54" max="54" width="11.88671875" customWidth="1"/>
    <col min="55" max="55" width="10.33203125" customWidth="1"/>
    <col min="56" max="56" width="13.6640625" customWidth="1"/>
    <col min="57" max="57" width="16.109375" customWidth="1"/>
    <col min="58" max="58" width="38.6640625" customWidth="1"/>
  </cols>
  <sheetData>
    <row r="1" spans="1:58" ht="27" customHeight="1" x14ac:dyDescent="0.25">
      <c r="A1" s="40"/>
      <c r="B1" s="160" t="s">
        <v>112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4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6"/>
    </row>
    <row r="2" spans="1:58" ht="27" customHeight="1" x14ac:dyDescent="0.25">
      <c r="A2" s="1"/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4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/>
      <c r="AY2" s="165"/>
      <c r="AZ2" s="165"/>
      <c r="BA2" s="165"/>
      <c r="BB2" s="165"/>
      <c r="BC2" s="165"/>
      <c r="BD2" s="165"/>
      <c r="BE2" s="165"/>
      <c r="BF2" s="166"/>
    </row>
    <row r="3" spans="1:58" ht="34.5" customHeight="1" x14ac:dyDescent="0.25">
      <c r="B3" s="101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90"/>
      <c r="AK3" s="164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6"/>
    </row>
    <row r="4" spans="1:58" ht="4.5" customHeight="1" x14ac:dyDescent="0.3">
      <c r="A4" s="102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90"/>
      <c r="AK4" s="164"/>
      <c r="AL4" s="165"/>
      <c r="AM4" s="165"/>
      <c r="AN4" s="165"/>
      <c r="AO4" s="165"/>
      <c r="AP4" s="165"/>
      <c r="AQ4" s="165"/>
      <c r="AR4" s="165"/>
      <c r="AS4" s="165"/>
      <c r="AT4" s="165"/>
      <c r="AU4" s="165"/>
      <c r="AV4" s="165"/>
      <c r="AW4" s="165"/>
      <c r="AX4" s="165"/>
      <c r="AY4" s="165"/>
      <c r="AZ4" s="165"/>
      <c r="BA4" s="165"/>
      <c r="BB4" s="165"/>
      <c r="BC4" s="165"/>
      <c r="BD4" s="165"/>
      <c r="BE4" s="165"/>
      <c r="BF4" s="166"/>
    </row>
    <row r="5" spans="1:58" ht="24.75" customHeight="1" x14ac:dyDescent="0.25">
      <c r="A5" s="6" t="s">
        <v>0</v>
      </c>
      <c r="B5" s="100" t="s">
        <v>1</v>
      </c>
      <c r="C5" s="66"/>
      <c r="D5" s="66"/>
      <c r="E5" s="66"/>
      <c r="F5" s="66"/>
      <c r="G5" s="67"/>
      <c r="H5" s="7" t="s">
        <v>2</v>
      </c>
      <c r="I5" s="103" t="s">
        <v>3</v>
      </c>
      <c r="J5" s="66"/>
      <c r="K5" s="66"/>
      <c r="L5" s="66"/>
      <c r="M5" s="66"/>
      <c r="N5" s="66"/>
      <c r="O5" s="66"/>
      <c r="P5" s="67"/>
      <c r="Q5" s="8" t="s">
        <v>4</v>
      </c>
      <c r="R5" s="104" t="s">
        <v>5</v>
      </c>
      <c r="S5" s="66"/>
      <c r="T5" s="66"/>
      <c r="U5" s="66"/>
      <c r="V5" s="66"/>
      <c r="W5" s="66"/>
      <c r="X5" s="66"/>
      <c r="Y5" s="66"/>
      <c r="Z5" s="67"/>
      <c r="AA5" s="9" t="s">
        <v>6</v>
      </c>
      <c r="AB5" s="105" t="s">
        <v>7</v>
      </c>
      <c r="AC5" s="66"/>
      <c r="AD5" s="66"/>
      <c r="AE5" s="66"/>
      <c r="AF5" s="66"/>
      <c r="AG5" s="66"/>
      <c r="AH5" s="66"/>
      <c r="AI5" s="67"/>
      <c r="AJ5" s="10" t="s">
        <v>8</v>
      </c>
      <c r="AK5" s="167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9"/>
    </row>
    <row r="6" spans="1:58" ht="14.25" customHeight="1" x14ac:dyDescent="0.25">
      <c r="A6" s="68" t="s">
        <v>9</v>
      </c>
      <c r="B6" s="70" t="s">
        <v>10</v>
      </c>
      <c r="C6" s="71"/>
      <c r="D6" s="71"/>
      <c r="E6" s="72"/>
      <c r="F6" s="65" t="s">
        <v>11</v>
      </c>
      <c r="G6" s="66"/>
      <c r="H6" s="66"/>
      <c r="I6" s="67"/>
      <c r="J6" s="65" t="s">
        <v>12</v>
      </c>
      <c r="K6" s="66"/>
      <c r="L6" s="66"/>
      <c r="M6" s="67"/>
      <c r="N6" s="65" t="s">
        <v>13</v>
      </c>
      <c r="O6" s="66"/>
      <c r="P6" s="66"/>
      <c r="Q6" s="67"/>
      <c r="R6" s="65" t="s">
        <v>14</v>
      </c>
      <c r="S6" s="66"/>
      <c r="T6" s="66"/>
      <c r="U6" s="67"/>
      <c r="V6" s="65" t="s">
        <v>15</v>
      </c>
      <c r="W6" s="66"/>
      <c r="X6" s="66"/>
      <c r="Y6" s="67"/>
      <c r="Z6" s="65" t="s">
        <v>16</v>
      </c>
      <c r="AA6" s="66"/>
      <c r="AB6" s="66"/>
      <c r="AC6" s="67"/>
      <c r="AD6" s="65" t="s">
        <v>17</v>
      </c>
      <c r="AE6" s="66"/>
      <c r="AF6" s="66"/>
      <c r="AG6" s="67"/>
      <c r="AH6" s="65" t="s">
        <v>18</v>
      </c>
      <c r="AI6" s="66"/>
      <c r="AJ6" s="66"/>
      <c r="AK6" s="67"/>
      <c r="AL6" s="65" t="s">
        <v>19</v>
      </c>
      <c r="AM6" s="66"/>
      <c r="AN6" s="66"/>
      <c r="AO6" s="67"/>
      <c r="AP6" s="65" t="s">
        <v>20</v>
      </c>
      <c r="AQ6" s="66"/>
      <c r="AR6" s="66"/>
      <c r="AS6" s="67"/>
      <c r="AT6" s="65" t="s">
        <v>21</v>
      </c>
      <c r="AU6" s="66"/>
      <c r="AV6" s="66"/>
      <c r="AW6" s="67"/>
      <c r="AX6" s="65" t="s">
        <v>22</v>
      </c>
      <c r="AY6" s="66"/>
      <c r="AZ6" s="66"/>
      <c r="BA6" s="67"/>
      <c r="BB6" s="99" t="s">
        <v>23</v>
      </c>
      <c r="BC6" s="66"/>
      <c r="BD6" s="67"/>
      <c r="BE6" s="106" t="s">
        <v>24</v>
      </c>
      <c r="BF6" s="107" t="s">
        <v>25</v>
      </c>
    </row>
    <row r="7" spans="1:58" ht="18" customHeight="1" x14ac:dyDescent="0.25">
      <c r="A7" s="69"/>
      <c r="B7" s="73"/>
      <c r="C7" s="74"/>
      <c r="D7" s="74"/>
      <c r="E7" s="75"/>
      <c r="F7" s="12">
        <v>1</v>
      </c>
      <c r="G7" s="12">
        <v>2</v>
      </c>
      <c r="H7" s="12">
        <v>3</v>
      </c>
      <c r="I7" s="12">
        <v>4</v>
      </c>
      <c r="J7" s="12">
        <v>1</v>
      </c>
      <c r="K7" s="12">
        <v>2</v>
      </c>
      <c r="L7" s="12">
        <v>3</v>
      </c>
      <c r="M7" s="12">
        <v>4</v>
      </c>
      <c r="N7" s="12">
        <v>1</v>
      </c>
      <c r="O7" s="12">
        <v>2</v>
      </c>
      <c r="P7" s="12">
        <v>3</v>
      </c>
      <c r="Q7" s="12">
        <v>4</v>
      </c>
      <c r="R7" s="12">
        <v>1</v>
      </c>
      <c r="S7" s="12">
        <v>2</v>
      </c>
      <c r="T7" s="12">
        <v>3</v>
      </c>
      <c r="U7" s="12">
        <v>4</v>
      </c>
      <c r="V7" s="13">
        <v>1</v>
      </c>
      <c r="W7" s="13">
        <v>2</v>
      </c>
      <c r="X7" s="13">
        <v>3</v>
      </c>
      <c r="Y7" s="13">
        <v>4</v>
      </c>
      <c r="Z7" s="12">
        <v>1</v>
      </c>
      <c r="AA7" s="12">
        <v>2</v>
      </c>
      <c r="AB7" s="12">
        <v>3</v>
      </c>
      <c r="AC7" s="12">
        <v>4</v>
      </c>
      <c r="AD7" s="12">
        <v>1</v>
      </c>
      <c r="AE7" s="12">
        <v>2</v>
      </c>
      <c r="AF7" s="12">
        <v>3</v>
      </c>
      <c r="AG7" s="12">
        <v>4</v>
      </c>
      <c r="AH7" s="12">
        <v>1</v>
      </c>
      <c r="AI7" s="12">
        <v>2</v>
      </c>
      <c r="AJ7" s="12">
        <v>3</v>
      </c>
      <c r="AK7" s="12">
        <v>4</v>
      </c>
      <c r="AL7" s="12">
        <v>1</v>
      </c>
      <c r="AM7" s="12">
        <v>2</v>
      </c>
      <c r="AN7" s="12">
        <v>3</v>
      </c>
      <c r="AO7" s="12">
        <v>4</v>
      </c>
      <c r="AP7" s="12">
        <v>1</v>
      </c>
      <c r="AQ7" s="12">
        <v>2</v>
      </c>
      <c r="AR7" s="12">
        <v>3</v>
      </c>
      <c r="AS7" s="12">
        <v>4</v>
      </c>
      <c r="AT7" s="12">
        <v>1</v>
      </c>
      <c r="AU7" s="12">
        <v>2</v>
      </c>
      <c r="AV7" s="12">
        <v>3</v>
      </c>
      <c r="AW7" s="12">
        <v>4</v>
      </c>
      <c r="AX7" s="12">
        <v>1</v>
      </c>
      <c r="AY7" s="12">
        <v>2</v>
      </c>
      <c r="AZ7" s="12">
        <v>3</v>
      </c>
      <c r="BA7" s="12">
        <v>4</v>
      </c>
      <c r="BB7" s="14" t="s">
        <v>1</v>
      </c>
      <c r="BC7" s="15" t="s">
        <v>26</v>
      </c>
      <c r="BD7" s="15" t="s">
        <v>27</v>
      </c>
      <c r="BE7" s="69"/>
      <c r="BF7" s="108"/>
    </row>
    <row r="8" spans="1:58" ht="20.25" customHeight="1" x14ac:dyDescent="0.3">
      <c r="A8" s="77" t="s">
        <v>28</v>
      </c>
      <c r="B8" s="88" t="s">
        <v>29</v>
      </c>
      <c r="C8" s="71"/>
      <c r="D8" s="71"/>
      <c r="E8" s="72"/>
      <c r="F8" s="16" t="s">
        <v>2</v>
      </c>
      <c r="G8" s="16"/>
      <c r="H8" s="16"/>
      <c r="I8" s="16"/>
      <c r="J8" s="16"/>
      <c r="K8" s="17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2</v>
      </c>
      <c r="AE8" s="16"/>
      <c r="AF8" s="16"/>
      <c r="AG8" s="16"/>
      <c r="AH8" s="16"/>
      <c r="AI8" s="16"/>
      <c r="AJ8" s="16"/>
      <c r="AK8" s="16"/>
      <c r="AL8" s="16"/>
      <c r="AM8" s="16"/>
      <c r="AN8" s="18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98">
        <f>COUNTIF(F8:BA8,$H$5)</f>
        <v>2</v>
      </c>
      <c r="BC8" s="98">
        <f>COUNTIF(F9:BA9,$Q$5)</f>
        <v>2</v>
      </c>
      <c r="BD8" s="97">
        <f>IFERROR(BC8/BB8,"")</f>
        <v>1</v>
      </c>
      <c r="BE8" s="19">
        <v>180000</v>
      </c>
      <c r="BF8" s="109" t="s">
        <v>92</v>
      </c>
    </row>
    <row r="9" spans="1:58" ht="20.25" customHeight="1" x14ac:dyDescent="0.3">
      <c r="A9" s="69"/>
      <c r="B9" s="73"/>
      <c r="C9" s="74"/>
      <c r="D9" s="74"/>
      <c r="E9" s="75"/>
      <c r="F9" s="16" t="s">
        <v>4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 t="s">
        <v>4</v>
      </c>
      <c r="AE9" s="16"/>
      <c r="AF9" s="16"/>
      <c r="AG9" s="16"/>
      <c r="AH9" s="16"/>
      <c r="AI9" s="16"/>
      <c r="AJ9" s="16"/>
      <c r="AK9" s="16"/>
      <c r="AL9" s="16"/>
      <c r="AM9" s="16"/>
      <c r="AN9" s="18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69"/>
      <c r="BC9" s="69"/>
      <c r="BD9" s="69"/>
      <c r="BE9" s="19"/>
      <c r="BF9" s="75"/>
    </row>
    <row r="10" spans="1:58" ht="20.25" customHeight="1" x14ac:dyDescent="0.3">
      <c r="A10" s="77" t="s">
        <v>30</v>
      </c>
      <c r="B10" s="88" t="s">
        <v>31</v>
      </c>
      <c r="C10" s="71"/>
      <c r="D10" s="71"/>
      <c r="E10" s="72"/>
      <c r="F10" s="16"/>
      <c r="G10" s="16" t="s">
        <v>2</v>
      </c>
      <c r="H10" s="16"/>
      <c r="I10" s="16"/>
      <c r="J10" s="16"/>
      <c r="K10" s="17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 t="s">
        <v>2</v>
      </c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98">
        <f>COUNTIF(F10:BA10,$H$5)</f>
        <v>2</v>
      </c>
      <c r="BC10" s="98">
        <f>COUNTIF(F11:BA11,$Q$5)</f>
        <v>2</v>
      </c>
      <c r="BD10" s="97">
        <f>IFERROR(BC10/BB10,"")</f>
        <v>1</v>
      </c>
      <c r="BE10" s="19">
        <v>230000</v>
      </c>
      <c r="BF10" s="109" t="s">
        <v>92</v>
      </c>
    </row>
    <row r="11" spans="1:58" ht="20.25" customHeight="1" x14ac:dyDescent="0.3">
      <c r="A11" s="69"/>
      <c r="B11" s="73"/>
      <c r="C11" s="74"/>
      <c r="D11" s="74"/>
      <c r="E11" s="75"/>
      <c r="F11" s="16"/>
      <c r="G11" s="16" t="s">
        <v>4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 t="s">
        <v>4</v>
      </c>
      <c r="AF11" s="16"/>
      <c r="AG11" s="16"/>
      <c r="AH11" s="16"/>
      <c r="AI11" s="16"/>
      <c r="AJ11" s="16"/>
      <c r="AK11" s="16"/>
      <c r="AL11" s="16"/>
      <c r="AM11" s="16"/>
      <c r="AN11" s="18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69"/>
      <c r="BC11" s="69"/>
      <c r="BD11" s="69"/>
      <c r="BE11" s="19"/>
      <c r="BF11" s="75"/>
    </row>
    <row r="12" spans="1:58" ht="20.25" customHeight="1" x14ac:dyDescent="0.3">
      <c r="A12" s="77" t="s">
        <v>32</v>
      </c>
      <c r="B12" s="88" t="s">
        <v>99</v>
      </c>
      <c r="C12" s="71"/>
      <c r="D12" s="71"/>
      <c r="E12" s="72"/>
      <c r="F12" s="16"/>
      <c r="G12" s="16"/>
      <c r="H12" s="16"/>
      <c r="I12" s="16"/>
      <c r="J12" s="16" t="s">
        <v>2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 t="s">
        <v>2</v>
      </c>
      <c r="AI12" s="16"/>
      <c r="AJ12" s="16"/>
      <c r="AK12" s="16"/>
      <c r="AL12" s="16"/>
      <c r="AM12" s="16"/>
      <c r="AN12" s="18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98">
        <f>COUNTIF(F12:BA12,$H$5)</f>
        <v>2</v>
      </c>
      <c r="BC12" s="98">
        <f>COUNTIF(F13:BA13,$Q$5)</f>
        <v>2</v>
      </c>
      <c r="BD12" s="97">
        <f>IFERROR(BC12/BB12,"")</f>
        <v>1</v>
      </c>
      <c r="BE12" s="19">
        <v>3700000</v>
      </c>
      <c r="BF12" s="109" t="s">
        <v>93</v>
      </c>
    </row>
    <row r="13" spans="1:58" ht="20.25" customHeight="1" x14ac:dyDescent="0.3">
      <c r="A13" s="69"/>
      <c r="B13" s="73"/>
      <c r="C13" s="74"/>
      <c r="D13" s="74"/>
      <c r="E13" s="75"/>
      <c r="F13" s="16"/>
      <c r="G13" s="16"/>
      <c r="H13" s="16"/>
      <c r="I13" s="16"/>
      <c r="J13" s="16" t="s">
        <v>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 t="s">
        <v>4</v>
      </c>
      <c r="AI13" s="16"/>
      <c r="AJ13" s="16"/>
      <c r="AK13" s="16"/>
      <c r="AL13" s="16"/>
      <c r="AM13" s="16"/>
      <c r="AN13" s="18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69"/>
      <c r="BC13" s="69"/>
      <c r="BD13" s="69"/>
      <c r="BE13" s="19">
        <v>2398000</v>
      </c>
      <c r="BF13" s="75"/>
    </row>
    <row r="14" spans="1:58" ht="20.25" customHeight="1" x14ac:dyDescent="0.3">
      <c r="A14" s="77" t="s">
        <v>33</v>
      </c>
      <c r="B14" s="88" t="s">
        <v>100</v>
      </c>
      <c r="C14" s="71"/>
      <c r="D14" s="71"/>
      <c r="E14" s="72"/>
      <c r="F14" s="16"/>
      <c r="G14" s="16"/>
      <c r="H14" s="16" t="s">
        <v>2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 t="s">
        <v>2</v>
      </c>
      <c r="AF14" s="16"/>
      <c r="AG14" s="16"/>
      <c r="AH14" s="16"/>
      <c r="AI14" s="16"/>
      <c r="AJ14" s="16"/>
      <c r="AK14" s="16"/>
      <c r="AL14" s="16"/>
      <c r="AM14" s="16"/>
      <c r="AN14" s="18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98">
        <f>COUNTIF(F14:BA14,$H$5)</f>
        <v>2</v>
      </c>
      <c r="BC14" s="98">
        <f>COUNTIF(F15:BA15,$Q$5)</f>
        <v>2</v>
      </c>
      <c r="BD14" s="97">
        <f>IFERROR(BC14/BB14,"")</f>
        <v>1</v>
      </c>
      <c r="BE14" s="19">
        <v>1105000</v>
      </c>
      <c r="BF14" s="109" t="s">
        <v>93</v>
      </c>
    </row>
    <row r="15" spans="1:58" ht="20.25" customHeight="1" x14ac:dyDescent="0.3">
      <c r="A15" s="69"/>
      <c r="B15" s="73"/>
      <c r="C15" s="74"/>
      <c r="D15" s="74"/>
      <c r="E15" s="75"/>
      <c r="F15" s="16"/>
      <c r="G15" s="16"/>
      <c r="H15" s="16" t="s">
        <v>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 t="s">
        <v>4</v>
      </c>
      <c r="AF15" s="16"/>
      <c r="AG15" s="16"/>
      <c r="AH15" s="16"/>
      <c r="AI15" s="16"/>
      <c r="AJ15" s="16"/>
      <c r="AK15" s="16"/>
      <c r="AL15" s="16"/>
      <c r="AM15" s="16"/>
      <c r="AN15" s="18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69"/>
      <c r="BC15" s="69"/>
      <c r="BD15" s="69"/>
      <c r="BE15" s="19">
        <v>325000</v>
      </c>
      <c r="BF15" s="75"/>
    </row>
    <row r="16" spans="1:58" ht="20.25" customHeight="1" x14ac:dyDescent="0.3">
      <c r="A16" s="77" t="s">
        <v>34</v>
      </c>
      <c r="B16" s="88" t="s">
        <v>35</v>
      </c>
      <c r="C16" s="71"/>
      <c r="D16" s="71"/>
      <c r="E16" s="72"/>
      <c r="F16" s="16"/>
      <c r="G16" s="16" t="s">
        <v>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 t="s">
        <v>2</v>
      </c>
      <c r="AH16" s="16"/>
      <c r="AI16" s="16"/>
      <c r="AJ16" s="16"/>
      <c r="AK16" s="16"/>
      <c r="AL16" s="16"/>
      <c r="AM16" s="16"/>
      <c r="AN16" s="18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98">
        <f>COUNTIF(F16:BA16,$H$5)</f>
        <v>2</v>
      </c>
      <c r="BC16" s="98">
        <f>COUNTIF(F17:BA17,$Q$5)</f>
        <v>2</v>
      </c>
      <c r="BD16" s="97">
        <f>IFERROR(BC16/BB16,"")</f>
        <v>1</v>
      </c>
      <c r="BE16" s="19">
        <v>824000</v>
      </c>
      <c r="BF16" s="109" t="s">
        <v>93</v>
      </c>
    </row>
    <row r="17" spans="1:58" ht="20.25" customHeight="1" x14ac:dyDescent="0.3">
      <c r="A17" s="69"/>
      <c r="B17" s="73"/>
      <c r="C17" s="74"/>
      <c r="D17" s="74"/>
      <c r="E17" s="75"/>
      <c r="F17" s="16"/>
      <c r="G17" s="16" t="s">
        <v>4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 t="s">
        <v>4</v>
      </c>
      <c r="AH17" s="16"/>
      <c r="AI17" s="16"/>
      <c r="AJ17" s="16"/>
      <c r="AK17" s="16"/>
      <c r="AL17" s="16"/>
      <c r="AM17" s="16"/>
      <c r="AN17" s="18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69"/>
      <c r="BC17" s="69"/>
      <c r="BD17" s="69"/>
      <c r="BE17" s="19">
        <v>830000</v>
      </c>
      <c r="BF17" s="75"/>
    </row>
    <row r="18" spans="1:58" ht="20.25" customHeight="1" x14ac:dyDescent="0.3">
      <c r="A18" s="77" t="s">
        <v>36</v>
      </c>
      <c r="B18" s="88" t="s">
        <v>37</v>
      </c>
      <c r="C18" s="71"/>
      <c r="D18" s="71"/>
      <c r="E18" s="72"/>
      <c r="F18" s="16" t="s">
        <v>2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 t="s">
        <v>2</v>
      </c>
      <c r="AJ18" s="16"/>
      <c r="AK18" s="16"/>
      <c r="AL18" s="16"/>
      <c r="AM18" s="16"/>
      <c r="AN18" s="18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98">
        <f>COUNTIF(F18:BA18,$H$5)</f>
        <v>2</v>
      </c>
      <c r="BC18" s="98">
        <f>COUNTIF(F19:BA19,$Q$5)</f>
        <v>2</v>
      </c>
      <c r="BD18" s="97">
        <f>IFERROR(BC18/BB18,"")</f>
        <v>1</v>
      </c>
      <c r="BE18" s="19">
        <v>250005</v>
      </c>
      <c r="BF18" s="110" t="s">
        <v>93</v>
      </c>
    </row>
    <row r="19" spans="1:58" ht="20.25" customHeight="1" x14ac:dyDescent="0.3">
      <c r="A19" s="69"/>
      <c r="B19" s="73"/>
      <c r="C19" s="74"/>
      <c r="D19" s="74"/>
      <c r="E19" s="75"/>
      <c r="F19" s="16" t="s">
        <v>4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 t="s">
        <v>4</v>
      </c>
      <c r="AJ19" s="16"/>
      <c r="AK19" s="16"/>
      <c r="AL19" s="16"/>
      <c r="AM19" s="16"/>
      <c r="AN19" s="18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69"/>
      <c r="BC19" s="69"/>
      <c r="BD19" s="69"/>
      <c r="BE19" s="19">
        <v>492000</v>
      </c>
      <c r="BF19" s="75"/>
    </row>
    <row r="20" spans="1:58" ht="19.5" customHeight="1" x14ac:dyDescent="0.25">
      <c r="A20" s="93" t="s">
        <v>38</v>
      </c>
      <c r="B20" s="66"/>
      <c r="C20" s="66"/>
      <c r="D20" s="90"/>
      <c r="E20" s="20"/>
      <c r="F20" s="79">
        <f>COUNTIF(F8:I19,"P")</f>
        <v>5</v>
      </c>
      <c r="G20" s="66"/>
      <c r="H20" s="66"/>
      <c r="I20" s="67"/>
      <c r="J20" s="79">
        <f>COUNTIF(J8:M19,"P")</f>
        <v>1</v>
      </c>
      <c r="K20" s="66"/>
      <c r="L20" s="66"/>
      <c r="M20" s="67"/>
      <c r="N20" s="79">
        <f>COUNTIF(N8:Q19,"P")</f>
        <v>0</v>
      </c>
      <c r="O20" s="66"/>
      <c r="P20" s="66"/>
      <c r="Q20" s="67"/>
      <c r="R20" s="79">
        <f>COUNTIF(R8:U19,"P")</f>
        <v>0</v>
      </c>
      <c r="S20" s="66"/>
      <c r="T20" s="66"/>
      <c r="U20" s="67"/>
      <c r="V20" s="79">
        <f>COUNTIF(V8:Y19,"P")</f>
        <v>0</v>
      </c>
      <c r="W20" s="66"/>
      <c r="X20" s="66"/>
      <c r="Y20" s="67"/>
      <c r="Z20" s="79">
        <f>COUNTIF(Z8:AC19,"P")</f>
        <v>0</v>
      </c>
      <c r="AA20" s="66"/>
      <c r="AB20" s="66"/>
      <c r="AC20" s="67"/>
      <c r="AD20" s="79">
        <f>COUNTIF(AD8:AG19,"P")</f>
        <v>4</v>
      </c>
      <c r="AE20" s="66"/>
      <c r="AF20" s="66"/>
      <c r="AG20" s="67"/>
      <c r="AH20" s="79">
        <f>COUNTIF(AH8:AK19,"P")</f>
        <v>2</v>
      </c>
      <c r="AI20" s="66"/>
      <c r="AJ20" s="66"/>
      <c r="AK20" s="67"/>
      <c r="AL20" s="79">
        <f>COUNTIF(AL8:AO19,"P")</f>
        <v>0</v>
      </c>
      <c r="AM20" s="66"/>
      <c r="AN20" s="66"/>
      <c r="AO20" s="67"/>
      <c r="AP20" s="79">
        <f>COUNTIF(AP8:AS19,"P")</f>
        <v>0</v>
      </c>
      <c r="AQ20" s="66"/>
      <c r="AR20" s="66"/>
      <c r="AS20" s="67"/>
      <c r="AT20" s="79">
        <f>COUNTIF(AT8:AW19,"P")</f>
        <v>0</v>
      </c>
      <c r="AU20" s="66"/>
      <c r="AV20" s="66"/>
      <c r="AW20" s="67"/>
      <c r="AX20" s="79">
        <f>COUNTIF(AX8:BA19,"P")</f>
        <v>0</v>
      </c>
      <c r="AY20" s="66"/>
      <c r="AZ20" s="66"/>
      <c r="BA20" s="67"/>
      <c r="BB20" s="94" t="s">
        <v>39</v>
      </c>
      <c r="BC20" s="95"/>
      <c r="BD20" s="97">
        <f>+SUM(BC8:BC19)/SUM(BB8:BB19)</f>
        <v>1</v>
      </c>
      <c r="BE20" s="19">
        <v>0</v>
      </c>
      <c r="BF20" s="21"/>
    </row>
    <row r="21" spans="1:58" ht="19.5" customHeight="1" x14ac:dyDescent="0.25">
      <c r="A21" s="89" t="s">
        <v>40</v>
      </c>
      <c r="B21" s="66"/>
      <c r="C21" s="66"/>
      <c r="D21" s="90"/>
      <c r="E21" s="22"/>
      <c r="F21" s="79">
        <f>COUNTIF(F8:I19,"R")</f>
        <v>5</v>
      </c>
      <c r="G21" s="66"/>
      <c r="H21" s="66"/>
      <c r="I21" s="67"/>
      <c r="J21" s="79">
        <f>COUNTIF(J8:M19,"R")</f>
        <v>1</v>
      </c>
      <c r="K21" s="66"/>
      <c r="L21" s="66"/>
      <c r="M21" s="67"/>
      <c r="N21" s="79">
        <f>COUNTIF(N8:Q19,"R")</f>
        <v>0</v>
      </c>
      <c r="O21" s="66"/>
      <c r="P21" s="66"/>
      <c r="Q21" s="67"/>
      <c r="R21" s="79">
        <f>COUNTIF(R8:U19,"R")</f>
        <v>0</v>
      </c>
      <c r="S21" s="66"/>
      <c r="T21" s="66"/>
      <c r="U21" s="67"/>
      <c r="V21" s="79">
        <f>COUNTIF(V8:Y19,"R")</f>
        <v>0</v>
      </c>
      <c r="W21" s="66"/>
      <c r="X21" s="66"/>
      <c r="Y21" s="67"/>
      <c r="Z21" s="79">
        <f>COUNTIF(Z8:AC19,"R")</f>
        <v>0</v>
      </c>
      <c r="AA21" s="66"/>
      <c r="AB21" s="66"/>
      <c r="AC21" s="67"/>
      <c r="AD21" s="79">
        <f>COUNTIF(AD8:AG19,"R")</f>
        <v>4</v>
      </c>
      <c r="AE21" s="66"/>
      <c r="AF21" s="66"/>
      <c r="AG21" s="67"/>
      <c r="AH21" s="79">
        <f>COUNTIF(AH8:AK19,"R")</f>
        <v>2</v>
      </c>
      <c r="AI21" s="66"/>
      <c r="AJ21" s="66"/>
      <c r="AK21" s="67"/>
      <c r="AL21" s="79">
        <f>COUNTIF(AL8:AO19,"R")</f>
        <v>0</v>
      </c>
      <c r="AM21" s="66"/>
      <c r="AN21" s="66"/>
      <c r="AO21" s="67"/>
      <c r="AP21" s="79">
        <f>COUNTIF(AP8:AS19,"R")</f>
        <v>0</v>
      </c>
      <c r="AQ21" s="66"/>
      <c r="AR21" s="66"/>
      <c r="AS21" s="67"/>
      <c r="AT21" s="79">
        <f>COUNTIF(AT8:AW19,"R")</f>
        <v>0</v>
      </c>
      <c r="AU21" s="66"/>
      <c r="AV21" s="66"/>
      <c r="AW21" s="67"/>
      <c r="AX21" s="79">
        <f>COUNTIF(AX8:BA19,"R")</f>
        <v>0</v>
      </c>
      <c r="AY21" s="66"/>
      <c r="AZ21" s="66"/>
      <c r="BA21" s="67"/>
      <c r="BB21" s="73"/>
      <c r="BC21" s="96"/>
      <c r="BD21" s="69"/>
      <c r="BE21" s="19">
        <v>0</v>
      </c>
      <c r="BF21" s="23"/>
    </row>
    <row r="22" spans="1:58" ht="15" customHeight="1" x14ac:dyDescent="0.25">
      <c r="A22" s="68" t="s">
        <v>41</v>
      </c>
      <c r="B22" s="70" t="s">
        <v>10</v>
      </c>
      <c r="C22" s="71"/>
      <c r="D22" s="71"/>
      <c r="E22" s="72"/>
      <c r="F22" s="65" t="s">
        <v>11</v>
      </c>
      <c r="G22" s="66"/>
      <c r="H22" s="66"/>
      <c r="I22" s="67"/>
      <c r="J22" s="65" t="s">
        <v>12</v>
      </c>
      <c r="K22" s="66"/>
      <c r="L22" s="66"/>
      <c r="M22" s="67"/>
      <c r="N22" s="65" t="s">
        <v>13</v>
      </c>
      <c r="O22" s="66"/>
      <c r="P22" s="66"/>
      <c r="Q22" s="67"/>
      <c r="R22" s="65" t="s">
        <v>14</v>
      </c>
      <c r="S22" s="66"/>
      <c r="T22" s="66"/>
      <c r="U22" s="67"/>
      <c r="V22" s="65" t="s">
        <v>15</v>
      </c>
      <c r="W22" s="66"/>
      <c r="X22" s="66"/>
      <c r="Y22" s="67"/>
      <c r="Z22" s="65" t="s">
        <v>16</v>
      </c>
      <c r="AA22" s="66"/>
      <c r="AB22" s="66"/>
      <c r="AC22" s="67"/>
      <c r="AD22" s="65" t="s">
        <v>17</v>
      </c>
      <c r="AE22" s="66"/>
      <c r="AF22" s="66"/>
      <c r="AG22" s="67"/>
      <c r="AH22" s="65" t="s">
        <v>18</v>
      </c>
      <c r="AI22" s="66"/>
      <c r="AJ22" s="66"/>
      <c r="AK22" s="67"/>
      <c r="AL22" s="65" t="s">
        <v>19</v>
      </c>
      <c r="AM22" s="66"/>
      <c r="AN22" s="66"/>
      <c r="AO22" s="67"/>
      <c r="AP22" s="65" t="s">
        <v>20</v>
      </c>
      <c r="AQ22" s="66"/>
      <c r="AR22" s="66"/>
      <c r="AS22" s="67"/>
      <c r="AT22" s="65" t="s">
        <v>21</v>
      </c>
      <c r="AU22" s="66"/>
      <c r="AV22" s="66"/>
      <c r="AW22" s="67"/>
      <c r="AX22" s="65" t="s">
        <v>22</v>
      </c>
      <c r="AY22" s="66"/>
      <c r="AZ22" s="66"/>
      <c r="BA22" s="67"/>
      <c r="BB22" s="99" t="s">
        <v>23</v>
      </c>
      <c r="BC22" s="66"/>
      <c r="BD22" s="67"/>
      <c r="BE22" s="111">
        <f>BE8+BE10+BE11+BE16+BE17+BE18+BE19+BE15+BE14+BE13+BE12</f>
        <v>10334005</v>
      </c>
      <c r="BF22" s="107" t="s">
        <v>25</v>
      </c>
    </row>
    <row r="23" spans="1:58" ht="17.25" customHeight="1" x14ac:dyDescent="0.25">
      <c r="A23" s="69"/>
      <c r="B23" s="73"/>
      <c r="C23" s="74"/>
      <c r="D23" s="74"/>
      <c r="E23" s="75"/>
      <c r="F23" s="12">
        <v>1</v>
      </c>
      <c r="G23" s="12">
        <v>2</v>
      </c>
      <c r="H23" s="12">
        <v>3</v>
      </c>
      <c r="I23" s="12">
        <v>4</v>
      </c>
      <c r="J23" s="12">
        <v>1</v>
      </c>
      <c r="K23" s="12">
        <v>2</v>
      </c>
      <c r="L23" s="12">
        <v>3</v>
      </c>
      <c r="M23" s="12">
        <v>4</v>
      </c>
      <c r="N23" s="12">
        <v>1</v>
      </c>
      <c r="O23" s="12">
        <v>2</v>
      </c>
      <c r="P23" s="12">
        <v>3</v>
      </c>
      <c r="Q23" s="12">
        <v>4</v>
      </c>
      <c r="R23" s="12">
        <v>1</v>
      </c>
      <c r="S23" s="12">
        <v>2</v>
      </c>
      <c r="T23" s="12">
        <v>3</v>
      </c>
      <c r="U23" s="12">
        <v>4</v>
      </c>
      <c r="V23" s="13">
        <v>1</v>
      </c>
      <c r="W23" s="13">
        <v>2</v>
      </c>
      <c r="X23" s="13">
        <v>3</v>
      </c>
      <c r="Y23" s="13">
        <v>4</v>
      </c>
      <c r="Z23" s="12">
        <v>1</v>
      </c>
      <c r="AA23" s="12">
        <v>2</v>
      </c>
      <c r="AB23" s="12">
        <v>3</v>
      </c>
      <c r="AC23" s="12">
        <v>4</v>
      </c>
      <c r="AD23" s="12">
        <v>1</v>
      </c>
      <c r="AE23" s="12">
        <v>2</v>
      </c>
      <c r="AF23" s="12">
        <v>3</v>
      </c>
      <c r="AG23" s="12">
        <v>4</v>
      </c>
      <c r="AH23" s="12">
        <v>1</v>
      </c>
      <c r="AI23" s="12">
        <v>2</v>
      </c>
      <c r="AJ23" s="12">
        <v>3</v>
      </c>
      <c r="AK23" s="12">
        <v>4</v>
      </c>
      <c r="AL23" s="12">
        <v>1</v>
      </c>
      <c r="AM23" s="12">
        <v>2</v>
      </c>
      <c r="AN23" s="12">
        <v>3</v>
      </c>
      <c r="AO23" s="12">
        <v>4</v>
      </c>
      <c r="AP23" s="12">
        <v>1</v>
      </c>
      <c r="AQ23" s="12">
        <v>2</v>
      </c>
      <c r="AR23" s="12">
        <v>3</v>
      </c>
      <c r="AS23" s="12">
        <v>4</v>
      </c>
      <c r="AT23" s="12">
        <v>1</v>
      </c>
      <c r="AU23" s="12">
        <v>2</v>
      </c>
      <c r="AV23" s="12">
        <v>3</v>
      </c>
      <c r="AW23" s="12">
        <v>4</v>
      </c>
      <c r="AX23" s="12">
        <v>1</v>
      </c>
      <c r="AY23" s="12">
        <v>2</v>
      </c>
      <c r="AZ23" s="12">
        <v>3</v>
      </c>
      <c r="BA23" s="12">
        <v>4</v>
      </c>
      <c r="BB23" s="14" t="s">
        <v>1</v>
      </c>
      <c r="BC23" s="15" t="s">
        <v>26</v>
      </c>
      <c r="BD23" s="15" t="s">
        <v>27</v>
      </c>
      <c r="BE23" s="108"/>
      <c r="BF23" s="108"/>
    </row>
    <row r="24" spans="1:58" ht="20.25" customHeight="1" x14ac:dyDescent="0.3">
      <c r="A24" s="77" t="s">
        <v>42</v>
      </c>
      <c r="B24" s="88" t="s">
        <v>43</v>
      </c>
      <c r="C24" s="71"/>
      <c r="D24" s="71"/>
      <c r="E24" s="7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 t="s">
        <v>2</v>
      </c>
      <c r="T24" s="16"/>
      <c r="U24" s="16"/>
      <c r="V24" s="16"/>
      <c r="W24" s="16"/>
      <c r="X24" s="16"/>
      <c r="Y24" s="16"/>
      <c r="Z24" s="17"/>
      <c r="AA24" s="16"/>
      <c r="AB24" s="17"/>
      <c r="AC24" s="16"/>
      <c r="AD24" s="16"/>
      <c r="AE24" s="16"/>
      <c r="AF24" s="16"/>
      <c r="AG24" s="16"/>
      <c r="AH24" s="16"/>
      <c r="AI24" s="16" t="s">
        <v>2</v>
      </c>
      <c r="AJ24" s="16"/>
      <c r="AK24" s="16"/>
      <c r="AL24" s="16"/>
      <c r="AM24" s="16"/>
      <c r="AN24" s="16"/>
      <c r="AO24" s="17"/>
      <c r="AP24" s="16"/>
      <c r="AQ24" s="16"/>
      <c r="AR24" s="16"/>
      <c r="AS24" s="16"/>
      <c r="AT24" s="16"/>
      <c r="AU24" s="16"/>
      <c r="AV24" s="16"/>
      <c r="AW24" s="17"/>
      <c r="AX24" s="16"/>
      <c r="AY24" s="16"/>
      <c r="AZ24" s="16"/>
      <c r="BA24" s="16"/>
      <c r="BB24" s="98">
        <f>COUNTIF(F24:BA24,$H$5)</f>
        <v>2</v>
      </c>
      <c r="BC24" s="98">
        <f>COUNTIF(F25:BA25,$Q$5)</f>
        <v>2</v>
      </c>
      <c r="BD24" s="97">
        <f>IFERROR(BC24/BB24,"")</f>
        <v>1</v>
      </c>
      <c r="BE24" s="19"/>
      <c r="BF24" s="110" t="s">
        <v>104</v>
      </c>
    </row>
    <row r="25" spans="1:58" ht="20.25" customHeight="1" x14ac:dyDescent="0.25">
      <c r="A25" s="69"/>
      <c r="B25" s="73"/>
      <c r="C25" s="74"/>
      <c r="D25" s="74"/>
      <c r="E25" s="75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 t="s">
        <v>4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 t="s">
        <v>4</v>
      </c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69"/>
      <c r="BC25" s="69"/>
      <c r="BD25" s="69"/>
      <c r="BE25" s="19">
        <v>570000</v>
      </c>
      <c r="BF25" s="75"/>
    </row>
    <row r="26" spans="1:58" ht="20.25" customHeight="1" x14ac:dyDescent="0.3">
      <c r="A26" s="77" t="s">
        <v>44</v>
      </c>
      <c r="B26" s="88" t="s">
        <v>43</v>
      </c>
      <c r="C26" s="71"/>
      <c r="D26" s="71"/>
      <c r="E26" s="72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8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98">
        <f>COUNTIF(F26:BA26,$H$5)</f>
        <v>0</v>
      </c>
      <c r="BC26" s="98">
        <f>COUNTIF(F27:BA27,$Q$5)</f>
        <v>0</v>
      </c>
      <c r="BD26" s="97" t="str">
        <f>IFERROR(BC26/BB26,"")</f>
        <v/>
      </c>
      <c r="BE26" s="19">
        <v>3930000</v>
      </c>
      <c r="BF26" s="121" t="s">
        <v>105</v>
      </c>
    </row>
    <row r="27" spans="1:58" ht="13.8" x14ac:dyDescent="0.3">
      <c r="A27" s="69"/>
      <c r="B27" s="73"/>
      <c r="C27" s="74"/>
      <c r="D27" s="74"/>
      <c r="E27" s="75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 t="s">
        <v>2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6"/>
      <c r="AG27" s="16" t="s">
        <v>2</v>
      </c>
      <c r="AH27" s="16"/>
      <c r="AI27" s="16"/>
      <c r="AJ27" s="16"/>
      <c r="AK27" s="16"/>
      <c r="AL27" s="16"/>
      <c r="AM27" s="16"/>
      <c r="AN27" s="16"/>
      <c r="AO27" s="17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69"/>
      <c r="BC27" s="69"/>
      <c r="BD27" s="69"/>
      <c r="BE27" s="19">
        <f>230000*3</f>
        <v>690000</v>
      </c>
      <c r="BF27" s="69"/>
    </row>
    <row r="28" spans="1:58" ht="20.25" customHeight="1" x14ac:dyDescent="0.3">
      <c r="A28" s="77" t="s">
        <v>45</v>
      </c>
      <c r="B28" s="88" t="s">
        <v>43</v>
      </c>
      <c r="C28" s="71"/>
      <c r="D28" s="71"/>
      <c r="E28" s="72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 t="s">
        <v>4</v>
      </c>
      <c r="S28" s="16"/>
      <c r="T28" s="16"/>
      <c r="U28" s="16"/>
      <c r="V28" s="16"/>
      <c r="W28" s="16"/>
      <c r="X28" s="16"/>
      <c r="Y28" s="17"/>
      <c r="Z28" s="16"/>
      <c r="AA28" s="16"/>
      <c r="AB28" s="16"/>
      <c r="AC28" s="16"/>
      <c r="AD28" s="16"/>
      <c r="AE28" s="16"/>
      <c r="AF28" s="16"/>
      <c r="AG28" s="16" t="s">
        <v>4</v>
      </c>
      <c r="AH28" s="16"/>
      <c r="AI28" s="17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98">
        <f>COUNTIF(F28:BA28,$H$5)</f>
        <v>0</v>
      </c>
      <c r="BC28" s="98">
        <f>COUNTIF(F29:BA29,$Q$5)</f>
        <v>0</v>
      </c>
      <c r="BD28" s="97" t="str">
        <f>IFERROR(BC28/BB28,"")</f>
        <v/>
      </c>
      <c r="BE28" s="19">
        <v>570000</v>
      </c>
      <c r="BF28" s="121" t="s">
        <v>82</v>
      </c>
    </row>
    <row r="29" spans="1:58" ht="20.25" customHeight="1" x14ac:dyDescent="0.25">
      <c r="A29" s="69"/>
      <c r="B29" s="73"/>
      <c r="C29" s="74"/>
      <c r="D29" s="74"/>
      <c r="E29" s="75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69"/>
      <c r="BC29" s="69"/>
      <c r="BD29" s="69"/>
      <c r="BE29" s="19">
        <v>0</v>
      </c>
      <c r="BF29" s="122"/>
    </row>
    <row r="30" spans="1:58" ht="20.25" customHeight="1" x14ac:dyDescent="0.3">
      <c r="A30" s="77" t="s">
        <v>46</v>
      </c>
      <c r="B30" s="88" t="s">
        <v>43</v>
      </c>
      <c r="C30" s="71"/>
      <c r="D30" s="71"/>
      <c r="E30" s="72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 t="s">
        <v>2</v>
      </c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7"/>
      <c r="AG30" s="16"/>
      <c r="AH30" s="16"/>
      <c r="AI30" s="16"/>
      <c r="AJ30" s="17"/>
      <c r="AK30" s="16" t="s">
        <v>2</v>
      </c>
      <c r="AL30" s="16"/>
      <c r="AM30" s="16"/>
      <c r="AN30" s="17"/>
      <c r="AO30" s="16"/>
      <c r="AP30" s="16"/>
      <c r="AQ30" s="16"/>
      <c r="AR30" s="16"/>
      <c r="AS30" s="16"/>
      <c r="AT30" s="16"/>
      <c r="AU30" s="16"/>
      <c r="AV30" s="16"/>
      <c r="AW30" s="17"/>
      <c r="AX30" s="16"/>
      <c r="AY30" s="16"/>
      <c r="AZ30" s="17"/>
      <c r="BA30" s="16"/>
      <c r="BB30" s="98">
        <f>COUNTIF(F30:BA30,$H$5)</f>
        <v>2</v>
      </c>
      <c r="BC30" s="98">
        <f>COUNTIF(F31:BA31,$Q$5)</f>
        <v>2</v>
      </c>
      <c r="BD30" s="97">
        <f>IFERROR(BC30/BB30,"")</f>
        <v>1</v>
      </c>
      <c r="BE30" s="19">
        <v>699000</v>
      </c>
      <c r="BF30" s="110" t="s">
        <v>106</v>
      </c>
    </row>
    <row r="31" spans="1:58" ht="20.25" customHeight="1" x14ac:dyDescent="0.25">
      <c r="A31" s="69"/>
      <c r="B31" s="73"/>
      <c r="C31" s="74"/>
      <c r="D31" s="74"/>
      <c r="E31" s="75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 t="s">
        <v>4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4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69"/>
      <c r="BC31" s="69"/>
      <c r="BD31" s="69"/>
      <c r="BE31" s="19"/>
      <c r="BF31" s="75"/>
    </row>
    <row r="32" spans="1:58" ht="20.25" customHeight="1" x14ac:dyDescent="0.25">
      <c r="A32" s="77" t="s">
        <v>47</v>
      </c>
      <c r="B32" s="88" t="s">
        <v>43</v>
      </c>
      <c r="C32" s="71"/>
      <c r="D32" s="71"/>
      <c r="E32" s="72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 t="s">
        <v>2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 t="s">
        <v>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98">
        <f>COUNTIF(F32:BA32,$H$5)</f>
        <v>2</v>
      </c>
      <c r="BC32" s="98">
        <f>COUNTIF(F33:BA33,$Q$5)</f>
        <v>2</v>
      </c>
      <c r="BD32" s="97">
        <f>IFERROR(BC32/BB32,"")</f>
        <v>1</v>
      </c>
      <c r="BE32" s="19"/>
      <c r="BF32" s="121" t="s">
        <v>107</v>
      </c>
    </row>
    <row r="33" spans="1:58" ht="20.25" customHeight="1" x14ac:dyDescent="0.25">
      <c r="A33" s="69"/>
      <c r="B33" s="73"/>
      <c r="C33" s="74"/>
      <c r="D33" s="74"/>
      <c r="E33" s="75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 t="s">
        <v>4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 t="s">
        <v>4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69"/>
      <c r="BC33" s="69"/>
      <c r="BD33" s="69"/>
      <c r="BE33" s="19">
        <v>0</v>
      </c>
      <c r="BF33" s="181"/>
    </row>
    <row r="34" spans="1:58" ht="20.25" hidden="1" customHeight="1" x14ac:dyDescent="0.3">
      <c r="A34" s="76"/>
      <c r="B34" s="88"/>
      <c r="C34" s="71"/>
      <c r="D34" s="71"/>
      <c r="E34" s="72"/>
      <c r="F34" s="16"/>
      <c r="G34" s="16"/>
      <c r="H34" s="16"/>
      <c r="I34" s="16"/>
      <c r="J34" s="16"/>
      <c r="K34" s="16"/>
      <c r="L34" s="16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98">
        <f>COUNTIF(F34:BA34,$H$5)</f>
        <v>0</v>
      </c>
      <c r="BC34" s="98">
        <f>COUNTIF(F35:BA35,$Q$5)</f>
        <v>0</v>
      </c>
      <c r="BD34" s="97" t="str">
        <f>IFERROR(BC34/BB34,"")</f>
        <v/>
      </c>
      <c r="BE34" s="19">
        <v>0</v>
      </c>
      <c r="BF34" s="24"/>
    </row>
    <row r="35" spans="1:58" ht="20.25" hidden="1" customHeight="1" x14ac:dyDescent="0.25">
      <c r="A35" s="69"/>
      <c r="B35" s="73"/>
      <c r="C35" s="74"/>
      <c r="D35" s="74"/>
      <c r="E35" s="75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69"/>
      <c r="BC35" s="69"/>
      <c r="BD35" s="69"/>
      <c r="BE35" s="19">
        <v>0</v>
      </c>
      <c r="BF35" s="24"/>
    </row>
    <row r="36" spans="1:58" ht="20.25" hidden="1" customHeight="1" x14ac:dyDescent="0.25">
      <c r="A36" s="77"/>
      <c r="B36" s="88"/>
      <c r="C36" s="71"/>
      <c r="D36" s="71"/>
      <c r="E36" s="72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98">
        <f>COUNTIF(F36:BA36,$H$5)</f>
        <v>0</v>
      </c>
      <c r="BC36" s="98">
        <f>COUNTIF(F37:BA37,$Q$5)</f>
        <v>0</v>
      </c>
      <c r="BD36" s="97" t="str">
        <f>IFERROR(BC36/BB36,"")</f>
        <v/>
      </c>
      <c r="BE36" s="19">
        <v>0</v>
      </c>
      <c r="BF36" s="110"/>
    </row>
    <row r="37" spans="1:58" ht="20.25" hidden="1" customHeight="1" x14ac:dyDescent="0.25">
      <c r="A37" s="69"/>
      <c r="B37" s="73"/>
      <c r="C37" s="74"/>
      <c r="D37" s="74"/>
      <c r="E37" s="7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69"/>
      <c r="BC37" s="69"/>
      <c r="BD37" s="69"/>
      <c r="BE37" s="19">
        <v>0</v>
      </c>
      <c r="BF37" s="75"/>
    </row>
    <row r="38" spans="1:58" ht="20.25" hidden="1" customHeight="1" x14ac:dyDescent="0.25">
      <c r="A38" s="77"/>
      <c r="B38" s="88"/>
      <c r="C38" s="71"/>
      <c r="D38" s="71"/>
      <c r="E38" s="72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98">
        <f>COUNTIF(F38:BA38,$H$5)</f>
        <v>0</v>
      </c>
      <c r="BC38" s="98">
        <f>COUNTIF(F39:BA39,$Q$5)</f>
        <v>0</v>
      </c>
      <c r="BD38" s="97" t="str">
        <f>IFERROR(BC38/BB38,"")</f>
        <v/>
      </c>
      <c r="BE38" s="19">
        <v>0</v>
      </c>
      <c r="BF38" s="110"/>
    </row>
    <row r="39" spans="1:58" ht="20.25" hidden="1" customHeight="1" x14ac:dyDescent="0.25">
      <c r="A39" s="69"/>
      <c r="B39" s="73"/>
      <c r="C39" s="74"/>
      <c r="D39" s="74"/>
      <c r="E39" s="7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69"/>
      <c r="BC39" s="69"/>
      <c r="BD39" s="69"/>
      <c r="BE39" s="19">
        <v>0</v>
      </c>
      <c r="BF39" s="75"/>
    </row>
    <row r="40" spans="1:58" ht="20.25" customHeight="1" x14ac:dyDescent="0.25">
      <c r="A40" s="93" t="s">
        <v>38</v>
      </c>
      <c r="B40" s="66"/>
      <c r="C40" s="66"/>
      <c r="D40" s="90"/>
      <c r="E40" s="25"/>
      <c r="F40" s="79">
        <f>COUNTIF(F24:I39,"P")</f>
        <v>0</v>
      </c>
      <c r="G40" s="66"/>
      <c r="H40" s="66"/>
      <c r="I40" s="67"/>
      <c r="J40" s="79">
        <f>COUNTIF(J24:M39,"P")</f>
        <v>0</v>
      </c>
      <c r="K40" s="66"/>
      <c r="L40" s="66"/>
      <c r="M40" s="67"/>
      <c r="N40" s="79">
        <f>COUNTIF(N24:Q39,"P")</f>
        <v>1</v>
      </c>
      <c r="O40" s="66"/>
      <c r="P40" s="66"/>
      <c r="Q40" s="67"/>
      <c r="R40" s="79">
        <f>COUNTIF(R24:U39,"P")</f>
        <v>3</v>
      </c>
      <c r="S40" s="66"/>
      <c r="T40" s="66"/>
      <c r="U40" s="67"/>
      <c r="V40" s="79">
        <f>COUNTIF(V24:Y39,"P")</f>
        <v>0</v>
      </c>
      <c r="W40" s="66"/>
      <c r="X40" s="66"/>
      <c r="Y40" s="67"/>
      <c r="Z40" s="79">
        <f>COUNTIF(Z24:AC39,"P")</f>
        <v>0</v>
      </c>
      <c r="AA40" s="66"/>
      <c r="AB40" s="66"/>
      <c r="AC40" s="67"/>
      <c r="AD40" s="79">
        <f>COUNTIF(AD24:AG39,"P")</f>
        <v>2</v>
      </c>
      <c r="AE40" s="66"/>
      <c r="AF40" s="66"/>
      <c r="AG40" s="67"/>
      <c r="AH40" s="79">
        <f>COUNTIF(AH24:AK39,"P")</f>
        <v>2</v>
      </c>
      <c r="AI40" s="66"/>
      <c r="AJ40" s="66"/>
      <c r="AK40" s="67"/>
      <c r="AL40" s="79">
        <f>COUNTIF(AL24:AO39,"P")</f>
        <v>0</v>
      </c>
      <c r="AM40" s="66"/>
      <c r="AN40" s="66"/>
      <c r="AO40" s="67"/>
      <c r="AP40" s="79">
        <f>COUNTIF(AP24:AS39,"P")</f>
        <v>0</v>
      </c>
      <c r="AQ40" s="66"/>
      <c r="AR40" s="66"/>
      <c r="AS40" s="67"/>
      <c r="AT40" s="79">
        <f>COUNTIF(AT24:AW39,"P")</f>
        <v>0</v>
      </c>
      <c r="AU40" s="66"/>
      <c r="AV40" s="66"/>
      <c r="AW40" s="67"/>
      <c r="AX40" s="79">
        <f>COUNTIF(AX24:BA39,"P")</f>
        <v>0</v>
      </c>
      <c r="AY40" s="66"/>
      <c r="AZ40" s="66"/>
      <c r="BA40" s="67"/>
      <c r="BB40" s="94" t="s">
        <v>39</v>
      </c>
      <c r="BC40" s="95"/>
      <c r="BD40" s="97">
        <f>+SUM(BC24:BC39)/SUM(BB24:BB39)</f>
        <v>1</v>
      </c>
      <c r="BE40" s="19">
        <v>0</v>
      </c>
      <c r="BF40" s="119"/>
    </row>
    <row r="41" spans="1:58" ht="20.25" customHeight="1" x14ac:dyDescent="0.25">
      <c r="A41" s="89" t="s">
        <v>40</v>
      </c>
      <c r="B41" s="66"/>
      <c r="C41" s="66"/>
      <c r="D41" s="90"/>
      <c r="E41" s="26"/>
      <c r="F41" s="79">
        <f>COUNTIF(F24:I39,"R")</f>
        <v>0</v>
      </c>
      <c r="G41" s="66"/>
      <c r="H41" s="66"/>
      <c r="I41" s="67"/>
      <c r="J41" s="79">
        <f>COUNTIF(J24:M39,"R")</f>
        <v>0</v>
      </c>
      <c r="K41" s="66"/>
      <c r="L41" s="66"/>
      <c r="M41" s="67"/>
      <c r="N41" s="79">
        <f>COUNTIF(N24:Q39,"R")</f>
        <v>1</v>
      </c>
      <c r="O41" s="66"/>
      <c r="P41" s="66"/>
      <c r="Q41" s="67"/>
      <c r="R41" s="79">
        <f>COUNTIF(R24:U39,"R")</f>
        <v>3</v>
      </c>
      <c r="S41" s="66"/>
      <c r="T41" s="66"/>
      <c r="U41" s="67"/>
      <c r="V41" s="79">
        <f>COUNTIF(V24:Y39,"R")</f>
        <v>0</v>
      </c>
      <c r="W41" s="66"/>
      <c r="X41" s="66"/>
      <c r="Y41" s="67"/>
      <c r="Z41" s="79">
        <f>COUNTIF(Z24:AC39,"R")</f>
        <v>0</v>
      </c>
      <c r="AA41" s="66"/>
      <c r="AB41" s="66"/>
      <c r="AC41" s="67"/>
      <c r="AD41" s="79">
        <f>COUNTIF(AD24:AG39,"R")</f>
        <v>2</v>
      </c>
      <c r="AE41" s="66"/>
      <c r="AF41" s="66"/>
      <c r="AG41" s="67"/>
      <c r="AH41" s="79">
        <f>COUNTIF(AH24:AK39,"R")</f>
        <v>2</v>
      </c>
      <c r="AI41" s="66"/>
      <c r="AJ41" s="66"/>
      <c r="AK41" s="67"/>
      <c r="AL41" s="79">
        <f>COUNTIF(AL24:AO39,"R")</f>
        <v>0</v>
      </c>
      <c r="AM41" s="66"/>
      <c r="AN41" s="66"/>
      <c r="AO41" s="67"/>
      <c r="AP41" s="79">
        <f>COUNTIF(AP24:AS39,"R")</f>
        <v>0</v>
      </c>
      <c r="AQ41" s="66"/>
      <c r="AR41" s="66"/>
      <c r="AS41" s="67"/>
      <c r="AT41" s="79">
        <f>COUNTIF(AT24:AW39,"R")</f>
        <v>0</v>
      </c>
      <c r="AU41" s="66"/>
      <c r="AV41" s="66"/>
      <c r="AW41" s="67"/>
      <c r="AX41" s="79">
        <f>COUNTIF(AX24:BA39,"R")</f>
        <v>0</v>
      </c>
      <c r="AY41" s="66"/>
      <c r="AZ41" s="66"/>
      <c r="BA41" s="67"/>
      <c r="BB41" s="73"/>
      <c r="BC41" s="96"/>
      <c r="BD41" s="69"/>
      <c r="BE41" s="19">
        <v>0</v>
      </c>
      <c r="BF41" s="120"/>
    </row>
    <row r="42" spans="1:58" ht="20.25" customHeight="1" x14ac:dyDescent="0.25">
      <c r="A42" s="68" t="s">
        <v>48</v>
      </c>
      <c r="B42" s="70" t="s">
        <v>10</v>
      </c>
      <c r="C42" s="71"/>
      <c r="D42" s="71"/>
      <c r="E42" s="72"/>
      <c r="F42" s="65" t="s">
        <v>11</v>
      </c>
      <c r="G42" s="66"/>
      <c r="H42" s="66"/>
      <c r="I42" s="67"/>
      <c r="J42" s="65" t="s">
        <v>12</v>
      </c>
      <c r="K42" s="66"/>
      <c r="L42" s="66"/>
      <c r="M42" s="67"/>
      <c r="N42" s="65" t="s">
        <v>13</v>
      </c>
      <c r="O42" s="66"/>
      <c r="P42" s="66"/>
      <c r="Q42" s="67"/>
      <c r="R42" s="65" t="s">
        <v>14</v>
      </c>
      <c r="S42" s="66"/>
      <c r="T42" s="66"/>
      <c r="U42" s="67"/>
      <c r="V42" s="65" t="s">
        <v>15</v>
      </c>
      <c r="W42" s="66"/>
      <c r="X42" s="66"/>
      <c r="Y42" s="67"/>
      <c r="Z42" s="65" t="s">
        <v>16</v>
      </c>
      <c r="AA42" s="66"/>
      <c r="AB42" s="66"/>
      <c r="AC42" s="67"/>
      <c r="AD42" s="65" t="s">
        <v>17</v>
      </c>
      <c r="AE42" s="66"/>
      <c r="AF42" s="66"/>
      <c r="AG42" s="67"/>
      <c r="AH42" s="65" t="s">
        <v>18</v>
      </c>
      <c r="AI42" s="66"/>
      <c r="AJ42" s="66"/>
      <c r="AK42" s="67"/>
      <c r="AL42" s="65" t="s">
        <v>19</v>
      </c>
      <c r="AM42" s="66"/>
      <c r="AN42" s="66"/>
      <c r="AO42" s="67"/>
      <c r="AP42" s="65" t="s">
        <v>20</v>
      </c>
      <c r="AQ42" s="66"/>
      <c r="AR42" s="66"/>
      <c r="AS42" s="67"/>
      <c r="AT42" s="65" t="s">
        <v>21</v>
      </c>
      <c r="AU42" s="66"/>
      <c r="AV42" s="66"/>
      <c r="AW42" s="67"/>
      <c r="AX42" s="65" t="s">
        <v>22</v>
      </c>
      <c r="AY42" s="66"/>
      <c r="AZ42" s="66"/>
      <c r="BA42" s="67"/>
      <c r="BB42" s="99" t="s">
        <v>23</v>
      </c>
      <c r="BC42" s="66"/>
      <c r="BD42" s="67"/>
      <c r="BE42" s="111">
        <f>BE24+BE25+BE26+BE27+BE28+BE29+BE30+BE31+BE32+BE33+BE40+BE41</f>
        <v>6459000</v>
      </c>
      <c r="BF42" s="107" t="s">
        <v>25</v>
      </c>
    </row>
    <row r="43" spans="1:58" ht="20.25" customHeight="1" x14ac:dyDescent="0.25">
      <c r="A43" s="69"/>
      <c r="B43" s="73"/>
      <c r="C43" s="74"/>
      <c r="D43" s="74"/>
      <c r="E43" s="75"/>
      <c r="F43" s="12">
        <v>1</v>
      </c>
      <c r="G43" s="12">
        <v>2</v>
      </c>
      <c r="H43" s="12">
        <v>3</v>
      </c>
      <c r="I43" s="12">
        <v>4</v>
      </c>
      <c r="J43" s="12">
        <v>1</v>
      </c>
      <c r="K43" s="12">
        <v>2</v>
      </c>
      <c r="L43" s="12">
        <v>3</v>
      </c>
      <c r="M43" s="12">
        <v>4</v>
      </c>
      <c r="N43" s="12">
        <v>1</v>
      </c>
      <c r="O43" s="12">
        <v>2</v>
      </c>
      <c r="P43" s="12">
        <v>3</v>
      </c>
      <c r="Q43" s="12">
        <v>4</v>
      </c>
      <c r="R43" s="12">
        <v>1</v>
      </c>
      <c r="S43" s="12">
        <v>2</v>
      </c>
      <c r="T43" s="12">
        <v>3</v>
      </c>
      <c r="U43" s="12">
        <v>4</v>
      </c>
      <c r="V43" s="13">
        <v>1</v>
      </c>
      <c r="W43" s="13">
        <v>2</v>
      </c>
      <c r="X43" s="13">
        <v>3</v>
      </c>
      <c r="Y43" s="13">
        <v>4</v>
      </c>
      <c r="Z43" s="12">
        <v>1</v>
      </c>
      <c r="AA43" s="12">
        <v>2</v>
      </c>
      <c r="AB43" s="12">
        <v>3</v>
      </c>
      <c r="AC43" s="12">
        <v>4</v>
      </c>
      <c r="AD43" s="12">
        <v>1</v>
      </c>
      <c r="AE43" s="12">
        <v>2</v>
      </c>
      <c r="AF43" s="12">
        <v>3</v>
      </c>
      <c r="AG43" s="12">
        <v>4</v>
      </c>
      <c r="AH43" s="12">
        <v>1</v>
      </c>
      <c r="AI43" s="12">
        <v>2</v>
      </c>
      <c r="AJ43" s="12">
        <v>3</v>
      </c>
      <c r="AK43" s="12">
        <v>4</v>
      </c>
      <c r="AL43" s="12">
        <v>1</v>
      </c>
      <c r="AM43" s="12">
        <v>2</v>
      </c>
      <c r="AN43" s="12">
        <v>3</v>
      </c>
      <c r="AO43" s="12">
        <v>4</v>
      </c>
      <c r="AP43" s="12">
        <v>1</v>
      </c>
      <c r="AQ43" s="12">
        <v>2</v>
      </c>
      <c r="AR43" s="12">
        <v>3</v>
      </c>
      <c r="AS43" s="12">
        <v>4</v>
      </c>
      <c r="AT43" s="12">
        <v>1</v>
      </c>
      <c r="AU43" s="12">
        <v>2</v>
      </c>
      <c r="AV43" s="12">
        <v>3</v>
      </c>
      <c r="AW43" s="12">
        <v>4</v>
      </c>
      <c r="AX43" s="12">
        <v>1</v>
      </c>
      <c r="AY43" s="12">
        <v>2</v>
      </c>
      <c r="AZ43" s="12">
        <v>3</v>
      </c>
      <c r="BA43" s="12">
        <v>4</v>
      </c>
      <c r="BB43" s="15" t="s">
        <v>1</v>
      </c>
      <c r="BC43" s="15" t="s">
        <v>26</v>
      </c>
      <c r="BD43" s="15" t="s">
        <v>27</v>
      </c>
      <c r="BE43" s="108"/>
      <c r="BF43" s="108"/>
    </row>
    <row r="44" spans="1:58" ht="20.25" customHeight="1" x14ac:dyDescent="0.3">
      <c r="A44" s="77" t="s">
        <v>49</v>
      </c>
      <c r="B44" s="88" t="s">
        <v>85</v>
      </c>
      <c r="C44" s="71"/>
      <c r="D44" s="71"/>
      <c r="E44" s="72"/>
      <c r="F44" s="27"/>
      <c r="G44" s="27" t="s">
        <v>2</v>
      </c>
      <c r="H44" s="27"/>
      <c r="I44" s="27"/>
      <c r="J44" s="27"/>
      <c r="K44" s="27" t="s">
        <v>2</v>
      </c>
      <c r="L44" s="27"/>
      <c r="M44" s="27"/>
      <c r="N44" s="27"/>
      <c r="O44" s="28"/>
      <c r="P44" s="27" t="s">
        <v>2</v>
      </c>
      <c r="Q44" s="27"/>
      <c r="R44" s="27"/>
      <c r="S44" s="27"/>
      <c r="T44" s="27" t="s">
        <v>2</v>
      </c>
      <c r="U44" s="27"/>
      <c r="V44" s="27"/>
      <c r="W44" s="27"/>
      <c r="X44" s="27"/>
      <c r="Y44" s="27" t="s">
        <v>2</v>
      </c>
      <c r="Z44" s="27"/>
      <c r="AA44" s="27"/>
      <c r="AB44" s="27" t="s">
        <v>2</v>
      </c>
      <c r="AC44" s="27"/>
      <c r="AD44" s="27"/>
      <c r="AE44" s="27"/>
      <c r="AF44" s="27" t="s">
        <v>2</v>
      </c>
      <c r="AG44" s="27"/>
      <c r="AH44" s="27"/>
      <c r="AI44" s="27"/>
      <c r="AJ44" s="27" t="s">
        <v>2</v>
      </c>
      <c r="AK44" s="27"/>
      <c r="AL44" s="27"/>
      <c r="AM44" s="27"/>
      <c r="AN44" s="27" t="s">
        <v>2</v>
      </c>
      <c r="AO44" s="27"/>
      <c r="AP44" s="27"/>
      <c r="AQ44" s="27" t="s">
        <v>2</v>
      </c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98">
        <f>COUNTIF(F44:BA44,$H$5)</f>
        <v>10</v>
      </c>
      <c r="BC44" s="98">
        <f>COUNTIF(F45:BA45,$Q$5)</f>
        <v>9</v>
      </c>
      <c r="BD44" s="97">
        <f>IFERROR(BC44/BB44,"")</f>
        <v>0.9</v>
      </c>
      <c r="BE44" s="19">
        <v>0</v>
      </c>
      <c r="BF44" s="112" t="s">
        <v>50</v>
      </c>
    </row>
    <row r="45" spans="1:58" ht="20.25" customHeight="1" x14ac:dyDescent="0.25">
      <c r="A45" s="69"/>
      <c r="B45" s="73"/>
      <c r="C45" s="74"/>
      <c r="D45" s="74"/>
      <c r="E45" s="75"/>
      <c r="F45" s="27"/>
      <c r="G45" s="27" t="s">
        <v>4</v>
      </c>
      <c r="H45" s="27"/>
      <c r="I45" s="27"/>
      <c r="J45" s="27"/>
      <c r="K45" s="27" t="s">
        <v>4</v>
      </c>
      <c r="L45" s="27"/>
      <c r="M45" s="27"/>
      <c r="N45" s="27"/>
      <c r="O45" s="27"/>
      <c r="P45" s="27" t="s">
        <v>4</v>
      </c>
      <c r="Q45" s="27"/>
      <c r="R45" s="27"/>
      <c r="S45" s="27"/>
      <c r="T45" s="27" t="s">
        <v>4</v>
      </c>
      <c r="U45" s="27"/>
      <c r="V45" s="27"/>
      <c r="W45" s="27"/>
      <c r="X45" s="27"/>
      <c r="Y45" s="27" t="s">
        <v>4</v>
      </c>
      <c r="Z45" s="27"/>
      <c r="AA45" s="27"/>
      <c r="AB45" s="27" t="s">
        <v>4</v>
      </c>
      <c r="AC45" s="27"/>
      <c r="AD45" s="27"/>
      <c r="AE45" s="27"/>
      <c r="AF45" s="27" t="s">
        <v>4</v>
      </c>
      <c r="AG45" s="27"/>
      <c r="AH45" s="27"/>
      <c r="AI45" s="27"/>
      <c r="AJ45" s="27" t="s">
        <v>4</v>
      </c>
      <c r="AK45" s="27"/>
      <c r="AL45" s="27"/>
      <c r="AM45" s="27"/>
      <c r="AN45" s="27" t="s">
        <v>4</v>
      </c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69"/>
      <c r="BC45" s="69"/>
      <c r="BD45" s="69"/>
      <c r="BE45" s="19">
        <v>0</v>
      </c>
      <c r="BF45" s="75"/>
    </row>
    <row r="46" spans="1:58" ht="20.25" customHeight="1" x14ac:dyDescent="0.3">
      <c r="A46" s="77" t="s">
        <v>51</v>
      </c>
      <c r="B46" s="88" t="s">
        <v>29</v>
      </c>
      <c r="C46" s="71"/>
      <c r="D46" s="71"/>
      <c r="E46" s="7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 t="s">
        <v>2</v>
      </c>
      <c r="Q46" s="27"/>
      <c r="R46" s="27"/>
      <c r="S46" s="27"/>
      <c r="T46" s="27"/>
      <c r="U46" s="27"/>
      <c r="V46" s="27"/>
      <c r="W46" s="27"/>
      <c r="X46" s="27"/>
      <c r="Y46" s="27"/>
      <c r="Z46" s="28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 t="s">
        <v>2</v>
      </c>
      <c r="AN46" s="27"/>
      <c r="AO46" s="27"/>
      <c r="AP46" s="27"/>
      <c r="AQ46" s="27"/>
      <c r="AR46" s="27"/>
      <c r="AS46" s="27" t="s">
        <v>2</v>
      </c>
      <c r="AT46" s="27"/>
      <c r="AU46" s="27"/>
      <c r="AV46" s="27"/>
      <c r="AW46" s="27"/>
      <c r="AX46" s="27"/>
      <c r="AY46" s="27"/>
      <c r="AZ46" s="27"/>
      <c r="BA46" s="27"/>
      <c r="BB46" s="98">
        <f>COUNTIF(F46:BA46,$H$5)</f>
        <v>3</v>
      </c>
      <c r="BC46" s="98">
        <f>COUNTIF(F47:BA47,$Q$5)</f>
        <v>3</v>
      </c>
      <c r="BD46" s="97">
        <f>IFERROR(BC46/BB46,"")</f>
        <v>1</v>
      </c>
      <c r="BE46" s="19">
        <v>0</v>
      </c>
      <c r="BF46" s="112" t="s">
        <v>50</v>
      </c>
    </row>
    <row r="47" spans="1:58" ht="20.25" customHeight="1" x14ac:dyDescent="0.3">
      <c r="A47" s="69"/>
      <c r="B47" s="73"/>
      <c r="C47" s="74"/>
      <c r="D47" s="74"/>
      <c r="E47" s="75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 t="s">
        <v>4</v>
      </c>
      <c r="Q47" s="27"/>
      <c r="R47" s="27"/>
      <c r="S47" s="27"/>
      <c r="T47" s="27"/>
      <c r="U47" s="27"/>
      <c r="V47" s="28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 t="s">
        <v>4</v>
      </c>
      <c r="AN47" s="27"/>
      <c r="AO47" s="27"/>
      <c r="AP47" s="27"/>
      <c r="AQ47" s="27"/>
      <c r="AR47" s="27"/>
      <c r="AS47" s="27" t="s">
        <v>4</v>
      </c>
      <c r="AT47" s="27"/>
      <c r="AU47" s="27"/>
      <c r="AV47" s="27"/>
      <c r="AW47" s="27"/>
      <c r="AX47" s="27"/>
      <c r="AY47" s="27"/>
      <c r="AZ47" s="27"/>
      <c r="BA47" s="27"/>
      <c r="BB47" s="69"/>
      <c r="BC47" s="69"/>
      <c r="BD47" s="69"/>
      <c r="BE47" s="19">
        <v>0</v>
      </c>
      <c r="BF47" s="75"/>
    </row>
    <row r="48" spans="1:58" ht="20.25" customHeight="1" x14ac:dyDescent="0.3">
      <c r="A48" s="77" t="s">
        <v>52</v>
      </c>
      <c r="B48" s="88" t="s">
        <v>53</v>
      </c>
      <c r="C48" s="71"/>
      <c r="D48" s="71"/>
      <c r="E48" s="72"/>
      <c r="F48" s="27"/>
      <c r="G48" s="27"/>
      <c r="H48" s="27"/>
      <c r="I48" s="27"/>
      <c r="J48" s="27"/>
      <c r="K48" s="27"/>
      <c r="L48" s="27" t="s">
        <v>2</v>
      </c>
      <c r="M48" s="27"/>
      <c r="N48" s="27"/>
      <c r="O48" s="28"/>
      <c r="P48" s="27"/>
      <c r="Q48" s="27"/>
      <c r="R48" s="27" t="s">
        <v>2</v>
      </c>
      <c r="S48" s="27"/>
      <c r="T48" s="27"/>
      <c r="U48" s="27"/>
      <c r="V48" s="27"/>
      <c r="W48" s="27"/>
      <c r="X48" s="27" t="s">
        <v>2</v>
      </c>
      <c r="Y48" s="27"/>
      <c r="Z48" s="27"/>
      <c r="AA48" s="27"/>
      <c r="AB48" s="27"/>
      <c r="AC48" s="27"/>
      <c r="AD48" s="27"/>
      <c r="AE48" s="27"/>
      <c r="AF48" s="27" t="s">
        <v>2</v>
      </c>
      <c r="AG48" s="28"/>
      <c r="AH48" s="27"/>
      <c r="AI48" s="27"/>
      <c r="AJ48" s="27"/>
      <c r="AK48" s="27"/>
      <c r="AL48" s="27"/>
      <c r="AM48" s="27"/>
      <c r="AN48" s="27"/>
      <c r="AO48" s="27"/>
      <c r="AP48" s="27" t="s">
        <v>2</v>
      </c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98">
        <f>COUNTIF(F48:BA48,$H$5)</f>
        <v>5</v>
      </c>
      <c r="BC48" s="98">
        <f>COUNTIF(F49:BA49,$Q$5)</f>
        <v>5</v>
      </c>
      <c r="BD48" s="97">
        <f>IFERROR(BC48/BB48,"")</f>
        <v>1</v>
      </c>
      <c r="BE48" s="19">
        <v>0</v>
      </c>
      <c r="BF48" s="112" t="s">
        <v>50</v>
      </c>
    </row>
    <row r="49" spans="1:58" ht="20.25" customHeight="1" x14ac:dyDescent="0.25">
      <c r="A49" s="69"/>
      <c r="B49" s="73"/>
      <c r="C49" s="74"/>
      <c r="D49" s="74"/>
      <c r="E49" s="75"/>
      <c r="F49" s="27"/>
      <c r="G49" s="27"/>
      <c r="H49" s="27"/>
      <c r="I49" s="27"/>
      <c r="J49" s="27"/>
      <c r="K49" s="27"/>
      <c r="L49" s="27" t="s">
        <v>4</v>
      </c>
      <c r="M49" s="27"/>
      <c r="N49" s="27"/>
      <c r="O49" s="27"/>
      <c r="P49" s="27"/>
      <c r="Q49" s="27"/>
      <c r="R49" s="27" t="s">
        <v>4</v>
      </c>
      <c r="S49" s="27"/>
      <c r="T49" s="27"/>
      <c r="U49" s="27"/>
      <c r="V49" s="27"/>
      <c r="W49" s="27"/>
      <c r="X49" s="27" t="s">
        <v>4</v>
      </c>
      <c r="Y49" s="27"/>
      <c r="Z49" s="27"/>
      <c r="AA49" s="27"/>
      <c r="AB49" s="27"/>
      <c r="AC49" s="27"/>
      <c r="AD49" s="27"/>
      <c r="AE49" s="27"/>
      <c r="AF49" s="27" t="s">
        <v>4</v>
      </c>
      <c r="AG49" s="27"/>
      <c r="AH49" s="27"/>
      <c r="AI49" s="27"/>
      <c r="AJ49" s="27"/>
      <c r="AK49" s="27"/>
      <c r="AL49" s="27"/>
      <c r="AM49" s="27"/>
      <c r="AN49" s="27"/>
      <c r="AO49" s="27"/>
      <c r="AP49" s="27" t="s">
        <v>4</v>
      </c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69"/>
      <c r="BC49" s="69"/>
      <c r="BD49" s="69"/>
      <c r="BE49" s="19">
        <v>0</v>
      </c>
      <c r="BF49" s="75"/>
    </row>
    <row r="50" spans="1:58" ht="20.25" customHeight="1" x14ac:dyDescent="0.25">
      <c r="A50" s="76" t="s">
        <v>54</v>
      </c>
      <c r="B50" s="88" t="s">
        <v>55</v>
      </c>
      <c r="C50" s="71"/>
      <c r="D50" s="71"/>
      <c r="E50" s="72"/>
      <c r="F50" s="27"/>
      <c r="G50" s="27"/>
      <c r="H50" s="27"/>
      <c r="I50" s="27"/>
      <c r="J50" s="27" t="s">
        <v>2</v>
      </c>
      <c r="K50" s="27"/>
      <c r="L50" s="27"/>
      <c r="M50" s="27"/>
      <c r="N50" s="27"/>
      <c r="O50" s="27"/>
      <c r="P50" s="27"/>
      <c r="Q50" s="27"/>
      <c r="R50" s="27"/>
      <c r="S50" s="27"/>
      <c r="T50" s="27" t="s">
        <v>2</v>
      </c>
      <c r="U50" s="27"/>
      <c r="V50" s="27"/>
      <c r="W50" s="27"/>
      <c r="X50" s="27"/>
      <c r="Y50" s="27"/>
      <c r="Z50" s="27"/>
      <c r="AA50" s="27" t="s">
        <v>2</v>
      </c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 t="s">
        <v>2</v>
      </c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98">
        <f>COUNTIF(F50:BA50,$H$5)</f>
        <v>4</v>
      </c>
      <c r="BC50" s="98">
        <f>COUNTIF(F51:BA51,$Q$5)</f>
        <v>4</v>
      </c>
      <c r="BD50" s="97">
        <f>IFERROR(BC50/BB50,"")</f>
        <v>1</v>
      </c>
      <c r="BE50" s="19">
        <v>0</v>
      </c>
      <c r="BF50" s="112" t="s">
        <v>50</v>
      </c>
    </row>
    <row r="51" spans="1:58" ht="20.25" customHeight="1" x14ac:dyDescent="0.25">
      <c r="A51" s="69"/>
      <c r="B51" s="73"/>
      <c r="C51" s="74"/>
      <c r="D51" s="74"/>
      <c r="E51" s="75"/>
      <c r="F51" s="27"/>
      <c r="G51" s="27"/>
      <c r="H51" s="27"/>
      <c r="I51" s="27"/>
      <c r="J51" s="27" t="s">
        <v>4</v>
      </c>
      <c r="K51" s="29"/>
      <c r="L51" s="27"/>
      <c r="M51" s="27"/>
      <c r="N51" s="27"/>
      <c r="O51" s="27"/>
      <c r="P51" s="27"/>
      <c r="Q51" s="27"/>
      <c r="R51" s="27"/>
      <c r="S51" s="27"/>
      <c r="T51" s="27" t="s">
        <v>4</v>
      </c>
      <c r="U51" s="27"/>
      <c r="V51" s="27"/>
      <c r="W51" s="27"/>
      <c r="X51" s="27"/>
      <c r="Y51" s="27"/>
      <c r="Z51" s="27"/>
      <c r="AA51" s="27" t="s">
        <v>4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 t="s">
        <v>4</v>
      </c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69"/>
      <c r="BC51" s="69"/>
      <c r="BD51" s="69"/>
      <c r="BE51" s="19">
        <v>0</v>
      </c>
      <c r="BF51" s="75"/>
    </row>
    <row r="52" spans="1:58" ht="20.25" customHeight="1" x14ac:dyDescent="0.25">
      <c r="A52" s="77" t="s">
        <v>56</v>
      </c>
      <c r="B52" s="88" t="s">
        <v>43</v>
      </c>
      <c r="C52" s="71"/>
      <c r="D52" s="71"/>
      <c r="E52" s="72"/>
      <c r="F52" s="27"/>
      <c r="G52" s="27"/>
      <c r="H52" s="27"/>
      <c r="I52" s="27"/>
      <c r="J52" s="27"/>
      <c r="K52" s="27"/>
      <c r="L52" s="27"/>
      <c r="M52" s="27"/>
      <c r="N52" s="27" t="s">
        <v>2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 t="s">
        <v>2</v>
      </c>
      <c r="AC52" s="27"/>
      <c r="AD52" s="27"/>
      <c r="AE52" s="27"/>
      <c r="AF52" s="27"/>
      <c r="AG52" s="27"/>
      <c r="AH52" s="27"/>
      <c r="AI52" s="27"/>
      <c r="AJ52" s="27"/>
      <c r="AK52" s="27" t="s">
        <v>2</v>
      </c>
      <c r="AL52" s="27"/>
      <c r="AM52" s="27"/>
      <c r="AN52" s="27"/>
      <c r="AO52" s="27"/>
      <c r="AP52" s="27" t="s">
        <v>2</v>
      </c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98">
        <f>COUNTIF(F52:BA52,$H$5)</f>
        <v>4</v>
      </c>
      <c r="BC52" s="98">
        <f>COUNTIF(F53:BA53,$Q$5)</f>
        <v>4</v>
      </c>
      <c r="BD52" s="97">
        <f>IFERROR(BC52/BB52,"")</f>
        <v>1</v>
      </c>
      <c r="BE52" s="19"/>
      <c r="BF52" s="112" t="s">
        <v>110</v>
      </c>
    </row>
    <row r="53" spans="1:58" ht="20.25" customHeight="1" x14ac:dyDescent="0.25">
      <c r="A53" s="69"/>
      <c r="B53" s="73"/>
      <c r="C53" s="74"/>
      <c r="D53" s="74"/>
      <c r="E53" s="75"/>
      <c r="F53" s="27"/>
      <c r="G53" s="27"/>
      <c r="H53" s="27"/>
      <c r="I53" s="27"/>
      <c r="J53" s="27"/>
      <c r="K53" s="27"/>
      <c r="L53" s="27"/>
      <c r="M53" s="27"/>
      <c r="N53" s="27" t="s">
        <v>4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 t="s">
        <v>4</v>
      </c>
      <c r="AC53" s="27"/>
      <c r="AD53" s="27"/>
      <c r="AE53" s="27"/>
      <c r="AF53" s="27"/>
      <c r="AG53" s="27"/>
      <c r="AH53" s="27"/>
      <c r="AI53" s="27"/>
      <c r="AJ53" s="27"/>
      <c r="AK53" s="27" t="s">
        <v>4</v>
      </c>
      <c r="AL53" s="27"/>
      <c r="AM53" s="27"/>
      <c r="AN53" s="27"/>
      <c r="AO53" s="27"/>
      <c r="AP53" s="27" t="s">
        <v>4</v>
      </c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69"/>
      <c r="BC53" s="69"/>
      <c r="BD53" s="69"/>
      <c r="BE53" s="19">
        <v>0</v>
      </c>
      <c r="BF53" s="75"/>
    </row>
    <row r="54" spans="1:58" ht="20.25" customHeight="1" x14ac:dyDescent="0.25">
      <c r="A54" s="78" t="s">
        <v>94</v>
      </c>
      <c r="B54" s="88" t="s">
        <v>85</v>
      </c>
      <c r="C54" s="71"/>
      <c r="D54" s="71"/>
      <c r="E54" s="7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 t="s">
        <v>2</v>
      </c>
      <c r="Q54" s="27"/>
      <c r="R54" s="27"/>
      <c r="S54" s="27"/>
      <c r="T54" s="27" t="s">
        <v>2</v>
      </c>
      <c r="U54" s="27"/>
      <c r="V54" s="27"/>
      <c r="W54" s="27"/>
      <c r="X54" s="27" t="s">
        <v>2</v>
      </c>
      <c r="Y54" s="27"/>
      <c r="Z54" s="27"/>
      <c r="AA54" s="27"/>
      <c r="AB54" s="27" t="s">
        <v>2</v>
      </c>
      <c r="AC54" s="27"/>
      <c r="AD54" s="27"/>
      <c r="AE54" s="27" t="s">
        <v>2</v>
      </c>
      <c r="AF54" s="27"/>
      <c r="AG54" s="27"/>
      <c r="AH54" s="27"/>
      <c r="AI54" s="27" t="s">
        <v>2</v>
      </c>
      <c r="AJ54" s="27"/>
      <c r="AK54" s="27"/>
      <c r="AL54" s="27"/>
      <c r="AM54" s="27"/>
      <c r="AN54" s="27" t="s">
        <v>2</v>
      </c>
      <c r="AO54" s="27"/>
      <c r="AP54" s="27"/>
      <c r="AQ54" s="27"/>
      <c r="AR54" s="27"/>
      <c r="AS54" s="27" t="s">
        <v>2</v>
      </c>
      <c r="AT54" s="27"/>
      <c r="AU54" s="27"/>
      <c r="AV54" s="27"/>
      <c r="AW54" s="27"/>
      <c r="AX54" s="27"/>
      <c r="AY54" s="27"/>
      <c r="AZ54" s="27"/>
      <c r="BA54" s="27"/>
      <c r="BB54" s="98">
        <f>COUNTIF(F54:BA54,$H$5)</f>
        <v>8</v>
      </c>
      <c r="BC54" s="98">
        <f>COUNTIF(F55:BA55,$Q$5)</f>
        <v>8</v>
      </c>
      <c r="BD54" s="97">
        <f>IFERROR(BC54/BB54,"")</f>
        <v>1</v>
      </c>
      <c r="BE54" s="19">
        <v>0</v>
      </c>
      <c r="BF54" s="112" t="s">
        <v>50</v>
      </c>
    </row>
    <row r="55" spans="1:58" ht="20.25" customHeight="1" x14ac:dyDescent="0.25">
      <c r="A55" s="69"/>
      <c r="B55" s="73"/>
      <c r="C55" s="74"/>
      <c r="D55" s="74"/>
      <c r="E55" s="75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 t="s">
        <v>4</v>
      </c>
      <c r="Q55" s="27"/>
      <c r="R55" s="27"/>
      <c r="S55" s="27"/>
      <c r="T55" s="27" t="s">
        <v>4</v>
      </c>
      <c r="U55" s="27"/>
      <c r="V55" s="27"/>
      <c r="W55" s="27"/>
      <c r="X55" s="27" t="s">
        <v>4</v>
      </c>
      <c r="Y55" s="27"/>
      <c r="Z55" s="27"/>
      <c r="AA55" s="27"/>
      <c r="AB55" s="27" t="s">
        <v>4</v>
      </c>
      <c r="AC55" s="27"/>
      <c r="AD55" s="27"/>
      <c r="AE55" s="27" t="s">
        <v>4</v>
      </c>
      <c r="AF55" s="27"/>
      <c r="AG55" s="27"/>
      <c r="AH55" s="27"/>
      <c r="AI55" s="27" t="s">
        <v>4</v>
      </c>
      <c r="AJ55" s="27"/>
      <c r="AK55" s="27"/>
      <c r="AL55" s="27"/>
      <c r="AM55" s="27"/>
      <c r="AN55" s="27" t="s">
        <v>4</v>
      </c>
      <c r="AO55" s="27"/>
      <c r="AP55" s="27"/>
      <c r="AQ55" s="27"/>
      <c r="AR55" s="27"/>
      <c r="AS55" s="27" t="s">
        <v>4</v>
      </c>
      <c r="AT55" s="27"/>
      <c r="AU55" s="27"/>
      <c r="AV55" s="27"/>
      <c r="AW55" s="27"/>
      <c r="AX55" s="27"/>
      <c r="AY55" s="27"/>
      <c r="AZ55" s="27"/>
      <c r="BA55" s="27"/>
      <c r="BB55" s="69"/>
      <c r="BC55" s="69"/>
      <c r="BD55" s="69"/>
      <c r="BE55" s="19">
        <v>0</v>
      </c>
      <c r="BF55" s="75"/>
    </row>
    <row r="56" spans="1:58" ht="20.25" customHeight="1" x14ac:dyDescent="0.25">
      <c r="A56" s="93" t="s">
        <v>38</v>
      </c>
      <c r="B56" s="66"/>
      <c r="C56" s="66"/>
      <c r="D56" s="90"/>
      <c r="E56" s="25"/>
      <c r="F56" s="79">
        <f>COUNTIF(F44:I55,"P")</f>
        <v>1</v>
      </c>
      <c r="G56" s="66"/>
      <c r="H56" s="66"/>
      <c r="I56" s="67"/>
      <c r="J56" s="79">
        <f>COUNTIF(J44:M55,"P")</f>
        <v>3</v>
      </c>
      <c r="K56" s="66"/>
      <c r="L56" s="66"/>
      <c r="M56" s="67"/>
      <c r="N56" s="79">
        <f>COUNTIF(N44:Q55,"P")</f>
        <v>4</v>
      </c>
      <c r="O56" s="66"/>
      <c r="P56" s="66"/>
      <c r="Q56" s="67"/>
      <c r="R56" s="79">
        <f>COUNTIF(R44:U55,"P")</f>
        <v>4</v>
      </c>
      <c r="S56" s="66"/>
      <c r="T56" s="66"/>
      <c r="U56" s="67"/>
      <c r="V56" s="79">
        <f>COUNTIF(V44:Y55,"P")</f>
        <v>3</v>
      </c>
      <c r="W56" s="66"/>
      <c r="X56" s="66"/>
      <c r="Y56" s="67"/>
      <c r="Z56" s="79">
        <f>COUNTIF(Z44:AC55,"P")</f>
        <v>4</v>
      </c>
      <c r="AA56" s="66"/>
      <c r="AB56" s="66"/>
      <c r="AC56" s="67"/>
      <c r="AD56" s="79">
        <f>COUNTIF(AD44:AG55,"P")</f>
        <v>3</v>
      </c>
      <c r="AE56" s="66"/>
      <c r="AF56" s="66"/>
      <c r="AG56" s="67"/>
      <c r="AH56" s="79">
        <f>COUNTIF(AH44:AK55,"P")</f>
        <v>3</v>
      </c>
      <c r="AI56" s="66"/>
      <c r="AJ56" s="66"/>
      <c r="AK56" s="67"/>
      <c r="AL56" s="79">
        <f>COUNTIF(AL44:AO55,"P")</f>
        <v>4</v>
      </c>
      <c r="AM56" s="66"/>
      <c r="AN56" s="66"/>
      <c r="AO56" s="67"/>
      <c r="AP56" s="79">
        <f>COUNTIF(AP44:AS55,"P")</f>
        <v>5</v>
      </c>
      <c r="AQ56" s="66"/>
      <c r="AR56" s="66"/>
      <c r="AS56" s="67"/>
      <c r="AT56" s="79">
        <f>COUNTIF(AT44:AW55,"P")</f>
        <v>0</v>
      </c>
      <c r="AU56" s="66"/>
      <c r="AV56" s="66"/>
      <c r="AW56" s="67"/>
      <c r="AX56" s="79">
        <f>COUNTIF(AX44:BA55,"P")</f>
        <v>0</v>
      </c>
      <c r="AY56" s="66"/>
      <c r="AZ56" s="66"/>
      <c r="BA56" s="67"/>
      <c r="BB56" s="94" t="s">
        <v>39</v>
      </c>
      <c r="BC56" s="95"/>
      <c r="BD56" s="97">
        <f>+SUM(BC44:BC55)/SUM(BB44:BB55)</f>
        <v>0.97058823529411764</v>
      </c>
      <c r="BE56" s="19">
        <v>0</v>
      </c>
      <c r="BF56" s="110" t="s">
        <v>50</v>
      </c>
    </row>
    <row r="57" spans="1:58" ht="20.25" customHeight="1" x14ac:dyDescent="0.25">
      <c r="A57" s="89" t="s">
        <v>40</v>
      </c>
      <c r="B57" s="66"/>
      <c r="C57" s="66"/>
      <c r="D57" s="90"/>
      <c r="E57" s="26"/>
      <c r="F57" s="79">
        <f>COUNTIF(F44:I55,"R")</f>
        <v>1</v>
      </c>
      <c r="G57" s="66"/>
      <c r="H57" s="66"/>
      <c r="I57" s="67"/>
      <c r="J57" s="79">
        <f>COUNTIF(J44:M55,"R")</f>
        <v>3</v>
      </c>
      <c r="K57" s="66"/>
      <c r="L57" s="66"/>
      <c r="M57" s="67"/>
      <c r="N57" s="79">
        <f>COUNTIF(N44:Q55,"R")</f>
        <v>4</v>
      </c>
      <c r="O57" s="66"/>
      <c r="P57" s="66"/>
      <c r="Q57" s="67"/>
      <c r="R57" s="79">
        <f>COUNTIF(R44:U55,"R")</f>
        <v>4</v>
      </c>
      <c r="S57" s="66"/>
      <c r="T57" s="66"/>
      <c r="U57" s="67"/>
      <c r="V57" s="79">
        <f>COUNTIF(V44:Y55,"R")</f>
        <v>3</v>
      </c>
      <c r="W57" s="66"/>
      <c r="X57" s="66"/>
      <c r="Y57" s="67"/>
      <c r="Z57" s="79">
        <f>COUNTIF(Z44:AC55,"R")</f>
        <v>4</v>
      </c>
      <c r="AA57" s="66"/>
      <c r="AB57" s="66"/>
      <c r="AC57" s="67"/>
      <c r="AD57" s="79">
        <f>COUNTIF(AD44:AG55,"R")</f>
        <v>3</v>
      </c>
      <c r="AE57" s="66"/>
      <c r="AF57" s="66"/>
      <c r="AG57" s="67"/>
      <c r="AH57" s="79">
        <f>COUNTIF(AH44:AK55,"R")</f>
        <v>3</v>
      </c>
      <c r="AI57" s="66"/>
      <c r="AJ57" s="66"/>
      <c r="AK57" s="67"/>
      <c r="AL57" s="79">
        <f>COUNTIF(AL44:AO55,"R")</f>
        <v>4</v>
      </c>
      <c r="AM57" s="66"/>
      <c r="AN57" s="66"/>
      <c r="AO57" s="67"/>
      <c r="AP57" s="79">
        <f>COUNTIF(AP44:AS55,"R")</f>
        <v>4</v>
      </c>
      <c r="AQ57" s="66"/>
      <c r="AR57" s="66"/>
      <c r="AS57" s="67"/>
      <c r="AT57" s="79">
        <f>COUNTIF(AT44:AW55,"R")</f>
        <v>0</v>
      </c>
      <c r="AU57" s="66"/>
      <c r="AV57" s="66"/>
      <c r="AW57" s="67"/>
      <c r="AX57" s="79">
        <f>COUNTIF(AX44:BA55,"R")</f>
        <v>0</v>
      </c>
      <c r="AY57" s="66"/>
      <c r="AZ57" s="66"/>
      <c r="BA57" s="67"/>
      <c r="BB57" s="73"/>
      <c r="BC57" s="96"/>
      <c r="BD57" s="69"/>
      <c r="BE57" s="19">
        <v>0</v>
      </c>
      <c r="BF57" s="75"/>
    </row>
    <row r="58" spans="1:58" ht="18" customHeight="1" x14ac:dyDescent="0.25">
      <c r="A58" s="92" t="s">
        <v>83</v>
      </c>
      <c r="B58" s="70" t="s">
        <v>10</v>
      </c>
      <c r="C58" s="71"/>
      <c r="D58" s="71"/>
      <c r="E58" s="72"/>
      <c r="F58" s="65" t="s">
        <v>11</v>
      </c>
      <c r="G58" s="66"/>
      <c r="H58" s="66"/>
      <c r="I58" s="67"/>
      <c r="J58" s="65" t="s">
        <v>12</v>
      </c>
      <c r="K58" s="66"/>
      <c r="L58" s="66"/>
      <c r="M58" s="67"/>
      <c r="N58" s="65" t="s">
        <v>13</v>
      </c>
      <c r="O58" s="66"/>
      <c r="P58" s="66"/>
      <c r="Q58" s="67"/>
      <c r="R58" s="65" t="s">
        <v>14</v>
      </c>
      <c r="S58" s="66"/>
      <c r="T58" s="66"/>
      <c r="U58" s="67"/>
      <c r="V58" s="65" t="s">
        <v>15</v>
      </c>
      <c r="W58" s="66"/>
      <c r="X58" s="66"/>
      <c r="Y58" s="67"/>
      <c r="Z58" s="65" t="s">
        <v>16</v>
      </c>
      <c r="AA58" s="66"/>
      <c r="AB58" s="66"/>
      <c r="AC58" s="67"/>
      <c r="AD58" s="65" t="s">
        <v>17</v>
      </c>
      <c r="AE58" s="66"/>
      <c r="AF58" s="66"/>
      <c r="AG58" s="67"/>
      <c r="AH58" s="65" t="s">
        <v>18</v>
      </c>
      <c r="AI58" s="66"/>
      <c r="AJ58" s="66"/>
      <c r="AK58" s="67"/>
      <c r="AL58" s="65" t="s">
        <v>19</v>
      </c>
      <c r="AM58" s="66"/>
      <c r="AN58" s="66"/>
      <c r="AO58" s="67"/>
      <c r="AP58" s="65" t="s">
        <v>20</v>
      </c>
      <c r="AQ58" s="66"/>
      <c r="AR58" s="66"/>
      <c r="AS58" s="67"/>
      <c r="AT58" s="65" t="s">
        <v>21</v>
      </c>
      <c r="AU58" s="66"/>
      <c r="AV58" s="66"/>
      <c r="AW58" s="67"/>
      <c r="AX58" s="65" t="s">
        <v>22</v>
      </c>
      <c r="AY58" s="66"/>
      <c r="AZ58" s="66"/>
      <c r="BA58" s="67"/>
      <c r="BB58" s="99" t="s">
        <v>23</v>
      </c>
      <c r="BC58" s="66"/>
      <c r="BD58" s="67"/>
      <c r="BE58" s="111">
        <f>BE44+BE45+BE46+BE47+BE48+BE49+BE50+BE51+BE52+BE53+BE54+BE55+BE56+BE57</f>
        <v>0</v>
      </c>
      <c r="BF58" s="107" t="s">
        <v>25</v>
      </c>
    </row>
    <row r="59" spans="1:58" ht="27.75" customHeight="1" x14ac:dyDescent="0.25">
      <c r="A59" s="69"/>
      <c r="B59" s="73"/>
      <c r="C59" s="74"/>
      <c r="D59" s="74"/>
      <c r="E59" s="75"/>
      <c r="F59" s="12">
        <v>1</v>
      </c>
      <c r="G59" s="12">
        <v>2</v>
      </c>
      <c r="H59" s="12">
        <v>3</v>
      </c>
      <c r="I59" s="12">
        <v>4</v>
      </c>
      <c r="J59" s="12">
        <v>1</v>
      </c>
      <c r="K59" s="12">
        <v>2</v>
      </c>
      <c r="L59" s="12">
        <v>3</v>
      </c>
      <c r="M59" s="12">
        <v>4</v>
      </c>
      <c r="N59" s="12">
        <v>1</v>
      </c>
      <c r="O59" s="12">
        <v>2</v>
      </c>
      <c r="P59" s="12">
        <v>3</v>
      </c>
      <c r="Q59" s="12">
        <v>4</v>
      </c>
      <c r="R59" s="12">
        <v>1</v>
      </c>
      <c r="S59" s="12">
        <v>2</v>
      </c>
      <c r="T59" s="12">
        <v>3</v>
      </c>
      <c r="U59" s="12">
        <v>4</v>
      </c>
      <c r="V59" s="13">
        <v>1</v>
      </c>
      <c r="W59" s="13">
        <v>2</v>
      </c>
      <c r="X59" s="13">
        <v>3</v>
      </c>
      <c r="Y59" s="13">
        <v>4</v>
      </c>
      <c r="Z59" s="12">
        <v>1</v>
      </c>
      <c r="AA59" s="12">
        <v>2</v>
      </c>
      <c r="AB59" s="12">
        <v>3</v>
      </c>
      <c r="AC59" s="12">
        <v>4</v>
      </c>
      <c r="AD59" s="12">
        <v>1</v>
      </c>
      <c r="AE59" s="12">
        <v>2</v>
      </c>
      <c r="AF59" s="12">
        <v>3</v>
      </c>
      <c r="AG59" s="12">
        <v>4</v>
      </c>
      <c r="AH59" s="12">
        <v>1</v>
      </c>
      <c r="AI59" s="12">
        <v>2</v>
      </c>
      <c r="AJ59" s="12">
        <v>3</v>
      </c>
      <c r="AK59" s="12">
        <v>4</v>
      </c>
      <c r="AL59" s="12">
        <v>1</v>
      </c>
      <c r="AM59" s="12">
        <v>2</v>
      </c>
      <c r="AN59" s="12">
        <v>3</v>
      </c>
      <c r="AO59" s="12">
        <v>4</v>
      </c>
      <c r="AP59" s="12">
        <v>1</v>
      </c>
      <c r="AQ59" s="12">
        <v>2</v>
      </c>
      <c r="AR59" s="12">
        <v>3</v>
      </c>
      <c r="AS59" s="12">
        <v>4</v>
      </c>
      <c r="AT59" s="12">
        <v>1</v>
      </c>
      <c r="AU59" s="12">
        <v>2</v>
      </c>
      <c r="AV59" s="12">
        <v>3</v>
      </c>
      <c r="AW59" s="12">
        <v>4</v>
      </c>
      <c r="AX59" s="12">
        <v>1</v>
      </c>
      <c r="AY59" s="12">
        <v>2</v>
      </c>
      <c r="AZ59" s="12">
        <v>3</v>
      </c>
      <c r="BA59" s="12">
        <v>4</v>
      </c>
      <c r="BB59" s="14" t="s">
        <v>1</v>
      </c>
      <c r="BC59" s="15" t="s">
        <v>26</v>
      </c>
      <c r="BD59" s="15" t="s">
        <v>27</v>
      </c>
      <c r="BE59" s="108"/>
      <c r="BF59" s="108"/>
    </row>
    <row r="60" spans="1:58" ht="21" customHeight="1" x14ac:dyDescent="0.3">
      <c r="A60" s="76" t="s">
        <v>57</v>
      </c>
      <c r="B60" s="88" t="s">
        <v>85</v>
      </c>
      <c r="C60" s="71"/>
      <c r="D60" s="71"/>
      <c r="E60" s="72"/>
      <c r="F60" s="16"/>
      <c r="G60" s="16"/>
      <c r="H60" s="16"/>
      <c r="I60" s="16"/>
      <c r="J60" s="16"/>
      <c r="K60" s="16"/>
      <c r="L60" s="16" t="s">
        <v>2</v>
      </c>
      <c r="M60" s="16"/>
      <c r="N60" s="16"/>
      <c r="O60" s="16" t="s">
        <v>2</v>
      </c>
      <c r="P60" s="16"/>
      <c r="Q60" s="16"/>
      <c r="R60" s="16"/>
      <c r="S60" s="16"/>
      <c r="T60" s="16" t="s">
        <v>2</v>
      </c>
      <c r="U60" s="16"/>
      <c r="V60" s="16"/>
      <c r="W60" s="16"/>
      <c r="X60" s="16"/>
      <c r="Y60" s="16"/>
      <c r="Z60" s="16"/>
      <c r="AA60" s="16"/>
      <c r="AB60" s="16" t="s">
        <v>2</v>
      </c>
      <c r="AC60" s="16"/>
      <c r="AD60" s="16"/>
      <c r="AE60" s="16"/>
      <c r="AF60" s="16" t="s">
        <v>2</v>
      </c>
      <c r="AG60" s="16"/>
      <c r="AH60" s="16"/>
      <c r="AI60" s="17"/>
      <c r="AJ60" s="16" t="s">
        <v>2</v>
      </c>
      <c r="AK60" s="16"/>
      <c r="AL60" s="16"/>
      <c r="AM60" s="16"/>
      <c r="AN60" s="16"/>
      <c r="AO60" s="16" t="s">
        <v>2</v>
      </c>
      <c r="AP60" s="16"/>
      <c r="AQ60" s="16"/>
      <c r="AR60" s="16" t="s">
        <v>2</v>
      </c>
      <c r="AS60" s="16"/>
      <c r="AT60" s="16"/>
      <c r="AU60" s="16"/>
      <c r="AV60" s="16"/>
      <c r="AW60" s="16"/>
      <c r="AX60" s="16"/>
      <c r="AY60" s="16"/>
      <c r="AZ60" s="16"/>
      <c r="BA60" s="16"/>
      <c r="BB60" s="98">
        <f>COUNTIF(F60:BA60,$H$5)</f>
        <v>8</v>
      </c>
      <c r="BC60" s="98">
        <f>COUNTIF(F61:BA61,$Q$5)</f>
        <v>8</v>
      </c>
      <c r="BD60" s="97">
        <f>IFERROR(BC60/BB60,"")</f>
        <v>1</v>
      </c>
      <c r="BE60" s="19"/>
      <c r="BF60" s="113" t="s">
        <v>88</v>
      </c>
    </row>
    <row r="61" spans="1:58" ht="21" customHeight="1" x14ac:dyDescent="0.25">
      <c r="A61" s="69"/>
      <c r="B61" s="73"/>
      <c r="C61" s="74"/>
      <c r="D61" s="74"/>
      <c r="E61" s="75"/>
      <c r="F61" s="16"/>
      <c r="G61" s="16"/>
      <c r="H61" s="16"/>
      <c r="I61" s="16"/>
      <c r="J61" s="16"/>
      <c r="K61" s="16"/>
      <c r="L61" s="16" t="s">
        <v>4</v>
      </c>
      <c r="M61" s="16"/>
      <c r="N61" s="16"/>
      <c r="O61" s="16" t="s">
        <v>4</v>
      </c>
      <c r="P61" s="16"/>
      <c r="Q61" s="16"/>
      <c r="R61" s="16"/>
      <c r="S61" s="16"/>
      <c r="T61" s="16" t="s">
        <v>4</v>
      </c>
      <c r="U61" s="16"/>
      <c r="V61" s="16"/>
      <c r="W61" s="16"/>
      <c r="X61" s="16"/>
      <c r="Y61" s="16"/>
      <c r="Z61" s="16"/>
      <c r="AA61" s="16"/>
      <c r="AB61" s="16" t="s">
        <v>4</v>
      </c>
      <c r="AC61" s="16"/>
      <c r="AD61" s="16"/>
      <c r="AE61" s="16"/>
      <c r="AF61" s="16" t="s">
        <v>4</v>
      </c>
      <c r="AG61" s="16"/>
      <c r="AH61" s="16"/>
      <c r="AI61" s="16"/>
      <c r="AJ61" s="16" t="s">
        <v>4</v>
      </c>
      <c r="AK61" s="16"/>
      <c r="AL61" s="16"/>
      <c r="AM61" s="16"/>
      <c r="AN61" s="16"/>
      <c r="AO61" s="16" t="s">
        <v>4</v>
      </c>
      <c r="AP61" s="16"/>
      <c r="AR61" s="16" t="s">
        <v>4</v>
      </c>
      <c r="AS61" s="16"/>
      <c r="AT61" s="16"/>
      <c r="AU61" s="16"/>
      <c r="AV61" s="16"/>
      <c r="AW61" s="16"/>
      <c r="AX61" s="16"/>
      <c r="AY61" s="16"/>
      <c r="AZ61" s="16"/>
      <c r="BA61" s="16"/>
      <c r="BB61" s="69"/>
      <c r="BC61" s="69"/>
      <c r="BD61" s="69"/>
      <c r="BE61" s="19">
        <v>6010327</v>
      </c>
      <c r="BF61" s="108"/>
    </row>
    <row r="62" spans="1:58" ht="21" customHeight="1" x14ac:dyDescent="0.25">
      <c r="A62" s="78" t="s">
        <v>86</v>
      </c>
      <c r="B62" s="91" t="s">
        <v>85</v>
      </c>
      <c r="C62" s="71"/>
      <c r="D62" s="71"/>
      <c r="E62" s="72"/>
      <c r="F62" s="16"/>
      <c r="G62" s="16"/>
      <c r="H62" s="16"/>
      <c r="I62" s="16"/>
      <c r="J62" s="16"/>
      <c r="K62" s="16"/>
      <c r="L62" s="16"/>
      <c r="M62" s="16" t="s">
        <v>2</v>
      </c>
      <c r="N62" s="16"/>
      <c r="O62" s="16"/>
      <c r="P62" s="16"/>
      <c r="Q62" s="16"/>
      <c r="R62" s="16"/>
      <c r="S62" s="16"/>
      <c r="T62" s="16"/>
      <c r="U62" s="16" t="s">
        <v>2</v>
      </c>
      <c r="V62" s="16"/>
      <c r="W62" s="16"/>
      <c r="X62" s="16"/>
      <c r="Y62" s="16"/>
      <c r="Z62" s="16" t="s">
        <v>2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2</v>
      </c>
      <c r="AL62" s="16"/>
      <c r="AM62" s="16"/>
      <c r="AN62" s="16"/>
      <c r="AO62" s="16" t="s">
        <v>2</v>
      </c>
      <c r="AP62" s="16"/>
      <c r="AQ62" s="16"/>
      <c r="AR62" s="16"/>
      <c r="AS62" s="16"/>
      <c r="AT62" s="16"/>
      <c r="AU62" s="16"/>
      <c r="AV62" s="16"/>
      <c r="AW62" s="16" t="s">
        <v>2</v>
      </c>
      <c r="AX62" s="16"/>
      <c r="AY62" s="16"/>
      <c r="AZ62" s="16"/>
      <c r="BA62" s="16" t="s">
        <v>2</v>
      </c>
      <c r="BB62" s="98">
        <f>COUNTIF(F62:BA62,$H$5)</f>
        <v>7</v>
      </c>
      <c r="BC62" s="98">
        <f>COUNTIF(F63:BA63,$Q$5)</f>
        <v>7</v>
      </c>
      <c r="BD62" s="97">
        <f>IFERROR(BC62/BB62,"")</f>
        <v>1</v>
      </c>
      <c r="BE62" s="19"/>
      <c r="BF62" s="113" t="s">
        <v>87</v>
      </c>
    </row>
    <row r="63" spans="1:58" ht="21" customHeight="1" x14ac:dyDescent="0.25">
      <c r="A63" s="69"/>
      <c r="B63" s="73"/>
      <c r="C63" s="74"/>
      <c r="D63" s="74"/>
      <c r="E63" s="75"/>
      <c r="F63" s="16"/>
      <c r="G63" s="16"/>
      <c r="H63" s="16"/>
      <c r="I63" s="16"/>
      <c r="J63" s="16"/>
      <c r="K63" s="16"/>
      <c r="L63" s="16"/>
      <c r="M63" s="16" t="s">
        <v>4</v>
      </c>
      <c r="N63" s="16"/>
      <c r="O63" s="16"/>
      <c r="P63" s="16"/>
      <c r="Q63" s="16"/>
      <c r="R63" s="16"/>
      <c r="S63" s="16"/>
      <c r="T63" s="16"/>
      <c r="U63" s="16" t="s">
        <v>4</v>
      </c>
      <c r="V63" s="16"/>
      <c r="W63" s="16"/>
      <c r="X63" s="16"/>
      <c r="Y63" s="16"/>
      <c r="Z63" s="16" t="s">
        <v>4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4</v>
      </c>
      <c r="AL63" s="16"/>
      <c r="AM63" s="16"/>
      <c r="AN63" s="16"/>
      <c r="AO63" s="16" t="s">
        <v>4</v>
      </c>
      <c r="AP63" s="16"/>
      <c r="AQ63" s="16"/>
      <c r="AR63" s="16"/>
      <c r="AT63" s="16"/>
      <c r="AU63" s="16"/>
      <c r="AV63" s="16"/>
      <c r="AW63" s="16" t="s">
        <v>4</v>
      </c>
      <c r="AX63" s="16"/>
      <c r="AY63" s="16"/>
      <c r="AZ63" s="16"/>
      <c r="BA63" s="16" t="s">
        <v>4</v>
      </c>
      <c r="BB63" s="69"/>
      <c r="BC63" s="69"/>
      <c r="BD63" s="69"/>
      <c r="BE63" s="19">
        <v>1843900</v>
      </c>
      <c r="BF63" s="108"/>
    </row>
    <row r="64" spans="1:58" ht="21" customHeight="1" x14ac:dyDescent="0.25">
      <c r="A64" s="77" t="s">
        <v>58</v>
      </c>
      <c r="B64" s="91" t="s">
        <v>85</v>
      </c>
      <c r="C64" s="71"/>
      <c r="D64" s="71"/>
      <c r="E64" s="72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 t="s">
        <v>2</v>
      </c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 t="s">
        <v>2</v>
      </c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98">
        <f>COUNTIF(F64:BA64,$H$5)</f>
        <v>2</v>
      </c>
      <c r="BC64" s="98">
        <f>COUNTIF(F65:BA65,$Q$5)</f>
        <v>2</v>
      </c>
      <c r="BD64" s="97">
        <f>IFERROR(BC64/BB64,"")</f>
        <v>1</v>
      </c>
      <c r="BE64" s="19"/>
      <c r="BF64" s="170"/>
    </row>
    <row r="65" spans="1:58" ht="21" customHeight="1" x14ac:dyDescent="0.25">
      <c r="A65" s="69"/>
      <c r="B65" s="73"/>
      <c r="C65" s="74"/>
      <c r="D65" s="74"/>
      <c r="E65" s="75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 t="s">
        <v>4</v>
      </c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 t="s">
        <v>4</v>
      </c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69"/>
      <c r="BC65" s="69"/>
      <c r="BD65" s="69"/>
      <c r="BE65" s="19">
        <v>431200</v>
      </c>
      <c r="BF65" s="171"/>
    </row>
    <row r="66" spans="1:58" ht="21" customHeight="1" x14ac:dyDescent="0.25">
      <c r="A66" s="80" t="s">
        <v>84</v>
      </c>
      <c r="B66" s="175" t="s">
        <v>85</v>
      </c>
      <c r="C66" s="183"/>
      <c r="D66" s="183"/>
      <c r="E66" s="184"/>
      <c r="F66" s="16"/>
      <c r="G66" s="16"/>
      <c r="H66" s="16" t="s">
        <v>2</v>
      </c>
      <c r="I66" s="16"/>
      <c r="J66" s="16"/>
      <c r="K66" s="16"/>
      <c r="L66" s="16" t="s">
        <v>2</v>
      </c>
      <c r="M66" s="16"/>
      <c r="N66" s="16"/>
      <c r="O66" s="16"/>
      <c r="P66" s="16" t="s">
        <v>2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 t="s">
        <v>2</v>
      </c>
      <c r="AG66" s="16"/>
      <c r="AH66" s="16"/>
      <c r="AI66" s="16"/>
      <c r="AJ66" s="16"/>
      <c r="AK66" s="16"/>
      <c r="AL66" s="16" t="s">
        <v>2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 t="s">
        <v>2</v>
      </c>
      <c r="BB66" s="159">
        <v>3</v>
      </c>
      <c r="BC66" s="159">
        <v>4</v>
      </c>
      <c r="BD66" s="123">
        <v>0.9</v>
      </c>
      <c r="BE66" s="19">
        <v>1750000</v>
      </c>
      <c r="BF66" s="188" t="s">
        <v>101</v>
      </c>
    </row>
    <row r="67" spans="1:58" ht="18.75" customHeight="1" x14ac:dyDescent="0.25">
      <c r="A67" s="182"/>
      <c r="B67" s="185"/>
      <c r="C67" s="186"/>
      <c r="D67" s="186"/>
      <c r="E67" s="187"/>
      <c r="F67" s="16"/>
      <c r="G67" s="16"/>
      <c r="H67" s="16" t="s">
        <v>4</v>
      </c>
      <c r="I67" s="16"/>
      <c r="J67" s="16"/>
      <c r="K67" s="16"/>
      <c r="L67" s="16" t="s">
        <v>4</v>
      </c>
      <c r="M67" s="16"/>
      <c r="N67" s="16"/>
      <c r="O67" s="16"/>
      <c r="P67" s="16" t="s">
        <v>4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 t="s">
        <v>4</v>
      </c>
      <c r="AG67" s="16"/>
      <c r="AH67" s="16"/>
      <c r="AI67" s="16"/>
      <c r="AJ67" s="16"/>
      <c r="AK67" s="16"/>
      <c r="AL67" s="16" t="s">
        <v>4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24"/>
      <c r="BC67" s="124"/>
      <c r="BD67" s="124"/>
      <c r="BE67" s="19">
        <v>4818120</v>
      </c>
      <c r="BF67" s="171"/>
    </row>
    <row r="68" spans="1:58" ht="17.25" customHeight="1" x14ac:dyDescent="0.25">
      <c r="A68" s="80" t="s">
        <v>95</v>
      </c>
      <c r="B68" s="175" t="s">
        <v>85</v>
      </c>
      <c r="C68" s="176"/>
      <c r="D68" s="176"/>
      <c r="E68" s="177"/>
      <c r="F68" s="16"/>
      <c r="G68" s="16"/>
      <c r="H68" s="16"/>
      <c r="I68" s="16"/>
      <c r="J68" s="16"/>
      <c r="K68" s="16"/>
      <c r="L68" s="16"/>
      <c r="M68" s="16"/>
      <c r="N68" s="16" t="s">
        <v>2</v>
      </c>
      <c r="O68" s="16"/>
      <c r="P68" s="16"/>
      <c r="Q68" s="16"/>
      <c r="R68" s="16" t="s">
        <v>2</v>
      </c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 t="s">
        <v>2</v>
      </c>
      <c r="AH68" s="16"/>
      <c r="AI68" s="16"/>
      <c r="AJ68" s="16"/>
      <c r="AK68" s="16" t="s">
        <v>2</v>
      </c>
      <c r="AL68" s="16"/>
      <c r="AM68" s="16"/>
      <c r="AN68" s="16"/>
      <c r="AO68" s="16"/>
      <c r="AP68" s="16"/>
      <c r="AQ68" s="16" t="s">
        <v>2</v>
      </c>
      <c r="AR68" s="16"/>
      <c r="AS68" s="16"/>
      <c r="AT68" s="16"/>
      <c r="AU68" s="16"/>
      <c r="AV68" s="16"/>
      <c r="AW68" s="16"/>
      <c r="AX68" s="16"/>
      <c r="AY68" s="16"/>
      <c r="AZ68" s="16" t="s">
        <v>2</v>
      </c>
      <c r="BA68" s="16"/>
      <c r="BB68" s="156">
        <v>6</v>
      </c>
      <c r="BC68" s="156">
        <v>2</v>
      </c>
      <c r="BD68" s="158">
        <v>0.85</v>
      </c>
      <c r="BE68" s="19">
        <v>706380</v>
      </c>
      <c r="BF68" s="172"/>
    </row>
    <row r="69" spans="1:58" ht="19.5" customHeight="1" x14ac:dyDescent="0.25">
      <c r="A69" s="174"/>
      <c r="B69" s="178"/>
      <c r="C69" s="179"/>
      <c r="D69" s="179"/>
      <c r="E69" s="180"/>
      <c r="F69" s="16"/>
      <c r="G69" s="16"/>
      <c r="H69" s="16"/>
      <c r="I69" s="16"/>
      <c r="J69" s="16"/>
      <c r="K69" s="16"/>
      <c r="L69" s="16"/>
      <c r="M69" s="16"/>
      <c r="N69" s="16" t="s">
        <v>4</v>
      </c>
      <c r="O69" s="16"/>
      <c r="P69" s="16"/>
      <c r="Q69" s="16"/>
      <c r="R69" s="16" t="s">
        <v>4</v>
      </c>
      <c r="S69" s="16"/>
      <c r="T69" s="16"/>
      <c r="U69" s="16"/>
      <c r="V69" s="16"/>
      <c r="W69" s="16"/>
      <c r="Y69" s="16"/>
      <c r="Z69" s="16"/>
      <c r="AA69" s="16"/>
      <c r="AB69" s="16"/>
      <c r="AC69" s="16"/>
      <c r="AD69" s="16"/>
      <c r="AE69" s="16"/>
      <c r="AF69" s="16"/>
      <c r="AG69" s="16" t="s">
        <v>4</v>
      </c>
      <c r="AH69" s="16"/>
      <c r="AI69" s="16"/>
      <c r="AJ69" s="16"/>
      <c r="AK69" s="16" t="s">
        <v>4</v>
      </c>
      <c r="AL69" s="16"/>
      <c r="AM69" s="16"/>
      <c r="AN69" s="16"/>
      <c r="AO69" s="16"/>
      <c r="AP69" s="16"/>
      <c r="AQ69" s="16" t="s">
        <v>4</v>
      </c>
      <c r="AR69" s="16"/>
      <c r="AS69" s="16"/>
      <c r="AT69" s="16"/>
      <c r="AU69" s="16"/>
      <c r="AV69" s="16"/>
      <c r="AW69" s="16"/>
      <c r="AX69" s="16"/>
      <c r="AY69" s="16"/>
      <c r="AZ69" s="16" t="s">
        <v>4</v>
      </c>
      <c r="BA69" s="16"/>
      <c r="BB69" s="157"/>
      <c r="BC69" s="157"/>
      <c r="BD69" s="157"/>
      <c r="BE69" s="19">
        <v>586380</v>
      </c>
      <c r="BF69" s="171"/>
    </row>
    <row r="70" spans="1:58" ht="36" customHeight="1" x14ac:dyDescent="0.25">
      <c r="A70" s="80" t="s">
        <v>103</v>
      </c>
      <c r="B70" s="82" t="s">
        <v>98</v>
      </c>
      <c r="C70" s="83"/>
      <c r="D70" s="83"/>
      <c r="E70" s="84"/>
      <c r="F70" s="16"/>
      <c r="G70" s="16"/>
      <c r="H70" s="16"/>
      <c r="I70" s="16" t="s">
        <v>2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42"/>
      <c r="X70" s="62"/>
      <c r="Y70" s="43"/>
      <c r="Z70" s="16" t="s">
        <v>2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2</v>
      </c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61"/>
      <c r="BC70" s="61"/>
      <c r="BD70" s="61"/>
      <c r="BE70" s="63">
        <v>22800000</v>
      </c>
      <c r="BF70" s="64" t="s">
        <v>108</v>
      </c>
    </row>
    <row r="71" spans="1:58" ht="19.5" customHeight="1" x14ac:dyDescent="0.25">
      <c r="A71" s="81"/>
      <c r="B71" s="85"/>
      <c r="C71" s="86"/>
      <c r="D71" s="86"/>
      <c r="E71" s="87"/>
      <c r="F71" s="16"/>
      <c r="G71" s="16"/>
      <c r="H71" s="16"/>
      <c r="I71" s="16" t="s">
        <v>4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Y71" s="16"/>
      <c r="Z71" s="16" t="s">
        <v>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4</v>
      </c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61"/>
      <c r="BC71" s="61"/>
      <c r="BD71" s="61"/>
      <c r="BE71" s="19"/>
      <c r="BF71" s="60"/>
    </row>
    <row r="72" spans="1:58" ht="21" customHeight="1" x14ac:dyDescent="0.25">
      <c r="A72" s="77" t="s">
        <v>59</v>
      </c>
      <c r="B72" s="88" t="s">
        <v>85</v>
      </c>
      <c r="C72" s="71"/>
      <c r="D72" s="71"/>
      <c r="E72" s="72"/>
      <c r="F72" s="16" t="s">
        <v>2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 t="s">
        <v>2</v>
      </c>
      <c r="U72" s="16"/>
      <c r="V72" s="16"/>
      <c r="W72" s="16"/>
      <c r="X72" s="16"/>
      <c r="Y72" s="16"/>
      <c r="Z72" s="16"/>
      <c r="AA72" s="16"/>
      <c r="AB72" s="16"/>
      <c r="AC72" s="16" t="s">
        <v>2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 t="s">
        <v>2</v>
      </c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 t="s">
        <v>2</v>
      </c>
      <c r="AZ72" s="16"/>
      <c r="BA72" s="16"/>
      <c r="BB72" s="98">
        <f>COUNTIF(F72:BA72,$H$5)</f>
        <v>5</v>
      </c>
      <c r="BC72" s="98">
        <f>COUNTIF(F73:BA73,$Q$5)</f>
        <v>5</v>
      </c>
      <c r="BD72" s="97">
        <f>IFERROR(BC72/BB72,"")</f>
        <v>1</v>
      </c>
      <c r="BE72" s="19"/>
      <c r="BF72" s="172" t="s">
        <v>89</v>
      </c>
    </row>
    <row r="73" spans="1:58" ht="21" customHeight="1" x14ac:dyDescent="0.25">
      <c r="A73" s="69"/>
      <c r="B73" s="73"/>
      <c r="C73" s="74"/>
      <c r="D73" s="74"/>
      <c r="E73" s="75"/>
      <c r="F73" s="16" t="s">
        <v>4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 t="s">
        <v>4</v>
      </c>
      <c r="U73" s="16"/>
      <c r="V73" s="16"/>
      <c r="W73" s="16"/>
      <c r="X73" s="16"/>
      <c r="Y73" s="16"/>
      <c r="Z73" s="16"/>
      <c r="AA73" s="16"/>
      <c r="AB73" s="16"/>
      <c r="AC73" s="16" t="s">
        <v>4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 t="s">
        <v>4</v>
      </c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 t="s">
        <v>4</v>
      </c>
      <c r="AZ73" s="16"/>
      <c r="BA73" s="16"/>
      <c r="BB73" s="69"/>
      <c r="BC73" s="69"/>
      <c r="BD73" s="69"/>
      <c r="BE73" s="19">
        <v>532000</v>
      </c>
      <c r="BF73" s="173"/>
    </row>
    <row r="74" spans="1:58" ht="19.5" customHeight="1" x14ac:dyDescent="0.25">
      <c r="A74" s="93" t="s">
        <v>38</v>
      </c>
      <c r="B74" s="66"/>
      <c r="C74" s="66"/>
      <c r="D74" s="90"/>
      <c r="E74" s="25"/>
      <c r="F74" s="79">
        <f>COUNTIF(F60:I73,"P")</f>
        <v>3</v>
      </c>
      <c r="G74" s="66"/>
      <c r="H74" s="66"/>
      <c r="I74" s="67"/>
      <c r="J74" s="79">
        <f>COUNTIF(J60:M73,"P")</f>
        <v>3</v>
      </c>
      <c r="K74" s="66"/>
      <c r="L74" s="66"/>
      <c r="M74" s="67"/>
      <c r="N74" s="79">
        <f>COUNTIF(N60:Q73,"P")</f>
        <v>3</v>
      </c>
      <c r="O74" s="66"/>
      <c r="P74" s="66"/>
      <c r="Q74" s="67"/>
      <c r="R74" s="79">
        <f>COUNTIF(R60:U73,"P")</f>
        <v>5</v>
      </c>
      <c r="S74" s="66"/>
      <c r="T74" s="66"/>
      <c r="U74" s="67"/>
      <c r="V74" s="79">
        <f>COUNTIF(V60:Y73,"P")</f>
        <v>0</v>
      </c>
      <c r="W74" s="66"/>
      <c r="X74" s="66"/>
      <c r="Y74" s="67"/>
      <c r="Z74" s="79">
        <f>COUNTIF(Z60:AC73,"P")</f>
        <v>4</v>
      </c>
      <c r="AA74" s="66"/>
      <c r="AB74" s="66"/>
      <c r="AC74" s="67"/>
      <c r="AD74" s="79">
        <f>COUNTIF(AD60:AG73,"P")</f>
        <v>3</v>
      </c>
      <c r="AE74" s="66"/>
      <c r="AF74" s="66"/>
      <c r="AG74" s="67"/>
      <c r="AH74" s="79">
        <f>COUNTIF(AH60:AK73,"P")</f>
        <v>3</v>
      </c>
      <c r="AI74" s="66"/>
      <c r="AJ74" s="66"/>
      <c r="AK74" s="67"/>
      <c r="AL74" s="79">
        <f>COUNTIF(AL60:AO73,"P")</f>
        <v>6</v>
      </c>
      <c r="AM74" s="66"/>
      <c r="AN74" s="66"/>
      <c r="AO74" s="67"/>
      <c r="AP74" s="79">
        <f>COUNTIF(AP60:AS73,"P")</f>
        <v>2</v>
      </c>
      <c r="AQ74" s="66"/>
      <c r="AR74" s="66"/>
      <c r="AS74" s="67"/>
      <c r="AT74" s="79">
        <f>COUNTIF(AT60:AW73,"P")</f>
        <v>1</v>
      </c>
      <c r="AU74" s="66"/>
      <c r="AV74" s="66"/>
      <c r="AW74" s="67"/>
      <c r="AX74" s="79">
        <f>COUNTIF(AX60:BA73,"P")</f>
        <v>4</v>
      </c>
      <c r="AY74" s="66"/>
      <c r="AZ74" s="66"/>
      <c r="BA74" s="67"/>
      <c r="BB74" s="94" t="s">
        <v>39</v>
      </c>
      <c r="BC74" s="95"/>
      <c r="BD74" s="97">
        <f>+SUM(BC60:BC73)/SUM(BB60:BB73)</f>
        <v>0.90322580645161288</v>
      </c>
      <c r="BE74" s="19">
        <v>0</v>
      </c>
      <c r="BF74" s="114"/>
    </row>
    <row r="75" spans="1:58" ht="19.5" customHeight="1" x14ac:dyDescent="0.25">
      <c r="A75" s="89" t="s">
        <v>40</v>
      </c>
      <c r="B75" s="66"/>
      <c r="C75" s="66"/>
      <c r="D75" s="90"/>
      <c r="E75" s="26"/>
      <c r="F75" s="79">
        <f>COUNTIF(F60:I73,"R")</f>
        <v>3</v>
      </c>
      <c r="G75" s="66"/>
      <c r="H75" s="66"/>
      <c r="I75" s="67"/>
      <c r="J75" s="79">
        <f>COUNTIF(J60:M73,"R")</f>
        <v>3</v>
      </c>
      <c r="K75" s="66"/>
      <c r="L75" s="66"/>
      <c r="M75" s="67"/>
      <c r="N75" s="79">
        <f>COUNTIF(N60:Q73,"R")</f>
        <v>3</v>
      </c>
      <c r="O75" s="66"/>
      <c r="P75" s="66"/>
      <c r="Q75" s="67"/>
      <c r="R75" s="79">
        <f>COUNTIF(R60:U73,"R")</f>
        <v>5</v>
      </c>
      <c r="S75" s="66"/>
      <c r="T75" s="66"/>
      <c r="U75" s="67"/>
      <c r="V75" s="79">
        <f>COUNTIF(V60:Y73,"R")</f>
        <v>0</v>
      </c>
      <c r="W75" s="66"/>
      <c r="X75" s="66"/>
      <c r="Y75" s="67"/>
      <c r="Z75" s="79">
        <f>COUNTIF(Z60:AC73,"R")</f>
        <v>4</v>
      </c>
      <c r="AA75" s="66"/>
      <c r="AB75" s="66"/>
      <c r="AC75" s="67"/>
      <c r="AD75" s="79">
        <f>COUNTIF(AD60:AG73,"R")</f>
        <v>3</v>
      </c>
      <c r="AE75" s="66"/>
      <c r="AF75" s="66"/>
      <c r="AG75" s="67"/>
      <c r="AH75" s="79">
        <f>COUNTIF(AH60:AK73,"R")</f>
        <v>3</v>
      </c>
      <c r="AI75" s="66"/>
      <c r="AJ75" s="66"/>
      <c r="AK75" s="67"/>
      <c r="AL75" s="79">
        <f>COUNTIF(AL60:AO73,"R")</f>
        <v>6</v>
      </c>
      <c r="AM75" s="66"/>
      <c r="AN75" s="66"/>
      <c r="AO75" s="67"/>
      <c r="AP75" s="79">
        <f>COUNTIF(AP60:AS73,"R")</f>
        <v>2</v>
      </c>
      <c r="AQ75" s="66"/>
      <c r="AR75" s="66"/>
      <c r="AS75" s="67"/>
      <c r="AT75" s="79">
        <f>COUNTIF(AT60:AW73,"R")</f>
        <v>1</v>
      </c>
      <c r="AU75" s="66"/>
      <c r="AV75" s="66"/>
      <c r="AW75" s="67"/>
      <c r="AX75" s="79">
        <f>COUNTIF(AX60:BA73,"R")</f>
        <v>3</v>
      </c>
      <c r="AY75" s="66"/>
      <c r="AZ75" s="66"/>
      <c r="BA75" s="67"/>
      <c r="BB75" s="73"/>
      <c r="BC75" s="96"/>
      <c r="BD75" s="69"/>
      <c r="BE75" s="19">
        <v>0</v>
      </c>
      <c r="BF75" s="108"/>
    </row>
    <row r="76" spans="1:58" ht="19.5" customHeight="1" x14ac:dyDescent="0.25">
      <c r="A76" s="68" t="s">
        <v>60</v>
      </c>
      <c r="B76" s="70" t="s">
        <v>10</v>
      </c>
      <c r="C76" s="71"/>
      <c r="D76" s="71"/>
      <c r="E76" s="72"/>
      <c r="F76" s="65" t="s">
        <v>11</v>
      </c>
      <c r="G76" s="66"/>
      <c r="H76" s="66"/>
      <c r="I76" s="67"/>
      <c r="J76" s="65" t="s">
        <v>12</v>
      </c>
      <c r="K76" s="66"/>
      <c r="L76" s="66"/>
      <c r="M76" s="67"/>
      <c r="N76" s="65" t="s">
        <v>13</v>
      </c>
      <c r="O76" s="66"/>
      <c r="P76" s="66"/>
      <c r="Q76" s="67"/>
      <c r="R76" s="65" t="s">
        <v>14</v>
      </c>
      <c r="S76" s="66"/>
      <c r="T76" s="66"/>
      <c r="U76" s="67"/>
      <c r="V76" s="65" t="s">
        <v>15</v>
      </c>
      <c r="W76" s="66"/>
      <c r="X76" s="66"/>
      <c r="Y76" s="67"/>
      <c r="Z76" s="65" t="s">
        <v>16</v>
      </c>
      <c r="AA76" s="66"/>
      <c r="AB76" s="66"/>
      <c r="AC76" s="67"/>
      <c r="AD76" s="65" t="s">
        <v>17</v>
      </c>
      <c r="AE76" s="66"/>
      <c r="AF76" s="66"/>
      <c r="AG76" s="67"/>
      <c r="AH76" s="65" t="s">
        <v>18</v>
      </c>
      <c r="AI76" s="66"/>
      <c r="AJ76" s="66"/>
      <c r="AK76" s="67"/>
      <c r="AL76" s="65" t="s">
        <v>19</v>
      </c>
      <c r="AM76" s="66"/>
      <c r="AN76" s="66"/>
      <c r="AO76" s="67"/>
      <c r="AP76" s="65" t="s">
        <v>20</v>
      </c>
      <c r="AQ76" s="66"/>
      <c r="AR76" s="66"/>
      <c r="AS76" s="67"/>
      <c r="AT76" s="65" t="s">
        <v>21</v>
      </c>
      <c r="AU76" s="66"/>
      <c r="AV76" s="66"/>
      <c r="AW76" s="67"/>
      <c r="AX76" s="65" t="s">
        <v>22</v>
      </c>
      <c r="AY76" s="66"/>
      <c r="AZ76" s="66"/>
      <c r="BA76" s="67"/>
      <c r="BB76" s="99" t="s">
        <v>23</v>
      </c>
      <c r="BC76" s="66"/>
      <c r="BD76" s="67"/>
      <c r="BE76" s="111">
        <f>BE60+BE61+BE62+BE63+BE64+BE65+BE72+BE73+BE74+BE75+BE66+BE67+BE68+BE69+BE70+BE71</f>
        <v>39478307</v>
      </c>
      <c r="BF76" s="107" t="s">
        <v>25</v>
      </c>
    </row>
    <row r="77" spans="1:58" ht="19.5" customHeight="1" x14ac:dyDescent="0.25">
      <c r="A77" s="69"/>
      <c r="B77" s="73"/>
      <c r="C77" s="74"/>
      <c r="D77" s="74"/>
      <c r="E77" s="75"/>
      <c r="F77" s="12">
        <v>1</v>
      </c>
      <c r="G77" s="12">
        <v>2</v>
      </c>
      <c r="H77" s="12">
        <v>3</v>
      </c>
      <c r="I77" s="12">
        <v>4</v>
      </c>
      <c r="J77" s="12">
        <v>1</v>
      </c>
      <c r="K77" s="12">
        <v>2</v>
      </c>
      <c r="L77" s="12">
        <v>3</v>
      </c>
      <c r="M77" s="12">
        <v>4</v>
      </c>
      <c r="N77" s="12">
        <v>1</v>
      </c>
      <c r="O77" s="12">
        <v>2</v>
      </c>
      <c r="P77" s="12">
        <v>3</v>
      </c>
      <c r="Q77" s="12">
        <v>4</v>
      </c>
      <c r="R77" s="12">
        <v>1</v>
      </c>
      <c r="S77" s="12">
        <v>2</v>
      </c>
      <c r="T77" s="12">
        <v>3</v>
      </c>
      <c r="U77" s="12">
        <v>4</v>
      </c>
      <c r="V77" s="13">
        <v>1</v>
      </c>
      <c r="W77" s="13">
        <v>2</v>
      </c>
      <c r="X77" s="13">
        <v>3</v>
      </c>
      <c r="Y77" s="13">
        <v>4</v>
      </c>
      <c r="Z77" s="12">
        <v>1</v>
      </c>
      <c r="AA77" s="12">
        <v>2</v>
      </c>
      <c r="AB77" s="12">
        <v>3</v>
      </c>
      <c r="AC77" s="12">
        <v>4</v>
      </c>
      <c r="AD77" s="12">
        <v>1</v>
      </c>
      <c r="AE77" s="12">
        <v>2</v>
      </c>
      <c r="AF77" s="12">
        <v>3</v>
      </c>
      <c r="AG77" s="12">
        <v>4</v>
      </c>
      <c r="AH77" s="12">
        <v>1</v>
      </c>
      <c r="AI77" s="12">
        <v>2</v>
      </c>
      <c r="AJ77" s="12">
        <v>3</v>
      </c>
      <c r="AK77" s="12">
        <v>4</v>
      </c>
      <c r="AL77" s="12">
        <v>1</v>
      </c>
      <c r="AM77" s="12">
        <v>2</v>
      </c>
      <c r="AN77" s="12">
        <v>3</v>
      </c>
      <c r="AO77" s="12">
        <v>4</v>
      </c>
      <c r="AP77" s="12">
        <v>1</v>
      </c>
      <c r="AQ77" s="12">
        <v>2</v>
      </c>
      <c r="AR77" s="12">
        <v>3</v>
      </c>
      <c r="AS77" s="12">
        <v>4</v>
      </c>
      <c r="AT77" s="12">
        <v>1</v>
      </c>
      <c r="AU77" s="12">
        <v>2</v>
      </c>
      <c r="AV77" s="12">
        <v>3</v>
      </c>
      <c r="AW77" s="12">
        <v>4</v>
      </c>
      <c r="AX77" s="12">
        <v>1</v>
      </c>
      <c r="AY77" s="12">
        <v>2</v>
      </c>
      <c r="AZ77" s="12">
        <v>3</v>
      </c>
      <c r="BA77" s="12">
        <v>4</v>
      </c>
      <c r="BB77" s="14" t="s">
        <v>1</v>
      </c>
      <c r="BC77" s="15" t="s">
        <v>26</v>
      </c>
      <c r="BD77" s="15" t="s">
        <v>27</v>
      </c>
      <c r="BE77" s="108"/>
      <c r="BF77" s="108"/>
    </row>
    <row r="78" spans="1:58" ht="23.25" customHeight="1" x14ac:dyDescent="0.25">
      <c r="A78" s="126" t="s">
        <v>61</v>
      </c>
      <c r="B78" s="125" t="s">
        <v>85</v>
      </c>
      <c r="C78" s="71"/>
      <c r="D78" s="71"/>
      <c r="E78" s="72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 t="s">
        <v>2</v>
      </c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98">
        <f>COUNTIF(F78:BA78,$H$5)</f>
        <v>1</v>
      </c>
      <c r="BC78" s="98">
        <f>COUNTIF(F79:BA79,$Q$5)</f>
        <v>1</v>
      </c>
      <c r="BD78" s="118">
        <f>IFERROR(BC78/BB78,"")</f>
        <v>1</v>
      </c>
      <c r="BE78" s="19">
        <v>591240</v>
      </c>
      <c r="BF78" s="115" t="s">
        <v>102</v>
      </c>
    </row>
    <row r="79" spans="1:58" ht="23.25" customHeight="1" x14ac:dyDescent="0.25">
      <c r="A79" s="69"/>
      <c r="B79" s="73"/>
      <c r="C79" s="74"/>
      <c r="D79" s="74"/>
      <c r="E79" s="75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 t="s">
        <v>4</v>
      </c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69"/>
      <c r="BC79" s="69"/>
      <c r="BD79" s="69"/>
      <c r="BE79" s="19">
        <v>2030397</v>
      </c>
      <c r="BF79" s="75"/>
    </row>
    <row r="80" spans="1:58" ht="23.25" customHeight="1" x14ac:dyDescent="0.25">
      <c r="A80" s="126" t="s">
        <v>62</v>
      </c>
      <c r="B80" s="125" t="s">
        <v>85</v>
      </c>
      <c r="C80" s="71"/>
      <c r="D80" s="71"/>
      <c r="E80" s="72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 t="s">
        <v>2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98">
        <v>1</v>
      </c>
      <c r="BC80" s="98">
        <v>1</v>
      </c>
      <c r="BD80" s="116">
        <v>1</v>
      </c>
      <c r="BE80" s="19">
        <v>0</v>
      </c>
      <c r="BF80" s="110" t="s">
        <v>111</v>
      </c>
    </row>
    <row r="81" spans="1:58" ht="23.25" customHeight="1" x14ac:dyDescent="0.25">
      <c r="A81" s="69"/>
      <c r="B81" s="73"/>
      <c r="C81" s="74"/>
      <c r="D81" s="74"/>
      <c r="E81" s="75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 t="s">
        <v>4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69"/>
      <c r="BC81" s="69"/>
      <c r="BD81" s="69"/>
      <c r="BE81" s="19">
        <v>0</v>
      </c>
      <c r="BF81" s="117"/>
    </row>
    <row r="82" spans="1:58" ht="24" customHeight="1" x14ac:dyDescent="0.25">
      <c r="A82" s="126" t="s">
        <v>63</v>
      </c>
      <c r="B82" s="127" t="s">
        <v>85</v>
      </c>
      <c r="C82" s="71"/>
      <c r="D82" s="71"/>
      <c r="E82" s="72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98">
        <f>COUNTIF(F82:BA82,$H$5)</f>
        <v>0</v>
      </c>
      <c r="BC82" s="98">
        <f>COUNTIF(F83:BA83,$Q$5)</f>
        <v>0</v>
      </c>
      <c r="BD82" s="118" t="str">
        <f>IFERROR(BC82/BB82,"")</f>
        <v/>
      </c>
      <c r="BE82" s="19">
        <v>0</v>
      </c>
      <c r="BF82" s="115"/>
    </row>
    <row r="83" spans="1:58" ht="24" customHeight="1" x14ac:dyDescent="0.25">
      <c r="A83" s="69"/>
      <c r="B83" s="73"/>
      <c r="C83" s="74"/>
      <c r="D83" s="74"/>
      <c r="E83" s="75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69"/>
      <c r="BC83" s="69"/>
      <c r="BD83" s="69"/>
      <c r="BE83" s="19">
        <v>0</v>
      </c>
      <c r="BF83" s="75"/>
    </row>
    <row r="84" spans="1:58" ht="24" customHeight="1" x14ac:dyDescent="0.25">
      <c r="A84" s="93" t="s">
        <v>38</v>
      </c>
      <c r="B84" s="66"/>
      <c r="C84" s="66"/>
      <c r="D84" s="90"/>
      <c r="E84" s="25"/>
      <c r="F84" s="79">
        <f>COUNTIF(F78:I83,"P")</f>
        <v>0</v>
      </c>
      <c r="G84" s="66"/>
      <c r="H84" s="66"/>
      <c r="I84" s="67"/>
      <c r="J84" s="79">
        <f>COUNTIF(J78:M83,"P")</f>
        <v>0</v>
      </c>
      <c r="K84" s="66"/>
      <c r="L84" s="66"/>
      <c r="M84" s="67"/>
      <c r="N84" s="79">
        <f>COUNTIF(N78:Q83,"P")</f>
        <v>0</v>
      </c>
      <c r="O84" s="66"/>
      <c r="P84" s="66"/>
      <c r="Q84" s="67"/>
      <c r="R84" s="79">
        <f>COUNTIF(R78:U83,"P")</f>
        <v>1</v>
      </c>
      <c r="S84" s="66"/>
      <c r="T84" s="66"/>
      <c r="U84" s="67"/>
      <c r="V84" s="79">
        <f>COUNTIF(V78:Y83,"P")</f>
        <v>1</v>
      </c>
      <c r="W84" s="66"/>
      <c r="X84" s="66"/>
      <c r="Y84" s="67"/>
      <c r="Z84" s="79">
        <f>COUNTIF(Z78:AC83,"P")</f>
        <v>0</v>
      </c>
      <c r="AA84" s="66"/>
      <c r="AB84" s="66"/>
      <c r="AC84" s="67"/>
      <c r="AD84" s="79">
        <f>COUNTIF(AD78:AG83,"P")</f>
        <v>0</v>
      </c>
      <c r="AE84" s="66"/>
      <c r="AF84" s="66"/>
      <c r="AG84" s="67"/>
      <c r="AH84" s="79">
        <f>COUNTIF(AH78:AK83,"P")</f>
        <v>0</v>
      </c>
      <c r="AI84" s="66"/>
      <c r="AJ84" s="66"/>
      <c r="AK84" s="67"/>
      <c r="AL84" s="79">
        <f>COUNTIF(AL78:AO83,"P")</f>
        <v>0</v>
      </c>
      <c r="AM84" s="66"/>
      <c r="AN84" s="66"/>
      <c r="AO84" s="67"/>
      <c r="AP84" s="79">
        <f>COUNTIF(AP78:AS83,"P")</f>
        <v>0</v>
      </c>
      <c r="AQ84" s="66"/>
      <c r="AR84" s="66"/>
      <c r="AS84" s="67"/>
      <c r="AT84" s="79">
        <f>COUNTIF(AT78:AW83,"P")</f>
        <v>0</v>
      </c>
      <c r="AU84" s="66"/>
      <c r="AV84" s="66"/>
      <c r="AW84" s="67"/>
      <c r="AX84" s="79">
        <f>COUNTIF(AX78:BA83,"P")</f>
        <v>0</v>
      </c>
      <c r="AY84" s="66"/>
      <c r="AZ84" s="66"/>
      <c r="BA84" s="67"/>
      <c r="BB84" s="94" t="s">
        <v>39</v>
      </c>
      <c r="BC84" s="95"/>
      <c r="BD84" s="97">
        <f>+SUM(BC78:BC83)/SUM(BB78:BB83)</f>
        <v>1</v>
      </c>
      <c r="BE84" s="19">
        <v>0</v>
      </c>
      <c r="BF84" s="114"/>
    </row>
    <row r="85" spans="1:58" ht="24" customHeight="1" x14ac:dyDescent="0.25">
      <c r="A85" s="89" t="s">
        <v>40</v>
      </c>
      <c r="B85" s="66"/>
      <c r="C85" s="66"/>
      <c r="D85" s="90"/>
      <c r="E85" s="26"/>
      <c r="F85" s="79">
        <f>COUNTIF(F78:I83,"R")</f>
        <v>0</v>
      </c>
      <c r="G85" s="66"/>
      <c r="H85" s="66"/>
      <c r="I85" s="67"/>
      <c r="J85" s="79">
        <f>COUNTIF(J78:M83,"R")</f>
        <v>0</v>
      </c>
      <c r="K85" s="66"/>
      <c r="L85" s="66"/>
      <c r="M85" s="67"/>
      <c r="N85" s="79">
        <f>COUNTIF(N78:Q83,"R")</f>
        <v>0</v>
      </c>
      <c r="O85" s="66"/>
      <c r="P85" s="66"/>
      <c r="Q85" s="67"/>
      <c r="R85" s="79">
        <f>COUNTIF(R78:U83,"R")</f>
        <v>1</v>
      </c>
      <c r="S85" s="66"/>
      <c r="T85" s="66"/>
      <c r="U85" s="67"/>
      <c r="V85" s="79">
        <f>COUNTIF(V78:Y83,"R")</f>
        <v>1</v>
      </c>
      <c r="W85" s="66"/>
      <c r="X85" s="66"/>
      <c r="Y85" s="67"/>
      <c r="Z85" s="79">
        <f>COUNTIF(Z78:AC83,"R")</f>
        <v>0</v>
      </c>
      <c r="AA85" s="66"/>
      <c r="AB85" s="66"/>
      <c r="AC85" s="67"/>
      <c r="AD85" s="79">
        <f>COUNTIF(AD78:AG83,"R")</f>
        <v>0</v>
      </c>
      <c r="AE85" s="66"/>
      <c r="AF85" s="66"/>
      <c r="AG85" s="67"/>
      <c r="AH85" s="79">
        <f>COUNTIF(AH78:AK83,"R")</f>
        <v>0</v>
      </c>
      <c r="AI85" s="66"/>
      <c r="AJ85" s="66"/>
      <c r="AK85" s="67"/>
      <c r="AL85" s="79">
        <f>COUNTIF(AL78:AO83,"R")</f>
        <v>0</v>
      </c>
      <c r="AM85" s="66"/>
      <c r="AN85" s="66"/>
      <c r="AO85" s="67"/>
      <c r="AP85" s="79">
        <f>COUNTIF(AP78:AS83,"R")</f>
        <v>0</v>
      </c>
      <c r="AQ85" s="66"/>
      <c r="AR85" s="66"/>
      <c r="AS85" s="67"/>
      <c r="AT85" s="79">
        <f>COUNTIF(AT78:AW83,"R")</f>
        <v>0</v>
      </c>
      <c r="AU85" s="66"/>
      <c r="AV85" s="66"/>
      <c r="AW85" s="67"/>
      <c r="AX85" s="79">
        <f>COUNTIF(AX78:BA83,"R")</f>
        <v>0</v>
      </c>
      <c r="AY85" s="66"/>
      <c r="AZ85" s="66"/>
      <c r="BA85" s="67"/>
      <c r="BB85" s="73"/>
      <c r="BC85" s="96"/>
      <c r="BD85" s="69"/>
      <c r="BE85" s="19">
        <v>0</v>
      </c>
      <c r="BF85" s="108"/>
    </row>
    <row r="86" spans="1:58" ht="19.5" customHeight="1" x14ac:dyDescent="0.25">
      <c r="A86" s="68" t="s">
        <v>64</v>
      </c>
      <c r="B86" s="70" t="s">
        <v>10</v>
      </c>
      <c r="C86" s="71"/>
      <c r="D86" s="71"/>
      <c r="E86" s="72"/>
      <c r="F86" s="65" t="s">
        <v>11</v>
      </c>
      <c r="G86" s="66"/>
      <c r="H86" s="66"/>
      <c r="I86" s="67"/>
      <c r="J86" s="65" t="s">
        <v>12</v>
      </c>
      <c r="K86" s="66"/>
      <c r="L86" s="66"/>
      <c r="M86" s="67"/>
      <c r="N86" s="65" t="s">
        <v>13</v>
      </c>
      <c r="O86" s="66"/>
      <c r="P86" s="66"/>
      <c r="Q86" s="67"/>
      <c r="R86" s="65" t="s">
        <v>14</v>
      </c>
      <c r="S86" s="66"/>
      <c r="T86" s="66"/>
      <c r="U86" s="67"/>
      <c r="V86" s="65" t="s">
        <v>15</v>
      </c>
      <c r="W86" s="66"/>
      <c r="X86" s="66"/>
      <c r="Y86" s="67"/>
      <c r="Z86" s="65" t="s">
        <v>16</v>
      </c>
      <c r="AA86" s="66"/>
      <c r="AB86" s="66"/>
      <c r="AC86" s="67"/>
      <c r="AD86" s="65" t="s">
        <v>17</v>
      </c>
      <c r="AE86" s="66"/>
      <c r="AF86" s="66"/>
      <c r="AG86" s="67"/>
      <c r="AH86" s="65" t="s">
        <v>18</v>
      </c>
      <c r="AI86" s="66"/>
      <c r="AJ86" s="66"/>
      <c r="AK86" s="67"/>
      <c r="AL86" s="65" t="s">
        <v>19</v>
      </c>
      <c r="AM86" s="66"/>
      <c r="AN86" s="66"/>
      <c r="AO86" s="67"/>
      <c r="AP86" s="65" t="s">
        <v>20</v>
      </c>
      <c r="AQ86" s="66"/>
      <c r="AR86" s="66"/>
      <c r="AS86" s="67"/>
      <c r="AT86" s="65" t="s">
        <v>21</v>
      </c>
      <c r="AU86" s="66"/>
      <c r="AV86" s="66"/>
      <c r="AW86" s="67"/>
      <c r="AX86" s="65" t="s">
        <v>22</v>
      </c>
      <c r="AY86" s="66"/>
      <c r="AZ86" s="66"/>
      <c r="BA86" s="67"/>
      <c r="BB86" s="99" t="s">
        <v>23</v>
      </c>
      <c r="BC86" s="66"/>
      <c r="BD86" s="67"/>
      <c r="BE86" s="111">
        <f>BE78+BE79+BE80+BE81+BE82+BE83+BE84+BE85</f>
        <v>2621637</v>
      </c>
      <c r="BF86" s="107" t="s">
        <v>25</v>
      </c>
    </row>
    <row r="87" spans="1:58" ht="19.5" customHeight="1" x14ac:dyDescent="0.25">
      <c r="A87" s="69"/>
      <c r="B87" s="73"/>
      <c r="C87" s="74"/>
      <c r="D87" s="74"/>
      <c r="E87" s="75"/>
      <c r="F87" s="12">
        <v>1</v>
      </c>
      <c r="G87" s="12">
        <v>2</v>
      </c>
      <c r="H87" s="12">
        <v>3</v>
      </c>
      <c r="I87" s="12">
        <v>4</v>
      </c>
      <c r="J87" s="12">
        <v>1</v>
      </c>
      <c r="K87" s="12">
        <v>2</v>
      </c>
      <c r="L87" s="12">
        <v>3</v>
      </c>
      <c r="M87" s="12">
        <v>4</v>
      </c>
      <c r="N87" s="12">
        <v>1</v>
      </c>
      <c r="O87" s="12">
        <v>2</v>
      </c>
      <c r="P87" s="12">
        <v>3</v>
      </c>
      <c r="Q87" s="12">
        <v>4</v>
      </c>
      <c r="R87" s="12">
        <v>1</v>
      </c>
      <c r="S87" s="12">
        <v>2</v>
      </c>
      <c r="T87" s="12">
        <v>3</v>
      </c>
      <c r="U87" s="12">
        <v>4</v>
      </c>
      <c r="V87" s="13">
        <v>1</v>
      </c>
      <c r="W87" s="13">
        <v>2</v>
      </c>
      <c r="X87" s="13">
        <v>3</v>
      </c>
      <c r="Y87" s="13">
        <v>4</v>
      </c>
      <c r="Z87" s="12">
        <v>1</v>
      </c>
      <c r="AA87" s="12">
        <v>2</v>
      </c>
      <c r="AB87" s="12">
        <v>3</v>
      </c>
      <c r="AC87" s="12">
        <v>4</v>
      </c>
      <c r="AD87" s="12">
        <v>1</v>
      </c>
      <c r="AE87" s="12">
        <v>2</v>
      </c>
      <c r="AF87" s="12">
        <v>3</v>
      </c>
      <c r="AG87" s="12">
        <v>4</v>
      </c>
      <c r="AH87" s="12">
        <v>1</v>
      </c>
      <c r="AI87" s="12">
        <v>2</v>
      </c>
      <c r="AJ87" s="12">
        <v>3</v>
      </c>
      <c r="AK87" s="12">
        <v>4</v>
      </c>
      <c r="AL87" s="12">
        <v>1</v>
      </c>
      <c r="AM87" s="12">
        <v>2</v>
      </c>
      <c r="AN87" s="12">
        <v>3</v>
      </c>
      <c r="AO87" s="12">
        <v>4</v>
      </c>
      <c r="AP87" s="12">
        <v>1</v>
      </c>
      <c r="AQ87" s="12">
        <v>2</v>
      </c>
      <c r="AR87" s="12">
        <v>3</v>
      </c>
      <c r="AS87" s="12">
        <v>4</v>
      </c>
      <c r="AT87" s="12">
        <v>1</v>
      </c>
      <c r="AU87" s="12">
        <v>2</v>
      </c>
      <c r="AV87" s="12">
        <v>3</v>
      </c>
      <c r="AW87" s="12">
        <v>4</v>
      </c>
      <c r="AX87" s="12">
        <v>1</v>
      </c>
      <c r="AY87" s="12">
        <v>2</v>
      </c>
      <c r="AZ87" s="12">
        <v>3</v>
      </c>
      <c r="BA87" s="12">
        <v>4</v>
      </c>
      <c r="BB87" s="14" t="s">
        <v>1</v>
      </c>
      <c r="BC87" s="15" t="s">
        <v>26</v>
      </c>
      <c r="BD87" s="15" t="s">
        <v>27</v>
      </c>
      <c r="BE87" s="108"/>
      <c r="BF87" s="108"/>
    </row>
    <row r="88" spans="1:58" ht="19.5" customHeight="1" x14ac:dyDescent="0.25">
      <c r="A88" s="130" t="s">
        <v>96</v>
      </c>
      <c r="B88" s="132" t="s">
        <v>85</v>
      </c>
      <c r="C88" s="133"/>
      <c r="D88" s="133"/>
      <c r="E88" s="134"/>
      <c r="F88" s="59" t="s">
        <v>2</v>
      </c>
      <c r="G88" s="16"/>
      <c r="H88" s="55"/>
      <c r="I88" s="16"/>
      <c r="J88" s="16" t="s">
        <v>2</v>
      </c>
      <c r="K88" s="55"/>
      <c r="L88" s="55"/>
      <c r="M88" s="55"/>
      <c r="N88" s="16" t="s">
        <v>2</v>
      </c>
      <c r="O88" s="55"/>
      <c r="P88" s="55"/>
      <c r="Q88" s="55"/>
      <c r="R88" s="16" t="s">
        <v>2</v>
      </c>
      <c r="S88" s="55"/>
      <c r="T88" s="55"/>
      <c r="U88" s="55"/>
      <c r="V88" s="16" t="s">
        <v>2</v>
      </c>
      <c r="W88" s="56"/>
      <c r="X88" s="56"/>
      <c r="Y88" s="56"/>
      <c r="Z88" s="16" t="s">
        <v>2</v>
      </c>
      <c r="AA88" s="55"/>
      <c r="AB88" s="55"/>
      <c r="AC88" s="55"/>
      <c r="AD88" s="16" t="s">
        <v>2</v>
      </c>
      <c r="AE88" s="55"/>
      <c r="AF88" s="55"/>
      <c r="AG88" s="55"/>
      <c r="AH88" s="16" t="s">
        <v>2</v>
      </c>
      <c r="AI88" s="57"/>
      <c r="AJ88" s="55"/>
      <c r="AK88" s="55"/>
      <c r="AL88" s="16" t="s">
        <v>2</v>
      </c>
      <c r="AM88" s="55"/>
      <c r="AN88" s="55"/>
      <c r="AO88" s="55"/>
      <c r="AP88" s="16" t="s">
        <v>2</v>
      </c>
      <c r="AQ88" s="55"/>
      <c r="AR88" s="55"/>
      <c r="AS88" s="55"/>
      <c r="AT88" s="16" t="s">
        <v>2</v>
      </c>
      <c r="AU88" s="55"/>
      <c r="AV88" s="55"/>
      <c r="AW88" s="55"/>
      <c r="AX88" s="16" t="s">
        <v>2</v>
      </c>
      <c r="AY88" s="55"/>
      <c r="AZ88" s="55"/>
      <c r="BA88" s="55"/>
      <c r="BB88" s="146">
        <v>12</v>
      </c>
      <c r="BC88" s="146">
        <v>0</v>
      </c>
      <c r="BD88" s="148">
        <v>0</v>
      </c>
      <c r="BE88" s="52"/>
      <c r="BF88" s="53"/>
    </row>
    <row r="89" spans="1:58" ht="19.5" customHeight="1" x14ac:dyDescent="0.25">
      <c r="A89" s="131"/>
      <c r="B89" s="135"/>
      <c r="C89" s="136"/>
      <c r="D89" s="136"/>
      <c r="E89" s="137"/>
      <c r="F89" s="16" t="s">
        <v>4</v>
      </c>
      <c r="G89" s="55"/>
      <c r="H89" s="55"/>
      <c r="I89" s="16"/>
      <c r="J89" s="16" t="s">
        <v>4</v>
      </c>
      <c r="K89" s="55"/>
      <c r="L89" s="55"/>
      <c r="M89" s="55"/>
      <c r="N89" s="16" t="s">
        <v>4</v>
      </c>
      <c r="O89" s="55"/>
      <c r="P89" s="55"/>
      <c r="Q89" s="55"/>
      <c r="R89" s="16" t="s">
        <v>4</v>
      </c>
      <c r="S89" s="55"/>
      <c r="T89" s="55"/>
      <c r="U89" s="55"/>
      <c r="V89" s="16" t="s">
        <v>4</v>
      </c>
      <c r="W89" s="56"/>
      <c r="X89" s="56"/>
      <c r="Y89" s="56"/>
      <c r="Z89" s="16" t="s">
        <v>4</v>
      </c>
      <c r="AA89" s="55"/>
      <c r="AB89" s="55"/>
      <c r="AC89" s="55"/>
      <c r="AD89" s="16" t="s">
        <v>4</v>
      </c>
      <c r="AE89" s="55"/>
      <c r="AF89" s="55"/>
      <c r="AG89" s="55"/>
      <c r="AH89" s="16" t="s">
        <v>4</v>
      </c>
      <c r="AI89" s="58"/>
      <c r="AJ89" s="55"/>
      <c r="AK89" s="55"/>
      <c r="AL89" s="16" t="s">
        <v>4</v>
      </c>
      <c r="AM89" s="55"/>
      <c r="AN89" s="55"/>
      <c r="AO89" s="55"/>
      <c r="AP89" s="16" t="s">
        <v>4</v>
      </c>
      <c r="AQ89" s="55"/>
      <c r="AR89" s="55"/>
      <c r="AS89" s="55"/>
      <c r="AT89" s="16" t="s">
        <v>4</v>
      </c>
      <c r="AU89" s="55"/>
      <c r="AV89" s="55"/>
      <c r="AW89" s="55"/>
      <c r="AX89" s="55"/>
      <c r="AY89" s="55"/>
      <c r="AZ89" s="55"/>
      <c r="BA89" s="55"/>
      <c r="BB89" s="147"/>
      <c r="BC89" s="147"/>
      <c r="BD89" s="149"/>
      <c r="BE89" s="52"/>
      <c r="BF89" s="53"/>
    </row>
    <row r="90" spans="1:58" ht="19.5" customHeight="1" x14ac:dyDescent="0.3">
      <c r="A90" s="129" t="s">
        <v>65</v>
      </c>
      <c r="B90" s="127" t="s">
        <v>66</v>
      </c>
      <c r="C90" s="71"/>
      <c r="D90" s="71"/>
      <c r="E90" s="72"/>
      <c r="F90" s="16" t="s">
        <v>2</v>
      </c>
      <c r="G90" s="16"/>
      <c r="H90" s="16"/>
      <c r="I90" s="16"/>
      <c r="J90" s="16" t="s">
        <v>2</v>
      </c>
      <c r="K90" s="16"/>
      <c r="L90" s="16"/>
      <c r="M90" s="16"/>
      <c r="N90" s="16" t="s">
        <v>2</v>
      </c>
      <c r="O90" s="16"/>
      <c r="P90" s="16"/>
      <c r="Q90" s="16"/>
      <c r="R90" s="16" t="s">
        <v>2</v>
      </c>
      <c r="S90" s="16"/>
      <c r="T90" s="16"/>
      <c r="U90" s="16"/>
      <c r="V90" s="16" t="s">
        <v>2</v>
      </c>
      <c r="W90" s="16"/>
      <c r="X90" s="16"/>
      <c r="Y90" s="16"/>
      <c r="Z90" s="16" t="s">
        <v>2</v>
      </c>
      <c r="AA90" s="16"/>
      <c r="AB90" s="16"/>
      <c r="AC90" s="16"/>
      <c r="AD90" s="16" t="s">
        <v>2</v>
      </c>
      <c r="AE90" s="16"/>
      <c r="AF90" s="16"/>
      <c r="AG90" s="16"/>
      <c r="AH90" s="16" t="s">
        <v>2</v>
      </c>
      <c r="AI90" s="17"/>
      <c r="AJ90" s="16"/>
      <c r="AK90" s="16"/>
      <c r="AL90" s="16" t="s">
        <v>2</v>
      </c>
      <c r="AM90" s="16"/>
      <c r="AN90" s="16"/>
      <c r="AO90" s="16"/>
      <c r="AP90" s="16" t="s">
        <v>2</v>
      </c>
      <c r="AQ90" s="16"/>
      <c r="AR90" s="16"/>
      <c r="AS90" s="16"/>
      <c r="AT90" s="16" t="s">
        <v>2</v>
      </c>
      <c r="AU90" s="16"/>
      <c r="AV90" s="16"/>
      <c r="AW90" s="16"/>
      <c r="AX90" s="16" t="s">
        <v>2</v>
      </c>
      <c r="AY90" s="16"/>
      <c r="AZ90" s="16"/>
      <c r="BA90" s="16"/>
      <c r="BB90" s="98">
        <f>COUNTIF(F90:BA90,$H$5)</f>
        <v>12</v>
      </c>
      <c r="BC90" s="98">
        <f>COUNTIF(F91:BA91,$Q$5)</f>
        <v>11</v>
      </c>
      <c r="BD90" s="97">
        <f>IFERROR(BC90/BB90,"")</f>
        <v>0.91666666666666663</v>
      </c>
      <c r="BE90" s="19">
        <v>0</v>
      </c>
      <c r="BF90" s="115"/>
    </row>
    <row r="91" spans="1:58" ht="19.5" customHeight="1" x14ac:dyDescent="0.25">
      <c r="A91" s="69"/>
      <c r="B91" s="73"/>
      <c r="C91" s="74"/>
      <c r="D91" s="74"/>
      <c r="E91" s="75"/>
      <c r="F91" s="16" t="s">
        <v>4</v>
      </c>
      <c r="G91" s="16"/>
      <c r="H91" s="16"/>
      <c r="I91" s="16"/>
      <c r="J91" s="30" t="s">
        <v>4</v>
      </c>
      <c r="K91" s="16"/>
      <c r="L91" s="16"/>
      <c r="M91" s="16"/>
      <c r="N91" s="16" t="s">
        <v>4</v>
      </c>
      <c r="O91" s="16"/>
      <c r="P91" s="16"/>
      <c r="Q91" s="16"/>
      <c r="R91" s="16" t="s">
        <v>4</v>
      </c>
      <c r="S91" s="16"/>
      <c r="T91" s="16"/>
      <c r="U91" s="16"/>
      <c r="V91" s="16" t="s">
        <v>4</v>
      </c>
      <c r="W91" s="16"/>
      <c r="X91" s="16"/>
      <c r="Y91" s="16"/>
      <c r="Z91" s="16" t="s">
        <v>4</v>
      </c>
      <c r="AA91" s="16"/>
      <c r="AB91" s="16"/>
      <c r="AC91" s="16"/>
      <c r="AD91" s="16" t="s">
        <v>4</v>
      </c>
      <c r="AE91" s="16"/>
      <c r="AF91" s="16"/>
      <c r="AG91" s="16"/>
      <c r="AH91" s="16" t="s">
        <v>4</v>
      </c>
      <c r="AI91" s="16"/>
      <c r="AJ91" s="16"/>
      <c r="AK91" s="16"/>
      <c r="AL91" s="16" t="s">
        <v>4</v>
      </c>
      <c r="AM91" s="16"/>
      <c r="AN91" s="16"/>
      <c r="AO91" s="16"/>
      <c r="AP91" s="16" t="s">
        <v>4</v>
      </c>
      <c r="AQ91" s="16"/>
      <c r="AR91" s="16"/>
      <c r="AS91" s="16"/>
      <c r="AT91" s="16" t="s">
        <v>4</v>
      </c>
      <c r="AU91" s="16"/>
      <c r="AV91" s="16"/>
      <c r="AW91" s="16"/>
      <c r="AX91" s="16"/>
      <c r="AY91" s="16"/>
      <c r="AZ91" s="16"/>
      <c r="BA91" s="16"/>
      <c r="BB91" s="69"/>
      <c r="BC91" s="69"/>
      <c r="BD91" s="69"/>
      <c r="BE91" s="19">
        <v>0</v>
      </c>
      <c r="BF91" s="75"/>
    </row>
    <row r="92" spans="1:58" ht="19.5" customHeight="1" x14ac:dyDescent="0.3">
      <c r="A92" s="128" t="s">
        <v>67</v>
      </c>
      <c r="B92" s="127" t="s">
        <v>53</v>
      </c>
      <c r="C92" s="71"/>
      <c r="D92" s="71"/>
      <c r="E92" s="72"/>
      <c r="F92" s="16" t="s">
        <v>2</v>
      </c>
      <c r="G92" s="16"/>
      <c r="H92" s="16"/>
      <c r="I92" s="16"/>
      <c r="J92" s="16" t="s">
        <v>2</v>
      </c>
      <c r="K92" s="16"/>
      <c r="L92" s="16"/>
      <c r="M92" s="16"/>
      <c r="N92" s="16" t="s">
        <v>2</v>
      </c>
      <c r="O92" s="16"/>
      <c r="P92" s="16"/>
      <c r="Q92" s="16"/>
      <c r="R92" s="16" t="s">
        <v>2</v>
      </c>
      <c r="S92" s="16"/>
      <c r="T92" s="16"/>
      <c r="U92" s="16"/>
      <c r="V92" s="16" t="s">
        <v>2</v>
      </c>
      <c r="W92" s="16"/>
      <c r="X92" s="16"/>
      <c r="Y92" s="16"/>
      <c r="Z92" s="16" t="s">
        <v>2</v>
      </c>
      <c r="AA92" s="16"/>
      <c r="AB92" s="16"/>
      <c r="AC92" s="16"/>
      <c r="AD92" s="16" t="s">
        <v>2</v>
      </c>
      <c r="AE92" s="16"/>
      <c r="AF92" s="16"/>
      <c r="AG92" s="16"/>
      <c r="AH92" s="16" t="s">
        <v>2</v>
      </c>
      <c r="AI92" s="18"/>
      <c r="AJ92" s="16"/>
      <c r="AK92" s="16"/>
      <c r="AL92" s="16" t="s">
        <v>2</v>
      </c>
      <c r="AM92" s="16"/>
      <c r="AN92" s="16"/>
      <c r="AO92" s="16"/>
      <c r="AP92" s="16" t="s">
        <v>2</v>
      </c>
      <c r="AQ92" s="16"/>
      <c r="AR92" s="16"/>
      <c r="AS92" s="16"/>
      <c r="AT92" s="16" t="s">
        <v>2</v>
      </c>
      <c r="AU92" s="16"/>
      <c r="AV92" s="16"/>
      <c r="AW92" s="16"/>
      <c r="AX92" s="16" t="s">
        <v>2</v>
      </c>
      <c r="AY92" s="16"/>
      <c r="AZ92" s="16"/>
      <c r="BA92" s="16"/>
      <c r="BB92" s="98">
        <f>COUNTIF(F92:BA92,$H$5)</f>
        <v>12</v>
      </c>
      <c r="BC92" s="98">
        <f>COUNTIF(F95:BA95,$Q$5)</f>
        <v>11</v>
      </c>
      <c r="BD92" s="97">
        <f>IFERROR(BC92/BB92,"")</f>
        <v>0.91666666666666663</v>
      </c>
      <c r="BE92" s="19">
        <v>0</v>
      </c>
      <c r="BF92" s="115"/>
    </row>
    <row r="93" spans="1:58" ht="19.5" customHeight="1" x14ac:dyDescent="0.3">
      <c r="A93" s="69"/>
      <c r="B93" s="73"/>
      <c r="C93" s="74"/>
      <c r="D93" s="74"/>
      <c r="E93" s="75"/>
      <c r="F93" s="16" t="s">
        <v>4</v>
      </c>
      <c r="G93" s="16"/>
      <c r="H93" s="16"/>
      <c r="I93" s="16"/>
      <c r="J93" s="30" t="s">
        <v>4</v>
      </c>
      <c r="K93" s="16"/>
      <c r="L93" s="16"/>
      <c r="M93" s="16"/>
      <c r="N93" s="16" t="s">
        <v>4</v>
      </c>
      <c r="O93" s="16"/>
      <c r="P93" s="16"/>
      <c r="Q93" s="16"/>
      <c r="R93" s="16" t="s">
        <v>4</v>
      </c>
      <c r="S93" s="16"/>
      <c r="T93" s="16"/>
      <c r="U93" s="16"/>
      <c r="V93" s="16" t="s">
        <v>4</v>
      </c>
      <c r="W93" s="16"/>
      <c r="X93" s="16"/>
      <c r="Y93" s="16"/>
      <c r="Z93" s="16" t="s">
        <v>4</v>
      </c>
      <c r="AA93" s="16"/>
      <c r="AB93" s="16"/>
      <c r="AC93" s="16"/>
      <c r="AD93" s="16" t="s">
        <v>4</v>
      </c>
      <c r="AE93" s="16"/>
      <c r="AF93" s="16"/>
      <c r="AG93" s="16"/>
      <c r="AH93" s="16" t="s">
        <v>4</v>
      </c>
      <c r="AI93" s="18"/>
      <c r="AJ93" s="16"/>
      <c r="AK93" s="16"/>
      <c r="AL93" s="16" t="s">
        <v>4</v>
      </c>
      <c r="AM93" s="16"/>
      <c r="AN93" s="16"/>
      <c r="AO93" s="16"/>
      <c r="AP93" s="16" t="s">
        <v>4</v>
      </c>
      <c r="AQ93" s="16"/>
      <c r="AR93" s="16"/>
      <c r="AS93" s="16"/>
      <c r="AT93" s="16" t="s">
        <v>4</v>
      </c>
      <c r="AU93" s="16"/>
      <c r="AV93" s="16"/>
      <c r="AW93" s="16"/>
      <c r="AX93" s="16"/>
      <c r="AY93" s="16"/>
      <c r="AZ93" s="16"/>
      <c r="BA93" s="16"/>
      <c r="BB93" s="69"/>
      <c r="BC93" s="69"/>
      <c r="BD93" s="69"/>
      <c r="BE93" s="19">
        <v>0</v>
      </c>
      <c r="BF93" s="139"/>
    </row>
    <row r="94" spans="1:58" ht="19.5" customHeight="1" x14ac:dyDescent="0.3">
      <c r="A94" s="128" t="s">
        <v>68</v>
      </c>
      <c r="B94" s="127" t="s">
        <v>29</v>
      </c>
      <c r="C94" s="71"/>
      <c r="D94" s="71"/>
      <c r="E94" s="72"/>
      <c r="F94" s="16" t="s">
        <v>2</v>
      </c>
      <c r="G94" s="16"/>
      <c r="H94" s="16"/>
      <c r="I94" s="16"/>
      <c r="J94" s="16" t="s">
        <v>2</v>
      </c>
      <c r="K94" s="16"/>
      <c r="L94" s="16"/>
      <c r="M94" s="16"/>
      <c r="N94" s="16" t="s">
        <v>2</v>
      </c>
      <c r="O94" s="16"/>
      <c r="P94" s="16"/>
      <c r="Q94" s="16"/>
      <c r="R94" s="16" t="s">
        <v>2</v>
      </c>
      <c r="S94" s="16"/>
      <c r="T94" s="16"/>
      <c r="U94" s="16"/>
      <c r="V94" s="16" t="s">
        <v>2</v>
      </c>
      <c r="W94" s="16"/>
      <c r="X94" s="16"/>
      <c r="Y94" s="16"/>
      <c r="Z94" s="16" t="s">
        <v>2</v>
      </c>
      <c r="AA94" s="16"/>
      <c r="AB94" s="16"/>
      <c r="AC94" s="16"/>
      <c r="AD94" s="16" t="s">
        <v>2</v>
      </c>
      <c r="AE94" s="16"/>
      <c r="AF94" s="16"/>
      <c r="AG94" s="16"/>
      <c r="AH94" s="16" t="s">
        <v>2</v>
      </c>
      <c r="AI94" s="18"/>
      <c r="AJ94" s="16"/>
      <c r="AK94" s="16"/>
      <c r="AL94" s="16" t="s">
        <v>2</v>
      </c>
      <c r="AM94" s="16"/>
      <c r="AN94" s="16"/>
      <c r="AO94" s="16"/>
      <c r="AP94" s="16" t="s">
        <v>2</v>
      </c>
      <c r="AQ94" s="16"/>
      <c r="AR94" s="16"/>
      <c r="AS94" s="16"/>
      <c r="AT94" s="16" t="s">
        <v>2</v>
      </c>
      <c r="AU94" s="16"/>
      <c r="AV94" s="16"/>
      <c r="AW94" s="16"/>
      <c r="AX94" s="16" t="s">
        <v>2</v>
      </c>
      <c r="AY94" s="16"/>
      <c r="AZ94" s="16"/>
      <c r="BA94" s="16"/>
      <c r="BB94" s="98">
        <f>COUNTIF(F94:BA94,$H$5)</f>
        <v>12</v>
      </c>
      <c r="BC94" s="98">
        <f>COUNTIF(F97:BA97,$Q$5)</f>
        <v>11</v>
      </c>
      <c r="BD94" s="97">
        <f>IFERROR(BC94/BB94,"")</f>
        <v>0.91666666666666663</v>
      </c>
      <c r="BE94" s="19">
        <v>0</v>
      </c>
      <c r="BF94" s="139"/>
    </row>
    <row r="95" spans="1:58" ht="19.5" customHeight="1" x14ac:dyDescent="0.25">
      <c r="A95" s="69"/>
      <c r="B95" s="73"/>
      <c r="C95" s="74"/>
      <c r="D95" s="74"/>
      <c r="E95" s="75"/>
      <c r="F95" s="16" t="s">
        <v>4</v>
      </c>
      <c r="G95" s="16"/>
      <c r="H95" s="16"/>
      <c r="I95" s="16"/>
      <c r="J95" s="16" t="s">
        <v>4</v>
      </c>
      <c r="K95" s="16"/>
      <c r="L95" s="16"/>
      <c r="M95" s="16"/>
      <c r="N95" s="16" t="s">
        <v>4</v>
      </c>
      <c r="O95" s="16"/>
      <c r="P95" s="16"/>
      <c r="Q95" s="16"/>
      <c r="R95" s="16" t="s">
        <v>4</v>
      </c>
      <c r="S95" s="16"/>
      <c r="T95" s="16"/>
      <c r="U95" s="16"/>
      <c r="V95" s="16" t="s">
        <v>4</v>
      </c>
      <c r="W95" s="16"/>
      <c r="X95" s="16"/>
      <c r="Y95" s="16"/>
      <c r="Z95" s="16" t="s">
        <v>4</v>
      </c>
      <c r="AA95" s="16"/>
      <c r="AB95" s="16"/>
      <c r="AC95" s="16"/>
      <c r="AD95" s="16" t="s">
        <v>4</v>
      </c>
      <c r="AE95" s="16"/>
      <c r="AF95" s="16"/>
      <c r="AG95" s="16"/>
      <c r="AH95" s="16" t="s">
        <v>4</v>
      </c>
      <c r="AI95" s="16"/>
      <c r="AJ95" s="16"/>
      <c r="AK95" s="16"/>
      <c r="AL95" s="16" t="s">
        <v>4</v>
      </c>
      <c r="AM95" s="16"/>
      <c r="AN95" s="16"/>
      <c r="AO95" s="16"/>
      <c r="AP95" s="16" t="s">
        <v>4</v>
      </c>
      <c r="AQ95" s="16"/>
      <c r="AR95" s="16"/>
      <c r="AS95" s="16"/>
      <c r="AT95" s="16" t="s">
        <v>4</v>
      </c>
      <c r="AU95" s="16"/>
      <c r="AV95" s="16"/>
      <c r="AW95" s="16"/>
      <c r="AX95" s="16"/>
      <c r="AY95" s="16"/>
      <c r="AZ95" s="16"/>
      <c r="BA95" s="16"/>
      <c r="BB95" s="69"/>
      <c r="BC95" s="69"/>
      <c r="BD95" s="69"/>
      <c r="BE95" s="19">
        <v>0</v>
      </c>
      <c r="BF95" s="75"/>
    </row>
    <row r="96" spans="1:58" ht="19.5" customHeight="1" x14ac:dyDescent="0.3">
      <c r="A96" s="129" t="s">
        <v>69</v>
      </c>
      <c r="B96" s="127" t="s">
        <v>43</v>
      </c>
      <c r="C96" s="71"/>
      <c r="D96" s="71"/>
      <c r="E96" s="72"/>
      <c r="F96" s="16" t="s">
        <v>2</v>
      </c>
      <c r="G96" s="16"/>
      <c r="H96" s="16"/>
      <c r="I96" s="16"/>
      <c r="J96" s="16" t="s">
        <v>2</v>
      </c>
      <c r="K96" s="16"/>
      <c r="L96" s="16"/>
      <c r="M96" s="16"/>
      <c r="N96" s="16" t="s">
        <v>2</v>
      </c>
      <c r="O96" s="16"/>
      <c r="P96" s="16"/>
      <c r="Q96" s="16"/>
      <c r="R96" s="16" t="s">
        <v>2</v>
      </c>
      <c r="S96" s="16"/>
      <c r="T96" s="16"/>
      <c r="U96" s="16"/>
      <c r="V96" s="16" t="s">
        <v>2</v>
      </c>
      <c r="W96" s="16"/>
      <c r="X96" s="16"/>
      <c r="Y96" s="16"/>
      <c r="Z96" s="16" t="s">
        <v>2</v>
      </c>
      <c r="AA96" s="16"/>
      <c r="AB96" s="16"/>
      <c r="AC96" s="16"/>
      <c r="AD96" s="16" t="s">
        <v>2</v>
      </c>
      <c r="AE96" s="16"/>
      <c r="AF96" s="16"/>
      <c r="AG96" s="16"/>
      <c r="AH96" s="16" t="s">
        <v>2</v>
      </c>
      <c r="AI96" s="18"/>
      <c r="AJ96" s="16"/>
      <c r="AK96" s="16"/>
      <c r="AL96" s="16" t="s">
        <v>2</v>
      </c>
      <c r="AM96" s="16"/>
      <c r="AN96" s="16"/>
      <c r="AO96" s="16"/>
      <c r="AP96" s="16" t="s">
        <v>2</v>
      </c>
      <c r="AQ96" s="16"/>
      <c r="AR96" s="16"/>
      <c r="AS96" s="16"/>
      <c r="AT96" s="16" t="s">
        <v>2</v>
      </c>
      <c r="AU96" s="16"/>
      <c r="AV96" s="16"/>
      <c r="AW96" s="16"/>
      <c r="AX96" s="16" t="s">
        <v>2</v>
      </c>
      <c r="AY96" s="16"/>
      <c r="AZ96" s="16"/>
      <c r="BA96" s="16"/>
      <c r="BB96" s="98">
        <f>COUNTIF(F96:BA96,$H$5)</f>
        <v>12</v>
      </c>
      <c r="BC96" s="98">
        <v>12</v>
      </c>
      <c r="BD96" s="97">
        <f>IFERROR(BC96/BB96,"")</f>
        <v>1</v>
      </c>
      <c r="BE96" s="19">
        <v>0</v>
      </c>
      <c r="BF96" s="115"/>
    </row>
    <row r="97" spans="1:58" ht="19.5" customHeight="1" x14ac:dyDescent="0.3">
      <c r="A97" s="69"/>
      <c r="B97" s="73"/>
      <c r="C97" s="74"/>
      <c r="D97" s="74"/>
      <c r="E97" s="75"/>
      <c r="F97" s="16" t="s">
        <v>4</v>
      </c>
      <c r="G97" s="16"/>
      <c r="H97" s="16"/>
      <c r="I97" s="16"/>
      <c r="J97" s="16" t="s">
        <v>4</v>
      </c>
      <c r="K97" s="16"/>
      <c r="L97" s="16"/>
      <c r="M97" s="16"/>
      <c r="N97" s="16" t="s">
        <v>4</v>
      </c>
      <c r="O97" s="16"/>
      <c r="P97" s="16"/>
      <c r="Q97" s="16"/>
      <c r="R97" s="16" t="s">
        <v>4</v>
      </c>
      <c r="S97" s="16"/>
      <c r="T97" s="16"/>
      <c r="U97" s="16"/>
      <c r="V97" s="16" t="s">
        <v>4</v>
      </c>
      <c r="W97" s="16"/>
      <c r="X97" s="16"/>
      <c r="Y97" s="16"/>
      <c r="Z97" s="16" t="s">
        <v>4</v>
      </c>
      <c r="AA97" s="16"/>
      <c r="AB97" s="16"/>
      <c r="AC97" s="16"/>
      <c r="AD97" s="16" t="s">
        <v>4</v>
      </c>
      <c r="AE97" s="16"/>
      <c r="AF97" s="16"/>
      <c r="AG97" s="16"/>
      <c r="AH97" s="16" t="s">
        <v>4</v>
      </c>
      <c r="AI97" s="17"/>
      <c r="AJ97" s="16"/>
      <c r="AK97" s="16"/>
      <c r="AL97" s="16" t="s">
        <v>4</v>
      </c>
      <c r="AM97" s="16"/>
      <c r="AN97" s="16"/>
      <c r="AO97" s="16"/>
      <c r="AP97" s="16" t="s">
        <v>4</v>
      </c>
      <c r="AQ97" s="16"/>
      <c r="AR97" s="16"/>
      <c r="AS97" s="16"/>
      <c r="AT97" s="16" t="s">
        <v>4</v>
      </c>
      <c r="AU97" s="16"/>
      <c r="AV97" s="16"/>
      <c r="AW97" s="16"/>
      <c r="AX97" s="16"/>
      <c r="AY97" s="16"/>
      <c r="AZ97" s="16"/>
      <c r="BA97" s="16"/>
      <c r="BB97" s="69"/>
      <c r="BC97" s="69"/>
      <c r="BD97" s="69"/>
      <c r="BE97" s="19">
        <v>0</v>
      </c>
      <c r="BF97" s="75"/>
    </row>
    <row r="98" spans="1:58" ht="19.5" customHeight="1" x14ac:dyDescent="0.25">
      <c r="A98" s="93" t="s">
        <v>38</v>
      </c>
      <c r="B98" s="66"/>
      <c r="C98" s="66"/>
      <c r="D98" s="66"/>
      <c r="E98" s="67"/>
      <c r="F98" s="79">
        <f>COUNTIF(F78:I97,"P")</f>
        <v>5</v>
      </c>
      <c r="G98" s="66"/>
      <c r="H98" s="66"/>
      <c r="I98" s="67"/>
      <c r="J98" s="79">
        <f>COUNTIF(J78:M97,"P")</f>
        <v>5</v>
      </c>
      <c r="K98" s="66"/>
      <c r="L98" s="66"/>
      <c r="M98" s="67"/>
      <c r="N98" s="79">
        <f>COUNTIF(N78:Q97,"P")</f>
        <v>5</v>
      </c>
      <c r="O98" s="66"/>
      <c r="P98" s="66"/>
      <c r="Q98" s="67"/>
      <c r="R98" s="79">
        <f>COUNTIF(R78:U97,"P")</f>
        <v>6</v>
      </c>
      <c r="S98" s="66"/>
      <c r="T98" s="66"/>
      <c r="U98" s="67"/>
      <c r="V98" s="79">
        <f>COUNTIF(V78:Y97,"P")</f>
        <v>6</v>
      </c>
      <c r="W98" s="66"/>
      <c r="X98" s="66"/>
      <c r="Y98" s="67"/>
      <c r="Z98" s="79">
        <f>COUNTIF(Z78:AC97,"P")</f>
        <v>5</v>
      </c>
      <c r="AA98" s="66"/>
      <c r="AB98" s="66"/>
      <c r="AC98" s="67"/>
      <c r="AD98" s="79">
        <f>COUNTIF(AD78:AG97,"P")</f>
        <v>5</v>
      </c>
      <c r="AE98" s="66"/>
      <c r="AF98" s="66"/>
      <c r="AG98" s="67"/>
      <c r="AH98" s="79">
        <f>COUNTIF(AH78:AK97,"P")</f>
        <v>5</v>
      </c>
      <c r="AI98" s="66"/>
      <c r="AJ98" s="66"/>
      <c r="AK98" s="67"/>
      <c r="AL98" s="79">
        <f>COUNTIF(AL78:AO97,"P")</f>
        <v>5</v>
      </c>
      <c r="AM98" s="66"/>
      <c r="AN98" s="66"/>
      <c r="AO98" s="67"/>
      <c r="AP98" s="79">
        <f>COUNTIF(AP78:AS97,"P")</f>
        <v>5</v>
      </c>
      <c r="AQ98" s="66"/>
      <c r="AR98" s="66"/>
      <c r="AS98" s="67"/>
      <c r="AT98" s="79">
        <f>COUNTIF(AT78:AW97,"P")</f>
        <v>5</v>
      </c>
      <c r="AU98" s="66"/>
      <c r="AV98" s="66"/>
      <c r="AW98" s="67"/>
      <c r="AX98" s="79">
        <f>COUNTIF(AX78:BA97,"P")</f>
        <v>5</v>
      </c>
      <c r="AY98" s="66"/>
      <c r="AZ98" s="66"/>
      <c r="BA98" s="67"/>
      <c r="BB98" s="94" t="s">
        <v>39</v>
      </c>
      <c r="BC98" s="95"/>
      <c r="BD98" s="97">
        <f>+SUM(BC78:BC97)/SUM(BB78:BB97)</f>
        <v>0.75806451612903225</v>
      </c>
      <c r="BE98" s="19">
        <v>0</v>
      </c>
      <c r="BF98" s="110"/>
    </row>
    <row r="99" spans="1:58" ht="19.5" customHeight="1" x14ac:dyDescent="0.25">
      <c r="A99" s="89" t="s">
        <v>40</v>
      </c>
      <c r="B99" s="66"/>
      <c r="C99" s="66"/>
      <c r="D99" s="66"/>
      <c r="E99" s="67"/>
      <c r="F99" s="79">
        <f>COUNTIF(F78:I97,"R")</f>
        <v>5</v>
      </c>
      <c r="G99" s="66"/>
      <c r="H99" s="66"/>
      <c r="I99" s="67"/>
      <c r="J99" s="79">
        <f>COUNTIF(J78:M97,"R")</f>
        <v>5</v>
      </c>
      <c r="K99" s="66"/>
      <c r="L99" s="66"/>
      <c r="M99" s="67"/>
      <c r="N99" s="79">
        <f>COUNTIF(N78:Q97,"R")</f>
        <v>5</v>
      </c>
      <c r="O99" s="66"/>
      <c r="P99" s="66"/>
      <c r="Q99" s="67"/>
      <c r="R99" s="79">
        <f>COUNTIF(R78:U97,"R")</f>
        <v>6</v>
      </c>
      <c r="S99" s="66"/>
      <c r="T99" s="66"/>
      <c r="U99" s="67"/>
      <c r="V99" s="79">
        <f>COUNTIF(V78:Y97,"R")</f>
        <v>6</v>
      </c>
      <c r="W99" s="66"/>
      <c r="X99" s="66"/>
      <c r="Y99" s="67"/>
      <c r="Z99" s="79">
        <f>COUNTIF(Z78:AC97,"R")</f>
        <v>5</v>
      </c>
      <c r="AA99" s="66"/>
      <c r="AB99" s="66"/>
      <c r="AC99" s="67"/>
      <c r="AD99" s="79">
        <f>COUNTIF(AD78:AG97,"R")</f>
        <v>5</v>
      </c>
      <c r="AE99" s="66"/>
      <c r="AF99" s="66"/>
      <c r="AG99" s="67"/>
      <c r="AH99" s="79">
        <f>COUNTIF(AH78:AK97,"R")</f>
        <v>5</v>
      </c>
      <c r="AI99" s="66"/>
      <c r="AJ99" s="66"/>
      <c r="AK99" s="67"/>
      <c r="AL99" s="79">
        <f>COUNTIF(AL78:AO97,"R")</f>
        <v>5</v>
      </c>
      <c r="AM99" s="66"/>
      <c r="AN99" s="66"/>
      <c r="AO99" s="67"/>
      <c r="AP99" s="79">
        <f>COUNTIF(AP78:AS97,"R")</f>
        <v>5</v>
      </c>
      <c r="AQ99" s="66"/>
      <c r="AR99" s="66"/>
      <c r="AS99" s="67"/>
      <c r="AT99" s="79">
        <f>COUNTIF(AT78:AW97,"R")</f>
        <v>5</v>
      </c>
      <c r="AU99" s="66"/>
      <c r="AV99" s="66"/>
      <c r="AW99" s="67"/>
      <c r="AX99" s="79">
        <f>COUNTIF(AX78:BA97,"R")</f>
        <v>0</v>
      </c>
      <c r="AY99" s="66"/>
      <c r="AZ99" s="66"/>
      <c r="BA99" s="67"/>
      <c r="BB99" s="73"/>
      <c r="BC99" s="96"/>
      <c r="BD99" s="69"/>
      <c r="BE99" s="19">
        <v>0</v>
      </c>
      <c r="BF99" s="75"/>
    </row>
    <row r="100" spans="1:58" ht="17.25" customHeight="1" x14ac:dyDescent="0.25">
      <c r="A100" s="68" t="s">
        <v>70</v>
      </c>
      <c r="B100" s="70" t="s">
        <v>10</v>
      </c>
      <c r="C100" s="71"/>
      <c r="D100" s="71"/>
      <c r="E100" s="72"/>
      <c r="F100" s="65" t="s">
        <v>11</v>
      </c>
      <c r="G100" s="66"/>
      <c r="H100" s="66"/>
      <c r="I100" s="67"/>
      <c r="J100" s="65" t="s">
        <v>12</v>
      </c>
      <c r="K100" s="66"/>
      <c r="L100" s="66"/>
      <c r="M100" s="67"/>
      <c r="N100" s="65" t="s">
        <v>13</v>
      </c>
      <c r="O100" s="66"/>
      <c r="P100" s="66"/>
      <c r="Q100" s="67"/>
      <c r="R100" s="65" t="s">
        <v>14</v>
      </c>
      <c r="S100" s="66"/>
      <c r="T100" s="66"/>
      <c r="U100" s="67"/>
      <c r="V100" s="65" t="s">
        <v>15</v>
      </c>
      <c r="W100" s="66"/>
      <c r="X100" s="66"/>
      <c r="Y100" s="67"/>
      <c r="Z100" s="65" t="s">
        <v>16</v>
      </c>
      <c r="AA100" s="66"/>
      <c r="AB100" s="66"/>
      <c r="AC100" s="67"/>
      <c r="AD100" s="65" t="s">
        <v>17</v>
      </c>
      <c r="AE100" s="66"/>
      <c r="AF100" s="66"/>
      <c r="AG100" s="67"/>
      <c r="AH100" s="65" t="s">
        <v>18</v>
      </c>
      <c r="AI100" s="66"/>
      <c r="AJ100" s="66"/>
      <c r="AK100" s="67"/>
      <c r="AL100" s="65" t="s">
        <v>19</v>
      </c>
      <c r="AM100" s="66"/>
      <c r="AN100" s="66"/>
      <c r="AO100" s="67"/>
      <c r="AP100" s="65" t="s">
        <v>20</v>
      </c>
      <c r="AQ100" s="66"/>
      <c r="AR100" s="66"/>
      <c r="AS100" s="67"/>
      <c r="AT100" s="65" t="s">
        <v>21</v>
      </c>
      <c r="AU100" s="66"/>
      <c r="AV100" s="66"/>
      <c r="AW100" s="67"/>
      <c r="AX100" s="65" t="s">
        <v>22</v>
      </c>
      <c r="AY100" s="66"/>
      <c r="AZ100" s="66"/>
      <c r="BA100" s="67"/>
      <c r="BB100" s="99" t="s">
        <v>23</v>
      </c>
      <c r="BC100" s="66"/>
      <c r="BD100" s="67"/>
      <c r="BE100" s="111">
        <f>BE90+BE91+BE92+BE93+BE94+BE95+BE96+BE97+BE98+BE99</f>
        <v>0</v>
      </c>
      <c r="BF100" s="107" t="s">
        <v>25</v>
      </c>
    </row>
    <row r="101" spans="1:58" ht="17.25" customHeight="1" x14ac:dyDescent="0.25">
      <c r="A101" s="69"/>
      <c r="B101" s="73"/>
      <c r="C101" s="74"/>
      <c r="D101" s="74"/>
      <c r="E101" s="75"/>
      <c r="F101" s="12">
        <v>1</v>
      </c>
      <c r="G101" s="54">
        <v>2</v>
      </c>
      <c r="H101" s="12">
        <v>3</v>
      </c>
      <c r="I101" s="12">
        <v>4</v>
      </c>
      <c r="J101" s="12">
        <v>1</v>
      </c>
      <c r="K101" s="12">
        <v>2</v>
      </c>
      <c r="L101" s="12">
        <v>3</v>
      </c>
      <c r="M101" s="12">
        <v>4</v>
      </c>
      <c r="N101" s="12">
        <v>1</v>
      </c>
      <c r="O101" s="12">
        <v>2</v>
      </c>
      <c r="P101" s="12">
        <v>3</v>
      </c>
      <c r="Q101" s="12">
        <v>4</v>
      </c>
      <c r="R101" s="12">
        <v>1</v>
      </c>
      <c r="S101" s="12">
        <v>2</v>
      </c>
      <c r="T101" s="12">
        <v>3</v>
      </c>
      <c r="U101" s="12">
        <v>4</v>
      </c>
      <c r="V101" s="13">
        <v>1</v>
      </c>
      <c r="W101" s="13">
        <v>2</v>
      </c>
      <c r="X101" s="13">
        <v>3</v>
      </c>
      <c r="Y101" s="13">
        <v>4</v>
      </c>
      <c r="Z101" s="12">
        <v>1</v>
      </c>
      <c r="AA101" s="12">
        <v>2</v>
      </c>
      <c r="AB101" s="54">
        <v>3</v>
      </c>
      <c r="AC101" s="12">
        <v>4</v>
      </c>
      <c r="AD101" s="12">
        <v>1</v>
      </c>
      <c r="AE101" s="12">
        <v>2</v>
      </c>
      <c r="AF101" s="12">
        <v>3</v>
      </c>
      <c r="AG101" s="12">
        <v>4</v>
      </c>
      <c r="AH101" s="12">
        <v>1</v>
      </c>
      <c r="AI101" s="12">
        <v>2</v>
      </c>
      <c r="AJ101" s="12">
        <v>3</v>
      </c>
      <c r="AK101" s="12">
        <v>4</v>
      </c>
      <c r="AL101" s="12">
        <v>1</v>
      </c>
      <c r="AM101" s="12">
        <v>2</v>
      </c>
      <c r="AN101" s="12">
        <v>3</v>
      </c>
      <c r="AO101" s="12">
        <v>4</v>
      </c>
      <c r="AP101" s="12">
        <v>1</v>
      </c>
      <c r="AQ101" s="12">
        <v>2</v>
      </c>
      <c r="AR101" s="12">
        <v>3</v>
      </c>
      <c r="AS101" s="12">
        <v>4</v>
      </c>
      <c r="AT101" s="12">
        <v>1</v>
      </c>
      <c r="AU101" s="51">
        <v>2</v>
      </c>
      <c r="AV101" s="12">
        <v>3</v>
      </c>
      <c r="AW101" s="12">
        <v>4</v>
      </c>
      <c r="AX101" s="12">
        <v>1</v>
      </c>
      <c r="AY101" s="12">
        <v>2</v>
      </c>
      <c r="AZ101" s="12">
        <v>3</v>
      </c>
      <c r="BA101" s="12">
        <v>4</v>
      </c>
      <c r="BB101" s="15" t="s">
        <v>1</v>
      </c>
      <c r="BC101" s="15" t="s">
        <v>26</v>
      </c>
      <c r="BD101" s="15" t="s">
        <v>27</v>
      </c>
      <c r="BE101" s="108"/>
      <c r="BF101" s="108"/>
    </row>
    <row r="102" spans="1:58" ht="21" customHeight="1" x14ac:dyDescent="0.3">
      <c r="A102" s="138" t="s">
        <v>71</v>
      </c>
      <c r="B102" s="88" t="s">
        <v>72</v>
      </c>
      <c r="C102" s="71"/>
      <c r="D102" s="71"/>
      <c r="E102" s="72"/>
      <c r="F102" s="16"/>
      <c r="G102" s="1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 t="s">
        <v>2</v>
      </c>
      <c r="AA102" s="16"/>
      <c r="AB102" s="17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7"/>
      <c r="AV102" s="16"/>
      <c r="AW102" s="16"/>
      <c r="AX102" s="16"/>
      <c r="AY102" s="16"/>
      <c r="AZ102" s="16"/>
      <c r="BA102" s="16" t="s">
        <v>2</v>
      </c>
      <c r="BB102" s="98">
        <f>COUNTIF(F102:BA102,$H$5)</f>
        <v>2</v>
      </c>
      <c r="BC102" s="98">
        <f>COUNTIF(F103:BA103,$Q$5)</f>
        <v>2</v>
      </c>
      <c r="BD102" s="97">
        <f>IFERROR(BC102/BB102,"")</f>
        <v>1</v>
      </c>
      <c r="BE102" s="19">
        <v>158000</v>
      </c>
      <c r="BF102" s="110" t="s">
        <v>109</v>
      </c>
    </row>
    <row r="103" spans="1:58" ht="21" customHeight="1" thickBot="1" x14ac:dyDescent="0.3">
      <c r="A103" s="69"/>
      <c r="B103" s="73"/>
      <c r="C103" s="74"/>
      <c r="D103" s="74"/>
      <c r="E103" s="75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44"/>
      <c r="Z103" s="16" t="s">
        <v>4</v>
      </c>
      <c r="AA103" s="44"/>
      <c r="AB103" s="16"/>
      <c r="AC103" s="16"/>
      <c r="AD103" s="16"/>
      <c r="AE103" s="16"/>
      <c r="AF103" s="16"/>
      <c r="AG103" s="44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44"/>
      <c r="AX103" s="16"/>
      <c r="AY103" s="16"/>
      <c r="AZ103" s="16"/>
      <c r="BA103" s="16" t="s">
        <v>4</v>
      </c>
      <c r="BB103" s="69"/>
      <c r="BC103" s="69"/>
      <c r="BD103" s="69"/>
      <c r="BE103" s="19">
        <v>0</v>
      </c>
      <c r="BF103" s="75"/>
    </row>
    <row r="104" spans="1:58" ht="13.2" x14ac:dyDescent="0.25">
      <c r="A104" s="130" t="s">
        <v>90</v>
      </c>
      <c r="B104" s="150" t="s">
        <v>73</v>
      </c>
      <c r="C104" s="151"/>
      <c r="D104" s="151"/>
      <c r="E104" s="152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41"/>
      <c r="U104" s="16"/>
      <c r="V104" s="16"/>
      <c r="W104" s="16"/>
      <c r="X104" s="42"/>
      <c r="Y104" s="46"/>
      <c r="Z104" s="49"/>
      <c r="AA104" s="46"/>
      <c r="AB104" s="43"/>
      <c r="AC104" s="16"/>
      <c r="AD104" s="16"/>
      <c r="AE104" s="16"/>
      <c r="AF104" s="42"/>
      <c r="AG104" s="46"/>
      <c r="AH104" s="43" t="s">
        <v>2</v>
      </c>
      <c r="AI104" s="16"/>
      <c r="AJ104" s="16"/>
      <c r="AK104" s="16"/>
      <c r="AL104" s="16"/>
      <c r="AM104" s="16"/>
      <c r="AN104" s="16"/>
      <c r="AO104" s="41"/>
      <c r="AP104" s="16" t="s">
        <v>2</v>
      </c>
      <c r="AQ104" s="16"/>
      <c r="AR104" s="16"/>
      <c r="AS104" s="16"/>
      <c r="AT104" s="16"/>
      <c r="AU104" s="16"/>
      <c r="AV104" s="42"/>
      <c r="AW104" s="45"/>
      <c r="AX104" s="43"/>
      <c r="AY104" s="16"/>
      <c r="AZ104" s="16" t="s">
        <v>2</v>
      </c>
      <c r="BA104" s="16"/>
      <c r="BB104" s="156">
        <v>1</v>
      </c>
      <c r="BC104" s="156">
        <v>1</v>
      </c>
      <c r="BD104" s="158">
        <v>1</v>
      </c>
      <c r="BE104" s="19">
        <v>2000000</v>
      </c>
      <c r="BF104" s="159"/>
    </row>
    <row r="105" spans="1:58" ht="13.2" x14ac:dyDescent="0.25">
      <c r="A105" s="131"/>
      <c r="B105" s="153"/>
      <c r="C105" s="154"/>
      <c r="D105" s="154"/>
      <c r="E105" s="155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42"/>
      <c r="T105" s="46"/>
      <c r="U105" s="43"/>
      <c r="V105" s="16"/>
      <c r="W105" s="16"/>
      <c r="X105" s="16"/>
      <c r="Y105" s="41"/>
      <c r="Z105" s="42"/>
      <c r="AA105" s="46"/>
      <c r="AB105" s="43"/>
      <c r="AC105" s="16"/>
      <c r="AD105" s="16"/>
      <c r="AE105" s="16"/>
      <c r="AF105" s="42"/>
      <c r="AG105" s="46"/>
      <c r="AH105" s="43" t="s">
        <v>6</v>
      </c>
      <c r="AI105" s="16"/>
      <c r="AJ105" s="16"/>
      <c r="AK105" s="16"/>
      <c r="AL105" s="16"/>
      <c r="AM105" s="16"/>
      <c r="AN105" s="42"/>
      <c r="AO105" s="46"/>
      <c r="AP105" s="43" t="s">
        <v>6</v>
      </c>
      <c r="AQ105" s="16"/>
      <c r="AR105" s="16"/>
      <c r="AS105" s="16"/>
      <c r="AT105" s="16"/>
      <c r="AU105" s="16"/>
      <c r="AV105" s="42"/>
      <c r="AW105" s="46"/>
      <c r="AX105" s="43"/>
      <c r="AY105" s="16"/>
      <c r="AZ105" s="16" t="s">
        <v>4</v>
      </c>
      <c r="BA105" s="16"/>
      <c r="BB105" s="157"/>
      <c r="BC105" s="157"/>
      <c r="BD105" s="157"/>
      <c r="BE105" s="19"/>
      <c r="BF105" s="124"/>
    </row>
    <row r="106" spans="1:58" ht="21" customHeight="1" x14ac:dyDescent="0.3">
      <c r="A106" s="138" t="s">
        <v>97</v>
      </c>
      <c r="B106" s="88" t="s">
        <v>73</v>
      </c>
      <c r="C106" s="71"/>
      <c r="D106" s="71"/>
      <c r="E106" s="72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7"/>
      <c r="U106" s="16"/>
      <c r="V106" s="16"/>
      <c r="W106" s="16"/>
      <c r="X106" s="42"/>
      <c r="Y106" s="48"/>
      <c r="Z106" s="43"/>
      <c r="AA106" s="17"/>
      <c r="AB106" s="16"/>
      <c r="AC106" s="16"/>
      <c r="AD106" s="16"/>
      <c r="AE106" s="16"/>
      <c r="AF106" s="16"/>
      <c r="AG106" s="17"/>
      <c r="AH106" s="16"/>
      <c r="AI106" s="16"/>
      <c r="AJ106" s="16"/>
      <c r="AK106" s="16"/>
      <c r="AL106" s="16"/>
      <c r="AM106" s="16"/>
      <c r="AN106" s="42"/>
      <c r="AO106" s="48"/>
      <c r="AP106" s="43"/>
      <c r="AQ106" s="16"/>
      <c r="AR106" s="16" t="s">
        <v>2</v>
      </c>
      <c r="AS106" s="16"/>
      <c r="AT106" s="16"/>
      <c r="AU106" s="16"/>
      <c r="AV106" s="16"/>
      <c r="AW106" s="17"/>
      <c r="AX106" s="16"/>
      <c r="AY106" s="16"/>
      <c r="AZ106" s="16"/>
      <c r="BA106" s="16"/>
      <c r="BB106" s="98">
        <f>COUNTIF(F106:BA106,$H$5)</f>
        <v>1</v>
      </c>
      <c r="BC106" s="98">
        <f>COUNTIF(F107:BA107,$Q$5)</f>
        <v>0</v>
      </c>
      <c r="BD106" s="97">
        <v>0</v>
      </c>
      <c r="BE106" s="19"/>
      <c r="BF106" s="110"/>
    </row>
    <row r="107" spans="1:58" ht="13.2" x14ac:dyDescent="0.25">
      <c r="A107" s="69"/>
      <c r="B107" s="73"/>
      <c r="C107" s="74"/>
      <c r="D107" s="74"/>
      <c r="E107" s="75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47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47"/>
      <c r="AP107" s="16"/>
      <c r="AQ107" s="16"/>
      <c r="AR107" s="16" t="s">
        <v>6</v>
      </c>
      <c r="AS107" s="16"/>
      <c r="AT107" s="16"/>
      <c r="AU107" s="16"/>
      <c r="AV107" s="16"/>
      <c r="AW107" s="16"/>
      <c r="AX107" s="16"/>
      <c r="AY107" s="16"/>
      <c r="AZ107" s="16"/>
      <c r="BA107" s="16"/>
      <c r="BB107" s="69"/>
      <c r="BC107" s="69"/>
      <c r="BD107" s="69"/>
      <c r="BE107" s="19"/>
      <c r="BF107" s="75"/>
    </row>
    <row r="108" spans="1:58" ht="20.25" customHeight="1" x14ac:dyDescent="0.25">
      <c r="A108" s="93" t="s">
        <v>38</v>
      </c>
      <c r="B108" s="66"/>
      <c r="C108" s="66"/>
      <c r="D108" s="66"/>
      <c r="E108" s="67"/>
      <c r="F108" s="79">
        <f>COUNTIF(F102:I107,"P")</f>
        <v>0</v>
      </c>
      <c r="G108" s="66"/>
      <c r="H108" s="66"/>
      <c r="I108" s="67"/>
      <c r="J108" s="79">
        <f>COUNTIF(J102:M107,"P")</f>
        <v>0</v>
      </c>
      <c r="K108" s="66"/>
      <c r="L108" s="66"/>
      <c r="M108" s="67"/>
      <c r="N108" s="79">
        <f>COUNTIF(N102:Q107,"P")</f>
        <v>0</v>
      </c>
      <c r="O108" s="66"/>
      <c r="P108" s="66"/>
      <c r="Q108" s="67"/>
      <c r="R108" s="79">
        <f>COUNTIF(R102:U107,"P")</f>
        <v>0</v>
      </c>
      <c r="S108" s="66"/>
      <c r="T108" s="66"/>
      <c r="U108" s="67"/>
      <c r="V108" s="79">
        <f>COUNTIF(V102:Y107,"P")</f>
        <v>0</v>
      </c>
      <c r="W108" s="66"/>
      <c r="X108" s="66"/>
      <c r="Y108" s="67"/>
      <c r="Z108" s="79">
        <f>COUNTIF(Z102:AC107,"P")</f>
        <v>1</v>
      </c>
      <c r="AA108" s="66"/>
      <c r="AB108" s="66"/>
      <c r="AC108" s="67"/>
      <c r="AD108" s="79">
        <f>COUNTIF(AD102:AG107,"P")</f>
        <v>0</v>
      </c>
      <c r="AE108" s="66"/>
      <c r="AF108" s="66"/>
      <c r="AG108" s="67"/>
      <c r="AH108" s="79">
        <f>COUNTIF(AH102:AK107,"P")</f>
        <v>1</v>
      </c>
      <c r="AI108" s="66"/>
      <c r="AJ108" s="66"/>
      <c r="AK108" s="67"/>
      <c r="AL108" s="79">
        <f>COUNTIF(AL102:AO107,"P")</f>
        <v>0</v>
      </c>
      <c r="AM108" s="66"/>
      <c r="AN108" s="66"/>
      <c r="AO108" s="67"/>
      <c r="AP108" s="79">
        <f>COUNTIF(AP102:AS107,"P")</f>
        <v>2</v>
      </c>
      <c r="AQ108" s="66"/>
      <c r="AR108" s="66"/>
      <c r="AS108" s="67"/>
      <c r="AT108" s="79">
        <f>COUNTIF(AT102:AW107,"P")</f>
        <v>0</v>
      </c>
      <c r="AU108" s="66"/>
      <c r="AV108" s="66"/>
      <c r="AW108" s="67"/>
      <c r="AX108" s="79">
        <f>COUNTIF(AX102:BA107,"P")</f>
        <v>2</v>
      </c>
      <c r="AY108" s="66"/>
      <c r="AZ108" s="66"/>
      <c r="BA108" s="67"/>
      <c r="BB108" s="94" t="s">
        <v>39</v>
      </c>
      <c r="BC108" s="95"/>
      <c r="BD108" s="97">
        <f>+SUM(BC102:BC107)/SUM(BB102:BB107)</f>
        <v>0.75</v>
      </c>
      <c r="BE108" s="19"/>
      <c r="BF108" s="110"/>
    </row>
    <row r="109" spans="1:58" ht="20.25" customHeight="1" x14ac:dyDescent="0.25">
      <c r="A109" s="89" t="s">
        <v>40</v>
      </c>
      <c r="B109" s="66"/>
      <c r="C109" s="66"/>
      <c r="D109" s="90"/>
      <c r="E109" s="26"/>
      <c r="F109" s="79">
        <f>COUNTIF(F102:I107,"R")</f>
        <v>0</v>
      </c>
      <c r="G109" s="66"/>
      <c r="H109" s="66"/>
      <c r="I109" s="67"/>
      <c r="J109" s="79">
        <f>COUNTIF(J102:M107,"R")</f>
        <v>0</v>
      </c>
      <c r="K109" s="66"/>
      <c r="L109" s="66"/>
      <c r="M109" s="67"/>
      <c r="N109" s="79">
        <f>COUNTIF(N102:Q107,"R")</f>
        <v>0</v>
      </c>
      <c r="O109" s="66"/>
      <c r="P109" s="66"/>
      <c r="Q109" s="67"/>
      <c r="R109" s="79">
        <f>COUNTIF(R102:U107,"R")</f>
        <v>0</v>
      </c>
      <c r="S109" s="66"/>
      <c r="T109" s="66"/>
      <c r="U109" s="67"/>
      <c r="V109" s="79">
        <f>COUNTIF(V102:Y107,"R")</f>
        <v>0</v>
      </c>
      <c r="W109" s="66"/>
      <c r="X109" s="66"/>
      <c r="Y109" s="67"/>
      <c r="Z109" s="79">
        <f>COUNTIF(Z102:AC107,"R")</f>
        <v>1</v>
      </c>
      <c r="AA109" s="66"/>
      <c r="AB109" s="66"/>
      <c r="AC109" s="67"/>
      <c r="AD109" s="79">
        <f>COUNTIF(AD102:AG107,"R")</f>
        <v>0</v>
      </c>
      <c r="AE109" s="66"/>
      <c r="AF109" s="66"/>
      <c r="AG109" s="67"/>
      <c r="AH109" s="79">
        <f>COUNTIF(AH102:AK107,"R")</f>
        <v>0</v>
      </c>
      <c r="AI109" s="66"/>
      <c r="AJ109" s="66"/>
      <c r="AK109" s="67"/>
      <c r="AL109" s="79">
        <f>COUNTIF(AL102:AO107,"R")</f>
        <v>0</v>
      </c>
      <c r="AM109" s="66"/>
      <c r="AN109" s="66"/>
      <c r="AO109" s="67"/>
      <c r="AP109" s="79">
        <f>COUNTIF(AP102:AS107,"R")</f>
        <v>0</v>
      </c>
      <c r="AQ109" s="66"/>
      <c r="AR109" s="66"/>
      <c r="AS109" s="67"/>
      <c r="AT109" s="79">
        <f>COUNTIF(AT102:AW107,"R")</f>
        <v>0</v>
      </c>
      <c r="AU109" s="66"/>
      <c r="AV109" s="66"/>
      <c r="AW109" s="67"/>
      <c r="AX109" s="79">
        <f>COUNTIF(AX102:BA107,"R")</f>
        <v>2</v>
      </c>
      <c r="AY109" s="66"/>
      <c r="AZ109" s="66"/>
      <c r="BA109" s="67"/>
      <c r="BB109" s="73"/>
      <c r="BC109" s="96"/>
      <c r="BD109" s="69"/>
      <c r="BE109" s="19"/>
      <c r="BF109" s="75"/>
    </row>
    <row r="110" spans="1:58" ht="17.25" customHeight="1" x14ac:dyDescent="0.25">
      <c r="A110" s="68" t="s">
        <v>74</v>
      </c>
      <c r="B110" s="70" t="s">
        <v>10</v>
      </c>
      <c r="C110" s="71"/>
      <c r="D110" s="71"/>
      <c r="E110" s="72"/>
      <c r="F110" s="65" t="s">
        <v>11</v>
      </c>
      <c r="G110" s="66"/>
      <c r="H110" s="66"/>
      <c r="I110" s="67"/>
      <c r="J110" s="65" t="s">
        <v>12</v>
      </c>
      <c r="K110" s="66"/>
      <c r="L110" s="66"/>
      <c r="M110" s="67"/>
      <c r="N110" s="65" t="s">
        <v>13</v>
      </c>
      <c r="O110" s="66"/>
      <c r="P110" s="66"/>
      <c r="Q110" s="67"/>
      <c r="R110" s="65" t="s">
        <v>14</v>
      </c>
      <c r="S110" s="66"/>
      <c r="T110" s="66"/>
      <c r="U110" s="67"/>
      <c r="V110" s="65" t="s">
        <v>15</v>
      </c>
      <c r="W110" s="66"/>
      <c r="X110" s="66"/>
      <c r="Y110" s="67"/>
      <c r="Z110" s="65" t="s">
        <v>16</v>
      </c>
      <c r="AA110" s="66"/>
      <c r="AB110" s="66"/>
      <c r="AC110" s="67"/>
      <c r="AD110" s="65" t="s">
        <v>17</v>
      </c>
      <c r="AE110" s="66"/>
      <c r="AF110" s="66"/>
      <c r="AG110" s="67"/>
      <c r="AH110" s="65" t="s">
        <v>18</v>
      </c>
      <c r="AI110" s="66"/>
      <c r="AJ110" s="66"/>
      <c r="AK110" s="67"/>
      <c r="AL110" s="65" t="s">
        <v>19</v>
      </c>
      <c r="AM110" s="66"/>
      <c r="AN110" s="66"/>
      <c r="AO110" s="67"/>
      <c r="AP110" s="65" t="s">
        <v>20</v>
      </c>
      <c r="AQ110" s="66"/>
      <c r="AR110" s="66"/>
      <c r="AS110" s="67"/>
      <c r="AT110" s="65" t="s">
        <v>21</v>
      </c>
      <c r="AU110" s="66"/>
      <c r="AV110" s="66"/>
      <c r="AW110" s="67"/>
      <c r="AX110" s="65" t="s">
        <v>22</v>
      </c>
      <c r="AY110" s="66"/>
      <c r="AZ110" s="66"/>
      <c r="BA110" s="67"/>
      <c r="BB110" s="99" t="s">
        <v>23</v>
      </c>
      <c r="BC110" s="66"/>
      <c r="BD110" s="67"/>
      <c r="BE110" s="111">
        <f>BE102+BE103+BE106+BE107+BE108+BE109</f>
        <v>158000</v>
      </c>
      <c r="BF110" s="107" t="s">
        <v>25</v>
      </c>
    </row>
    <row r="111" spans="1:58" ht="17.25" customHeight="1" x14ac:dyDescent="0.25">
      <c r="A111" s="69"/>
      <c r="B111" s="73"/>
      <c r="C111" s="74"/>
      <c r="D111" s="74"/>
      <c r="E111" s="75"/>
      <c r="F111" s="12">
        <v>1</v>
      </c>
      <c r="G111" s="12">
        <v>2</v>
      </c>
      <c r="H111" s="12">
        <v>3</v>
      </c>
      <c r="I111" s="12">
        <v>4</v>
      </c>
      <c r="J111" s="12">
        <v>1</v>
      </c>
      <c r="K111" s="12">
        <v>2</v>
      </c>
      <c r="L111" s="12">
        <v>3</v>
      </c>
      <c r="M111" s="12">
        <v>4</v>
      </c>
      <c r="N111" s="12">
        <v>1</v>
      </c>
      <c r="O111" s="12">
        <v>2</v>
      </c>
      <c r="P111" s="12">
        <v>3</v>
      </c>
      <c r="Q111" s="12">
        <v>4</v>
      </c>
      <c r="R111" s="12">
        <v>1</v>
      </c>
      <c r="S111" s="12">
        <v>2</v>
      </c>
      <c r="T111" s="12">
        <v>3</v>
      </c>
      <c r="U111" s="12">
        <v>4</v>
      </c>
      <c r="V111" s="13">
        <v>1</v>
      </c>
      <c r="W111" s="13">
        <v>2</v>
      </c>
      <c r="X111" s="13">
        <v>3</v>
      </c>
      <c r="Y111" s="13">
        <v>4</v>
      </c>
      <c r="Z111" s="12">
        <v>1</v>
      </c>
      <c r="AA111" s="12">
        <v>2</v>
      </c>
      <c r="AB111" s="12">
        <v>3</v>
      </c>
      <c r="AC111" s="12">
        <v>4</v>
      </c>
      <c r="AD111" s="12">
        <v>1</v>
      </c>
      <c r="AE111" s="12">
        <v>2</v>
      </c>
      <c r="AF111" s="12">
        <v>3</v>
      </c>
      <c r="AG111" s="12">
        <v>4</v>
      </c>
      <c r="AH111" s="12">
        <v>1</v>
      </c>
      <c r="AI111" s="12">
        <v>2</v>
      </c>
      <c r="AJ111" s="12">
        <v>3</v>
      </c>
      <c r="AK111" s="12">
        <v>4</v>
      </c>
      <c r="AL111" s="12">
        <v>1</v>
      </c>
      <c r="AM111" s="12">
        <v>2</v>
      </c>
      <c r="AN111" s="12">
        <v>3</v>
      </c>
      <c r="AO111" s="12">
        <v>4</v>
      </c>
      <c r="AP111" s="12">
        <v>1</v>
      </c>
      <c r="AQ111" s="12">
        <v>2</v>
      </c>
      <c r="AR111" s="12">
        <v>3</v>
      </c>
      <c r="AS111" s="12">
        <v>4</v>
      </c>
      <c r="AT111" s="12">
        <v>1</v>
      </c>
      <c r="AU111" s="12">
        <v>2</v>
      </c>
      <c r="AV111" s="12">
        <v>3</v>
      </c>
      <c r="AW111" s="12">
        <v>4</v>
      </c>
      <c r="AX111" s="12">
        <v>1</v>
      </c>
      <c r="AY111" s="12">
        <v>2</v>
      </c>
      <c r="AZ111" s="12">
        <v>3</v>
      </c>
      <c r="BA111" s="12">
        <v>4</v>
      </c>
      <c r="BB111" s="14" t="s">
        <v>1</v>
      </c>
      <c r="BC111" s="15" t="s">
        <v>26</v>
      </c>
      <c r="BD111" s="15" t="s">
        <v>27</v>
      </c>
      <c r="BE111" s="108"/>
      <c r="BF111" s="108"/>
    </row>
    <row r="112" spans="1:58" ht="21" customHeight="1" x14ac:dyDescent="0.25">
      <c r="A112" s="138" t="s">
        <v>75</v>
      </c>
      <c r="B112" s="88" t="s">
        <v>73</v>
      </c>
      <c r="C112" s="71"/>
      <c r="D112" s="71"/>
      <c r="E112" s="72"/>
      <c r="F112" s="30"/>
      <c r="G112" s="30"/>
      <c r="H112" s="30"/>
      <c r="I112" s="16"/>
      <c r="J112" s="30"/>
      <c r="K112" s="30"/>
      <c r="L112" s="30"/>
      <c r="M112" s="16"/>
      <c r="N112" s="30"/>
      <c r="O112" s="30"/>
      <c r="P112" s="39" t="s">
        <v>2</v>
      </c>
      <c r="Q112" s="16"/>
      <c r="R112" s="30"/>
      <c r="S112" s="30"/>
      <c r="T112" s="30"/>
      <c r="U112" s="16"/>
      <c r="V112" s="30"/>
      <c r="W112" s="30"/>
      <c r="X112" s="30"/>
      <c r="Y112" s="16"/>
      <c r="Z112" s="30"/>
      <c r="AA112" s="30"/>
      <c r="AB112" s="39"/>
      <c r="AC112" s="16"/>
      <c r="AD112" s="16"/>
      <c r="AE112" s="30"/>
      <c r="AF112" s="30"/>
      <c r="AG112" s="16"/>
      <c r="AH112" s="30"/>
      <c r="AI112" s="30"/>
      <c r="AJ112" s="30"/>
      <c r="AK112" s="16"/>
      <c r="AL112" s="30"/>
      <c r="AM112" s="30"/>
      <c r="AN112" s="30"/>
      <c r="AO112" s="16"/>
      <c r="AP112" s="30"/>
      <c r="AQ112" s="30"/>
      <c r="AR112" s="30"/>
      <c r="AS112" s="16"/>
      <c r="AT112" s="30"/>
      <c r="AU112" s="30"/>
      <c r="AV112" s="30"/>
      <c r="AW112" s="16"/>
      <c r="AX112" s="30"/>
      <c r="AY112" s="30"/>
      <c r="AZ112" s="30"/>
      <c r="BA112" s="16"/>
      <c r="BB112" s="98">
        <f>COUNTIF(F112:BA112,$H$5)</f>
        <v>1</v>
      </c>
      <c r="BC112" s="98">
        <f>COUNTIF(F113:BA113,$Q$5)</f>
        <v>1</v>
      </c>
      <c r="BD112" s="97">
        <f>IFERROR(BC112/BB112,"")</f>
        <v>1</v>
      </c>
      <c r="BE112" s="19">
        <v>0</v>
      </c>
      <c r="BF112" s="110"/>
    </row>
    <row r="113" spans="1:58" ht="21" customHeight="1" x14ac:dyDescent="0.25">
      <c r="A113" s="69"/>
      <c r="B113" s="73"/>
      <c r="C113" s="74"/>
      <c r="D113" s="74"/>
      <c r="E113" s="7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 t="s">
        <v>4</v>
      </c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69"/>
      <c r="BC113" s="69"/>
      <c r="BD113" s="69"/>
      <c r="BE113" s="19">
        <v>0</v>
      </c>
      <c r="BF113" s="75"/>
    </row>
    <row r="114" spans="1:58" ht="21" customHeight="1" x14ac:dyDescent="0.25">
      <c r="A114" s="138" t="s">
        <v>76</v>
      </c>
      <c r="B114" s="88" t="s">
        <v>73</v>
      </c>
      <c r="C114" s="71"/>
      <c r="D114" s="71"/>
      <c r="E114" s="72"/>
      <c r="F114" s="30"/>
      <c r="G114" s="30"/>
      <c r="H114" s="30"/>
      <c r="I114" s="16"/>
      <c r="J114" s="30"/>
      <c r="K114" s="30"/>
      <c r="L114" s="30"/>
      <c r="M114" s="16"/>
      <c r="N114" s="30"/>
      <c r="O114" s="30"/>
      <c r="P114" s="30"/>
      <c r="Q114" s="16"/>
      <c r="R114" s="30"/>
      <c r="S114" s="30"/>
      <c r="T114" s="30"/>
      <c r="U114" s="16"/>
      <c r="V114" s="30"/>
      <c r="W114" s="30"/>
      <c r="X114" s="30"/>
      <c r="Y114" s="16"/>
      <c r="Z114" s="30"/>
      <c r="AA114" s="39" t="s">
        <v>2</v>
      </c>
      <c r="AB114" s="30"/>
      <c r="AC114" s="16"/>
      <c r="AD114" s="30"/>
      <c r="AE114" s="30"/>
      <c r="AF114" s="30"/>
      <c r="AG114" s="16"/>
      <c r="AH114" s="30"/>
      <c r="AI114" s="30"/>
      <c r="AJ114" s="30"/>
      <c r="AK114" s="16"/>
      <c r="AL114" s="30"/>
      <c r="AM114" s="30"/>
      <c r="AN114" s="30"/>
      <c r="AO114" s="16"/>
      <c r="AP114" s="30"/>
      <c r="AQ114" s="30"/>
      <c r="AR114" s="30"/>
      <c r="AS114" s="16"/>
      <c r="AT114" s="30"/>
      <c r="AU114" s="30"/>
      <c r="AV114" s="30"/>
      <c r="AW114" s="16"/>
      <c r="AX114" s="30"/>
      <c r="AY114" s="30"/>
      <c r="AZ114" s="30"/>
      <c r="BA114" s="16"/>
      <c r="BB114" s="98">
        <v>1</v>
      </c>
      <c r="BC114" s="98">
        <f>COUNTIF(F115:BA115,$Q$5)</f>
        <v>1</v>
      </c>
      <c r="BD114" s="97">
        <f>IFERROR(BC114/BB114,"")</f>
        <v>1</v>
      </c>
      <c r="BE114" s="19">
        <v>0</v>
      </c>
      <c r="BF114" s="110"/>
    </row>
    <row r="115" spans="1:58" ht="21" customHeight="1" x14ac:dyDescent="0.25">
      <c r="A115" s="69"/>
      <c r="B115" s="73"/>
      <c r="C115" s="74"/>
      <c r="D115" s="74"/>
      <c r="E115" s="7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 t="s">
        <v>4</v>
      </c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69"/>
      <c r="BC115" s="69"/>
      <c r="BD115" s="69"/>
      <c r="BE115" s="19">
        <v>0</v>
      </c>
      <c r="BF115" s="75"/>
    </row>
    <row r="116" spans="1:58" ht="19.5" customHeight="1" x14ac:dyDescent="0.3">
      <c r="A116" s="93" t="s">
        <v>38</v>
      </c>
      <c r="B116" s="66"/>
      <c r="C116" s="66"/>
      <c r="D116" s="66"/>
      <c r="E116" s="67"/>
      <c r="F116" s="140">
        <f>COUNTIF(F112:I115,"P")</f>
        <v>0</v>
      </c>
      <c r="G116" s="66"/>
      <c r="H116" s="66"/>
      <c r="I116" s="67"/>
      <c r="J116" s="140">
        <f>COUNTIF(J112:M115,"P")</f>
        <v>0</v>
      </c>
      <c r="K116" s="66"/>
      <c r="L116" s="66"/>
      <c r="M116" s="67"/>
      <c r="N116" s="140">
        <f>COUNTIF(N112:Q115,"P")</f>
        <v>1</v>
      </c>
      <c r="O116" s="66"/>
      <c r="P116" s="66"/>
      <c r="Q116" s="67"/>
      <c r="R116" s="140">
        <f>COUNTIF(R112:U115,"P")</f>
        <v>0</v>
      </c>
      <c r="S116" s="66"/>
      <c r="T116" s="66"/>
      <c r="U116" s="67"/>
      <c r="V116" s="140">
        <f>COUNTIF(V112:Y115,"P")</f>
        <v>0</v>
      </c>
      <c r="W116" s="66"/>
      <c r="X116" s="66"/>
      <c r="Y116" s="67"/>
      <c r="Z116" s="140">
        <f>COUNTIF(Z112:AC115,"P")</f>
        <v>1</v>
      </c>
      <c r="AA116" s="66"/>
      <c r="AB116" s="66"/>
      <c r="AC116" s="67"/>
      <c r="AD116" s="140">
        <f>COUNTIF(AD112:AG115,"P")</f>
        <v>0</v>
      </c>
      <c r="AE116" s="66"/>
      <c r="AF116" s="66"/>
      <c r="AG116" s="67"/>
      <c r="AH116" s="140">
        <f>COUNTIF(AH112:AK115,"P")</f>
        <v>0</v>
      </c>
      <c r="AI116" s="66"/>
      <c r="AJ116" s="66"/>
      <c r="AK116" s="67"/>
      <c r="AL116" s="140">
        <f>COUNTIF(AL112:AO115,"P")</f>
        <v>0</v>
      </c>
      <c r="AM116" s="66"/>
      <c r="AN116" s="66"/>
      <c r="AO116" s="67"/>
      <c r="AP116" s="140">
        <f>COUNTIF(AP112:AS115,"P")</f>
        <v>0</v>
      </c>
      <c r="AQ116" s="66"/>
      <c r="AR116" s="66"/>
      <c r="AS116" s="67"/>
      <c r="AT116" s="140">
        <f>COUNTIF(AT112:AW115,"P")</f>
        <v>0</v>
      </c>
      <c r="AU116" s="66"/>
      <c r="AV116" s="66"/>
      <c r="AW116" s="67"/>
      <c r="AX116" s="140">
        <f>COUNTIF(AX112:BA115,"P")</f>
        <v>0</v>
      </c>
      <c r="AY116" s="66"/>
      <c r="AZ116" s="66"/>
      <c r="BA116" s="67"/>
      <c r="BB116" s="94" t="s">
        <v>39</v>
      </c>
      <c r="BC116" s="95"/>
      <c r="BD116" s="97">
        <f>+SUM(BC112:BC115)/SUM(BB112:BB115)</f>
        <v>1</v>
      </c>
      <c r="BE116" s="111">
        <f>BE110+BE86+BE76+BE58+BE42+BE225</f>
        <v>48716944</v>
      </c>
      <c r="BF116" s="110"/>
    </row>
    <row r="117" spans="1:58" ht="19.5" customHeight="1" x14ac:dyDescent="0.3">
      <c r="A117" s="89" t="s">
        <v>40</v>
      </c>
      <c r="B117" s="66"/>
      <c r="C117" s="66"/>
      <c r="D117" s="66"/>
      <c r="E117" s="67"/>
      <c r="F117" s="140">
        <f>COUNTIF(F112:I115,"R")</f>
        <v>0</v>
      </c>
      <c r="G117" s="66"/>
      <c r="H117" s="66"/>
      <c r="I117" s="67"/>
      <c r="J117" s="140">
        <f>COUNTIF(J112:M115,"R")</f>
        <v>0</v>
      </c>
      <c r="K117" s="66"/>
      <c r="L117" s="66"/>
      <c r="M117" s="67"/>
      <c r="N117" s="140">
        <f>COUNTIF(N112:Q115,"R")</f>
        <v>1</v>
      </c>
      <c r="O117" s="66"/>
      <c r="P117" s="66"/>
      <c r="Q117" s="67"/>
      <c r="R117" s="140">
        <f>COUNTIF(R112:U115,"R")</f>
        <v>0</v>
      </c>
      <c r="S117" s="66"/>
      <c r="T117" s="66"/>
      <c r="U117" s="67"/>
      <c r="V117" s="140">
        <f>COUNTIF(V112:Y115,"R")</f>
        <v>0</v>
      </c>
      <c r="W117" s="66"/>
      <c r="X117" s="66"/>
      <c r="Y117" s="67"/>
      <c r="Z117" s="140">
        <f>COUNTIF(Z112:AC115,"R")</f>
        <v>1</v>
      </c>
      <c r="AA117" s="66"/>
      <c r="AB117" s="66"/>
      <c r="AC117" s="67"/>
      <c r="AD117" s="140">
        <f>COUNTIF(AD112:AG115,"R")</f>
        <v>0</v>
      </c>
      <c r="AE117" s="66"/>
      <c r="AF117" s="66"/>
      <c r="AG117" s="67"/>
      <c r="AH117" s="140">
        <f>COUNTIF(AH112:AK115,"R")</f>
        <v>0</v>
      </c>
      <c r="AI117" s="66"/>
      <c r="AJ117" s="66"/>
      <c r="AK117" s="67"/>
      <c r="AL117" s="140">
        <f>COUNTIF(AL112:AO115,"R")</f>
        <v>0</v>
      </c>
      <c r="AM117" s="66"/>
      <c r="AN117" s="66"/>
      <c r="AO117" s="67"/>
      <c r="AP117" s="140">
        <f>COUNTIF(AP112:AS115,"R")</f>
        <v>0</v>
      </c>
      <c r="AQ117" s="66"/>
      <c r="AR117" s="66"/>
      <c r="AS117" s="67"/>
      <c r="AT117" s="140">
        <f>COUNTIF(AT112:AW115,"R")</f>
        <v>0</v>
      </c>
      <c r="AU117" s="66"/>
      <c r="AV117" s="66"/>
      <c r="AW117" s="67"/>
      <c r="AX117" s="140">
        <f>COUNTIF(AX112:BA115,"R")</f>
        <v>0</v>
      </c>
      <c r="AY117" s="66"/>
      <c r="AZ117" s="66"/>
      <c r="BA117" s="67"/>
      <c r="BB117" s="73"/>
      <c r="BC117" s="96"/>
      <c r="BD117" s="69"/>
      <c r="BE117" s="108"/>
      <c r="BF117" s="75"/>
    </row>
    <row r="118" spans="1:58" ht="12.75" customHeight="1" x14ac:dyDescent="0.3">
      <c r="A118" s="11"/>
      <c r="B118" s="11"/>
      <c r="C118" s="11"/>
      <c r="D118" s="11"/>
      <c r="E118" s="3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3"/>
      <c r="BC118" s="33"/>
      <c r="BD118" s="33"/>
      <c r="BE118" s="4"/>
      <c r="BF118" s="34"/>
    </row>
    <row r="119" spans="1:58" ht="17.25" customHeight="1" x14ac:dyDescent="0.3">
      <c r="A119" s="99" t="s">
        <v>77</v>
      </c>
      <c r="B119" s="66"/>
      <c r="C119" s="66"/>
      <c r="D119" s="66"/>
      <c r="E119" s="67"/>
      <c r="F119" s="140">
        <f>COUNTIF(F8:I115,"P")</f>
        <v>14</v>
      </c>
      <c r="G119" s="66"/>
      <c r="H119" s="66"/>
      <c r="I119" s="67"/>
      <c r="J119" s="140">
        <f>COUNTIF(J8:M115,"P")</f>
        <v>12</v>
      </c>
      <c r="K119" s="66"/>
      <c r="L119" s="66"/>
      <c r="M119" s="67"/>
      <c r="N119" s="140">
        <f>COUNTIF(N8:Q115,"P")</f>
        <v>14</v>
      </c>
      <c r="O119" s="66"/>
      <c r="P119" s="66"/>
      <c r="Q119" s="67"/>
      <c r="R119" s="140">
        <f>COUNTIF(R8:U115,"P")</f>
        <v>18</v>
      </c>
      <c r="S119" s="66"/>
      <c r="T119" s="66"/>
      <c r="U119" s="67"/>
      <c r="V119" s="140">
        <f>COUNTIF(V8:Y115,"P")</f>
        <v>9</v>
      </c>
      <c r="W119" s="66"/>
      <c r="X119" s="66"/>
      <c r="Y119" s="67"/>
      <c r="Z119" s="140">
        <f>COUNTIF(Z8:AC115,"P")</f>
        <v>15</v>
      </c>
      <c r="AA119" s="66"/>
      <c r="AB119" s="66"/>
      <c r="AC119" s="67"/>
      <c r="AD119" s="140">
        <f>COUNTIF(AD8:AG115,"P")</f>
        <v>17</v>
      </c>
      <c r="AE119" s="66"/>
      <c r="AF119" s="66"/>
      <c r="AG119" s="67"/>
      <c r="AH119" s="140">
        <f>COUNTIF(AH8:AK115,"P")</f>
        <v>16</v>
      </c>
      <c r="AI119" s="66"/>
      <c r="AJ119" s="66"/>
      <c r="AK119" s="67"/>
      <c r="AL119" s="140">
        <f>COUNTIF(AL8:AO115,"P")</f>
        <v>15</v>
      </c>
      <c r="AM119" s="66"/>
      <c r="AN119" s="66"/>
      <c r="AO119" s="67"/>
      <c r="AP119" s="140">
        <f>COUNTIF(AP8:AS115,"P")</f>
        <v>14</v>
      </c>
      <c r="AQ119" s="66"/>
      <c r="AR119" s="66"/>
      <c r="AS119" s="67"/>
      <c r="AT119" s="140">
        <f>COUNTIF(AT8:AW115,"P")</f>
        <v>6</v>
      </c>
      <c r="AU119" s="66"/>
      <c r="AV119" s="66"/>
      <c r="AW119" s="67"/>
      <c r="AX119" s="140">
        <f>COUNTIF(AX8:BA115,"P")</f>
        <v>11</v>
      </c>
      <c r="AY119" s="66"/>
      <c r="AZ119" s="66"/>
      <c r="BA119" s="67"/>
      <c r="BB119" s="35"/>
      <c r="BC119" s="35"/>
      <c r="BD119" s="36"/>
      <c r="BE119" s="4"/>
      <c r="BF119" s="11"/>
    </row>
    <row r="120" spans="1:58" ht="17.25" customHeight="1" x14ac:dyDescent="0.3">
      <c r="A120" s="99" t="s">
        <v>78</v>
      </c>
      <c r="B120" s="66"/>
      <c r="C120" s="66"/>
      <c r="D120" s="66"/>
      <c r="E120" s="67"/>
      <c r="F120" s="140">
        <f>COUNTIF(F8:I115,"R")</f>
        <v>14</v>
      </c>
      <c r="G120" s="66"/>
      <c r="H120" s="66"/>
      <c r="I120" s="67"/>
      <c r="J120" s="140">
        <f>COUNTIF(J8:M115,"R")</f>
        <v>12</v>
      </c>
      <c r="K120" s="66"/>
      <c r="L120" s="66"/>
      <c r="M120" s="67"/>
      <c r="N120" s="140">
        <f>COUNTIF(N8:Q115,"R")</f>
        <v>14</v>
      </c>
      <c r="O120" s="66"/>
      <c r="P120" s="66"/>
      <c r="Q120" s="67"/>
      <c r="R120" s="140">
        <f>COUNTIF(R8:U115,"R")</f>
        <v>18</v>
      </c>
      <c r="S120" s="66"/>
      <c r="T120" s="66"/>
      <c r="U120" s="67"/>
      <c r="V120" s="140">
        <f>COUNTIF(V8:Y115,"R")</f>
        <v>9</v>
      </c>
      <c r="W120" s="66"/>
      <c r="X120" s="66"/>
      <c r="Y120" s="67"/>
      <c r="Z120" s="140">
        <f>COUNTIF(Z8:AC115,"R")</f>
        <v>15</v>
      </c>
      <c r="AA120" s="66"/>
      <c r="AB120" s="66"/>
      <c r="AC120" s="67"/>
      <c r="AD120" s="140">
        <f>COUNTIF(AD8:AG115,"R")</f>
        <v>17</v>
      </c>
      <c r="AE120" s="66"/>
      <c r="AF120" s="66"/>
      <c r="AG120" s="67"/>
      <c r="AH120" s="140">
        <f>COUNTIF(AH8:AK115,"R")</f>
        <v>15</v>
      </c>
      <c r="AI120" s="66"/>
      <c r="AJ120" s="66"/>
      <c r="AK120" s="67"/>
      <c r="AL120" s="140">
        <f>COUNTIF(AL8:AO115,"R")</f>
        <v>15</v>
      </c>
      <c r="AM120" s="66"/>
      <c r="AN120" s="66"/>
      <c r="AO120" s="67"/>
      <c r="AP120" s="140">
        <f>COUNTIF(AP8:AS115,"R")</f>
        <v>11</v>
      </c>
      <c r="AQ120" s="66"/>
      <c r="AR120" s="66"/>
      <c r="AS120" s="67"/>
      <c r="AT120" s="140">
        <f>COUNTIF(AT8:AW115,"R")</f>
        <v>6</v>
      </c>
      <c r="AU120" s="66"/>
      <c r="AV120" s="66"/>
      <c r="AW120" s="67"/>
      <c r="AX120" s="140">
        <f>COUNTIF(AX8:BA115,"R")</f>
        <v>5</v>
      </c>
      <c r="AY120" s="66"/>
      <c r="AZ120" s="66"/>
      <c r="BA120" s="67"/>
      <c r="BB120" s="35"/>
      <c r="BC120" s="35"/>
      <c r="BD120" s="36"/>
      <c r="BE120" s="4"/>
      <c r="BF120" s="11"/>
    </row>
    <row r="121" spans="1:58" ht="17.25" customHeight="1" x14ac:dyDescent="0.3">
      <c r="A121" s="99" t="s">
        <v>79</v>
      </c>
      <c r="B121" s="66"/>
      <c r="C121" s="66"/>
      <c r="D121" s="66"/>
      <c r="E121" s="67"/>
      <c r="F121" s="141">
        <f>IFERROR(F120/F119,"")</f>
        <v>1</v>
      </c>
      <c r="G121" s="66"/>
      <c r="H121" s="66"/>
      <c r="I121" s="67"/>
      <c r="J121" s="141">
        <f>IFERROR(J120/J119,"")</f>
        <v>1</v>
      </c>
      <c r="K121" s="66"/>
      <c r="L121" s="66"/>
      <c r="M121" s="67"/>
      <c r="N121" s="141">
        <f>IFERROR(N120/N119,"")</f>
        <v>1</v>
      </c>
      <c r="O121" s="66"/>
      <c r="P121" s="66"/>
      <c r="Q121" s="67"/>
      <c r="R121" s="141">
        <f>IFERROR(R120/R119,"")</f>
        <v>1</v>
      </c>
      <c r="S121" s="66"/>
      <c r="T121" s="66"/>
      <c r="U121" s="67"/>
      <c r="V121" s="141">
        <f>IFERROR(V120/V119,"")</f>
        <v>1</v>
      </c>
      <c r="W121" s="66"/>
      <c r="X121" s="66"/>
      <c r="Y121" s="67"/>
      <c r="Z121" s="141">
        <f>IFERROR(Z120/Z119,"")</f>
        <v>1</v>
      </c>
      <c r="AA121" s="66"/>
      <c r="AB121" s="66"/>
      <c r="AC121" s="67"/>
      <c r="AD121" s="141">
        <f>IFERROR(AD120/AD119,"")</f>
        <v>1</v>
      </c>
      <c r="AE121" s="66"/>
      <c r="AF121" s="66"/>
      <c r="AG121" s="67"/>
      <c r="AH121" s="141">
        <f>IFERROR(AH120/AH119,"")</f>
        <v>0.9375</v>
      </c>
      <c r="AI121" s="66"/>
      <c r="AJ121" s="66"/>
      <c r="AK121" s="67"/>
      <c r="AL121" s="141">
        <f>IFERROR(AL120/AL119,"")</f>
        <v>1</v>
      </c>
      <c r="AM121" s="66"/>
      <c r="AN121" s="66"/>
      <c r="AO121" s="67"/>
      <c r="AP121" s="141">
        <f>IFERROR(AP120/AP119,"")</f>
        <v>0.7857142857142857</v>
      </c>
      <c r="AQ121" s="66"/>
      <c r="AR121" s="66"/>
      <c r="AS121" s="67"/>
      <c r="AT121" s="141">
        <f>IFERROR(AT120/AT119,"")</f>
        <v>1</v>
      </c>
      <c r="AU121" s="66"/>
      <c r="AV121" s="66"/>
      <c r="AW121" s="67"/>
      <c r="AX121" s="141">
        <f>IFERROR(AX120/AX119,"")</f>
        <v>0.45454545454545453</v>
      </c>
      <c r="AY121" s="66"/>
      <c r="AZ121" s="66"/>
      <c r="BA121" s="67"/>
      <c r="BB121" s="36"/>
      <c r="BC121" s="36"/>
      <c r="BD121" s="36"/>
      <c r="BE121" s="4"/>
      <c r="BF121" s="11"/>
    </row>
    <row r="122" spans="1:58" ht="17.25" customHeight="1" x14ac:dyDescent="0.3">
      <c r="A122" s="99" t="s">
        <v>80</v>
      </c>
      <c r="B122" s="66"/>
      <c r="C122" s="66"/>
      <c r="D122" s="66"/>
      <c r="E122" s="67"/>
      <c r="F122" s="145">
        <f>+SUM(F120:BA120)/SUM(F119:BA119)</f>
        <v>0.93788819875776397</v>
      </c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6"/>
      <c r="AW122" s="66"/>
      <c r="AX122" s="66"/>
      <c r="AY122" s="66"/>
      <c r="AZ122" s="66"/>
      <c r="BA122" s="67"/>
      <c r="BB122" s="37"/>
      <c r="BC122" s="37"/>
      <c r="BD122" s="37"/>
      <c r="BE122" s="4"/>
      <c r="BF122" s="11"/>
    </row>
    <row r="123" spans="1:58" ht="17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3"/>
      <c r="BE123" s="4"/>
      <c r="BF123" s="5"/>
    </row>
    <row r="124" spans="1:58" ht="17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3"/>
      <c r="BE124" s="4"/>
      <c r="BF124" s="5"/>
    </row>
    <row r="125" spans="1:58" ht="17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3"/>
      <c r="BE125" s="4"/>
      <c r="BF125" s="5"/>
    </row>
    <row r="126" spans="1:58" ht="17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3"/>
      <c r="BE126" s="4"/>
      <c r="BF126" s="5"/>
    </row>
    <row r="127" spans="1:58" ht="17.25" customHeight="1" x14ac:dyDescent="0.3">
      <c r="A127" s="50" t="s">
        <v>91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2"/>
      <c r="W127" s="142" t="s">
        <v>81</v>
      </c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2"/>
      <c r="AK127" s="2"/>
      <c r="AL127" s="144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2"/>
      <c r="AY127" s="2"/>
      <c r="AZ127" s="2"/>
      <c r="BA127" s="2"/>
      <c r="BB127" s="2"/>
      <c r="BC127" s="2"/>
      <c r="BD127" s="3"/>
      <c r="BE127" s="4"/>
      <c r="BF127" s="5"/>
    </row>
    <row r="128" spans="1:58" ht="17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3"/>
      <c r="BE128" s="4"/>
      <c r="BF128" s="5"/>
    </row>
    <row r="129" spans="1:58" ht="17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3"/>
      <c r="BE129" s="4"/>
      <c r="BF129" s="5"/>
    </row>
    <row r="130" spans="1:58" ht="17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3"/>
      <c r="BE130" s="4"/>
      <c r="BF130" s="5"/>
    </row>
    <row r="131" spans="1:58" ht="17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3"/>
      <c r="BE131" s="4"/>
      <c r="BF131" s="5"/>
    </row>
    <row r="132" spans="1:58" ht="17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3"/>
      <c r="BE132" s="4"/>
      <c r="BF132" s="5"/>
    </row>
    <row r="133" spans="1:58" ht="17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3"/>
      <c r="BE133" s="4"/>
      <c r="BF133" s="5"/>
    </row>
    <row r="134" spans="1:58" ht="17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3"/>
      <c r="BE134" s="4"/>
      <c r="BF134" s="5"/>
    </row>
    <row r="135" spans="1:58" ht="17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3"/>
      <c r="BE135" s="4"/>
      <c r="BF135" s="5"/>
    </row>
    <row r="136" spans="1:58" ht="17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3"/>
      <c r="BE136" s="4"/>
      <c r="BF136" s="5"/>
    </row>
    <row r="137" spans="1:58" ht="17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3"/>
      <c r="BE137" s="4"/>
      <c r="BF137" s="5"/>
    </row>
    <row r="138" spans="1:58" ht="17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3"/>
      <c r="BE138" s="4"/>
      <c r="BF138" s="5"/>
    </row>
    <row r="139" spans="1:58" ht="17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3"/>
      <c r="BE139" s="4"/>
      <c r="BF139" s="5"/>
    </row>
    <row r="140" spans="1:58" ht="17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3"/>
      <c r="BE140" s="4"/>
      <c r="BF140" s="5"/>
    </row>
    <row r="141" spans="1:58" ht="17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3"/>
      <c r="BE141" s="4"/>
      <c r="BF141" s="5"/>
    </row>
    <row r="142" spans="1:58" ht="17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3"/>
      <c r="BE142" s="4"/>
      <c r="BF142" s="5"/>
    </row>
    <row r="143" spans="1:58" ht="17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3"/>
      <c r="BE143" s="4"/>
      <c r="BF143" s="5"/>
    </row>
    <row r="144" spans="1:58" ht="17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3"/>
      <c r="BE144" s="4"/>
      <c r="BF144" s="5"/>
    </row>
    <row r="145" spans="1:58" ht="17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3"/>
      <c r="BE145" s="4"/>
      <c r="BF145" s="5"/>
    </row>
    <row r="146" spans="1:58" ht="17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3"/>
      <c r="BE146" s="4"/>
      <c r="BF146" s="5"/>
    </row>
    <row r="147" spans="1:58" ht="17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3"/>
      <c r="BE147" s="4"/>
      <c r="BF147" s="5"/>
    </row>
    <row r="148" spans="1:58" ht="17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3"/>
      <c r="BE148" s="4"/>
      <c r="BF148" s="5"/>
    </row>
    <row r="149" spans="1:58" ht="17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3"/>
      <c r="BE149" s="4"/>
      <c r="BF149" s="5"/>
    </row>
    <row r="150" spans="1:58" ht="17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3"/>
      <c r="BE150" s="4"/>
      <c r="BF150" s="5"/>
    </row>
    <row r="151" spans="1:58" ht="17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3"/>
      <c r="BE151" s="4"/>
      <c r="BF151" s="5"/>
    </row>
    <row r="152" spans="1:58" ht="17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3"/>
      <c r="BE152" s="4"/>
      <c r="BF152" s="5"/>
    </row>
    <row r="153" spans="1:58" ht="17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3"/>
      <c r="BE153" s="4"/>
      <c r="BF153" s="5"/>
    </row>
    <row r="154" spans="1:58" ht="17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3"/>
      <c r="BE154" s="4"/>
      <c r="BF154" s="5"/>
    </row>
    <row r="155" spans="1:58" ht="17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3"/>
      <c r="BE155" s="4"/>
      <c r="BF155" s="5"/>
    </row>
    <row r="156" spans="1:58" ht="17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3"/>
      <c r="BE156" s="4"/>
      <c r="BF156" s="5"/>
    </row>
    <row r="157" spans="1:58" ht="17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3"/>
      <c r="BE157" s="4"/>
      <c r="BF157" s="5"/>
    </row>
    <row r="158" spans="1:58" ht="17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3"/>
      <c r="BE158" s="4"/>
      <c r="BF158" s="5"/>
    </row>
    <row r="159" spans="1:58" ht="17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3"/>
      <c r="BE159" s="4"/>
      <c r="BF159" s="5"/>
    </row>
    <row r="160" spans="1:58" ht="17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3"/>
      <c r="BE160" s="4"/>
      <c r="BF160" s="5"/>
    </row>
    <row r="161" spans="1:58" ht="17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3"/>
      <c r="BE161" s="4"/>
      <c r="BF161" s="5"/>
    </row>
    <row r="162" spans="1:58" ht="17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3"/>
      <c r="BE162" s="4"/>
      <c r="BF162" s="5"/>
    </row>
    <row r="163" spans="1:58" ht="17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3"/>
      <c r="BE163" s="4"/>
      <c r="BF163" s="5"/>
    </row>
    <row r="164" spans="1:58" ht="17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3"/>
      <c r="BE164" s="4"/>
      <c r="BF164" s="5"/>
    </row>
    <row r="165" spans="1:58" ht="17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3"/>
      <c r="BE165" s="4"/>
      <c r="BF165" s="5"/>
    </row>
    <row r="166" spans="1:58" ht="17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3"/>
      <c r="BE166" s="4"/>
      <c r="BF166" s="5"/>
    </row>
    <row r="167" spans="1:58" ht="17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3"/>
      <c r="BE167" s="4"/>
      <c r="BF167" s="5"/>
    </row>
    <row r="168" spans="1:58" ht="17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3"/>
      <c r="BE168" s="4"/>
      <c r="BF168" s="5"/>
    </row>
    <row r="169" spans="1:58" ht="17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3"/>
      <c r="BE169" s="4"/>
      <c r="BF169" s="5"/>
    </row>
    <row r="170" spans="1:58" ht="17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3"/>
      <c r="BE170" s="4"/>
      <c r="BF170" s="5"/>
    </row>
    <row r="171" spans="1:58" ht="17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3"/>
      <c r="BE171" s="4"/>
      <c r="BF171" s="5"/>
    </row>
    <row r="172" spans="1:58" ht="17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3"/>
      <c r="BE172" s="4"/>
      <c r="BF172" s="5"/>
    </row>
    <row r="173" spans="1:58" ht="17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3"/>
      <c r="BE173" s="4"/>
      <c r="BF173" s="5"/>
    </row>
    <row r="174" spans="1:58" ht="17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3"/>
      <c r="BE174" s="4"/>
      <c r="BF174" s="5"/>
    </row>
    <row r="175" spans="1:58" ht="17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3"/>
      <c r="BE175" s="4"/>
      <c r="BF175" s="5"/>
    </row>
    <row r="176" spans="1:58" ht="17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3"/>
      <c r="BE176" s="4"/>
      <c r="BF176" s="5"/>
    </row>
    <row r="177" spans="1:58" ht="17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3"/>
      <c r="BE177" s="4"/>
      <c r="BF177" s="5"/>
    </row>
    <row r="178" spans="1:58" ht="17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3"/>
      <c r="BE178" s="4"/>
      <c r="BF178" s="5"/>
    </row>
    <row r="179" spans="1:58" ht="17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3"/>
      <c r="BE179" s="4"/>
      <c r="BF179" s="5"/>
    </row>
    <row r="180" spans="1:58" ht="17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3"/>
      <c r="BE180" s="4"/>
      <c r="BF180" s="5"/>
    </row>
    <row r="181" spans="1:58" ht="17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3"/>
      <c r="BE181" s="4"/>
      <c r="BF181" s="5"/>
    </row>
    <row r="182" spans="1:58" ht="17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3"/>
      <c r="BE182" s="4"/>
      <c r="BF182" s="5"/>
    </row>
    <row r="183" spans="1:58" ht="17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3"/>
      <c r="BE183" s="4"/>
      <c r="BF183" s="5"/>
    </row>
    <row r="184" spans="1:58" ht="17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3"/>
      <c r="BE184" s="4"/>
      <c r="BF184" s="5"/>
    </row>
    <row r="185" spans="1:58" ht="17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3"/>
      <c r="BE185" s="4"/>
      <c r="BF185" s="5"/>
    </row>
    <row r="186" spans="1:58" ht="17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3"/>
      <c r="BE186" s="4"/>
      <c r="BF186" s="5"/>
    </row>
    <row r="187" spans="1:58" ht="17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3"/>
      <c r="BE187" s="4"/>
      <c r="BF187" s="5"/>
    </row>
    <row r="188" spans="1:58" ht="17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3"/>
      <c r="BE188" s="4"/>
      <c r="BF188" s="5"/>
    </row>
    <row r="189" spans="1:58" ht="17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3"/>
      <c r="BE189" s="4"/>
      <c r="BF189" s="5"/>
    </row>
    <row r="190" spans="1:58" ht="17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3"/>
      <c r="BE190" s="4"/>
      <c r="BF190" s="5"/>
    </row>
    <row r="191" spans="1:58" ht="17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3"/>
      <c r="BE191" s="4"/>
      <c r="BF191" s="5"/>
    </row>
    <row r="192" spans="1:58" ht="17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3"/>
      <c r="BE192" s="4"/>
      <c r="BF192" s="5"/>
    </row>
    <row r="193" spans="1:58" ht="17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3"/>
      <c r="BE193" s="4"/>
      <c r="BF193" s="5"/>
    </row>
    <row r="194" spans="1:58" ht="17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3"/>
      <c r="BE194" s="4"/>
      <c r="BF194" s="5"/>
    </row>
    <row r="195" spans="1:58" ht="17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3"/>
      <c r="BE195" s="4"/>
      <c r="BF195" s="5"/>
    </row>
    <row r="196" spans="1:58" ht="17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3"/>
      <c r="BE196" s="4"/>
      <c r="BF196" s="5"/>
    </row>
    <row r="197" spans="1:58" ht="17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3"/>
      <c r="BE197" s="4"/>
      <c r="BF197" s="5"/>
    </row>
    <row r="198" spans="1:58" ht="17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3"/>
      <c r="BE198" s="4"/>
      <c r="BF198" s="5"/>
    </row>
    <row r="199" spans="1:58" ht="17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3"/>
      <c r="BE199" s="4"/>
      <c r="BF199" s="5"/>
    </row>
    <row r="200" spans="1:58" ht="17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3"/>
      <c r="BE200" s="4"/>
      <c r="BF200" s="5"/>
    </row>
    <row r="201" spans="1:58" ht="17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3"/>
      <c r="BE201" s="4"/>
      <c r="BF201" s="5"/>
    </row>
    <row r="202" spans="1:58" ht="17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3"/>
      <c r="BE202" s="4"/>
      <c r="BF202" s="5"/>
    </row>
    <row r="203" spans="1:58" ht="17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3"/>
      <c r="BE203" s="4"/>
      <c r="BF203" s="5"/>
    </row>
    <row r="204" spans="1:58" ht="17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3"/>
      <c r="BE204" s="4"/>
      <c r="BF204" s="5"/>
    </row>
    <row r="205" spans="1:58" ht="17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3"/>
      <c r="BE205" s="4"/>
      <c r="BF205" s="5"/>
    </row>
    <row r="206" spans="1:58" ht="17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3"/>
      <c r="BE206" s="4"/>
      <c r="BF206" s="5"/>
    </row>
    <row r="207" spans="1:58" ht="17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3"/>
      <c r="BE207" s="4"/>
      <c r="BF207" s="5"/>
    </row>
    <row r="208" spans="1:58" ht="17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3"/>
      <c r="BE208" s="4"/>
      <c r="BF208" s="5"/>
    </row>
    <row r="209" spans="1:58" ht="17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3"/>
      <c r="BE209" s="4"/>
      <c r="BF209" s="5"/>
    </row>
    <row r="210" spans="1:58" ht="17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3"/>
      <c r="BE210" s="4"/>
      <c r="BF210" s="5"/>
    </row>
    <row r="211" spans="1:58" ht="17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3"/>
      <c r="BE211" s="4"/>
      <c r="BF211" s="5"/>
    </row>
    <row r="212" spans="1:58" ht="17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3"/>
      <c r="BE212" s="4"/>
      <c r="BF212" s="5"/>
    </row>
    <row r="213" spans="1:58" ht="17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3"/>
      <c r="BE213" s="4"/>
      <c r="BF213" s="5"/>
    </row>
    <row r="214" spans="1:58" ht="17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3"/>
      <c r="BE214" s="4"/>
      <c r="BF214" s="5"/>
    </row>
    <row r="215" spans="1:58" ht="17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3"/>
      <c r="BE215" s="4"/>
      <c r="BF215" s="5"/>
    </row>
    <row r="216" spans="1:58" ht="17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3"/>
      <c r="BE216" s="4"/>
      <c r="BF216" s="5"/>
    </row>
    <row r="217" spans="1:58" ht="17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3"/>
      <c r="BE217" s="4"/>
      <c r="BF217" s="5"/>
    </row>
    <row r="218" spans="1:58" ht="17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3"/>
      <c r="BE218" s="4"/>
      <c r="BF218" s="5"/>
    </row>
    <row r="219" spans="1:58" ht="17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3"/>
      <c r="BE219" s="4"/>
      <c r="BF219" s="5"/>
    </row>
    <row r="220" spans="1:58" ht="17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3"/>
      <c r="BE220" s="4"/>
      <c r="BF220" s="5"/>
    </row>
    <row r="221" spans="1:58" ht="17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3"/>
      <c r="BE221" s="4"/>
      <c r="BF221" s="5"/>
    </row>
    <row r="222" spans="1:58" ht="17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3"/>
      <c r="BE222" s="4"/>
      <c r="BF222" s="5"/>
    </row>
    <row r="223" spans="1:58" ht="17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3"/>
      <c r="BE223" s="4"/>
      <c r="BF223" s="5"/>
    </row>
    <row r="224" spans="1:58" ht="17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3"/>
      <c r="BE224" s="4"/>
      <c r="BF224" s="5"/>
    </row>
    <row r="225" spans="1:58" ht="17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3"/>
      <c r="BE225" s="4"/>
      <c r="BF225" s="5"/>
    </row>
    <row r="226" spans="1:58" ht="17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3"/>
      <c r="BE226" s="4"/>
      <c r="BF226" s="5"/>
    </row>
    <row r="227" spans="1:58" ht="17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3"/>
      <c r="BE227" s="4"/>
      <c r="BF227" s="5"/>
    </row>
    <row r="228" spans="1:58" ht="17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3"/>
      <c r="BE228" s="4"/>
      <c r="BF228" s="5"/>
    </row>
    <row r="229" spans="1:58" ht="17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3"/>
      <c r="BE229" s="4"/>
      <c r="BF229" s="5"/>
    </row>
    <row r="230" spans="1:58" ht="17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3"/>
      <c r="BE230" s="4"/>
      <c r="BF230" s="5"/>
    </row>
    <row r="231" spans="1:58" ht="17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3"/>
      <c r="BE231" s="4"/>
      <c r="BF231" s="5"/>
    </row>
    <row r="232" spans="1:58" ht="17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3"/>
      <c r="BE232" s="4"/>
      <c r="BF232" s="5"/>
    </row>
    <row r="233" spans="1:58" ht="17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5"/>
    </row>
    <row r="234" spans="1:58" ht="17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3"/>
      <c r="BE234" s="4"/>
      <c r="BF234" s="5"/>
    </row>
    <row r="235" spans="1:58" ht="17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3"/>
      <c r="BE235" s="4"/>
      <c r="BF235" s="5"/>
    </row>
    <row r="236" spans="1:58" ht="17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3"/>
      <c r="BE236" s="4"/>
      <c r="BF236" s="5"/>
    </row>
    <row r="237" spans="1:58" ht="17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3"/>
      <c r="BE237" s="4"/>
      <c r="BF237" s="5"/>
    </row>
    <row r="238" spans="1:58" ht="17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3"/>
      <c r="BE238" s="4"/>
      <c r="BF238" s="5"/>
    </row>
    <row r="239" spans="1:58" ht="17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3"/>
      <c r="BE239" s="4"/>
      <c r="BF239" s="5"/>
    </row>
    <row r="240" spans="1:58" ht="17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3"/>
      <c r="BE240" s="4"/>
      <c r="BF240" s="5"/>
    </row>
    <row r="241" spans="1:58" ht="17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3"/>
      <c r="BE241" s="4"/>
      <c r="BF241" s="5"/>
    </row>
    <row r="242" spans="1:58" ht="17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3"/>
      <c r="BE242" s="4"/>
      <c r="BF242" s="5"/>
    </row>
    <row r="243" spans="1:58" ht="17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3"/>
      <c r="BE243" s="4"/>
      <c r="BF243" s="5"/>
    </row>
    <row r="244" spans="1:58" ht="17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3"/>
      <c r="BE244" s="4"/>
      <c r="BF244" s="5"/>
    </row>
    <row r="245" spans="1:58" ht="17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3"/>
      <c r="BE245" s="4"/>
      <c r="BF245" s="5"/>
    </row>
    <row r="246" spans="1:58" ht="17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3"/>
      <c r="BE246" s="4"/>
      <c r="BF246" s="5"/>
    </row>
    <row r="247" spans="1:58" ht="17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3"/>
      <c r="BE247" s="4"/>
      <c r="BF247" s="5"/>
    </row>
    <row r="248" spans="1:58" ht="17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3"/>
      <c r="BE248" s="4"/>
      <c r="BF248" s="5"/>
    </row>
    <row r="249" spans="1:58" ht="17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3"/>
      <c r="BE249" s="4"/>
      <c r="BF249" s="5"/>
    </row>
    <row r="250" spans="1:58" ht="17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3"/>
      <c r="BE250" s="4"/>
      <c r="BF250" s="5"/>
    </row>
    <row r="251" spans="1:58" ht="17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3"/>
      <c r="BE251" s="4"/>
      <c r="BF251" s="5"/>
    </row>
    <row r="252" spans="1:58" ht="17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3"/>
      <c r="BE252" s="4"/>
      <c r="BF252" s="5"/>
    </row>
    <row r="253" spans="1:58" ht="17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3"/>
      <c r="BE253" s="4"/>
      <c r="BF253" s="5"/>
    </row>
    <row r="254" spans="1:58" ht="17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3"/>
      <c r="BE254" s="4"/>
      <c r="BF254" s="5"/>
    </row>
    <row r="255" spans="1:58" ht="17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3"/>
      <c r="BE255" s="4"/>
      <c r="BF255" s="5"/>
    </row>
    <row r="256" spans="1:58" ht="17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3"/>
      <c r="BE256" s="4"/>
      <c r="BF256" s="5"/>
    </row>
    <row r="257" spans="1:58" ht="17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3"/>
      <c r="BE257" s="4"/>
      <c r="BF257" s="5"/>
    </row>
    <row r="258" spans="1:58" ht="17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3"/>
      <c r="BE258" s="4"/>
      <c r="BF258" s="5"/>
    </row>
    <row r="259" spans="1:58" ht="17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3"/>
      <c r="BE259" s="4"/>
      <c r="BF259" s="5"/>
    </row>
    <row r="260" spans="1:58" ht="17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3"/>
      <c r="BE260" s="4"/>
      <c r="BF260" s="5"/>
    </row>
    <row r="261" spans="1:58" ht="17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3"/>
      <c r="BE261" s="4"/>
      <c r="BF261" s="5"/>
    </row>
    <row r="262" spans="1:58" ht="17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3"/>
      <c r="BE262" s="4"/>
      <c r="BF262" s="5"/>
    </row>
    <row r="263" spans="1:58" ht="17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3"/>
      <c r="BE263" s="4"/>
      <c r="BF263" s="5"/>
    </row>
    <row r="264" spans="1:58" ht="17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3"/>
      <c r="BE264" s="4"/>
      <c r="BF264" s="5"/>
    </row>
    <row r="265" spans="1:58" ht="17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3"/>
      <c r="BE265" s="4"/>
      <c r="BF265" s="5"/>
    </row>
    <row r="266" spans="1:58" ht="17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3"/>
      <c r="BE266" s="4"/>
      <c r="BF266" s="5"/>
    </row>
    <row r="267" spans="1:58" ht="17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3"/>
      <c r="BE267" s="4"/>
      <c r="BF267" s="5"/>
    </row>
    <row r="268" spans="1:58" ht="17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3"/>
      <c r="BE268" s="4"/>
      <c r="BF268" s="5"/>
    </row>
    <row r="269" spans="1:58" ht="17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3"/>
      <c r="BE269" s="4"/>
      <c r="BF269" s="5"/>
    </row>
    <row r="270" spans="1:58" ht="17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3"/>
      <c r="BE270" s="4"/>
      <c r="BF270" s="5"/>
    </row>
    <row r="271" spans="1:58" ht="17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3"/>
      <c r="BE271" s="4"/>
      <c r="BF271" s="5"/>
    </row>
    <row r="272" spans="1:58" ht="17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3"/>
      <c r="BE272" s="4"/>
      <c r="BF272" s="5"/>
    </row>
    <row r="273" spans="1:58" ht="17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3"/>
      <c r="BE273" s="4"/>
      <c r="BF273" s="5"/>
    </row>
    <row r="274" spans="1:58" ht="17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3"/>
      <c r="BE274" s="4"/>
      <c r="BF274" s="5"/>
    </row>
    <row r="275" spans="1:58" ht="17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3"/>
      <c r="BE275" s="4"/>
      <c r="BF275" s="5"/>
    </row>
    <row r="276" spans="1:58" ht="17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3"/>
      <c r="BE276" s="4"/>
      <c r="BF276" s="5"/>
    </row>
    <row r="277" spans="1:58" ht="17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3"/>
      <c r="BE277" s="4"/>
      <c r="BF277" s="5"/>
    </row>
    <row r="278" spans="1:58" ht="17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3"/>
      <c r="BE278" s="4"/>
      <c r="BF278" s="5"/>
    </row>
    <row r="279" spans="1:58" ht="17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3"/>
      <c r="BE279" s="4"/>
      <c r="BF279" s="5"/>
    </row>
    <row r="280" spans="1:58" ht="17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3"/>
      <c r="BE280" s="4"/>
      <c r="BF280" s="5"/>
    </row>
    <row r="281" spans="1:58" ht="17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3"/>
      <c r="BE281" s="4"/>
      <c r="BF281" s="5"/>
    </row>
    <row r="282" spans="1:58" ht="17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3"/>
      <c r="BE282" s="4"/>
      <c r="BF282" s="5"/>
    </row>
    <row r="283" spans="1:58" ht="17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3"/>
      <c r="BE283" s="4"/>
      <c r="BF283" s="5"/>
    </row>
    <row r="284" spans="1:58" ht="17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3"/>
      <c r="BE284" s="4"/>
      <c r="BF284" s="5"/>
    </row>
    <row r="285" spans="1:58" ht="17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3"/>
      <c r="BE285" s="4"/>
      <c r="BF285" s="5"/>
    </row>
    <row r="286" spans="1:58" ht="17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3"/>
      <c r="BE286" s="4"/>
      <c r="BF286" s="5"/>
    </row>
    <row r="287" spans="1:58" ht="17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3"/>
      <c r="BE287" s="4"/>
      <c r="BF287" s="5"/>
    </row>
    <row r="288" spans="1:58" ht="17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3"/>
      <c r="BE288" s="4"/>
      <c r="BF288" s="5"/>
    </row>
    <row r="289" spans="1:58" ht="17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3"/>
      <c r="BE289" s="4"/>
      <c r="BF289" s="5"/>
    </row>
    <row r="290" spans="1:58" ht="17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3"/>
      <c r="BE290" s="4"/>
      <c r="BF290" s="5"/>
    </row>
    <row r="291" spans="1:58" ht="17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3"/>
      <c r="BE291" s="4"/>
      <c r="BF291" s="5"/>
    </row>
    <row r="292" spans="1:58" ht="17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3"/>
      <c r="BE292" s="4"/>
      <c r="BF292" s="5"/>
    </row>
    <row r="293" spans="1:58" ht="17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3"/>
      <c r="BE293" s="4"/>
      <c r="BF293" s="5"/>
    </row>
    <row r="294" spans="1:58" ht="17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3"/>
      <c r="BE294" s="4"/>
      <c r="BF294" s="5"/>
    </row>
    <row r="295" spans="1:58" ht="17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3"/>
      <c r="BE295" s="4"/>
      <c r="BF295" s="5"/>
    </row>
    <row r="296" spans="1:58" ht="17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3"/>
      <c r="BE296" s="4"/>
      <c r="BF296" s="5"/>
    </row>
    <row r="297" spans="1:58" ht="17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3"/>
      <c r="BE297" s="4"/>
      <c r="BF297" s="5"/>
    </row>
    <row r="298" spans="1:58" ht="17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3"/>
      <c r="BE298" s="4"/>
      <c r="BF298" s="5"/>
    </row>
    <row r="299" spans="1:58" ht="17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3"/>
      <c r="BE299" s="4"/>
      <c r="BF299" s="5"/>
    </row>
    <row r="300" spans="1:58" ht="17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3"/>
      <c r="BE300" s="4"/>
      <c r="BF300" s="5"/>
    </row>
    <row r="301" spans="1:58" ht="17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3"/>
      <c r="BE301" s="4"/>
      <c r="BF301" s="5"/>
    </row>
    <row r="302" spans="1:58" ht="17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3"/>
      <c r="BE302" s="4"/>
      <c r="BF302" s="5"/>
    </row>
    <row r="303" spans="1:58" ht="17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3"/>
      <c r="BE303" s="4"/>
      <c r="BF303" s="5"/>
    </row>
    <row r="304" spans="1:58" ht="17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3"/>
      <c r="BE304" s="4"/>
      <c r="BF304" s="5"/>
    </row>
    <row r="305" spans="1:58" ht="17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3"/>
      <c r="BE305" s="4"/>
      <c r="BF305" s="5"/>
    </row>
    <row r="306" spans="1:58" ht="17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3"/>
      <c r="BE306" s="4"/>
      <c r="BF306" s="5"/>
    </row>
    <row r="307" spans="1:58" ht="17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3"/>
      <c r="BE307" s="4"/>
      <c r="BF307" s="5"/>
    </row>
    <row r="308" spans="1:58" ht="17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3"/>
      <c r="BE308" s="4"/>
      <c r="BF308" s="5"/>
    </row>
    <row r="309" spans="1:58" ht="17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3"/>
      <c r="BE309" s="4"/>
      <c r="BF309" s="5"/>
    </row>
    <row r="310" spans="1:58" ht="17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3"/>
      <c r="BE310" s="4"/>
      <c r="BF310" s="5"/>
    </row>
    <row r="311" spans="1:58" ht="17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3"/>
      <c r="BE311" s="4"/>
      <c r="BF311" s="5"/>
    </row>
    <row r="312" spans="1:58" ht="17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3"/>
      <c r="BE312" s="4"/>
      <c r="BF312" s="5"/>
    </row>
    <row r="313" spans="1:58" ht="17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3"/>
      <c r="BE313" s="4"/>
      <c r="BF313" s="5"/>
    </row>
    <row r="314" spans="1:58" ht="17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3"/>
      <c r="BE314" s="4"/>
      <c r="BF314" s="5"/>
    </row>
    <row r="315" spans="1:58" ht="17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3"/>
      <c r="BE315" s="4"/>
      <c r="BF315" s="5"/>
    </row>
    <row r="316" spans="1:58" ht="17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3"/>
      <c r="BE316" s="4"/>
      <c r="BF316" s="5"/>
    </row>
    <row r="317" spans="1:58" ht="17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3"/>
      <c r="BE317" s="4"/>
      <c r="BF317" s="5"/>
    </row>
    <row r="318" spans="1:58" ht="17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3"/>
      <c r="BE318" s="4"/>
      <c r="BF318" s="5"/>
    </row>
    <row r="319" spans="1:58" ht="17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3"/>
      <c r="BE319" s="4"/>
      <c r="BF319" s="5"/>
    </row>
    <row r="320" spans="1:58" ht="17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3"/>
      <c r="BE320" s="4"/>
      <c r="BF320" s="5"/>
    </row>
    <row r="321" spans="1:58" ht="17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3"/>
      <c r="BE321" s="4"/>
      <c r="BF321" s="5"/>
    </row>
    <row r="322" spans="1:58" ht="17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3"/>
      <c r="BE322" s="4"/>
      <c r="BF322" s="5"/>
    </row>
    <row r="323" spans="1:58" ht="17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3"/>
      <c r="BE323" s="4"/>
      <c r="BF323" s="5"/>
    </row>
    <row r="324" spans="1:58" ht="17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3"/>
      <c r="BE324" s="4"/>
      <c r="BF324" s="5"/>
    </row>
    <row r="325" spans="1:58" ht="17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3"/>
      <c r="BE325" s="4"/>
      <c r="BF325" s="5"/>
    </row>
    <row r="326" spans="1:58" ht="17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3"/>
      <c r="BE326" s="4"/>
      <c r="BF326" s="5"/>
    </row>
    <row r="327" spans="1:58" ht="17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3"/>
      <c r="BE327" s="4"/>
      <c r="BF327" s="5"/>
    </row>
    <row r="328" spans="1:58" ht="17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3"/>
      <c r="BE328" s="4"/>
      <c r="BF328" s="5"/>
    </row>
    <row r="329" spans="1:58" ht="17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3"/>
      <c r="BE329" s="4"/>
      <c r="BF329" s="5"/>
    </row>
    <row r="330" spans="1:58" ht="17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3"/>
      <c r="BE330" s="4"/>
      <c r="BF330" s="5"/>
    </row>
    <row r="331" spans="1:58" ht="17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3"/>
      <c r="BE331" s="4"/>
      <c r="BF331" s="5"/>
    </row>
    <row r="332" spans="1:58" ht="17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3"/>
      <c r="BE332" s="4"/>
      <c r="BF332" s="5"/>
    </row>
    <row r="333" spans="1:58" ht="17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3"/>
      <c r="BE333" s="4"/>
      <c r="BF333" s="5"/>
    </row>
    <row r="334" spans="1:58" ht="17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3"/>
      <c r="BE334" s="4"/>
      <c r="BF334" s="5"/>
    </row>
    <row r="335" spans="1:58" ht="17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3"/>
      <c r="BE335" s="4"/>
      <c r="BF335" s="5"/>
    </row>
    <row r="336" spans="1:58" ht="17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3"/>
      <c r="BE336" s="4"/>
      <c r="BF336" s="5"/>
    </row>
    <row r="337" spans="1:58" ht="17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3"/>
      <c r="BE337" s="4"/>
      <c r="BF337" s="5"/>
    </row>
    <row r="338" spans="1:58" ht="17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3"/>
      <c r="BE338" s="4"/>
      <c r="BF338" s="5"/>
    </row>
    <row r="339" spans="1:58" ht="17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3"/>
      <c r="BE339" s="4"/>
      <c r="BF339" s="5"/>
    </row>
    <row r="340" spans="1:58" ht="17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3"/>
      <c r="BE340" s="4"/>
      <c r="BF340" s="5"/>
    </row>
    <row r="341" spans="1:58" ht="17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3"/>
      <c r="BE341" s="4"/>
      <c r="BF341" s="5"/>
    </row>
    <row r="342" spans="1:58" ht="17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3"/>
      <c r="BE342" s="4"/>
      <c r="BF342" s="5"/>
    </row>
    <row r="343" spans="1:58" ht="17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3"/>
      <c r="BE343" s="4"/>
      <c r="BF343" s="5"/>
    </row>
    <row r="344" spans="1:58" ht="17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3"/>
      <c r="BE344" s="4"/>
      <c r="BF344" s="5"/>
    </row>
    <row r="345" spans="1:58" ht="17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3"/>
      <c r="BE345" s="4"/>
      <c r="BF345" s="5"/>
    </row>
    <row r="346" spans="1:58" ht="17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3"/>
      <c r="BE346" s="4"/>
      <c r="BF346" s="5"/>
    </row>
    <row r="347" spans="1:58" ht="17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3"/>
      <c r="BE347" s="4"/>
      <c r="BF347" s="5"/>
    </row>
    <row r="348" spans="1:58" ht="17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3"/>
      <c r="BE348" s="4"/>
      <c r="BF348" s="5"/>
    </row>
    <row r="349" spans="1:58" ht="17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3"/>
      <c r="BE349" s="4"/>
      <c r="BF349" s="5"/>
    </row>
    <row r="350" spans="1:58" ht="17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3"/>
      <c r="BE350" s="4"/>
      <c r="BF350" s="5"/>
    </row>
    <row r="351" spans="1:58" ht="17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3"/>
      <c r="BE351" s="4"/>
      <c r="BF351" s="5"/>
    </row>
    <row r="352" spans="1:58" ht="17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3"/>
      <c r="BE352" s="4"/>
      <c r="BF352" s="5"/>
    </row>
    <row r="353" spans="1:58" ht="17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3"/>
      <c r="BE353" s="4"/>
      <c r="BF353" s="5"/>
    </row>
    <row r="354" spans="1:58" ht="17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3"/>
      <c r="BE354" s="4"/>
      <c r="BF354" s="5"/>
    </row>
    <row r="355" spans="1:58" ht="17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3"/>
      <c r="BE355" s="4"/>
      <c r="BF355" s="5"/>
    </row>
    <row r="356" spans="1:58" ht="17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3"/>
      <c r="BE356" s="4"/>
      <c r="BF356" s="5"/>
    </row>
    <row r="357" spans="1:58" ht="17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3"/>
      <c r="BE357" s="4"/>
      <c r="BF357" s="5"/>
    </row>
    <row r="358" spans="1:58" ht="17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3"/>
      <c r="BE358" s="4"/>
      <c r="BF358" s="5"/>
    </row>
    <row r="359" spans="1:58" ht="17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3"/>
      <c r="BE359" s="4"/>
      <c r="BF359" s="5"/>
    </row>
    <row r="360" spans="1:58" ht="17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3"/>
      <c r="BE360" s="4"/>
      <c r="BF360" s="5"/>
    </row>
    <row r="361" spans="1:58" ht="17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3"/>
      <c r="BE361" s="4"/>
      <c r="BF361" s="5"/>
    </row>
    <row r="362" spans="1:58" ht="17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3"/>
      <c r="BE362" s="4"/>
      <c r="BF362" s="5"/>
    </row>
    <row r="363" spans="1:58" ht="17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3"/>
      <c r="BE363" s="4"/>
      <c r="BF363" s="5"/>
    </row>
    <row r="364" spans="1:58" ht="17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3"/>
      <c r="BE364" s="4"/>
      <c r="BF364" s="5"/>
    </row>
    <row r="365" spans="1:58" ht="17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3"/>
      <c r="BE365" s="4"/>
      <c r="BF365" s="5"/>
    </row>
    <row r="366" spans="1:58" ht="17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3"/>
      <c r="BE366" s="4"/>
      <c r="BF366" s="5"/>
    </row>
    <row r="367" spans="1:58" ht="17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3"/>
      <c r="BE367" s="4"/>
      <c r="BF367" s="5"/>
    </row>
    <row r="368" spans="1:58" ht="17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3"/>
      <c r="BE368" s="4"/>
      <c r="BF368" s="5"/>
    </row>
    <row r="369" spans="1:58" ht="17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3"/>
      <c r="BE369" s="4"/>
      <c r="BF369" s="5"/>
    </row>
    <row r="370" spans="1:58" ht="17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3"/>
      <c r="BE370" s="4"/>
      <c r="BF370" s="5"/>
    </row>
    <row r="371" spans="1:58" ht="17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3"/>
      <c r="BE371" s="4"/>
      <c r="BF371" s="5"/>
    </row>
    <row r="372" spans="1:58" ht="17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3"/>
      <c r="BE372" s="4"/>
      <c r="BF372" s="5"/>
    </row>
    <row r="373" spans="1:58" ht="17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3"/>
      <c r="BE373" s="4"/>
      <c r="BF373" s="5"/>
    </row>
    <row r="374" spans="1:58" ht="17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3"/>
      <c r="BE374" s="4"/>
      <c r="BF374" s="5"/>
    </row>
    <row r="375" spans="1:58" ht="17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3"/>
      <c r="BE375" s="4"/>
      <c r="BF375" s="5"/>
    </row>
    <row r="376" spans="1:58" ht="17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3"/>
      <c r="BE376" s="4"/>
      <c r="BF376" s="5"/>
    </row>
    <row r="377" spans="1:58" ht="17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3"/>
      <c r="BE377" s="4"/>
      <c r="BF377" s="5"/>
    </row>
    <row r="378" spans="1:58" ht="17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3"/>
      <c r="BE378" s="4"/>
      <c r="BF378" s="5"/>
    </row>
    <row r="379" spans="1:58" ht="17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3"/>
      <c r="BE379" s="4"/>
      <c r="BF379" s="5"/>
    </row>
    <row r="380" spans="1:58" ht="17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3"/>
      <c r="BE380" s="4"/>
      <c r="BF380" s="5"/>
    </row>
    <row r="381" spans="1:58" ht="17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3"/>
      <c r="BE381" s="4"/>
      <c r="BF381" s="5"/>
    </row>
    <row r="382" spans="1:58" ht="17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3"/>
      <c r="BE382" s="4"/>
      <c r="BF382" s="5"/>
    </row>
    <row r="383" spans="1:58" ht="17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3"/>
      <c r="BE383" s="4"/>
      <c r="BF383" s="5"/>
    </row>
    <row r="384" spans="1:58" ht="17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3"/>
      <c r="BE384" s="4"/>
      <c r="BF384" s="5"/>
    </row>
    <row r="385" spans="1:58" ht="17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3"/>
      <c r="BE385" s="4"/>
      <c r="BF385" s="5"/>
    </row>
    <row r="386" spans="1:58" ht="17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3"/>
      <c r="BE386" s="4"/>
      <c r="BF386" s="5"/>
    </row>
    <row r="387" spans="1:58" ht="17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3"/>
      <c r="BE387" s="4"/>
      <c r="BF387" s="5"/>
    </row>
    <row r="388" spans="1:58" ht="17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3"/>
      <c r="BE388" s="4"/>
      <c r="BF388" s="5"/>
    </row>
    <row r="389" spans="1:58" ht="17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3"/>
      <c r="BE389" s="4"/>
      <c r="BF389" s="5"/>
    </row>
    <row r="390" spans="1:58" ht="17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3"/>
      <c r="BE390" s="4"/>
      <c r="BF390" s="5"/>
    </row>
    <row r="391" spans="1:58" ht="17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3"/>
      <c r="BE391" s="4"/>
      <c r="BF391" s="5"/>
    </row>
    <row r="392" spans="1:58" ht="17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3"/>
      <c r="BE392" s="4"/>
      <c r="BF392" s="5"/>
    </row>
    <row r="393" spans="1:58" ht="17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3"/>
      <c r="BE393" s="4"/>
      <c r="BF393" s="5"/>
    </row>
    <row r="394" spans="1:58" ht="17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3"/>
      <c r="BE394" s="4"/>
      <c r="BF394" s="5"/>
    </row>
    <row r="395" spans="1:58" ht="17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3"/>
      <c r="BE395" s="4"/>
      <c r="BF395" s="5"/>
    </row>
    <row r="396" spans="1:58" ht="17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3"/>
      <c r="BE396" s="4"/>
      <c r="BF396" s="5"/>
    </row>
    <row r="397" spans="1:58" ht="17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3"/>
      <c r="BE397" s="4"/>
      <c r="BF397" s="5"/>
    </row>
    <row r="398" spans="1:58" ht="17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3"/>
      <c r="BE398" s="4"/>
      <c r="BF398" s="5"/>
    </row>
    <row r="399" spans="1:58" ht="17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3"/>
      <c r="BE399" s="4"/>
      <c r="BF399" s="5"/>
    </row>
    <row r="400" spans="1:58" ht="17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3"/>
      <c r="BE400" s="4"/>
      <c r="BF400" s="5"/>
    </row>
    <row r="401" spans="1:58" ht="17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3"/>
      <c r="BE401" s="4"/>
      <c r="BF401" s="5"/>
    </row>
    <row r="402" spans="1:58" ht="17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3"/>
      <c r="BE402" s="4"/>
      <c r="BF402" s="5"/>
    </row>
    <row r="403" spans="1:58" ht="17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3"/>
      <c r="BE403" s="4"/>
      <c r="BF403" s="5"/>
    </row>
    <row r="404" spans="1:58" ht="17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3"/>
      <c r="BE404" s="4"/>
      <c r="BF404" s="5"/>
    </row>
    <row r="405" spans="1:58" ht="17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3"/>
      <c r="BE405" s="4"/>
      <c r="BF405" s="5"/>
    </row>
    <row r="406" spans="1:58" ht="17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3"/>
      <c r="BE406" s="4"/>
      <c r="BF406" s="5"/>
    </row>
    <row r="407" spans="1:58" ht="17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3"/>
      <c r="BE407" s="4"/>
      <c r="BF407" s="5"/>
    </row>
    <row r="408" spans="1:58" ht="17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3"/>
      <c r="BE408" s="4"/>
      <c r="BF408" s="5"/>
    </row>
    <row r="409" spans="1:58" ht="17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3"/>
      <c r="BE409" s="4"/>
      <c r="BF409" s="5"/>
    </row>
    <row r="410" spans="1:58" ht="17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3"/>
      <c r="BE410" s="4"/>
      <c r="BF410" s="5"/>
    </row>
    <row r="411" spans="1:58" ht="17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3"/>
      <c r="BE411" s="4"/>
      <c r="BF411" s="5"/>
    </row>
    <row r="412" spans="1:58" ht="17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3"/>
      <c r="BE412" s="4"/>
      <c r="BF412" s="5"/>
    </row>
    <row r="413" spans="1:58" ht="17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3"/>
      <c r="BE413" s="4"/>
      <c r="BF413" s="5"/>
    </row>
    <row r="414" spans="1:58" ht="17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3"/>
      <c r="BE414" s="4"/>
      <c r="BF414" s="5"/>
    </row>
    <row r="415" spans="1:58" ht="17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3"/>
      <c r="BE415" s="4"/>
      <c r="BF415" s="5"/>
    </row>
    <row r="416" spans="1:58" ht="17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3"/>
      <c r="BE416" s="4"/>
      <c r="BF416" s="5"/>
    </row>
    <row r="417" spans="1:58" ht="17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3"/>
      <c r="BE417" s="4"/>
      <c r="BF417" s="5"/>
    </row>
    <row r="418" spans="1:58" ht="17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3"/>
      <c r="BE418" s="4"/>
      <c r="BF418" s="5"/>
    </row>
    <row r="419" spans="1:58" ht="17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3"/>
      <c r="BE419" s="4"/>
      <c r="BF419" s="5"/>
    </row>
    <row r="420" spans="1:58" ht="17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3"/>
      <c r="BE420" s="4"/>
      <c r="BF420" s="5"/>
    </row>
    <row r="421" spans="1:58" ht="17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3"/>
      <c r="BE421" s="4"/>
      <c r="BF421" s="5"/>
    </row>
    <row r="422" spans="1:58" ht="17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3"/>
      <c r="BE422" s="4"/>
      <c r="BF422" s="5"/>
    </row>
    <row r="423" spans="1:58" ht="17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3"/>
      <c r="BE423" s="4"/>
      <c r="BF423" s="5"/>
    </row>
    <row r="424" spans="1:58" ht="17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3"/>
      <c r="BE424" s="4"/>
      <c r="BF424" s="5"/>
    </row>
    <row r="425" spans="1:58" ht="17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3"/>
      <c r="BE425" s="4"/>
      <c r="BF425" s="5"/>
    </row>
    <row r="426" spans="1:58" ht="17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3"/>
      <c r="BE426" s="4"/>
      <c r="BF426" s="5"/>
    </row>
    <row r="427" spans="1:58" ht="17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3"/>
      <c r="BE427" s="4"/>
      <c r="BF427" s="5"/>
    </row>
    <row r="428" spans="1:58" ht="17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3"/>
      <c r="BE428" s="4"/>
      <c r="BF428" s="5"/>
    </row>
    <row r="429" spans="1:58" ht="17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3"/>
      <c r="BE429" s="4"/>
      <c r="BF429" s="5"/>
    </row>
    <row r="430" spans="1:58" ht="17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3"/>
      <c r="BE430" s="4"/>
      <c r="BF430" s="5"/>
    </row>
    <row r="431" spans="1:58" ht="17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3"/>
      <c r="BE431" s="4"/>
      <c r="BF431" s="5"/>
    </row>
    <row r="432" spans="1:58" ht="17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3"/>
      <c r="BE432" s="4"/>
      <c r="BF432" s="5"/>
    </row>
    <row r="433" spans="1:58" ht="17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3"/>
      <c r="BE433" s="4"/>
      <c r="BF433" s="5"/>
    </row>
    <row r="434" spans="1:58" ht="17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3"/>
      <c r="BE434" s="4"/>
      <c r="BF434" s="5"/>
    </row>
    <row r="435" spans="1:58" ht="17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3"/>
      <c r="BE435" s="4"/>
      <c r="BF435" s="5"/>
    </row>
    <row r="436" spans="1:58" ht="17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3"/>
      <c r="BE436" s="4"/>
      <c r="BF436" s="5"/>
    </row>
    <row r="437" spans="1:58" ht="17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3"/>
      <c r="BE437" s="4"/>
      <c r="BF437" s="5"/>
    </row>
    <row r="438" spans="1:58" ht="17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3"/>
      <c r="BE438" s="4"/>
      <c r="BF438" s="5"/>
    </row>
    <row r="439" spans="1:58" ht="17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3"/>
      <c r="BE439" s="4"/>
      <c r="BF439" s="5"/>
    </row>
    <row r="440" spans="1:58" ht="17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3"/>
      <c r="BE440" s="4"/>
      <c r="BF440" s="5"/>
    </row>
    <row r="441" spans="1:58" ht="17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3"/>
      <c r="BE441" s="4"/>
      <c r="BF441" s="5"/>
    </row>
    <row r="442" spans="1:58" ht="17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3"/>
      <c r="BE442" s="4"/>
      <c r="BF442" s="5"/>
    </row>
    <row r="443" spans="1:58" ht="17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3"/>
      <c r="BE443" s="4"/>
      <c r="BF443" s="5"/>
    </row>
    <row r="444" spans="1:58" ht="17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3"/>
      <c r="BE444" s="4"/>
      <c r="BF444" s="5"/>
    </row>
    <row r="445" spans="1:58" ht="17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3"/>
      <c r="BE445" s="4"/>
      <c r="BF445" s="5"/>
    </row>
    <row r="446" spans="1:58" ht="17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3"/>
      <c r="BE446" s="4"/>
      <c r="BF446" s="5"/>
    </row>
    <row r="447" spans="1:58" ht="17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3"/>
      <c r="BE447" s="4"/>
      <c r="BF447" s="5"/>
    </row>
    <row r="448" spans="1:58" ht="17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3"/>
      <c r="BE448" s="4"/>
      <c r="BF448" s="5"/>
    </row>
    <row r="449" spans="1:58" ht="17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3"/>
      <c r="BE449" s="4"/>
      <c r="BF449" s="5"/>
    </row>
    <row r="450" spans="1:58" ht="17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3"/>
      <c r="BE450" s="4"/>
      <c r="BF450" s="5"/>
    </row>
    <row r="451" spans="1:58" ht="17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3"/>
      <c r="BE451" s="4"/>
      <c r="BF451" s="5"/>
    </row>
    <row r="452" spans="1:58" ht="17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3"/>
      <c r="BE452" s="4"/>
      <c r="BF452" s="5"/>
    </row>
    <row r="453" spans="1:58" ht="17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3"/>
      <c r="BE453" s="4"/>
      <c r="BF453" s="5"/>
    </row>
    <row r="454" spans="1:58" ht="17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3"/>
      <c r="BE454" s="4"/>
      <c r="BF454" s="5"/>
    </row>
    <row r="455" spans="1:58" ht="17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3"/>
      <c r="BE455" s="4"/>
      <c r="BF455" s="5"/>
    </row>
    <row r="456" spans="1:58" ht="17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3"/>
      <c r="BE456" s="4"/>
      <c r="BF456" s="5"/>
    </row>
    <row r="457" spans="1:58" ht="17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3"/>
      <c r="BE457" s="4"/>
      <c r="BF457" s="5"/>
    </row>
    <row r="458" spans="1:58" ht="17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3"/>
      <c r="BE458" s="4"/>
      <c r="BF458" s="5"/>
    </row>
    <row r="459" spans="1:58" ht="17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3"/>
      <c r="BE459" s="4"/>
      <c r="BF459" s="5"/>
    </row>
    <row r="460" spans="1:58" ht="17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3"/>
      <c r="BE460" s="4"/>
      <c r="BF460" s="5"/>
    </row>
    <row r="461" spans="1:58" ht="17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3"/>
      <c r="BE461" s="4"/>
      <c r="BF461" s="5"/>
    </row>
    <row r="462" spans="1:58" ht="17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3"/>
      <c r="BE462" s="4"/>
      <c r="BF462" s="5"/>
    </row>
    <row r="463" spans="1:58" ht="17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3"/>
      <c r="BE463" s="4"/>
      <c r="BF463" s="5"/>
    </row>
    <row r="464" spans="1:58" ht="17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3"/>
      <c r="BE464" s="4"/>
      <c r="BF464" s="5"/>
    </row>
    <row r="465" spans="1:58" ht="17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3"/>
      <c r="BE465" s="4"/>
      <c r="BF465" s="5"/>
    </row>
    <row r="466" spans="1:58" ht="17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3"/>
      <c r="BE466" s="4"/>
      <c r="BF466" s="5"/>
    </row>
    <row r="467" spans="1:58" ht="17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3"/>
      <c r="BE467" s="4"/>
      <c r="BF467" s="5"/>
    </row>
    <row r="468" spans="1:58" ht="17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3"/>
      <c r="BE468" s="4"/>
      <c r="BF468" s="5"/>
    </row>
    <row r="469" spans="1:58" ht="17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3"/>
      <c r="BE469" s="4"/>
      <c r="BF469" s="5"/>
    </row>
    <row r="470" spans="1:58" ht="17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3"/>
      <c r="BE470" s="4"/>
      <c r="BF470" s="5"/>
    </row>
    <row r="471" spans="1:58" ht="17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3"/>
      <c r="BE471" s="4"/>
      <c r="BF471" s="5"/>
    </row>
    <row r="472" spans="1:58" ht="17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3"/>
      <c r="BE472" s="4"/>
      <c r="BF472" s="5"/>
    </row>
    <row r="473" spans="1:58" ht="17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3"/>
      <c r="BE473" s="4"/>
      <c r="BF473" s="5"/>
    </row>
    <row r="474" spans="1:58" ht="17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3"/>
      <c r="BE474" s="4"/>
      <c r="BF474" s="5"/>
    </row>
    <row r="475" spans="1:58" ht="17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3"/>
      <c r="BE475" s="4"/>
      <c r="BF475" s="5"/>
    </row>
    <row r="476" spans="1:58" ht="17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3"/>
      <c r="BE476" s="4"/>
      <c r="BF476" s="5"/>
    </row>
    <row r="477" spans="1:58" ht="17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3"/>
      <c r="BE477" s="4"/>
      <c r="BF477" s="5"/>
    </row>
    <row r="478" spans="1:58" ht="17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3"/>
      <c r="BE478" s="4"/>
      <c r="BF478" s="5"/>
    </row>
    <row r="479" spans="1:58" ht="17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3"/>
      <c r="BE479" s="4"/>
      <c r="BF479" s="5"/>
    </row>
    <row r="480" spans="1:58" ht="17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3"/>
      <c r="BE480" s="4"/>
      <c r="BF480" s="5"/>
    </row>
    <row r="481" spans="1:58" ht="17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3"/>
      <c r="BE481" s="4"/>
      <c r="BF481" s="5"/>
    </row>
    <row r="482" spans="1:58" ht="17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3"/>
      <c r="BE482" s="4"/>
      <c r="BF482" s="5"/>
    </row>
    <row r="483" spans="1:58" ht="17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3"/>
      <c r="BE483" s="4"/>
      <c r="BF483" s="5"/>
    </row>
    <row r="484" spans="1:58" ht="17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3"/>
      <c r="BE484" s="4"/>
      <c r="BF484" s="5"/>
    </row>
    <row r="485" spans="1:58" ht="17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3"/>
      <c r="BE485" s="4"/>
      <c r="BF485" s="5"/>
    </row>
    <row r="486" spans="1:58" ht="17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3"/>
      <c r="BE486" s="4"/>
      <c r="BF486" s="5"/>
    </row>
    <row r="487" spans="1:58" ht="17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3"/>
      <c r="BE487" s="4"/>
      <c r="BF487" s="5"/>
    </row>
    <row r="488" spans="1:58" ht="17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3"/>
      <c r="BE488" s="4"/>
      <c r="BF488" s="5"/>
    </row>
    <row r="489" spans="1:58" ht="17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3"/>
      <c r="BE489" s="4"/>
      <c r="BF489" s="5"/>
    </row>
    <row r="490" spans="1:58" ht="17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3"/>
      <c r="BE490" s="4"/>
      <c r="BF490" s="5"/>
    </row>
    <row r="491" spans="1:58" ht="17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3"/>
      <c r="BE491" s="4"/>
      <c r="BF491" s="5"/>
    </row>
    <row r="492" spans="1:58" ht="17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3"/>
      <c r="BE492" s="4"/>
      <c r="BF492" s="5"/>
    </row>
    <row r="493" spans="1:58" ht="17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3"/>
      <c r="BE493" s="4"/>
      <c r="BF493" s="5"/>
    </row>
    <row r="494" spans="1:58" ht="17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3"/>
      <c r="BE494" s="4"/>
      <c r="BF494" s="5"/>
    </row>
    <row r="495" spans="1:58" ht="17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3"/>
      <c r="BE495" s="4"/>
      <c r="BF495" s="5"/>
    </row>
    <row r="496" spans="1:58" ht="17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3"/>
      <c r="BE496" s="4"/>
      <c r="BF496" s="5"/>
    </row>
    <row r="497" spans="1:58" ht="17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3"/>
      <c r="BE497" s="4"/>
      <c r="BF497" s="5"/>
    </row>
    <row r="498" spans="1:58" ht="17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3"/>
      <c r="BE498" s="4"/>
      <c r="BF498" s="5"/>
    </row>
    <row r="499" spans="1:58" ht="17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3"/>
      <c r="BE499" s="4"/>
      <c r="BF499" s="5"/>
    </row>
    <row r="500" spans="1:58" ht="17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3"/>
      <c r="BE500" s="4"/>
      <c r="BF500" s="5"/>
    </row>
    <row r="501" spans="1:58" ht="17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3"/>
      <c r="BE501" s="4"/>
      <c r="BF501" s="5"/>
    </row>
    <row r="502" spans="1:58" ht="17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3"/>
      <c r="BE502" s="4"/>
      <c r="BF502" s="5"/>
    </row>
    <row r="503" spans="1:58" ht="17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3"/>
      <c r="BE503" s="4"/>
      <c r="BF503" s="5"/>
    </row>
    <row r="504" spans="1:58" ht="17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3"/>
      <c r="BE504" s="4"/>
      <c r="BF504" s="5"/>
    </row>
    <row r="505" spans="1:58" ht="17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3"/>
      <c r="BE505" s="4"/>
      <c r="BF505" s="5"/>
    </row>
    <row r="506" spans="1:58" ht="17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3"/>
      <c r="BE506" s="4"/>
      <c r="BF506" s="5"/>
    </row>
    <row r="507" spans="1:58" ht="17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3"/>
      <c r="BE507" s="4"/>
      <c r="BF507" s="5"/>
    </row>
    <row r="508" spans="1:58" ht="17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3"/>
      <c r="BE508" s="4"/>
      <c r="BF508" s="5"/>
    </row>
    <row r="509" spans="1:58" ht="17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3"/>
      <c r="BE509" s="4"/>
      <c r="BF509" s="5"/>
    </row>
    <row r="510" spans="1:58" ht="17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3"/>
      <c r="BE510" s="4"/>
      <c r="BF510" s="5"/>
    </row>
    <row r="511" spans="1:58" ht="17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3"/>
      <c r="BE511" s="4"/>
      <c r="BF511" s="5"/>
    </row>
    <row r="512" spans="1:58" ht="17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3"/>
      <c r="BE512" s="4"/>
      <c r="BF512" s="5"/>
    </row>
    <row r="513" spans="1:58" ht="17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3"/>
      <c r="BE513" s="4"/>
      <c r="BF513" s="5"/>
    </row>
    <row r="514" spans="1:58" ht="17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3"/>
      <c r="BE514" s="4"/>
      <c r="BF514" s="5"/>
    </row>
    <row r="515" spans="1:58" ht="17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3"/>
      <c r="BE515" s="4"/>
      <c r="BF515" s="5"/>
    </row>
    <row r="516" spans="1:58" ht="17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3"/>
      <c r="BE516" s="4"/>
      <c r="BF516" s="5"/>
    </row>
    <row r="517" spans="1:58" ht="17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3"/>
      <c r="BE517" s="4"/>
      <c r="BF517" s="5"/>
    </row>
    <row r="518" spans="1:58" ht="17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3"/>
      <c r="BE518" s="4"/>
      <c r="BF518" s="5"/>
    </row>
    <row r="519" spans="1:58" ht="17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3"/>
      <c r="BE519" s="4"/>
      <c r="BF519" s="5"/>
    </row>
    <row r="520" spans="1:58" ht="17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3"/>
      <c r="BE520" s="4"/>
      <c r="BF520" s="5"/>
    </row>
    <row r="521" spans="1:58" ht="17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3"/>
      <c r="BE521" s="4"/>
      <c r="BF521" s="5"/>
    </row>
    <row r="522" spans="1:58" ht="17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3"/>
      <c r="BE522" s="4"/>
      <c r="BF522" s="5"/>
    </row>
    <row r="523" spans="1:58" ht="17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3"/>
      <c r="BE523" s="4"/>
      <c r="BF523" s="5"/>
    </row>
    <row r="524" spans="1:58" ht="17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3"/>
      <c r="BE524" s="4"/>
      <c r="BF524" s="5"/>
    </row>
    <row r="525" spans="1:58" ht="17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3"/>
      <c r="BE525" s="4"/>
      <c r="BF525" s="5"/>
    </row>
    <row r="526" spans="1:58" ht="17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3"/>
      <c r="BE526" s="4"/>
      <c r="BF526" s="5"/>
    </row>
    <row r="527" spans="1:58" ht="17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3"/>
      <c r="BE527" s="4"/>
      <c r="BF527" s="5"/>
    </row>
    <row r="528" spans="1:58" ht="17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3"/>
      <c r="BE528" s="4"/>
      <c r="BF528" s="5"/>
    </row>
    <row r="529" spans="1:58" ht="17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3"/>
      <c r="BE529" s="4"/>
      <c r="BF529" s="5"/>
    </row>
    <row r="530" spans="1:58" ht="17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3"/>
      <c r="BE530" s="4"/>
      <c r="BF530" s="5"/>
    </row>
    <row r="531" spans="1:58" ht="17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3"/>
      <c r="BE531" s="4"/>
      <c r="BF531" s="5"/>
    </row>
    <row r="532" spans="1:58" ht="17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3"/>
      <c r="BE532" s="4"/>
      <c r="BF532" s="5"/>
    </row>
    <row r="533" spans="1:58" ht="17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3"/>
      <c r="BE533" s="4"/>
      <c r="BF533" s="5"/>
    </row>
    <row r="534" spans="1:58" ht="17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3"/>
      <c r="BE534" s="4"/>
      <c r="BF534" s="5"/>
    </row>
    <row r="535" spans="1:58" ht="17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3"/>
      <c r="BE535" s="4"/>
      <c r="BF535" s="5"/>
    </row>
    <row r="536" spans="1:58" ht="17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3"/>
      <c r="BE536" s="4"/>
      <c r="BF536" s="5"/>
    </row>
    <row r="537" spans="1:58" ht="17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3"/>
      <c r="BE537" s="4"/>
      <c r="BF537" s="5"/>
    </row>
    <row r="538" spans="1:58" ht="17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3"/>
      <c r="BE538" s="4"/>
      <c r="BF538" s="5"/>
    </row>
    <row r="539" spans="1:58" ht="17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3"/>
      <c r="BE539" s="4"/>
      <c r="BF539" s="5"/>
    </row>
    <row r="540" spans="1:58" ht="17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3"/>
      <c r="BE540" s="4"/>
      <c r="BF540" s="5"/>
    </row>
    <row r="541" spans="1:58" ht="17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3"/>
      <c r="BE541" s="4"/>
      <c r="BF541" s="5"/>
    </row>
    <row r="542" spans="1:58" ht="17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3"/>
      <c r="BE542" s="4"/>
      <c r="BF542" s="5"/>
    </row>
    <row r="543" spans="1:58" ht="17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3"/>
      <c r="BE543" s="4"/>
      <c r="BF543" s="5"/>
    </row>
    <row r="544" spans="1:58" ht="17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3"/>
      <c r="BE544" s="4"/>
      <c r="BF544" s="5"/>
    </row>
    <row r="545" spans="1:58" ht="17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3"/>
      <c r="BE545" s="4"/>
      <c r="BF545" s="5"/>
    </row>
    <row r="546" spans="1:58" ht="17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3"/>
      <c r="BE546" s="4"/>
      <c r="BF546" s="5"/>
    </row>
    <row r="547" spans="1:58" ht="17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3"/>
      <c r="BE547" s="4"/>
      <c r="BF547" s="5"/>
    </row>
    <row r="548" spans="1:58" ht="17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3"/>
      <c r="BE548" s="4"/>
      <c r="BF548" s="5"/>
    </row>
    <row r="549" spans="1:58" ht="17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3"/>
      <c r="BE549" s="4"/>
      <c r="BF549" s="5"/>
    </row>
    <row r="550" spans="1:58" ht="17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3"/>
      <c r="BE550" s="4"/>
      <c r="BF550" s="5"/>
    </row>
    <row r="551" spans="1:58" ht="17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3"/>
      <c r="BE551" s="4"/>
      <c r="BF551" s="5"/>
    </row>
    <row r="552" spans="1:58" ht="17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3"/>
      <c r="BE552" s="4"/>
      <c r="BF552" s="5"/>
    </row>
    <row r="553" spans="1:58" ht="17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3"/>
      <c r="BE553" s="4"/>
      <c r="BF553" s="5"/>
    </row>
    <row r="554" spans="1:58" ht="17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3"/>
      <c r="BE554" s="4"/>
      <c r="BF554" s="5"/>
    </row>
    <row r="555" spans="1:58" ht="17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3"/>
      <c r="BE555" s="4"/>
      <c r="BF555" s="5"/>
    </row>
    <row r="556" spans="1:58" ht="17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3"/>
      <c r="BE556" s="4"/>
      <c r="BF556" s="5"/>
    </row>
    <row r="557" spans="1:58" ht="17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3"/>
      <c r="BE557" s="4"/>
      <c r="BF557" s="5"/>
    </row>
    <row r="558" spans="1:58" ht="17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3"/>
      <c r="BE558" s="4"/>
      <c r="BF558" s="5"/>
    </row>
    <row r="559" spans="1:58" ht="17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3"/>
      <c r="BE559" s="4"/>
      <c r="BF559" s="5"/>
    </row>
    <row r="560" spans="1:58" ht="17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3"/>
      <c r="BE560" s="4"/>
      <c r="BF560" s="5"/>
    </row>
    <row r="561" spans="1:58" ht="17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3"/>
      <c r="BE561" s="4"/>
      <c r="BF561" s="5"/>
    </row>
    <row r="562" spans="1:58" ht="17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3"/>
      <c r="BE562" s="4"/>
      <c r="BF562" s="5"/>
    </row>
    <row r="563" spans="1:58" ht="17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3"/>
      <c r="BE563" s="4"/>
      <c r="BF563" s="5"/>
    </row>
    <row r="564" spans="1:58" ht="17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3"/>
      <c r="BE564" s="4"/>
      <c r="BF564" s="5"/>
    </row>
    <row r="565" spans="1:58" ht="17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3"/>
      <c r="BE565" s="4"/>
      <c r="BF565" s="5"/>
    </row>
    <row r="566" spans="1:58" ht="17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3"/>
      <c r="BE566" s="4"/>
      <c r="BF566" s="5"/>
    </row>
    <row r="567" spans="1:58" ht="17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3"/>
      <c r="BE567" s="4"/>
      <c r="BF567" s="5"/>
    </row>
    <row r="568" spans="1:58" ht="17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3"/>
      <c r="BE568" s="4"/>
      <c r="BF568" s="5"/>
    </row>
    <row r="569" spans="1:58" ht="17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3"/>
      <c r="BE569" s="4"/>
      <c r="BF569" s="5"/>
    </row>
    <row r="570" spans="1:58" ht="17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3"/>
      <c r="BE570" s="4"/>
      <c r="BF570" s="5"/>
    </row>
    <row r="571" spans="1:58" ht="17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3"/>
      <c r="BE571" s="4"/>
      <c r="BF571" s="5"/>
    </row>
    <row r="572" spans="1:58" ht="17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3"/>
      <c r="BE572" s="4"/>
      <c r="BF572" s="5"/>
    </row>
    <row r="573" spans="1:58" ht="17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3"/>
      <c r="BE573" s="4"/>
      <c r="BF573" s="5"/>
    </row>
    <row r="574" spans="1:58" ht="17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3"/>
      <c r="BE574" s="4"/>
      <c r="BF574" s="5"/>
    </row>
    <row r="575" spans="1:58" ht="17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3"/>
      <c r="BE575" s="4"/>
      <c r="BF575" s="5"/>
    </row>
    <row r="576" spans="1:58" ht="17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3"/>
      <c r="BE576" s="4"/>
      <c r="BF576" s="5"/>
    </row>
    <row r="577" spans="1:58" ht="17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3"/>
      <c r="BE577" s="4"/>
      <c r="BF577" s="5"/>
    </row>
    <row r="578" spans="1:58" ht="17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3"/>
      <c r="BE578" s="4"/>
      <c r="BF578" s="5"/>
    </row>
    <row r="579" spans="1:58" ht="17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3"/>
      <c r="BE579" s="4"/>
      <c r="BF579" s="5"/>
    </row>
    <row r="580" spans="1:58" ht="17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3"/>
      <c r="BE580" s="4"/>
      <c r="BF580" s="5"/>
    </row>
    <row r="581" spans="1:58" ht="17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3"/>
      <c r="BE581" s="4"/>
      <c r="BF581" s="5"/>
    </row>
    <row r="582" spans="1:58" ht="17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3"/>
      <c r="BE582" s="4"/>
      <c r="BF582" s="5"/>
    </row>
    <row r="583" spans="1:58" ht="17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3"/>
      <c r="BE583" s="4"/>
      <c r="BF583" s="5"/>
    </row>
    <row r="584" spans="1:58" ht="17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3"/>
      <c r="BE584" s="4"/>
      <c r="BF584" s="5"/>
    </row>
    <row r="585" spans="1:58" ht="17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3"/>
      <c r="BE585" s="4"/>
      <c r="BF585" s="5"/>
    </row>
    <row r="586" spans="1:58" ht="17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3"/>
      <c r="BE586" s="4"/>
      <c r="BF586" s="5"/>
    </row>
    <row r="587" spans="1:58" ht="17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3"/>
      <c r="BE587" s="4"/>
      <c r="BF587" s="5"/>
    </row>
    <row r="588" spans="1:58" ht="17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3"/>
      <c r="BE588" s="4"/>
      <c r="BF588" s="5"/>
    </row>
    <row r="589" spans="1:58" ht="17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3"/>
      <c r="BE589" s="4"/>
      <c r="BF589" s="5"/>
    </row>
    <row r="590" spans="1:58" ht="17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3"/>
      <c r="BE590" s="4"/>
      <c r="BF590" s="5"/>
    </row>
    <row r="591" spans="1:58" ht="17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3"/>
      <c r="BE591" s="4"/>
      <c r="BF591" s="5"/>
    </row>
    <row r="592" spans="1:58" ht="17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3"/>
      <c r="BE592" s="4"/>
      <c r="BF592" s="5"/>
    </row>
    <row r="593" spans="1:58" ht="17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3"/>
      <c r="BE593" s="4"/>
      <c r="BF593" s="5"/>
    </row>
    <row r="594" spans="1:58" ht="17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3"/>
      <c r="BE594" s="4"/>
      <c r="BF594" s="5"/>
    </row>
    <row r="595" spans="1:58" ht="17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3"/>
      <c r="BE595" s="4"/>
      <c r="BF595" s="5"/>
    </row>
    <row r="596" spans="1:58" ht="17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3"/>
      <c r="BE596" s="4"/>
      <c r="BF596" s="5"/>
    </row>
    <row r="597" spans="1:58" ht="17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3"/>
      <c r="BE597" s="4"/>
      <c r="BF597" s="5"/>
    </row>
    <row r="598" spans="1:58" ht="17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3"/>
      <c r="BE598" s="4"/>
      <c r="BF598" s="5"/>
    </row>
    <row r="599" spans="1:58" ht="17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3"/>
      <c r="BE599" s="4"/>
      <c r="BF599" s="5"/>
    </row>
    <row r="600" spans="1:58" ht="17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3"/>
      <c r="BE600" s="4"/>
      <c r="BF600" s="5"/>
    </row>
    <row r="601" spans="1:58" ht="17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3"/>
      <c r="BE601" s="4"/>
      <c r="BF601" s="5"/>
    </row>
    <row r="602" spans="1:58" ht="17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3"/>
      <c r="BE602" s="4"/>
      <c r="BF602" s="5"/>
    </row>
    <row r="603" spans="1:58" ht="17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3"/>
      <c r="BE603" s="4"/>
      <c r="BF603" s="5"/>
    </row>
    <row r="604" spans="1:58" ht="17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3"/>
      <c r="BE604" s="4"/>
      <c r="BF604" s="5"/>
    </row>
    <row r="605" spans="1:58" ht="17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3"/>
      <c r="BE605" s="4"/>
      <c r="BF605" s="5"/>
    </row>
    <row r="606" spans="1:58" ht="17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3"/>
      <c r="BE606" s="4"/>
      <c r="BF606" s="5"/>
    </row>
    <row r="607" spans="1:58" ht="17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3"/>
      <c r="BE607" s="4"/>
      <c r="BF607" s="5"/>
    </row>
    <row r="608" spans="1:58" ht="17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3"/>
      <c r="BE608" s="4"/>
      <c r="BF608" s="5"/>
    </row>
    <row r="609" spans="1:58" ht="17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3"/>
      <c r="BE609" s="4"/>
      <c r="BF609" s="5"/>
    </row>
    <row r="610" spans="1:58" ht="17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3"/>
      <c r="BE610" s="4"/>
      <c r="BF610" s="5"/>
    </row>
    <row r="611" spans="1:58" ht="17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3"/>
      <c r="BE611" s="4"/>
      <c r="BF611" s="5"/>
    </row>
    <row r="612" spans="1:58" ht="17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3"/>
      <c r="BE612" s="4"/>
      <c r="BF612" s="5"/>
    </row>
    <row r="613" spans="1:58" ht="17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3"/>
      <c r="BE613" s="4"/>
      <c r="BF613" s="5"/>
    </row>
    <row r="614" spans="1:58" ht="17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3"/>
      <c r="BE614" s="4"/>
      <c r="BF614" s="5"/>
    </row>
    <row r="615" spans="1:58" ht="17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3"/>
      <c r="BE615" s="4"/>
      <c r="BF615" s="5"/>
    </row>
    <row r="616" spans="1:58" ht="17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3"/>
      <c r="BE616" s="4"/>
      <c r="BF616" s="5"/>
    </row>
    <row r="617" spans="1:58" ht="17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3"/>
      <c r="BE617" s="4"/>
      <c r="BF617" s="5"/>
    </row>
    <row r="618" spans="1:58" ht="17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3"/>
      <c r="BE618" s="4"/>
      <c r="BF618" s="5"/>
    </row>
    <row r="619" spans="1:58" ht="17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3"/>
      <c r="BE619" s="4"/>
      <c r="BF619" s="5"/>
    </row>
    <row r="620" spans="1:58" ht="17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3"/>
      <c r="BE620" s="4"/>
      <c r="BF620" s="5"/>
    </row>
    <row r="621" spans="1:58" ht="17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3"/>
      <c r="BE621" s="4"/>
      <c r="BF621" s="5"/>
    </row>
    <row r="622" spans="1:58" ht="17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3"/>
      <c r="BE622" s="4"/>
      <c r="BF622" s="5"/>
    </row>
    <row r="623" spans="1:58" ht="17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3"/>
      <c r="BE623" s="4"/>
      <c r="BF623" s="5"/>
    </row>
    <row r="624" spans="1:58" ht="17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3"/>
      <c r="BE624" s="4"/>
      <c r="BF624" s="5"/>
    </row>
    <row r="625" spans="1:58" ht="17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3"/>
      <c r="BE625" s="4"/>
      <c r="BF625" s="5"/>
    </row>
    <row r="626" spans="1:58" ht="17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3"/>
      <c r="BE626" s="4"/>
      <c r="BF626" s="5"/>
    </row>
    <row r="627" spans="1:58" ht="17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3"/>
      <c r="BE627" s="4"/>
      <c r="BF627" s="5"/>
    </row>
    <row r="628" spans="1:58" ht="17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3"/>
      <c r="BE628" s="4"/>
      <c r="BF628" s="5"/>
    </row>
    <row r="629" spans="1:58" ht="17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3"/>
      <c r="BE629" s="4"/>
      <c r="BF629" s="5"/>
    </row>
    <row r="630" spans="1:58" ht="17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3"/>
      <c r="BE630" s="4"/>
      <c r="BF630" s="5"/>
    </row>
    <row r="631" spans="1:58" ht="17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3"/>
      <c r="BE631" s="4"/>
      <c r="BF631" s="5"/>
    </row>
    <row r="632" spans="1:58" ht="17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3"/>
      <c r="BE632" s="4"/>
      <c r="BF632" s="5"/>
    </row>
    <row r="633" spans="1:58" ht="17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3"/>
      <c r="BE633" s="4"/>
      <c r="BF633" s="5"/>
    </row>
    <row r="634" spans="1:58" ht="17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3"/>
      <c r="BE634" s="4"/>
      <c r="BF634" s="5"/>
    </row>
    <row r="635" spans="1:58" ht="17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3"/>
      <c r="BE635" s="4"/>
      <c r="BF635" s="5"/>
    </row>
    <row r="636" spans="1:58" ht="17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3"/>
      <c r="BE636" s="4"/>
      <c r="BF636" s="5"/>
    </row>
    <row r="637" spans="1:58" ht="17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3"/>
      <c r="BE637" s="4"/>
      <c r="BF637" s="5"/>
    </row>
    <row r="638" spans="1:58" ht="17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3"/>
      <c r="BE638" s="4"/>
      <c r="BF638" s="5"/>
    </row>
    <row r="639" spans="1:58" ht="17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3"/>
      <c r="BE639" s="4"/>
      <c r="BF639" s="5"/>
    </row>
    <row r="640" spans="1:58" ht="17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3"/>
      <c r="BE640" s="4"/>
      <c r="BF640" s="5"/>
    </row>
    <row r="641" spans="1:58" ht="17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3"/>
      <c r="BE641" s="4"/>
      <c r="BF641" s="5"/>
    </row>
    <row r="642" spans="1:58" ht="17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3"/>
      <c r="BE642" s="4"/>
      <c r="BF642" s="5"/>
    </row>
    <row r="643" spans="1:58" ht="17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3"/>
      <c r="BE643" s="4"/>
      <c r="BF643" s="5"/>
    </row>
    <row r="644" spans="1:58" ht="17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3"/>
      <c r="BE644" s="4"/>
      <c r="BF644" s="5"/>
    </row>
    <row r="645" spans="1:58" ht="17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3"/>
      <c r="BE645" s="4"/>
      <c r="BF645" s="5"/>
    </row>
    <row r="646" spans="1:58" ht="17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3"/>
      <c r="BE646" s="4"/>
      <c r="BF646" s="5"/>
    </row>
    <row r="647" spans="1:58" ht="17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3"/>
      <c r="BE647" s="4"/>
      <c r="BF647" s="5"/>
    </row>
    <row r="648" spans="1:58" ht="17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3"/>
      <c r="BE648" s="4"/>
      <c r="BF648" s="5"/>
    </row>
    <row r="649" spans="1:58" ht="17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3"/>
      <c r="BE649" s="4"/>
      <c r="BF649" s="5"/>
    </row>
    <row r="650" spans="1:58" ht="17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3"/>
      <c r="BE650" s="4"/>
      <c r="BF650" s="5"/>
    </row>
    <row r="651" spans="1:58" ht="17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3"/>
      <c r="BE651" s="4"/>
      <c r="BF651" s="5"/>
    </row>
    <row r="652" spans="1:58" ht="17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3"/>
      <c r="BE652" s="4"/>
      <c r="BF652" s="5"/>
    </row>
    <row r="653" spans="1:58" ht="17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3"/>
      <c r="BE653" s="4"/>
      <c r="BF653" s="5"/>
    </row>
    <row r="654" spans="1:58" ht="17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3"/>
      <c r="BE654" s="4"/>
      <c r="BF654" s="5"/>
    </row>
    <row r="655" spans="1:58" ht="17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3"/>
      <c r="BE655" s="4"/>
      <c r="BF655" s="5"/>
    </row>
    <row r="656" spans="1:58" ht="17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3"/>
      <c r="BE656" s="4"/>
      <c r="BF656" s="5"/>
    </row>
    <row r="657" spans="1:58" ht="17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3"/>
      <c r="BE657" s="4"/>
      <c r="BF657" s="5"/>
    </row>
    <row r="658" spans="1:58" ht="17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3"/>
      <c r="BE658" s="4"/>
      <c r="BF658" s="5"/>
    </row>
    <row r="659" spans="1:58" ht="17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3"/>
      <c r="BE659" s="4"/>
      <c r="BF659" s="5"/>
    </row>
    <row r="660" spans="1:58" ht="17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3"/>
      <c r="BE660" s="4"/>
      <c r="BF660" s="5"/>
    </row>
    <row r="661" spans="1:58" ht="17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3"/>
      <c r="BE661" s="4"/>
      <c r="BF661" s="5"/>
    </row>
    <row r="662" spans="1:58" ht="17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3"/>
      <c r="BE662" s="4"/>
      <c r="BF662" s="5"/>
    </row>
    <row r="663" spans="1:58" ht="17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3"/>
      <c r="BE663" s="4"/>
      <c r="BF663" s="5"/>
    </row>
    <row r="664" spans="1:58" ht="17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3"/>
      <c r="BE664" s="4"/>
      <c r="BF664" s="5"/>
    </row>
    <row r="665" spans="1:58" ht="17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3"/>
      <c r="BE665" s="4"/>
      <c r="BF665" s="5"/>
    </row>
    <row r="666" spans="1:58" ht="17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3"/>
      <c r="BE666" s="4"/>
      <c r="BF666" s="5"/>
    </row>
    <row r="667" spans="1:58" ht="17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3"/>
      <c r="BE667" s="4"/>
      <c r="BF667" s="5"/>
    </row>
    <row r="668" spans="1:58" ht="17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3"/>
      <c r="BE668" s="4"/>
      <c r="BF668" s="5"/>
    </row>
    <row r="669" spans="1:58" ht="17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3"/>
      <c r="BE669" s="4"/>
      <c r="BF669" s="5"/>
    </row>
    <row r="670" spans="1:58" ht="17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3"/>
      <c r="BE670" s="4"/>
      <c r="BF670" s="5"/>
    </row>
    <row r="671" spans="1:58" ht="17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3"/>
      <c r="BE671" s="4"/>
      <c r="BF671" s="5"/>
    </row>
    <row r="672" spans="1:58" ht="17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3"/>
      <c r="BE672" s="4"/>
      <c r="BF672" s="5"/>
    </row>
    <row r="673" spans="1:58" ht="17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3"/>
      <c r="BE673" s="4"/>
      <c r="BF673" s="5"/>
    </row>
    <row r="674" spans="1:58" ht="17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3"/>
      <c r="BE674" s="4"/>
      <c r="BF674" s="5"/>
    </row>
    <row r="675" spans="1:58" ht="17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3"/>
      <c r="BE675" s="4"/>
      <c r="BF675" s="5"/>
    </row>
    <row r="676" spans="1:58" ht="17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3"/>
      <c r="BE676" s="4"/>
      <c r="BF676" s="5"/>
    </row>
    <row r="677" spans="1:58" ht="17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3"/>
      <c r="BE677" s="4"/>
      <c r="BF677" s="5"/>
    </row>
    <row r="678" spans="1:58" ht="17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3"/>
      <c r="BE678" s="4"/>
      <c r="BF678" s="5"/>
    </row>
    <row r="679" spans="1:58" ht="17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3"/>
      <c r="BE679" s="4"/>
      <c r="BF679" s="5"/>
    </row>
    <row r="680" spans="1:58" ht="17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3"/>
      <c r="BE680" s="4"/>
      <c r="BF680" s="5"/>
    </row>
    <row r="681" spans="1:58" ht="17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3"/>
      <c r="BE681" s="4"/>
      <c r="BF681" s="5"/>
    </row>
    <row r="682" spans="1:58" ht="17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3"/>
      <c r="BE682" s="4"/>
      <c r="BF682" s="5"/>
    </row>
    <row r="683" spans="1:58" ht="17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3"/>
      <c r="BE683" s="4"/>
      <c r="BF683" s="5"/>
    </row>
    <row r="684" spans="1:58" ht="17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3"/>
      <c r="BE684" s="4"/>
      <c r="BF684" s="5"/>
    </row>
    <row r="685" spans="1:58" ht="17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3"/>
      <c r="BE685" s="4"/>
      <c r="BF685" s="5"/>
    </row>
    <row r="686" spans="1:58" ht="17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3"/>
      <c r="BE686" s="4"/>
      <c r="BF686" s="5"/>
    </row>
    <row r="687" spans="1:58" ht="17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3"/>
      <c r="BE687" s="4"/>
      <c r="BF687" s="5"/>
    </row>
    <row r="688" spans="1:58" ht="17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3"/>
      <c r="BE688" s="4"/>
      <c r="BF688" s="5"/>
    </row>
    <row r="689" spans="1:58" ht="17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3"/>
      <c r="BE689" s="4"/>
      <c r="BF689" s="5"/>
    </row>
    <row r="690" spans="1:58" ht="17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3"/>
      <c r="BE690" s="4"/>
      <c r="BF690" s="5"/>
    </row>
    <row r="691" spans="1:58" ht="17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3"/>
      <c r="BE691" s="4"/>
      <c r="BF691" s="5"/>
    </row>
    <row r="692" spans="1:58" ht="17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3"/>
      <c r="BE692" s="4"/>
      <c r="BF692" s="5"/>
    </row>
    <row r="693" spans="1:58" ht="17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3"/>
      <c r="BE693" s="4"/>
      <c r="BF693" s="5"/>
    </row>
    <row r="694" spans="1:58" ht="17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3"/>
      <c r="BE694" s="4"/>
      <c r="BF694" s="5"/>
    </row>
    <row r="695" spans="1:58" ht="17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3"/>
      <c r="BE695" s="4"/>
      <c r="BF695" s="5"/>
    </row>
    <row r="696" spans="1:58" ht="17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3"/>
      <c r="BE696" s="4"/>
      <c r="BF696" s="5"/>
    </row>
    <row r="697" spans="1:58" ht="17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3"/>
      <c r="BE697" s="4"/>
      <c r="BF697" s="5"/>
    </row>
    <row r="698" spans="1:58" ht="17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3"/>
      <c r="BE698" s="4"/>
      <c r="BF698" s="5"/>
    </row>
    <row r="699" spans="1:58" ht="17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3"/>
      <c r="BE699" s="4"/>
      <c r="BF699" s="5"/>
    </row>
    <row r="700" spans="1:58" ht="17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3"/>
      <c r="BE700" s="4"/>
      <c r="BF700" s="5"/>
    </row>
    <row r="701" spans="1:58" ht="17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3"/>
      <c r="BE701" s="4"/>
      <c r="BF701" s="5"/>
    </row>
    <row r="702" spans="1:58" ht="17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3"/>
      <c r="BE702" s="4"/>
      <c r="BF702" s="5"/>
    </row>
    <row r="703" spans="1:58" ht="17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3"/>
      <c r="BE703" s="4"/>
      <c r="BF703" s="5"/>
    </row>
    <row r="704" spans="1:58" ht="17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3"/>
      <c r="BE704" s="4"/>
      <c r="BF704" s="5"/>
    </row>
    <row r="705" spans="1:58" ht="17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3"/>
      <c r="BE705" s="4"/>
      <c r="BF705" s="5"/>
    </row>
    <row r="706" spans="1:58" ht="17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3"/>
      <c r="BE706" s="4"/>
      <c r="BF706" s="5"/>
    </row>
    <row r="707" spans="1:58" ht="17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3"/>
      <c r="BE707" s="4"/>
      <c r="BF707" s="5"/>
    </row>
    <row r="708" spans="1:58" ht="17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3"/>
      <c r="BE708" s="4"/>
      <c r="BF708" s="5"/>
    </row>
    <row r="709" spans="1:58" ht="17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3"/>
      <c r="BE709" s="4"/>
      <c r="BF709" s="5"/>
    </row>
    <row r="710" spans="1:58" ht="17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3"/>
      <c r="BE710" s="4"/>
      <c r="BF710" s="5"/>
    </row>
    <row r="711" spans="1:58" ht="17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3"/>
      <c r="BE711" s="4"/>
      <c r="BF711" s="5"/>
    </row>
    <row r="712" spans="1:58" ht="17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3"/>
      <c r="BE712" s="4"/>
      <c r="BF712" s="5"/>
    </row>
    <row r="713" spans="1:58" ht="17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3"/>
      <c r="BE713" s="4"/>
      <c r="BF713" s="5"/>
    </row>
    <row r="714" spans="1:58" ht="17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3"/>
      <c r="BE714" s="4"/>
      <c r="BF714" s="5"/>
    </row>
    <row r="715" spans="1:58" ht="17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3"/>
      <c r="BE715" s="4"/>
      <c r="BF715" s="5"/>
    </row>
    <row r="716" spans="1:58" ht="17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3"/>
      <c r="BE716" s="4"/>
      <c r="BF716" s="5"/>
    </row>
    <row r="717" spans="1:58" ht="17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3"/>
      <c r="BE717" s="4"/>
      <c r="BF717" s="5"/>
    </row>
    <row r="718" spans="1:58" ht="17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3"/>
      <c r="BE718" s="4"/>
      <c r="BF718" s="5"/>
    </row>
    <row r="719" spans="1:58" ht="17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3"/>
      <c r="BE719" s="4"/>
      <c r="BF719" s="5"/>
    </row>
    <row r="720" spans="1:58" ht="17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3"/>
      <c r="BE720" s="4"/>
      <c r="BF720" s="5"/>
    </row>
    <row r="721" spans="1:58" ht="17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3"/>
      <c r="BE721" s="4"/>
      <c r="BF721" s="5"/>
    </row>
    <row r="722" spans="1:58" ht="17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3"/>
      <c r="BE722" s="4"/>
      <c r="BF722" s="5"/>
    </row>
    <row r="723" spans="1:58" ht="17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3"/>
      <c r="BE723" s="4"/>
      <c r="BF723" s="5"/>
    </row>
    <row r="724" spans="1:58" ht="17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3"/>
      <c r="BE724" s="4"/>
      <c r="BF724" s="5"/>
    </row>
    <row r="725" spans="1:58" ht="17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3"/>
      <c r="BE725" s="4"/>
      <c r="BF725" s="5"/>
    </row>
    <row r="726" spans="1:58" ht="17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3"/>
      <c r="BE726" s="4"/>
      <c r="BF726" s="5"/>
    </row>
    <row r="727" spans="1:58" ht="17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3"/>
      <c r="BE727" s="4"/>
      <c r="BF727" s="5"/>
    </row>
    <row r="728" spans="1:58" ht="17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3"/>
      <c r="BE728" s="4"/>
      <c r="BF728" s="5"/>
    </row>
    <row r="729" spans="1:58" ht="17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3"/>
      <c r="BE729" s="4"/>
      <c r="BF729" s="5"/>
    </row>
    <row r="730" spans="1:58" ht="17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3"/>
      <c r="BE730" s="4"/>
      <c r="BF730" s="5"/>
    </row>
    <row r="731" spans="1:58" ht="17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3"/>
      <c r="BE731" s="4"/>
      <c r="BF731" s="5"/>
    </row>
    <row r="732" spans="1:58" ht="17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3"/>
      <c r="BE732" s="4"/>
      <c r="BF732" s="5"/>
    </row>
    <row r="733" spans="1:58" ht="17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3"/>
      <c r="BE733" s="4"/>
      <c r="BF733" s="5"/>
    </row>
    <row r="734" spans="1:58" ht="17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3"/>
      <c r="BE734" s="4"/>
      <c r="BF734" s="5"/>
    </row>
    <row r="735" spans="1:58" ht="17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3"/>
      <c r="BE735" s="4"/>
      <c r="BF735" s="5"/>
    </row>
    <row r="736" spans="1:58" ht="17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3"/>
      <c r="BE736" s="4"/>
      <c r="BF736" s="5"/>
    </row>
    <row r="737" spans="1:58" ht="17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3"/>
      <c r="BE737" s="4"/>
      <c r="BF737" s="5"/>
    </row>
    <row r="738" spans="1:58" ht="17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3"/>
      <c r="BE738" s="4"/>
      <c r="BF738" s="5"/>
    </row>
    <row r="739" spans="1:58" ht="17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3"/>
      <c r="BE739" s="4"/>
      <c r="BF739" s="5"/>
    </row>
    <row r="740" spans="1:58" ht="17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3"/>
      <c r="BE740" s="4"/>
      <c r="BF740" s="5"/>
    </row>
    <row r="741" spans="1:58" ht="17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3"/>
      <c r="BE741" s="4"/>
      <c r="BF741" s="5"/>
    </row>
    <row r="742" spans="1:58" ht="17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3"/>
      <c r="BE742" s="4"/>
      <c r="BF742" s="5"/>
    </row>
    <row r="743" spans="1:58" ht="17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3"/>
      <c r="BE743" s="4"/>
      <c r="BF743" s="5"/>
    </row>
    <row r="744" spans="1:58" ht="17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3"/>
      <c r="BE744" s="4"/>
      <c r="BF744" s="5"/>
    </row>
    <row r="745" spans="1:58" ht="17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3"/>
      <c r="BE745" s="4"/>
      <c r="BF745" s="5"/>
    </row>
    <row r="746" spans="1:58" ht="17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3"/>
      <c r="BE746" s="4"/>
      <c r="BF746" s="5"/>
    </row>
    <row r="747" spans="1:58" ht="17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3"/>
      <c r="BE747" s="4"/>
      <c r="BF747" s="5"/>
    </row>
    <row r="748" spans="1:58" ht="17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3"/>
      <c r="BE748" s="4"/>
      <c r="BF748" s="5"/>
    </row>
    <row r="749" spans="1:58" ht="17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3"/>
      <c r="BE749" s="4"/>
      <c r="BF749" s="5"/>
    </row>
    <row r="750" spans="1:58" ht="17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3"/>
      <c r="BE750" s="4"/>
      <c r="BF750" s="5"/>
    </row>
    <row r="751" spans="1:58" ht="17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3"/>
      <c r="BE751" s="4"/>
      <c r="BF751" s="5"/>
    </row>
    <row r="752" spans="1:58" ht="17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3"/>
      <c r="BE752" s="4"/>
      <c r="BF752" s="5"/>
    </row>
    <row r="753" spans="1:58" ht="17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3"/>
      <c r="BE753" s="4"/>
      <c r="BF753" s="5"/>
    </row>
    <row r="754" spans="1:58" ht="17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3"/>
      <c r="BE754" s="4"/>
      <c r="BF754" s="5"/>
    </row>
    <row r="755" spans="1:58" ht="17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3"/>
      <c r="BE755" s="4"/>
      <c r="BF755" s="5"/>
    </row>
    <row r="756" spans="1:58" ht="17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3"/>
      <c r="BE756" s="4"/>
      <c r="BF756" s="5"/>
    </row>
    <row r="757" spans="1:58" ht="17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3"/>
      <c r="BE757" s="4"/>
      <c r="BF757" s="5"/>
    </row>
    <row r="758" spans="1:58" ht="17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3"/>
      <c r="BE758" s="4"/>
      <c r="BF758" s="5"/>
    </row>
    <row r="759" spans="1:58" ht="17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3"/>
      <c r="BE759" s="4"/>
      <c r="BF759" s="5"/>
    </row>
    <row r="760" spans="1:58" ht="17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3"/>
      <c r="BE760" s="4"/>
      <c r="BF760" s="5"/>
    </row>
    <row r="761" spans="1:58" ht="17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3"/>
      <c r="BE761" s="4"/>
      <c r="BF761" s="5"/>
    </row>
    <row r="762" spans="1:58" ht="17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3"/>
      <c r="BE762" s="4"/>
      <c r="BF762" s="5"/>
    </row>
    <row r="763" spans="1:58" ht="17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3"/>
      <c r="BE763" s="4"/>
      <c r="BF763" s="5"/>
    </row>
    <row r="764" spans="1:58" ht="17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3"/>
      <c r="BE764" s="4"/>
      <c r="BF764" s="5"/>
    </row>
    <row r="765" spans="1:58" ht="17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3"/>
      <c r="BE765" s="4"/>
      <c r="BF765" s="5"/>
    </row>
    <row r="766" spans="1:58" ht="17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3"/>
      <c r="BE766" s="4"/>
      <c r="BF766" s="5"/>
    </row>
    <row r="767" spans="1:58" ht="17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3"/>
      <c r="BE767" s="4"/>
      <c r="BF767" s="5"/>
    </row>
    <row r="768" spans="1:58" ht="17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3"/>
      <c r="BE768" s="4"/>
      <c r="BF768" s="5"/>
    </row>
    <row r="769" spans="1:58" ht="17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3"/>
      <c r="BE769" s="4"/>
      <c r="BF769" s="5"/>
    </row>
    <row r="770" spans="1:58" ht="17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3"/>
      <c r="BE770" s="4"/>
      <c r="BF770" s="5"/>
    </row>
    <row r="771" spans="1:58" ht="17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3"/>
      <c r="BE771" s="4"/>
      <c r="BF771" s="5"/>
    </row>
    <row r="772" spans="1:58" ht="17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3"/>
      <c r="BE772" s="4"/>
      <c r="BF772" s="5"/>
    </row>
    <row r="773" spans="1:58" ht="17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3"/>
      <c r="BE773" s="4"/>
      <c r="BF773" s="5"/>
    </row>
    <row r="774" spans="1:58" ht="17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3"/>
      <c r="BE774" s="4"/>
      <c r="BF774" s="5"/>
    </row>
    <row r="775" spans="1:58" ht="17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3"/>
      <c r="BE775" s="4"/>
      <c r="BF775" s="5"/>
    </row>
    <row r="776" spans="1:58" ht="17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3"/>
      <c r="BE776" s="4"/>
      <c r="BF776" s="5"/>
    </row>
    <row r="777" spans="1:58" ht="17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3"/>
      <c r="BE777" s="4"/>
      <c r="BF777" s="5"/>
    </row>
    <row r="778" spans="1:58" ht="17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3"/>
      <c r="BE778" s="4"/>
      <c r="BF778" s="5"/>
    </row>
    <row r="779" spans="1:58" ht="17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3"/>
      <c r="BE779" s="4"/>
      <c r="BF779" s="5"/>
    </row>
    <row r="780" spans="1:58" ht="17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3"/>
      <c r="BE780" s="4"/>
      <c r="BF780" s="5"/>
    </row>
    <row r="781" spans="1:58" ht="17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3"/>
      <c r="BE781" s="4"/>
      <c r="BF781" s="5"/>
    </row>
    <row r="782" spans="1:58" ht="17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3"/>
      <c r="BE782" s="4"/>
      <c r="BF782" s="5"/>
    </row>
    <row r="783" spans="1:58" ht="17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3"/>
      <c r="BE783" s="4"/>
      <c r="BF783" s="5"/>
    </row>
    <row r="784" spans="1:58" ht="17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3"/>
      <c r="BE784" s="4"/>
      <c r="BF784" s="5"/>
    </row>
    <row r="785" spans="1:58" ht="17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3"/>
      <c r="BE785" s="4"/>
      <c r="BF785" s="5"/>
    </row>
    <row r="786" spans="1:58" ht="17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3"/>
      <c r="BE786" s="4"/>
      <c r="BF786" s="5"/>
    </row>
    <row r="787" spans="1:58" ht="17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3"/>
      <c r="BE787" s="4"/>
      <c r="BF787" s="5"/>
    </row>
    <row r="788" spans="1:58" ht="17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3"/>
      <c r="BE788" s="4"/>
      <c r="BF788" s="5"/>
    </row>
    <row r="789" spans="1:58" ht="17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3"/>
      <c r="BE789" s="4"/>
      <c r="BF789" s="5"/>
    </row>
    <row r="790" spans="1:58" ht="17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3"/>
      <c r="BE790" s="4"/>
      <c r="BF790" s="5"/>
    </row>
    <row r="791" spans="1:58" ht="17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3"/>
      <c r="BE791" s="4"/>
      <c r="BF791" s="5"/>
    </row>
    <row r="792" spans="1:58" ht="17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3"/>
      <c r="BE792" s="4"/>
      <c r="BF792" s="5"/>
    </row>
    <row r="793" spans="1:58" ht="17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3"/>
      <c r="BE793" s="4"/>
      <c r="BF793" s="5"/>
    </row>
    <row r="794" spans="1:58" ht="17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3"/>
      <c r="BE794" s="4"/>
      <c r="BF794" s="5"/>
    </row>
    <row r="795" spans="1:58" ht="17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3"/>
      <c r="BE795" s="4"/>
      <c r="BF795" s="5"/>
    </row>
    <row r="796" spans="1:58" ht="17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3"/>
      <c r="BE796" s="4"/>
      <c r="BF796" s="5"/>
    </row>
    <row r="797" spans="1:58" ht="17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3"/>
      <c r="BE797" s="4"/>
      <c r="BF797" s="5"/>
    </row>
    <row r="798" spans="1:58" ht="17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3"/>
      <c r="BE798" s="4"/>
      <c r="BF798" s="5"/>
    </row>
    <row r="799" spans="1:58" ht="17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3"/>
      <c r="BE799" s="4"/>
      <c r="BF799" s="5"/>
    </row>
    <row r="800" spans="1:58" ht="17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3"/>
      <c r="BE800" s="4"/>
      <c r="BF800" s="5"/>
    </row>
    <row r="801" spans="1:58" ht="17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3"/>
      <c r="BE801" s="4"/>
      <c r="BF801" s="5"/>
    </row>
    <row r="802" spans="1:58" ht="17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3"/>
      <c r="BE802" s="4"/>
      <c r="BF802" s="5"/>
    </row>
    <row r="803" spans="1:58" ht="17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3"/>
      <c r="BE803" s="4"/>
      <c r="BF803" s="5"/>
    </row>
    <row r="804" spans="1:58" ht="17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3"/>
      <c r="BE804" s="4"/>
      <c r="BF804" s="5"/>
    </row>
    <row r="805" spans="1:58" ht="17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3"/>
      <c r="BE805" s="4"/>
      <c r="BF805" s="5"/>
    </row>
    <row r="806" spans="1:58" ht="17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3"/>
      <c r="BE806" s="4"/>
      <c r="BF806" s="5"/>
    </row>
    <row r="807" spans="1:58" ht="17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3"/>
      <c r="BE807" s="4"/>
      <c r="BF807" s="5"/>
    </row>
    <row r="808" spans="1:58" ht="17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3"/>
      <c r="BE808" s="4"/>
      <c r="BF808" s="5"/>
    </row>
    <row r="809" spans="1:58" ht="17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3"/>
      <c r="BE809" s="4"/>
      <c r="BF809" s="5"/>
    </row>
    <row r="810" spans="1:58" ht="17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3"/>
      <c r="BE810" s="4"/>
      <c r="BF810" s="5"/>
    </row>
    <row r="811" spans="1:58" ht="17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3"/>
      <c r="BE811" s="4"/>
      <c r="BF811" s="5"/>
    </row>
    <row r="812" spans="1:58" ht="17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3"/>
      <c r="BE812" s="4"/>
      <c r="BF812" s="5"/>
    </row>
    <row r="813" spans="1:58" ht="17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3"/>
      <c r="BE813" s="4"/>
      <c r="BF813" s="5"/>
    </row>
    <row r="814" spans="1:58" ht="17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3"/>
      <c r="BE814" s="4"/>
      <c r="BF814" s="5"/>
    </row>
    <row r="815" spans="1:58" ht="17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3"/>
      <c r="BE815" s="4"/>
      <c r="BF815" s="5"/>
    </row>
    <row r="816" spans="1:58" ht="17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3"/>
      <c r="BE816" s="4"/>
      <c r="BF816" s="5"/>
    </row>
    <row r="817" spans="1:58" ht="17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3"/>
      <c r="BE817" s="4"/>
      <c r="BF817" s="5"/>
    </row>
    <row r="818" spans="1:58" ht="17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3"/>
      <c r="BE818" s="4"/>
      <c r="BF818" s="5"/>
    </row>
    <row r="819" spans="1:58" ht="17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3"/>
      <c r="BE819" s="4"/>
      <c r="BF819" s="5"/>
    </row>
    <row r="820" spans="1:58" ht="17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3"/>
      <c r="BE820" s="4"/>
      <c r="BF820" s="5"/>
    </row>
    <row r="821" spans="1:58" ht="17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3"/>
      <c r="BE821" s="4"/>
      <c r="BF821" s="5"/>
    </row>
    <row r="822" spans="1:58" ht="17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3"/>
      <c r="BE822" s="4"/>
      <c r="BF822" s="5"/>
    </row>
    <row r="823" spans="1:58" ht="17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3"/>
      <c r="BE823" s="4"/>
      <c r="BF823" s="5"/>
    </row>
    <row r="824" spans="1:58" ht="17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3"/>
      <c r="BE824" s="4"/>
      <c r="BF824" s="5"/>
    </row>
    <row r="825" spans="1:58" ht="17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3"/>
      <c r="BE825" s="4"/>
      <c r="BF825" s="5"/>
    </row>
    <row r="826" spans="1:58" ht="17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3"/>
      <c r="BE826" s="4"/>
      <c r="BF826" s="5"/>
    </row>
    <row r="827" spans="1:58" ht="17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3"/>
      <c r="BE827" s="4"/>
      <c r="BF827" s="5"/>
    </row>
    <row r="828" spans="1:58" ht="17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3"/>
      <c r="BE828" s="4"/>
      <c r="BF828" s="5"/>
    </row>
    <row r="829" spans="1:58" ht="17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3"/>
      <c r="BE829" s="4"/>
      <c r="BF829" s="5"/>
    </row>
    <row r="830" spans="1:58" ht="17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3"/>
      <c r="BE830" s="4"/>
      <c r="BF830" s="5"/>
    </row>
    <row r="831" spans="1:58" ht="17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3"/>
      <c r="BE831" s="4"/>
      <c r="BF831" s="5"/>
    </row>
    <row r="832" spans="1:58" ht="17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3"/>
      <c r="BE832" s="4"/>
      <c r="BF832" s="5"/>
    </row>
    <row r="833" spans="1:58" ht="17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3"/>
      <c r="BE833" s="4"/>
      <c r="BF833" s="5"/>
    </row>
    <row r="834" spans="1:58" ht="17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3"/>
      <c r="BE834" s="4"/>
      <c r="BF834" s="5"/>
    </row>
    <row r="835" spans="1:58" ht="17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3"/>
      <c r="BE835" s="4"/>
      <c r="BF835" s="5"/>
    </row>
    <row r="836" spans="1:58" ht="17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3"/>
      <c r="BE836" s="4"/>
      <c r="BF836" s="5"/>
    </row>
    <row r="837" spans="1:58" ht="17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3"/>
      <c r="BE837" s="4"/>
      <c r="BF837" s="5"/>
    </row>
    <row r="838" spans="1:58" ht="17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3"/>
      <c r="BE838" s="4"/>
      <c r="BF838" s="5"/>
    </row>
    <row r="839" spans="1:58" ht="17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3"/>
      <c r="BE839" s="4"/>
      <c r="BF839" s="5"/>
    </row>
    <row r="840" spans="1:58" ht="17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3"/>
      <c r="BE840" s="4"/>
      <c r="BF840" s="5"/>
    </row>
    <row r="841" spans="1:58" ht="17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3"/>
      <c r="BE841" s="4"/>
      <c r="BF841" s="5"/>
    </row>
    <row r="842" spans="1:58" ht="17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3"/>
      <c r="BE842" s="4"/>
      <c r="BF842" s="5"/>
    </row>
    <row r="843" spans="1:58" ht="17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3"/>
      <c r="BE843" s="4"/>
      <c r="BF843" s="5"/>
    </row>
    <row r="844" spans="1:58" ht="17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3"/>
      <c r="BE844" s="4"/>
      <c r="BF844" s="5"/>
    </row>
    <row r="845" spans="1:58" ht="17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3"/>
      <c r="BE845" s="4"/>
      <c r="BF845" s="5"/>
    </row>
    <row r="846" spans="1:58" ht="17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3"/>
      <c r="BE846" s="4"/>
      <c r="BF846" s="5"/>
    </row>
    <row r="847" spans="1:58" ht="17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3"/>
      <c r="BE847" s="4"/>
      <c r="BF847" s="5"/>
    </row>
    <row r="848" spans="1:58" ht="17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3"/>
      <c r="BE848" s="4"/>
      <c r="BF848" s="5"/>
    </row>
    <row r="849" spans="1:58" ht="17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3"/>
      <c r="BE849" s="4"/>
      <c r="BF849" s="5"/>
    </row>
    <row r="850" spans="1:58" ht="17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3"/>
      <c r="BE850" s="4"/>
      <c r="BF850" s="5"/>
    </row>
    <row r="851" spans="1:58" ht="17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3"/>
      <c r="BE851" s="4"/>
      <c r="BF851" s="5"/>
    </row>
    <row r="852" spans="1:58" ht="17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3"/>
      <c r="BE852" s="4"/>
      <c r="BF852" s="5"/>
    </row>
    <row r="853" spans="1:58" ht="17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3"/>
      <c r="BE853" s="4"/>
      <c r="BF853" s="5"/>
    </row>
    <row r="854" spans="1:58" ht="17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3"/>
      <c r="BE854" s="4"/>
      <c r="BF854" s="5"/>
    </row>
    <row r="855" spans="1:58" ht="17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3"/>
      <c r="BE855" s="4"/>
      <c r="BF855" s="5"/>
    </row>
    <row r="856" spans="1:58" ht="17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3"/>
      <c r="BE856" s="4"/>
      <c r="BF856" s="5"/>
    </row>
    <row r="857" spans="1:58" ht="17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3"/>
      <c r="BE857" s="4"/>
      <c r="BF857" s="5"/>
    </row>
    <row r="858" spans="1:58" ht="17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3"/>
      <c r="BE858" s="4"/>
      <c r="BF858" s="5"/>
    </row>
    <row r="859" spans="1:58" ht="17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3"/>
      <c r="BE859" s="4"/>
      <c r="BF859" s="5"/>
    </row>
    <row r="860" spans="1:58" ht="17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3"/>
      <c r="BE860" s="4"/>
      <c r="BF860" s="5"/>
    </row>
    <row r="861" spans="1:58" ht="17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3"/>
      <c r="BE861" s="4"/>
      <c r="BF861" s="5"/>
    </row>
    <row r="862" spans="1:58" ht="17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3"/>
      <c r="BE862" s="4"/>
      <c r="BF862" s="5"/>
    </row>
    <row r="863" spans="1:58" ht="17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3"/>
      <c r="BE863" s="4"/>
      <c r="BF863" s="5"/>
    </row>
    <row r="864" spans="1:58" ht="17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3"/>
      <c r="BE864" s="4"/>
      <c r="BF864" s="5"/>
    </row>
    <row r="865" spans="1:58" ht="17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3"/>
      <c r="BE865" s="4"/>
      <c r="BF865" s="5"/>
    </row>
    <row r="866" spans="1:58" ht="17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3"/>
      <c r="BE866" s="4"/>
      <c r="BF866" s="5"/>
    </row>
    <row r="867" spans="1:58" ht="17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3"/>
      <c r="BE867" s="4"/>
      <c r="BF867" s="5"/>
    </row>
    <row r="868" spans="1:58" ht="17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3"/>
      <c r="BE868" s="4"/>
      <c r="BF868" s="5"/>
    </row>
    <row r="869" spans="1:58" ht="17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3"/>
      <c r="BE869" s="4"/>
      <c r="BF869" s="5"/>
    </row>
    <row r="870" spans="1:58" ht="17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3"/>
      <c r="BE870" s="4"/>
      <c r="BF870" s="5"/>
    </row>
    <row r="871" spans="1:58" ht="17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3"/>
      <c r="BE871" s="4"/>
      <c r="BF871" s="5"/>
    </row>
    <row r="872" spans="1:58" ht="17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3"/>
      <c r="BE872" s="4"/>
      <c r="BF872" s="5"/>
    </row>
    <row r="873" spans="1:58" ht="17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3"/>
      <c r="BE873" s="4"/>
      <c r="BF873" s="5"/>
    </row>
    <row r="874" spans="1:58" ht="17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3"/>
      <c r="BE874" s="4"/>
      <c r="BF874" s="5"/>
    </row>
    <row r="875" spans="1:58" ht="17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3"/>
      <c r="BE875" s="4"/>
      <c r="BF875" s="5"/>
    </row>
    <row r="876" spans="1:58" ht="17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3"/>
      <c r="BE876" s="4"/>
      <c r="BF876" s="5"/>
    </row>
    <row r="877" spans="1:58" ht="17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3"/>
      <c r="BE877" s="4"/>
      <c r="BF877" s="5"/>
    </row>
    <row r="878" spans="1:58" ht="17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3"/>
      <c r="BE878" s="4"/>
      <c r="BF878" s="5"/>
    </row>
    <row r="879" spans="1:58" ht="17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3"/>
      <c r="BE879" s="4"/>
      <c r="BF879" s="5"/>
    </row>
    <row r="880" spans="1:58" ht="17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3"/>
      <c r="BE880" s="4"/>
      <c r="BF880" s="5"/>
    </row>
    <row r="881" spans="1:58" ht="17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3"/>
      <c r="BE881" s="4"/>
      <c r="BF881" s="5"/>
    </row>
    <row r="882" spans="1:58" ht="17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3"/>
      <c r="BE882" s="4"/>
      <c r="BF882" s="5"/>
    </row>
    <row r="883" spans="1:58" ht="17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3"/>
      <c r="BE883" s="4"/>
      <c r="BF883" s="5"/>
    </row>
    <row r="884" spans="1:58" ht="17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3"/>
      <c r="BE884" s="4"/>
      <c r="BF884" s="5"/>
    </row>
    <row r="885" spans="1:58" ht="17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3"/>
      <c r="BE885" s="4"/>
      <c r="BF885" s="5"/>
    </row>
    <row r="886" spans="1:58" ht="17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3"/>
      <c r="BE886" s="4"/>
      <c r="BF886" s="5"/>
    </row>
    <row r="887" spans="1:58" ht="17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3"/>
      <c r="BE887" s="4"/>
      <c r="BF887" s="5"/>
    </row>
    <row r="888" spans="1:58" ht="17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3"/>
      <c r="BE888" s="4"/>
      <c r="BF888" s="5"/>
    </row>
    <row r="889" spans="1:58" ht="17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3"/>
      <c r="BE889" s="4"/>
      <c r="BF889" s="5"/>
    </row>
    <row r="890" spans="1:58" ht="17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3"/>
      <c r="BE890" s="4"/>
      <c r="BF890" s="5"/>
    </row>
    <row r="891" spans="1:58" ht="17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3"/>
      <c r="BE891" s="4"/>
      <c r="BF891" s="5"/>
    </row>
    <row r="892" spans="1:58" ht="17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3"/>
      <c r="BE892" s="4"/>
      <c r="BF892" s="5"/>
    </row>
    <row r="893" spans="1:58" ht="17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3"/>
      <c r="BE893" s="4"/>
      <c r="BF893" s="5"/>
    </row>
    <row r="894" spans="1:58" ht="17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3"/>
      <c r="BE894" s="4"/>
      <c r="BF894" s="5"/>
    </row>
    <row r="895" spans="1:58" ht="17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3"/>
      <c r="BE895" s="4"/>
      <c r="BF895" s="5"/>
    </row>
    <row r="896" spans="1:58" ht="17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3"/>
      <c r="BE896" s="4"/>
      <c r="BF896" s="5"/>
    </row>
    <row r="897" spans="1:58" ht="17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3"/>
      <c r="BE897" s="4"/>
      <c r="BF897" s="5"/>
    </row>
    <row r="898" spans="1:58" ht="17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3"/>
      <c r="BE898" s="4"/>
      <c r="BF898" s="5"/>
    </row>
    <row r="899" spans="1:58" ht="17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3"/>
      <c r="BE899" s="4"/>
      <c r="BF899" s="5"/>
    </row>
    <row r="900" spans="1:58" ht="17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3"/>
      <c r="BE900" s="4"/>
      <c r="BF900" s="5"/>
    </row>
    <row r="901" spans="1:58" ht="17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3"/>
      <c r="BE901" s="4"/>
      <c r="BF901" s="5"/>
    </row>
    <row r="902" spans="1:58" ht="17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3"/>
      <c r="BE902" s="4"/>
      <c r="BF902" s="5"/>
    </row>
    <row r="903" spans="1:58" ht="17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3"/>
      <c r="BE903" s="4"/>
      <c r="BF903" s="5"/>
    </row>
    <row r="904" spans="1:58" ht="17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3"/>
      <c r="BE904" s="4"/>
      <c r="BF904" s="5"/>
    </row>
    <row r="905" spans="1:58" ht="17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3"/>
      <c r="BE905" s="4"/>
      <c r="BF905" s="5"/>
    </row>
    <row r="906" spans="1:58" ht="17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3"/>
      <c r="BE906" s="4"/>
      <c r="BF906" s="5"/>
    </row>
    <row r="907" spans="1:58" ht="17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3"/>
      <c r="BE907" s="4"/>
      <c r="BF907" s="5"/>
    </row>
    <row r="908" spans="1:58" ht="17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3"/>
      <c r="BE908" s="4"/>
      <c r="BF908" s="5"/>
    </row>
    <row r="909" spans="1:58" ht="17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3"/>
      <c r="BE909" s="4"/>
      <c r="BF909" s="5"/>
    </row>
    <row r="910" spans="1:58" ht="17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3"/>
      <c r="BE910" s="4"/>
      <c r="BF910" s="5"/>
    </row>
    <row r="911" spans="1:58" ht="17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3"/>
      <c r="BE911" s="4"/>
      <c r="BF911" s="5"/>
    </row>
    <row r="912" spans="1:58" ht="17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3"/>
      <c r="BE912" s="4"/>
      <c r="BF912" s="5"/>
    </row>
    <row r="913" spans="1:58" ht="17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3"/>
      <c r="BE913" s="4"/>
      <c r="BF913" s="5"/>
    </row>
    <row r="914" spans="1:58" ht="17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3"/>
      <c r="BE914" s="4"/>
      <c r="BF914" s="5"/>
    </row>
    <row r="915" spans="1:58" ht="17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3"/>
      <c r="BE915" s="4"/>
      <c r="BF915" s="5"/>
    </row>
    <row r="916" spans="1:58" ht="17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3"/>
      <c r="BE916" s="4"/>
      <c r="BF916" s="5"/>
    </row>
    <row r="917" spans="1:58" ht="17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3"/>
      <c r="BE917" s="4"/>
      <c r="BF917" s="5"/>
    </row>
    <row r="918" spans="1:58" ht="17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3"/>
      <c r="BE918" s="4"/>
      <c r="BF918" s="5"/>
    </row>
    <row r="919" spans="1:58" ht="17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3"/>
      <c r="BE919" s="4"/>
      <c r="BF919" s="5"/>
    </row>
    <row r="920" spans="1:58" ht="17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3"/>
      <c r="BE920" s="4"/>
      <c r="BF920" s="5"/>
    </row>
    <row r="921" spans="1:58" ht="17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3"/>
      <c r="BE921" s="4"/>
      <c r="BF921" s="5"/>
    </row>
    <row r="922" spans="1:58" ht="17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3"/>
      <c r="BE922" s="4"/>
      <c r="BF922" s="5"/>
    </row>
    <row r="923" spans="1:58" ht="17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3"/>
      <c r="BE923" s="4"/>
      <c r="BF923" s="5"/>
    </row>
    <row r="924" spans="1:58" ht="17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3"/>
      <c r="BE924" s="4"/>
      <c r="BF924" s="5"/>
    </row>
    <row r="925" spans="1:58" ht="17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3"/>
      <c r="BE925" s="4"/>
      <c r="BF925" s="5"/>
    </row>
    <row r="926" spans="1:58" ht="17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3"/>
      <c r="BE926" s="4"/>
      <c r="BF926" s="5"/>
    </row>
    <row r="927" spans="1:58" ht="17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3"/>
      <c r="BE927" s="4"/>
      <c r="BF927" s="5"/>
    </row>
    <row r="928" spans="1:58" ht="17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3"/>
      <c r="BE928" s="4"/>
      <c r="BF928" s="5"/>
    </row>
    <row r="929" spans="1:58" ht="17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3"/>
      <c r="BE929" s="4"/>
      <c r="BF929" s="5"/>
    </row>
    <row r="930" spans="1:58" ht="17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3"/>
      <c r="BE930" s="4"/>
      <c r="BF930" s="5"/>
    </row>
    <row r="931" spans="1:58" ht="17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3"/>
      <c r="BE931" s="4"/>
      <c r="BF931" s="5"/>
    </row>
    <row r="932" spans="1:58" ht="17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3"/>
      <c r="BE932" s="4"/>
      <c r="BF932" s="5"/>
    </row>
    <row r="933" spans="1:58" ht="17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3"/>
      <c r="BE933" s="4"/>
      <c r="BF933" s="5"/>
    </row>
    <row r="934" spans="1:58" ht="17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3"/>
      <c r="BE934" s="4"/>
      <c r="BF934" s="5"/>
    </row>
    <row r="935" spans="1:58" ht="17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3"/>
      <c r="BE935" s="4"/>
      <c r="BF935" s="5"/>
    </row>
    <row r="936" spans="1:58" ht="17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3"/>
      <c r="BE936" s="4"/>
      <c r="BF936" s="5"/>
    </row>
    <row r="937" spans="1:58" ht="17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3"/>
      <c r="BE937" s="4"/>
      <c r="BF937" s="5"/>
    </row>
    <row r="938" spans="1:58" ht="17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3"/>
      <c r="BE938" s="4"/>
      <c r="BF938" s="5"/>
    </row>
    <row r="939" spans="1:58" ht="17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3"/>
      <c r="BE939" s="4"/>
      <c r="BF939" s="5"/>
    </row>
    <row r="940" spans="1:58" ht="17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3"/>
      <c r="BE940" s="4"/>
      <c r="BF940" s="5"/>
    </row>
    <row r="941" spans="1:58" ht="17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3"/>
      <c r="BE941" s="4"/>
      <c r="BF941" s="5"/>
    </row>
    <row r="942" spans="1:58" ht="17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3"/>
      <c r="BE942" s="4"/>
      <c r="BF942" s="5"/>
    </row>
    <row r="943" spans="1:58" ht="17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3"/>
      <c r="BE943" s="4"/>
      <c r="BF943" s="5"/>
    </row>
    <row r="944" spans="1:58" ht="17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3"/>
      <c r="BE944" s="4"/>
      <c r="BF944" s="5"/>
    </row>
    <row r="945" spans="1:58" ht="17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3"/>
      <c r="BE945" s="4"/>
      <c r="BF945" s="5"/>
    </row>
    <row r="946" spans="1:58" ht="17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3"/>
      <c r="BE946" s="4"/>
      <c r="BF946" s="5"/>
    </row>
    <row r="947" spans="1:58" ht="17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3"/>
      <c r="BE947" s="4"/>
      <c r="BF947" s="5"/>
    </row>
    <row r="948" spans="1:58" ht="17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3"/>
      <c r="BE948" s="4"/>
      <c r="BF948" s="5"/>
    </row>
    <row r="949" spans="1:58" ht="17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3"/>
      <c r="BE949" s="4"/>
      <c r="BF949" s="5"/>
    </row>
    <row r="950" spans="1:58" ht="17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3"/>
      <c r="BE950" s="4"/>
      <c r="BF950" s="5"/>
    </row>
    <row r="951" spans="1:58" ht="17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3"/>
      <c r="BE951" s="4"/>
      <c r="BF951" s="5"/>
    </row>
    <row r="952" spans="1:58" ht="17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3"/>
      <c r="BE952" s="4"/>
      <c r="BF952" s="5"/>
    </row>
    <row r="953" spans="1:58" ht="17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3"/>
      <c r="BE953" s="4"/>
      <c r="BF953" s="5"/>
    </row>
    <row r="954" spans="1:58" ht="17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3"/>
      <c r="BE954" s="4"/>
      <c r="BF954" s="5"/>
    </row>
    <row r="955" spans="1:58" ht="17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3"/>
      <c r="BE955" s="4"/>
      <c r="BF955" s="5"/>
    </row>
    <row r="956" spans="1:58" ht="17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3"/>
      <c r="BE956" s="4"/>
      <c r="BF956" s="5"/>
    </row>
    <row r="957" spans="1:58" ht="17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3"/>
      <c r="BE957" s="4"/>
      <c r="BF957" s="5"/>
    </row>
    <row r="958" spans="1:58" ht="17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3"/>
      <c r="BE958" s="4"/>
      <c r="BF958" s="5"/>
    </row>
    <row r="959" spans="1:58" ht="17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3"/>
      <c r="BE959" s="4"/>
      <c r="BF959" s="5"/>
    </row>
    <row r="960" spans="1:58" ht="17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3"/>
      <c r="BE960" s="4"/>
      <c r="BF960" s="5"/>
    </row>
    <row r="961" spans="1:58" ht="17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3"/>
      <c r="BE961" s="4"/>
      <c r="BF961" s="5"/>
    </row>
    <row r="962" spans="1:58" ht="17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3"/>
      <c r="BE962" s="4"/>
      <c r="BF962" s="5"/>
    </row>
    <row r="963" spans="1:58" ht="17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3"/>
      <c r="BE963" s="4"/>
      <c r="BF963" s="5"/>
    </row>
    <row r="964" spans="1:58" ht="17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3"/>
      <c r="BE964" s="4"/>
      <c r="BF964" s="5"/>
    </row>
    <row r="965" spans="1:58" ht="17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3"/>
      <c r="BE965" s="4"/>
      <c r="BF965" s="5"/>
    </row>
    <row r="966" spans="1:58" ht="17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3"/>
      <c r="BE966" s="4"/>
      <c r="BF966" s="5"/>
    </row>
    <row r="967" spans="1:58" ht="17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3"/>
      <c r="BE967" s="4"/>
      <c r="BF967" s="5"/>
    </row>
    <row r="968" spans="1:58" ht="17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3"/>
      <c r="BE968" s="4"/>
      <c r="BF968" s="5"/>
    </row>
    <row r="969" spans="1:58" ht="17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3"/>
      <c r="BE969" s="4"/>
      <c r="BF969" s="5"/>
    </row>
    <row r="970" spans="1:58" ht="17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3"/>
      <c r="BE970" s="4"/>
      <c r="BF970" s="5"/>
    </row>
    <row r="971" spans="1:58" ht="17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3"/>
      <c r="BE971" s="4"/>
      <c r="BF971" s="5"/>
    </row>
    <row r="972" spans="1:58" ht="17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3"/>
      <c r="BE972" s="4"/>
      <c r="BF972" s="5"/>
    </row>
    <row r="973" spans="1:58" ht="17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3"/>
      <c r="BE973" s="4"/>
      <c r="BF973" s="5"/>
    </row>
    <row r="974" spans="1:58" ht="17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3"/>
      <c r="BE974" s="4"/>
      <c r="BF974" s="5"/>
    </row>
    <row r="975" spans="1:58" ht="17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3"/>
      <c r="BE975" s="4"/>
      <c r="BF975" s="5"/>
    </row>
    <row r="976" spans="1:58" ht="17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3"/>
      <c r="BE976" s="4"/>
      <c r="BF976" s="5"/>
    </row>
    <row r="977" spans="1:58" ht="17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3"/>
      <c r="BE977" s="4"/>
      <c r="BF977" s="5"/>
    </row>
    <row r="978" spans="1:58" ht="17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3"/>
      <c r="BE978" s="4"/>
      <c r="BF978" s="5"/>
    </row>
    <row r="979" spans="1:58" ht="17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3"/>
      <c r="BE979" s="4"/>
      <c r="BF979" s="5"/>
    </row>
    <row r="980" spans="1:58" ht="17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3"/>
      <c r="BE980" s="4"/>
      <c r="BF980" s="5"/>
    </row>
    <row r="981" spans="1:58" ht="17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3"/>
      <c r="BE981" s="4"/>
      <c r="BF981" s="5"/>
    </row>
    <row r="982" spans="1:58" ht="17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3"/>
      <c r="BE982" s="4"/>
      <c r="BF982" s="5"/>
    </row>
    <row r="983" spans="1:58" ht="17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3"/>
      <c r="BE983" s="4"/>
      <c r="BF983" s="5"/>
    </row>
    <row r="984" spans="1:58" ht="17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3"/>
      <c r="BE984" s="4"/>
      <c r="BF984" s="5"/>
    </row>
    <row r="985" spans="1:58" ht="17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3"/>
      <c r="BE985" s="4"/>
      <c r="BF985" s="5"/>
    </row>
    <row r="986" spans="1:58" ht="17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3"/>
      <c r="BE986" s="4"/>
      <c r="BF986" s="5"/>
    </row>
    <row r="987" spans="1:58" ht="17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3"/>
      <c r="BE987" s="4"/>
      <c r="BF987" s="5"/>
    </row>
    <row r="988" spans="1:58" ht="17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3"/>
      <c r="BE988" s="4"/>
      <c r="BF988" s="5"/>
    </row>
    <row r="989" spans="1:58" ht="17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3"/>
      <c r="BE989" s="4"/>
      <c r="BF989" s="5"/>
    </row>
    <row r="990" spans="1:58" ht="17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3"/>
      <c r="BE990" s="4"/>
      <c r="BF990" s="5"/>
    </row>
    <row r="991" spans="1:58" ht="17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3"/>
      <c r="BE991" s="4"/>
      <c r="BF991" s="5"/>
    </row>
    <row r="992" spans="1:58" ht="17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3"/>
      <c r="BE992" s="4"/>
      <c r="BF992" s="5"/>
    </row>
    <row r="993" spans="1:58" ht="17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3"/>
      <c r="BE993" s="4"/>
      <c r="BF993" s="5"/>
    </row>
    <row r="994" spans="1:58" ht="17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3"/>
      <c r="BE994" s="4"/>
      <c r="BF994" s="5"/>
    </row>
    <row r="995" spans="1:58" ht="17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3"/>
      <c r="BE995" s="4"/>
      <c r="BF995" s="5"/>
    </row>
    <row r="996" spans="1:58" ht="17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3"/>
      <c r="BE996" s="4"/>
      <c r="BF996" s="5"/>
    </row>
    <row r="997" spans="1:58" ht="17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3"/>
      <c r="BE997" s="4"/>
      <c r="BF997" s="5"/>
    </row>
    <row r="998" spans="1:58" ht="17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3"/>
      <c r="BE998" s="4"/>
      <c r="BF998" s="5"/>
    </row>
    <row r="999" spans="1:58" ht="17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3"/>
      <c r="BE999" s="4"/>
      <c r="BF999" s="5"/>
    </row>
    <row r="1000" spans="1:58" ht="17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3"/>
      <c r="BE1000" s="4"/>
      <c r="BF1000" s="5"/>
    </row>
    <row r="1001" spans="1:58" ht="17.2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3"/>
      <c r="BE1001" s="4"/>
      <c r="BF1001" s="5"/>
    </row>
    <row r="1002" spans="1:58" ht="17.2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3"/>
      <c r="BE1002" s="4"/>
      <c r="BF1002" s="5"/>
    </row>
    <row r="1003" spans="1:58" ht="17.2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3"/>
      <c r="BE1003" s="4"/>
      <c r="BF1003" s="5"/>
    </row>
    <row r="1004" spans="1:58" ht="17.2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3"/>
      <c r="BE1004" s="4"/>
      <c r="BF1004" s="5"/>
    </row>
    <row r="1005" spans="1:58" ht="17.2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3"/>
      <c r="BE1005" s="4"/>
      <c r="BF1005" s="5"/>
    </row>
    <row r="1006" spans="1:58" ht="17.2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3"/>
      <c r="BE1006" s="4"/>
      <c r="BF1006" s="5"/>
    </row>
    <row r="1007" spans="1:58" ht="17.2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3"/>
      <c r="BE1007" s="4"/>
      <c r="BF1007" s="5"/>
    </row>
    <row r="1008" spans="1:58" ht="17.2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3"/>
      <c r="BE1008" s="4"/>
      <c r="BF1008" s="5"/>
    </row>
  </sheetData>
  <mergeCells count="652">
    <mergeCell ref="BC88:BC89"/>
    <mergeCell ref="BD88:BD89"/>
    <mergeCell ref="A104:A105"/>
    <mergeCell ref="B104:E105"/>
    <mergeCell ref="BB104:BB105"/>
    <mergeCell ref="BC104:BC105"/>
    <mergeCell ref="BD104:BD105"/>
    <mergeCell ref="BF104:BF105"/>
    <mergeCell ref="B1:AJ2"/>
    <mergeCell ref="AK1:BF5"/>
    <mergeCell ref="BF64:BF65"/>
    <mergeCell ref="BF72:BF73"/>
    <mergeCell ref="A68:A69"/>
    <mergeCell ref="B68:E69"/>
    <mergeCell ref="BF68:BF69"/>
    <mergeCell ref="BD68:BD69"/>
    <mergeCell ref="BC68:BC69"/>
    <mergeCell ref="BB68:BB69"/>
    <mergeCell ref="BF32:BF33"/>
    <mergeCell ref="A66:A67"/>
    <mergeCell ref="B66:E67"/>
    <mergeCell ref="BF66:BF67"/>
    <mergeCell ref="BB66:BB67"/>
    <mergeCell ref="BC66:BC67"/>
    <mergeCell ref="BB34:BB35"/>
    <mergeCell ref="BB38:BB39"/>
    <mergeCell ref="AD121:AG121"/>
    <mergeCell ref="AH121:AK121"/>
    <mergeCell ref="AL121:AO121"/>
    <mergeCell ref="AP121:AS121"/>
    <mergeCell ref="AT121:AW121"/>
    <mergeCell ref="AT119:AW119"/>
    <mergeCell ref="AL120:AO120"/>
    <mergeCell ref="AP120:AS120"/>
    <mergeCell ref="AT120:AW120"/>
    <mergeCell ref="AT117:AW117"/>
    <mergeCell ref="AT108:AW108"/>
    <mergeCell ref="AX108:BA108"/>
    <mergeCell ref="AP109:AS109"/>
    <mergeCell ref="AT109:AW109"/>
    <mergeCell ref="AX109:BA109"/>
    <mergeCell ref="AD116:AG116"/>
    <mergeCell ref="AH116:AK116"/>
    <mergeCell ref="AL116:AO116"/>
    <mergeCell ref="BB88:BB89"/>
    <mergeCell ref="AP116:AS116"/>
    <mergeCell ref="AT116:AW116"/>
    <mergeCell ref="AX117:BA117"/>
    <mergeCell ref="W127:AI127"/>
    <mergeCell ref="AL127:AW127"/>
    <mergeCell ref="A122:E122"/>
    <mergeCell ref="F122:BA122"/>
    <mergeCell ref="A121:E121"/>
    <mergeCell ref="F121:I121"/>
    <mergeCell ref="J121:M121"/>
    <mergeCell ref="N121:Q121"/>
    <mergeCell ref="R121:U121"/>
    <mergeCell ref="V121:Y121"/>
    <mergeCell ref="Z121:AC121"/>
    <mergeCell ref="A117:E117"/>
    <mergeCell ref="A119:E119"/>
    <mergeCell ref="F119:I119"/>
    <mergeCell ref="J119:M119"/>
    <mergeCell ref="N119:Q119"/>
    <mergeCell ref="R119:U119"/>
    <mergeCell ref="V119:Y119"/>
    <mergeCell ref="AD120:AG120"/>
    <mergeCell ref="AH120:AK120"/>
    <mergeCell ref="A120:E120"/>
    <mergeCell ref="F120:I120"/>
    <mergeCell ref="J120:M120"/>
    <mergeCell ref="N120:Q120"/>
    <mergeCell ref="R120:U120"/>
    <mergeCell ref="V120:Y120"/>
    <mergeCell ref="Z120:AC120"/>
    <mergeCell ref="Z117:AC117"/>
    <mergeCell ref="AD117:AG117"/>
    <mergeCell ref="A112:A113"/>
    <mergeCell ref="B112:E113"/>
    <mergeCell ref="A114:A115"/>
    <mergeCell ref="B114:E115"/>
    <mergeCell ref="Z119:AC119"/>
    <mergeCell ref="AD119:AG119"/>
    <mergeCell ref="AH119:AK119"/>
    <mergeCell ref="AL119:AO119"/>
    <mergeCell ref="AP119:AS119"/>
    <mergeCell ref="AP117:AS117"/>
    <mergeCell ref="A116:E116"/>
    <mergeCell ref="F116:I116"/>
    <mergeCell ref="J116:M116"/>
    <mergeCell ref="N116:Q116"/>
    <mergeCell ref="R116:U116"/>
    <mergeCell ref="V116:Y116"/>
    <mergeCell ref="Z116:AC116"/>
    <mergeCell ref="AH117:AK117"/>
    <mergeCell ref="AL117:AO117"/>
    <mergeCell ref="F117:I117"/>
    <mergeCell ref="J117:M117"/>
    <mergeCell ref="N117:Q117"/>
    <mergeCell ref="R117:U117"/>
    <mergeCell ref="V117:Y117"/>
    <mergeCell ref="BF96:BF97"/>
    <mergeCell ref="AP98:AS98"/>
    <mergeCell ref="AT98:AW98"/>
    <mergeCell ref="AX98:BA98"/>
    <mergeCell ref="BC96:BC97"/>
    <mergeCell ref="BB98:BC99"/>
    <mergeCell ref="BD98:BD99"/>
    <mergeCell ref="BF98:BF99"/>
    <mergeCell ref="BB100:BD100"/>
    <mergeCell ref="BE100:BE101"/>
    <mergeCell ref="BF100:BF101"/>
    <mergeCell ref="BF114:BF115"/>
    <mergeCell ref="BF116:BF117"/>
    <mergeCell ref="BB108:BC109"/>
    <mergeCell ref="BD108:BD109"/>
    <mergeCell ref="BF108:BF109"/>
    <mergeCell ref="BE110:BE111"/>
    <mergeCell ref="BB112:BB113"/>
    <mergeCell ref="BC112:BC113"/>
    <mergeCell ref="BD112:BD113"/>
    <mergeCell ref="BE116:BE117"/>
    <mergeCell ref="BB110:BD110"/>
    <mergeCell ref="AX119:BA119"/>
    <mergeCell ref="AX120:BA120"/>
    <mergeCell ref="AX121:BA121"/>
    <mergeCell ref="BB114:BB115"/>
    <mergeCell ref="BC114:BC115"/>
    <mergeCell ref="BD114:BD115"/>
    <mergeCell ref="AX116:BA116"/>
    <mergeCell ref="BB116:BC117"/>
    <mergeCell ref="BD116:BD117"/>
    <mergeCell ref="A100:A101"/>
    <mergeCell ref="B100:E101"/>
    <mergeCell ref="F100:I100"/>
    <mergeCell ref="J100:M100"/>
    <mergeCell ref="N100:Q100"/>
    <mergeCell ref="R100:U100"/>
    <mergeCell ref="V100:Y100"/>
    <mergeCell ref="BF110:BF111"/>
    <mergeCell ref="BF112:BF113"/>
    <mergeCell ref="AP100:AS100"/>
    <mergeCell ref="AT100:AW100"/>
    <mergeCell ref="AX100:BA100"/>
    <mergeCell ref="BB102:BB103"/>
    <mergeCell ref="BC102:BC103"/>
    <mergeCell ref="BD102:BD103"/>
    <mergeCell ref="BF102:BF103"/>
    <mergeCell ref="BC106:BC107"/>
    <mergeCell ref="BD106:BD107"/>
    <mergeCell ref="BF106:BF107"/>
    <mergeCell ref="AP110:AS110"/>
    <mergeCell ref="AT110:AW110"/>
    <mergeCell ref="AX110:BA110"/>
    <mergeCell ref="BB106:BB107"/>
    <mergeCell ref="AP108:AS108"/>
    <mergeCell ref="BF86:BF87"/>
    <mergeCell ref="BC90:BC91"/>
    <mergeCell ref="BD90:BD91"/>
    <mergeCell ref="BF90:BF91"/>
    <mergeCell ref="A99:E99"/>
    <mergeCell ref="F99:I99"/>
    <mergeCell ref="J99:M99"/>
    <mergeCell ref="N99:Q99"/>
    <mergeCell ref="R99:U99"/>
    <mergeCell ref="V99:Y99"/>
    <mergeCell ref="Z99:AC99"/>
    <mergeCell ref="BB90:BB91"/>
    <mergeCell ref="BB92:BB93"/>
    <mergeCell ref="BC92:BC93"/>
    <mergeCell ref="BD92:BD93"/>
    <mergeCell ref="BF92:BF95"/>
    <mergeCell ref="BC94:BC95"/>
    <mergeCell ref="BD94:BD95"/>
    <mergeCell ref="AP99:AS99"/>
    <mergeCell ref="AT99:AW99"/>
    <mergeCell ref="AX99:BA99"/>
    <mergeCell ref="BB94:BB95"/>
    <mergeCell ref="BB96:BB97"/>
    <mergeCell ref="BD96:BD97"/>
    <mergeCell ref="BE86:BE87"/>
    <mergeCell ref="N85:Q85"/>
    <mergeCell ref="R85:U85"/>
    <mergeCell ref="V85:Y85"/>
    <mergeCell ref="Z85:AC85"/>
    <mergeCell ref="AD85:AG85"/>
    <mergeCell ref="AH85:AK85"/>
    <mergeCell ref="AL85:AO85"/>
    <mergeCell ref="AP85:AS85"/>
    <mergeCell ref="AT85:AW85"/>
    <mergeCell ref="AH86:AK86"/>
    <mergeCell ref="AL86:AO86"/>
    <mergeCell ref="N86:Q86"/>
    <mergeCell ref="R86:U86"/>
    <mergeCell ref="V86:Y86"/>
    <mergeCell ref="Z86:AC86"/>
    <mergeCell ref="AD86:AG86"/>
    <mergeCell ref="AH84:AK84"/>
    <mergeCell ref="AL84:AO84"/>
    <mergeCell ref="F84:I84"/>
    <mergeCell ref="J84:M84"/>
    <mergeCell ref="N84:Q84"/>
    <mergeCell ref="R84:U84"/>
    <mergeCell ref="V84:Y84"/>
    <mergeCell ref="Z84:AC84"/>
    <mergeCell ref="AD84:AG84"/>
    <mergeCell ref="A74:D74"/>
    <mergeCell ref="F74:I74"/>
    <mergeCell ref="J74:M74"/>
    <mergeCell ref="N74:Q74"/>
    <mergeCell ref="R74:U74"/>
    <mergeCell ref="V74:Y74"/>
    <mergeCell ref="AH75:AK75"/>
    <mergeCell ref="AL75:AO75"/>
    <mergeCell ref="A72:A73"/>
    <mergeCell ref="F75:I75"/>
    <mergeCell ref="J75:M75"/>
    <mergeCell ref="N75:Q75"/>
    <mergeCell ref="R75:U75"/>
    <mergeCell ref="V75:Y75"/>
    <mergeCell ref="Z75:AC75"/>
    <mergeCell ref="AD75:AG75"/>
    <mergeCell ref="A75:D75"/>
    <mergeCell ref="Z74:AC74"/>
    <mergeCell ref="AD74:AG74"/>
    <mergeCell ref="AH74:AK74"/>
    <mergeCell ref="AL74:AO74"/>
    <mergeCell ref="B72:E73"/>
    <mergeCell ref="A102:A103"/>
    <mergeCell ref="B102:E103"/>
    <mergeCell ref="B106:E107"/>
    <mergeCell ref="A108:E108"/>
    <mergeCell ref="J108:M108"/>
    <mergeCell ref="A109:D109"/>
    <mergeCell ref="J109:M109"/>
    <mergeCell ref="AH110:AK110"/>
    <mergeCell ref="AL110:AO110"/>
    <mergeCell ref="F110:I110"/>
    <mergeCell ref="J110:M110"/>
    <mergeCell ref="N110:Q110"/>
    <mergeCell ref="R110:U110"/>
    <mergeCell ref="V110:Y110"/>
    <mergeCell ref="Z110:AC110"/>
    <mergeCell ref="AD110:AG110"/>
    <mergeCell ref="A106:A107"/>
    <mergeCell ref="A110:A111"/>
    <mergeCell ref="B110:E111"/>
    <mergeCell ref="AH109:AK109"/>
    <mergeCell ref="AL109:AO109"/>
    <mergeCell ref="F108:I108"/>
    <mergeCell ref="F109:I109"/>
    <mergeCell ref="N109:Q109"/>
    <mergeCell ref="R109:U109"/>
    <mergeCell ref="V109:Y109"/>
    <mergeCell ref="Z109:AC109"/>
    <mergeCell ref="AD109:AG109"/>
    <mergeCell ref="Z100:AC100"/>
    <mergeCell ref="AD100:AG100"/>
    <mergeCell ref="AH100:AK100"/>
    <mergeCell ref="AL100:AO100"/>
    <mergeCell ref="N108:Q108"/>
    <mergeCell ref="R108:U108"/>
    <mergeCell ref="V108:Y108"/>
    <mergeCell ref="Z108:AC108"/>
    <mergeCell ref="AD108:AG108"/>
    <mergeCell ref="AH108:AK108"/>
    <mergeCell ref="AL108:AO108"/>
    <mergeCell ref="R98:U98"/>
    <mergeCell ref="V98:Y98"/>
    <mergeCell ref="Z98:AC98"/>
    <mergeCell ref="AD98:AG98"/>
    <mergeCell ref="AH98:AK98"/>
    <mergeCell ref="AL98:AO98"/>
    <mergeCell ref="AD99:AG99"/>
    <mergeCell ref="AH99:AK99"/>
    <mergeCell ref="AL99:AO99"/>
    <mergeCell ref="B82:E83"/>
    <mergeCell ref="A84:D84"/>
    <mergeCell ref="A85:D85"/>
    <mergeCell ref="N98:Q98"/>
    <mergeCell ref="A92:A93"/>
    <mergeCell ref="B92:E93"/>
    <mergeCell ref="A96:A97"/>
    <mergeCell ref="B96:E97"/>
    <mergeCell ref="A98:E98"/>
    <mergeCell ref="F98:I98"/>
    <mergeCell ref="J98:M98"/>
    <mergeCell ref="A82:A83"/>
    <mergeCell ref="A86:A87"/>
    <mergeCell ref="A90:A91"/>
    <mergeCell ref="A94:A95"/>
    <mergeCell ref="F85:I85"/>
    <mergeCell ref="J85:M85"/>
    <mergeCell ref="F86:I86"/>
    <mergeCell ref="B86:E87"/>
    <mergeCell ref="B90:E91"/>
    <mergeCell ref="B94:E95"/>
    <mergeCell ref="J86:M86"/>
    <mergeCell ref="A88:A89"/>
    <mergeCell ref="B88:E89"/>
    <mergeCell ref="AH76:AK76"/>
    <mergeCell ref="AL76:AO76"/>
    <mergeCell ref="AP76:AS76"/>
    <mergeCell ref="AT76:AW76"/>
    <mergeCell ref="AX76:BA76"/>
    <mergeCell ref="B76:E77"/>
    <mergeCell ref="B78:E79"/>
    <mergeCell ref="A80:A81"/>
    <mergeCell ref="B80:E81"/>
    <mergeCell ref="A76:A77"/>
    <mergeCell ref="A78:A79"/>
    <mergeCell ref="F76:I76"/>
    <mergeCell ref="J76:M76"/>
    <mergeCell ref="N76:Q76"/>
    <mergeCell ref="R76:U76"/>
    <mergeCell ref="V76:Y76"/>
    <mergeCell ref="Z76:AC76"/>
    <mergeCell ref="AD76:AG76"/>
    <mergeCell ref="AP84:AS84"/>
    <mergeCell ref="AT84:AW84"/>
    <mergeCell ref="AX84:BA84"/>
    <mergeCell ref="AX85:BA85"/>
    <mergeCell ref="AP86:AS86"/>
    <mergeCell ref="AT86:AW86"/>
    <mergeCell ref="AX40:BA40"/>
    <mergeCell ref="BB40:BC41"/>
    <mergeCell ref="BD40:BD41"/>
    <mergeCell ref="BB74:BC75"/>
    <mergeCell ref="BD74:BD75"/>
    <mergeCell ref="BB42:BD42"/>
    <mergeCell ref="AT56:AW56"/>
    <mergeCell ref="AX56:BA56"/>
    <mergeCell ref="AP74:AS74"/>
    <mergeCell ref="AT74:AW74"/>
    <mergeCell ref="AX74:BA74"/>
    <mergeCell ref="AP75:AS75"/>
    <mergeCell ref="AT75:AW75"/>
    <mergeCell ref="AX75:BA75"/>
    <mergeCell ref="AX86:BA86"/>
    <mergeCell ref="BB86:BD86"/>
    <mergeCell ref="AX42:BA42"/>
    <mergeCell ref="BD66:BD67"/>
    <mergeCell ref="BF40:BF41"/>
    <mergeCell ref="AX41:BA41"/>
    <mergeCell ref="BE22:BE23"/>
    <mergeCell ref="BF22:BF23"/>
    <mergeCell ref="BC24:BC25"/>
    <mergeCell ref="BD24:BD25"/>
    <mergeCell ref="BF24:BF25"/>
    <mergeCell ref="BF26:BF27"/>
    <mergeCell ref="BF28:BF29"/>
    <mergeCell ref="BF30:BF31"/>
    <mergeCell ref="BB24:BB25"/>
    <mergeCell ref="BB26:BB27"/>
    <mergeCell ref="BC26:BC27"/>
    <mergeCell ref="BD26:BD27"/>
    <mergeCell ref="BB28:BB29"/>
    <mergeCell ref="BC28:BC29"/>
    <mergeCell ref="BD28:BD29"/>
    <mergeCell ref="BB30:BB31"/>
    <mergeCell ref="BC30:BC31"/>
    <mergeCell ref="BD30:BD31"/>
    <mergeCell ref="BC34:BC35"/>
    <mergeCell ref="BD34:BD35"/>
    <mergeCell ref="BB36:BB37"/>
    <mergeCell ref="BC36:BC37"/>
    <mergeCell ref="BF74:BF75"/>
    <mergeCell ref="BB76:BD76"/>
    <mergeCell ref="BE76:BE77"/>
    <mergeCell ref="BF76:BF77"/>
    <mergeCell ref="BF78:BF79"/>
    <mergeCell ref="BC82:BC83"/>
    <mergeCell ref="BB84:BC85"/>
    <mergeCell ref="BD84:BD85"/>
    <mergeCell ref="BF84:BF85"/>
    <mergeCell ref="BB80:BB81"/>
    <mergeCell ref="BC80:BC81"/>
    <mergeCell ref="BD80:BD81"/>
    <mergeCell ref="BF80:BF81"/>
    <mergeCell ref="BB82:BB83"/>
    <mergeCell ref="BD82:BD83"/>
    <mergeCell ref="BF82:BF83"/>
    <mergeCell ref="BB78:BB79"/>
    <mergeCell ref="BC78:BC79"/>
    <mergeCell ref="BD78:BD79"/>
    <mergeCell ref="BF62:BF63"/>
    <mergeCell ref="BB48:BB49"/>
    <mergeCell ref="BB50:BB51"/>
    <mergeCell ref="BC50:BC51"/>
    <mergeCell ref="BD50:BD51"/>
    <mergeCell ref="BB52:BB53"/>
    <mergeCell ref="BC52:BC53"/>
    <mergeCell ref="BD52:BD53"/>
    <mergeCell ref="BB54:BB55"/>
    <mergeCell ref="BC54:BC55"/>
    <mergeCell ref="BD54:BD55"/>
    <mergeCell ref="BB56:BC57"/>
    <mergeCell ref="BD56:BD57"/>
    <mergeCell ref="BB58:BD58"/>
    <mergeCell ref="BE58:BE59"/>
    <mergeCell ref="BC48:BC49"/>
    <mergeCell ref="BD48:BD49"/>
    <mergeCell ref="BF48:BF49"/>
    <mergeCell ref="BF50:BF51"/>
    <mergeCell ref="BF52:BF53"/>
    <mergeCell ref="BF54:BF55"/>
    <mergeCell ref="BF56:BF57"/>
    <mergeCell ref="BF58:BF59"/>
    <mergeCell ref="BF60:BF61"/>
    <mergeCell ref="BE42:BE43"/>
    <mergeCell ref="BF42:BF43"/>
    <mergeCell ref="BB44:BB45"/>
    <mergeCell ref="BC44:BC45"/>
    <mergeCell ref="BD44:BD45"/>
    <mergeCell ref="BF44:BF45"/>
    <mergeCell ref="BB46:BB47"/>
    <mergeCell ref="BC46:BC47"/>
    <mergeCell ref="BD46:BD47"/>
    <mergeCell ref="BF46:BF47"/>
    <mergeCell ref="AL40:AO40"/>
    <mergeCell ref="AP40:AS40"/>
    <mergeCell ref="AT40:AW40"/>
    <mergeCell ref="AP41:AS41"/>
    <mergeCell ref="AT41:AW41"/>
    <mergeCell ref="A40:D40"/>
    <mergeCell ref="F40:I40"/>
    <mergeCell ref="J40:M40"/>
    <mergeCell ref="N40:Q40"/>
    <mergeCell ref="R40:U40"/>
    <mergeCell ref="V40:Y40"/>
    <mergeCell ref="Z40:AC40"/>
    <mergeCell ref="AH41:AK41"/>
    <mergeCell ref="AL41:AO41"/>
    <mergeCell ref="F41:I41"/>
    <mergeCell ref="J41:M41"/>
    <mergeCell ref="N41:Q41"/>
    <mergeCell ref="AD41:AG41"/>
    <mergeCell ref="B22:E23"/>
    <mergeCell ref="B24:E25"/>
    <mergeCell ref="A28:A29"/>
    <mergeCell ref="A30:A31"/>
    <mergeCell ref="B36:E37"/>
    <mergeCell ref="B38:E39"/>
    <mergeCell ref="A41:D41"/>
    <mergeCell ref="AD40:AG40"/>
    <mergeCell ref="AH40:AK40"/>
    <mergeCell ref="A36:A37"/>
    <mergeCell ref="A38:A39"/>
    <mergeCell ref="A32:A33"/>
    <mergeCell ref="A34:A35"/>
    <mergeCell ref="B26:E27"/>
    <mergeCell ref="B28:E29"/>
    <mergeCell ref="B30:E31"/>
    <mergeCell ref="B32:E33"/>
    <mergeCell ref="B34:E35"/>
    <mergeCell ref="A22:A23"/>
    <mergeCell ref="A24:A25"/>
    <mergeCell ref="A26:A27"/>
    <mergeCell ref="R41:U41"/>
    <mergeCell ref="V41:Y41"/>
    <mergeCell ref="Z41:AC41"/>
    <mergeCell ref="A8:A9"/>
    <mergeCell ref="B8:E9"/>
    <mergeCell ref="A10:A11"/>
    <mergeCell ref="B10:E11"/>
    <mergeCell ref="A12:A13"/>
    <mergeCell ref="B12:E13"/>
    <mergeCell ref="B14:E15"/>
    <mergeCell ref="B16:E17"/>
    <mergeCell ref="B18:E19"/>
    <mergeCell ref="A14:A15"/>
    <mergeCell ref="A16:A17"/>
    <mergeCell ref="A18:A19"/>
    <mergeCell ref="A20:D20"/>
    <mergeCell ref="A21:D21"/>
    <mergeCell ref="BD36:BD37"/>
    <mergeCell ref="BF36:BF37"/>
    <mergeCell ref="BC38:BC39"/>
    <mergeCell ref="BD38:BD39"/>
    <mergeCell ref="BF38:BF39"/>
    <mergeCell ref="BF18:BF19"/>
    <mergeCell ref="BB8:BB9"/>
    <mergeCell ref="BB10:BB11"/>
    <mergeCell ref="BC10:BC11"/>
    <mergeCell ref="BD10:BD11"/>
    <mergeCell ref="BB12:BB13"/>
    <mergeCell ref="BC12:BC13"/>
    <mergeCell ref="BD12:BD13"/>
    <mergeCell ref="BC18:BC19"/>
    <mergeCell ref="BD18:BD19"/>
    <mergeCell ref="BB14:BB15"/>
    <mergeCell ref="BC14:BC15"/>
    <mergeCell ref="BD14:BD15"/>
    <mergeCell ref="BB16:BB17"/>
    <mergeCell ref="BC16:BC17"/>
    <mergeCell ref="BD16:BD17"/>
    <mergeCell ref="BB18:BB19"/>
    <mergeCell ref="BB32:BB33"/>
    <mergeCell ref="BC32:BC33"/>
    <mergeCell ref="BE6:BE7"/>
    <mergeCell ref="BF6:BF7"/>
    <mergeCell ref="BC8:BC9"/>
    <mergeCell ref="BD8:BD9"/>
    <mergeCell ref="BF8:BF9"/>
    <mergeCell ref="BF10:BF11"/>
    <mergeCell ref="BF12:BF13"/>
    <mergeCell ref="BF14:BF15"/>
    <mergeCell ref="BF16:BF17"/>
    <mergeCell ref="BD32:BD33"/>
    <mergeCell ref="B3:AJ3"/>
    <mergeCell ref="A4:AJ4"/>
    <mergeCell ref="I5:P5"/>
    <mergeCell ref="R5:Z5"/>
    <mergeCell ref="AB5:AI5"/>
    <mergeCell ref="V6:Y6"/>
    <mergeCell ref="Z6:AC6"/>
    <mergeCell ref="AD6:AG6"/>
    <mergeCell ref="AH6:AK6"/>
    <mergeCell ref="AL6:AO6"/>
    <mergeCell ref="AP6:AS6"/>
    <mergeCell ref="AT6:AW6"/>
    <mergeCell ref="B5:G5"/>
    <mergeCell ref="A6:A7"/>
    <mergeCell ref="B6:E7"/>
    <mergeCell ref="F6:I6"/>
    <mergeCell ref="J6:M6"/>
    <mergeCell ref="N6:Q6"/>
    <mergeCell ref="R6:U6"/>
    <mergeCell ref="AX6:BA6"/>
    <mergeCell ref="BB6:BD6"/>
    <mergeCell ref="AH22:AK22"/>
    <mergeCell ref="AL22:AO22"/>
    <mergeCell ref="AP22:AS22"/>
    <mergeCell ref="AT22:AW22"/>
    <mergeCell ref="AX22:BA22"/>
    <mergeCell ref="BB22:BD22"/>
    <mergeCell ref="F22:I22"/>
    <mergeCell ref="J22:M22"/>
    <mergeCell ref="N22:Q22"/>
    <mergeCell ref="R22:U22"/>
    <mergeCell ref="V22:Y22"/>
    <mergeCell ref="Z22:AC22"/>
    <mergeCell ref="AD22:AG22"/>
    <mergeCell ref="F20:I20"/>
    <mergeCell ref="J20:M20"/>
    <mergeCell ref="N20:Q20"/>
    <mergeCell ref="R20:U20"/>
    <mergeCell ref="AH21:AK21"/>
    <mergeCell ref="AL21:AO21"/>
    <mergeCell ref="AP21:AS21"/>
    <mergeCell ref="AT21:AW21"/>
    <mergeCell ref="AX21:BA21"/>
    <mergeCell ref="F21:I21"/>
    <mergeCell ref="J21:M21"/>
    <mergeCell ref="N21:Q21"/>
    <mergeCell ref="R21:U21"/>
    <mergeCell ref="V21:Y21"/>
    <mergeCell ref="Z21:AC21"/>
    <mergeCell ref="AD21:AG21"/>
    <mergeCell ref="V20:Y20"/>
    <mergeCell ref="Z20:AC20"/>
    <mergeCell ref="AD20:AG20"/>
    <mergeCell ref="AH20:AK20"/>
    <mergeCell ref="AL20:AO20"/>
    <mergeCell ref="AP20:AS20"/>
    <mergeCell ref="AT20:AW20"/>
    <mergeCell ref="AX20:BA20"/>
    <mergeCell ref="BB20:BC21"/>
    <mergeCell ref="BD20:BD21"/>
    <mergeCell ref="BB72:BB73"/>
    <mergeCell ref="BC72:BC73"/>
    <mergeCell ref="BD72:BD73"/>
    <mergeCell ref="AT58:AW58"/>
    <mergeCell ref="AX58:BA58"/>
    <mergeCell ref="BB60:BB61"/>
    <mergeCell ref="BC60:BC61"/>
    <mergeCell ref="BD60:BD61"/>
    <mergeCell ref="BC62:BC63"/>
    <mergeCell ref="BD62:BD63"/>
    <mergeCell ref="BB62:BB63"/>
    <mergeCell ref="BB64:BB65"/>
    <mergeCell ref="BC64:BC65"/>
    <mergeCell ref="BD64:BD65"/>
    <mergeCell ref="AH56:AK56"/>
    <mergeCell ref="AL56:AO56"/>
    <mergeCell ref="AP56:AS56"/>
    <mergeCell ref="B64:E65"/>
    <mergeCell ref="V56:Y56"/>
    <mergeCell ref="Z56:AC56"/>
    <mergeCell ref="AD56:AG56"/>
    <mergeCell ref="A58:A59"/>
    <mergeCell ref="B58:E59"/>
    <mergeCell ref="F58:I58"/>
    <mergeCell ref="J58:M58"/>
    <mergeCell ref="N58:Q58"/>
    <mergeCell ref="R58:U58"/>
    <mergeCell ref="V58:Y58"/>
    <mergeCell ref="Z58:AC58"/>
    <mergeCell ref="AD58:AG58"/>
    <mergeCell ref="A56:D56"/>
    <mergeCell ref="J56:M56"/>
    <mergeCell ref="N56:Q56"/>
    <mergeCell ref="R56:U56"/>
    <mergeCell ref="AP58:AS58"/>
    <mergeCell ref="F57:I57"/>
    <mergeCell ref="A57:D57"/>
    <mergeCell ref="R57:U57"/>
    <mergeCell ref="AP57:AS57"/>
    <mergeCell ref="AT57:AW57"/>
    <mergeCell ref="AX57:BA57"/>
    <mergeCell ref="J57:M57"/>
    <mergeCell ref="N57:Q57"/>
    <mergeCell ref="V57:Y57"/>
    <mergeCell ref="Z57:AC57"/>
    <mergeCell ref="AD57:AG57"/>
    <mergeCell ref="AH57:AK57"/>
    <mergeCell ref="AL57:AO57"/>
    <mergeCell ref="A50:A51"/>
    <mergeCell ref="A52:A53"/>
    <mergeCell ref="A54:A55"/>
    <mergeCell ref="F56:I56"/>
    <mergeCell ref="AH58:AK58"/>
    <mergeCell ref="A70:A71"/>
    <mergeCell ref="B70:E71"/>
    <mergeCell ref="AH42:AK42"/>
    <mergeCell ref="AL42:AO42"/>
    <mergeCell ref="A44:A45"/>
    <mergeCell ref="B44:E45"/>
    <mergeCell ref="A46:A47"/>
    <mergeCell ref="B46:E47"/>
    <mergeCell ref="A48:A49"/>
    <mergeCell ref="B48:E49"/>
    <mergeCell ref="B50:E51"/>
    <mergeCell ref="B52:E53"/>
    <mergeCell ref="B54:E55"/>
    <mergeCell ref="AL58:AO58"/>
    <mergeCell ref="A60:A61"/>
    <mergeCell ref="B60:E61"/>
    <mergeCell ref="A62:A63"/>
    <mergeCell ref="B62:E63"/>
    <mergeCell ref="A64:A65"/>
    <mergeCell ref="AP42:AS42"/>
    <mergeCell ref="AT42:AW42"/>
    <mergeCell ref="A42:A43"/>
    <mergeCell ref="B42:E43"/>
    <mergeCell ref="F42:I42"/>
    <mergeCell ref="J42:M42"/>
    <mergeCell ref="N42:Q42"/>
    <mergeCell ref="R42:U42"/>
    <mergeCell ref="V42:Y42"/>
    <mergeCell ref="Z42:AC42"/>
    <mergeCell ref="AD42:AG42"/>
  </mergeCells>
  <conditionalFormatting sqref="F8:J8 L8:AM19 AO8:BA19 F9:K9 AN10 F10:J19 W24:Y24 AA24 AC24:AG24 AL24:AN24 AP24:AV24 F24:V27 AH24:AK27 Y26:AD27 AF26:AG27 AL26:AN27 AP26:BA28 F28:X28 Z28:AH28 AJ28:AO28 F29:BA29 F30:AA30 AC30:AE30 AG30:AI30 AK30:AM30 AO30:AV30 AX30:AY30 BA30 F31:BA31 F32:M33 N32:BA34 F34:L34 F35:BA39 F44:N44 P44:BA44 F45:BA45 F46:Y46 AA46:BA46 F47:U47 W47:BA47 F48:N48 P48:AF48 AH48:BA48 F49:BA55 V60:AH60 AJ60:BA60 V61:AP61 AR61:BA61 V69:W71 Y69:BA71 F78:BA83 F90:AH97 AL91:BA96 AC102:AT102 AV102:BA102 AB106:AF106 AH106:AN106 AP106:AV106 AX106:BA106">
    <cfRule type="cellIs" dxfId="105" priority="90" operator="equal">
      <formula>"C"</formula>
    </cfRule>
    <cfRule type="cellIs" dxfId="104" priority="93" operator="equal">
      <formula>"P"</formula>
    </cfRule>
    <cfRule type="cellIs" dxfId="103" priority="92" operator="equal">
      <formula>"R"</formula>
    </cfRule>
    <cfRule type="cellIs" dxfId="102" priority="91" operator="equal">
      <formula>"A"</formula>
    </cfRule>
  </conditionalFormatting>
  <conditionalFormatting sqref="F106:S106 U106:X106 Z106 F107:BA107">
    <cfRule type="cellIs" dxfId="101" priority="98" operator="equal">
      <formula>"C"</formula>
    </cfRule>
    <cfRule type="cellIs" dxfId="100" priority="101" operator="equal">
      <formula>"P"</formula>
    </cfRule>
    <cfRule type="cellIs" dxfId="99" priority="100" operator="equal">
      <formula>"R"</formula>
    </cfRule>
    <cfRule type="cellIs" dxfId="98" priority="99" operator="equal">
      <formula>"A"</formula>
    </cfRule>
  </conditionalFormatting>
  <conditionalFormatting sqref="F60:U73 V72:BA73 F102 H102:AA102 F103:BA105">
    <cfRule type="cellIs" dxfId="97" priority="109" operator="equal">
      <formula>"P"</formula>
    </cfRule>
    <cfRule type="cellIs" dxfId="96" priority="108" operator="equal">
      <formula>"R"</formula>
    </cfRule>
    <cfRule type="cellIs" dxfId="95" priority="106" operator="equal">
      <formula>"C"</formula>
    </cfRule>
    <cfRule type="cellIs" dxfId="94" priority="107" operator="equal">
      <formula>"A"</formula>
    </cfRule>
  </conditionalFormatting>
  <conditionalFormatting sqref="F112:BA115">
    <cfRule type="cellIs" dxfId="93" priority="155" operator="equal">
      <formula>"C"</formula>
    </cfRule>
    <cfRule type="cellIs" dxfId="92" priority="156" operator="equal">
      <formula>"A"</formula>
    </cfRule>
    <cfRule type="cellIs" dxfId="91" priority="157" operator="equal">
      <formula>"R"</formula>
    </cfRule>
    <cfRule type="cellIs" dxfId="90" priority="158" operator="equal">
      <formula>"P"</formula>
    </cfRule>
  </conditionalFormatting>
  <conditionalFormatting sqref="G88">
    <cfRule type="cellIs" dxfId="89" priority="82" operator="equal">
      <formula>"A"</formula>
    </cfRule>
    <cfRule type="cellIs" dxfId="88" priority="81" operator="equal">
      <formula>"C"</formula>
    </cfRule>
    <cfRule type="cellIs" dxfId="87" priority="83" operator="equal">
      <formula>"R"</formula>
    </cfRule>
    <cfRule type="cellIs" dxfId="86" priority="84" operator="equal">
      <formula>"P"</formula>
    </cfRule>
  </conditionalFormatting>
  <conditionalFormatting sqref="I88:J89">
    <cfRule type="cellIs" dxfId="85" priority="61" operator="equal">
      <formula>"C"</formula>
    </cfRule>
    <cfRule type="cellIs" dxfId="84" priority="64" operator="equal">
      <formula>"P"</formula>
    </cfRule>
    <cfRule type="cellIs" dxfId="83" priority="63" operator="equal">
      <formula>"R"</formula>
    </cfRule>
    <cfRule type="cellIs" dxfId="82" priority="62" operator="equal">
      <formula>"A"</formula>
    </cfRule>
  </conditionalFormatting>
  <conditionalFormatting sqref="K11:K19">
    <cfRule type="cellIs" dxfId="81" priority="250" operator="equal">
      <formula>"P"</formula>
    </cfRule>
    <cfRule type="cellIs" dxfId="80" priority="247" operator="equal">
      <formula>"C"</formula>
    </cfRule>
    <cfRule type="cellIs" dxfId="79" priority="248" operator="equal">
      <formula>"A"</formula>
    </cfRule>
    <cfRule type="cellIs" dxfId="78" priority="249" operator="equal">
      <formula>"R"</formula>
    </cfRule>
  </conditionalFormatting>
  <conditionalFormatting sqref="N88:N89">
    <cfRule type="cellIs" dxfId="77" priority="40" operator="equal">
      <formula>"P"</formula>
    </cfRule>
    <cfRule type="cellIs" dxfId="76" priority="39" operator="equal">
      <formula>"R"</formula>
    </cfRule>
    <cfRule type="cellIs" dxfId="75" priority="37" operator="equal">
      <formula>"C"</formula>
    </cfRule>
    <cfRule type="cellIs" dxfId="74" priority="38" operator="equal">
      <formula>"A"</formula>
    </cfRule>
  </conditionalFormatting>
  <conditionalFormatting sqref="R88:R89">
    <cfRule type="cellIs" dxfId="73" priority="36" operator="equal">
      <formula>"P"</formula>
    </cfRule>
    <cfRule type="cellIs" dxfId="72" priority="35" operator="equal">
      <formula>"R"</formula>
    </cfRule>
    <cfRule type="cellIs" dxfId="71" priority="34" operator="equal">
      <formula>"A"</formula>
    </cfRule>
    <cfRule type="cellIs" dxfId="70" priority="33" operator="equal">
      <formula>"C"</formula>
    </cfRule>
  </conditionalFormatting>
  <conditionalFormatting sqref="V88:V89">
    <cfRule type="cellIs" dxfId="69" priority="29" operator="equal">
      <formula>"C"</formula>
    </cfRule>
    <cfRule type="cellIs" dxfId="68" priority="30" operator="equal">
      <formula>"A"</formula>
    </cfRule>
    <cfRule type="cellIs" dxfId="67" priority="31" operator="equal">
      <formula>"R"</formula>
    </cfRule>
    <cfRule type="cellIs" dxfId="66" priority="32" operator="equal">
      <formula>"P"</formula>
    </cfRule>
  </conditionalFormatting>
  <conditionalFormatting sqref="V62:BA62 V63:AR63 AT63:BA63 V64:BA68 F89">
    <cfRule type="cellIs" dxfId="65" priority="87" operator="equal">
      <formula>"R"</formula>
    </cfRule>
    <cfRule type="cellIs" dxfId="64" priority="85" operator="equal">
      <formula>"C"</formula>
    </cfRule>
    <cfRule type="cellIs" dxfId="63" priority="86" operator="equal">
      <formula>"A"</formula>
    </cfRule>
    <cfRule type="cellIs" dxfId="62" priority="88" operator="equal">
      <formula>"P"</formula>
    </cfRule>
  </conditionalFormatting>
  <conditionalFormatting sqref="Z88:Z89">
    <cfRule type="cellIs" dxfId="61" priority="27" operator="equal">
      <formula>"R"</formula>
    </cfRule>
    <cfRule type="cellIs" dxfId="60" priority="28" operator="equal">
      <formula>"P"</formula>
    </cfRule>
    <cfRule type="cellIs" dxfId="59" priority="26" operator="equal">
      <formula>"A"</formula>
    </cfRule>
    <cfRule type="cellIs" dxfId="58" priority="25" operator="equal">
      <formula>"C"</formula>
    </cfRule>
  </conditionalFormatting>
  <conditionalFormatting sqref="AD88:AD89">
    <cfRule type="cellIs" dxfId="57" priority="23" operator="equal">
      <formula>"R"</formula>
    </cfRule>
    <cfRule type="cellIs" dxfId="56" priority="22" operator="equal">
      <formula>"A"</formula>
    </cfRule>
    <cfRule type="cellIs" dxfId="55" priority="24" operator="equal">
      <formula>"P"</formula>
    </cfRule>
    <cfRule type="cellIs" dxfId="54" priority="21" operator="equal">
      <formula>"C"</formula>
    </cfRule>
  </conditionalFormatting>
  <conditionalFormatting sqref="AH88:AH89">
    <cfRule type="cellIs" dxfId="53" priority="19" operator="equal">
      <formula>"R"</formula>
    </cfRule>
    <cfRule type="cellIs" dxfId="52" priority="18" operator="equal">
      <formula>"A"</formula>
    </cfRule>
    <cfRule type="cellIs" dxfId="51" priority="17" operator="equal">
      <formula>"C"</formula>
    </cfRule>
    <cfRule type="cellIs" dxfId="50" priority="20" operator="equal">
      <formula>"P"</formula>
    </cfRule>
  </conditionalFormatting>
  <conditionalFormatting sqref="AJ5">
    <cfRule type="cellIs" dxfId="49" priority="89" stopIfTrue="1" operator="equal">
      <formula>"P"</formula>
    </cfRule>
  </conditionalFormatting>
  <conditionalFormatting sqref="AJ90:BA90 AI91:AK91 AJ92:AK94 AI95:AK95 AJ96:AK96 AJ97:BA97">
    <cfRule type="cellIs" dxfId="48" priority="208" operator="equal">
      <formula>"A"</formula>
    </cfRule>
    <cfRule type="cellIs" dxfId="47" priority="209" operator="equal">
      <formula>"R"</formula>
    </cfRule>
    <cfRule type="cellIs" dxfId="46" priority="210" operator="equal">
      <formula>"P"</formula>
    </cfRule>
    <cfRule type="cellIs" dxfId="45" priority="207" operator="equal">
      <formula>"C"</formula>
    </cfRule>
  </conditionalFormatting>
  <conditionalFormatting sqref="AL88:AL89">
    <cfRule type="cellIs" dxfId="44" priority="14" operator="equal">
      <formula>"A"</formula>
    </cfRule>
    <cfRule type="cellIs" dxfId="43" priority="13" operator="equal">
      <formula>"C"</formula>
    </cfRule>
    <cfRule type="cellIs" dxfId="42" priority="15" operator="equal">
      <formula>"R"</formula>
    </cfRule>
    <cfRule type="cellIs" dxfId="41" priority="16" operator="equal">
      <formula>"P"</formula>
    </cfRule>
  </conditionalFormatting>
  <conditionalFormatting sqref="AP88:AP89">
    <cfRule type="cellIs" dxfId="40" priority="12" operator="equal">
      <formula>"P"</formula>
    </cfRule>
    <cfRule type="cellIs" dxfId="39" priority="11" operator="equal">
      <formula>"R"</formula>
    </cfRule>
    <cfRule type="cellIs" dxfId="38" priority="10" operator="equal">
      <formula>"A"</formula>
    </cfRule>
    <cfRule type="cellIs" dxfId="37" priority="9" operator="equal">
      <formula>"C"</formula>
    </cfRule>
  </conditionalFormatting>
  <conditionalFormatting sqref="AS24">
    <cfRule type="cellIs" dxfId="36" priority="309" operator="equal">
      <formula>0</formula>
    </cfRule>
  </conditionalFormatting>
  <conditionalFormatting sqref="AT88:AT89">
    <cfRule type="cellIs" dxfId="35" priority="6" operator="equal">
      <formula>"A"</formula>
    </cfRule>
    <cfRule type="cellIs" dxfId="34" priority="5" operator="equal">
      <formula>"C"</formula>
    </cfRule>
    <cfRule type="cellIs" dxfId="33" priority="8" operator="equal">
      <formula>"P"</formula>
    </cfRule>
    <cfRule type="cellIs" dxfId="32" priority="7" operator="equal">
      <formula>"R"</formula>
    </cfRule>
  </conditionalFormatting>
  <conditionalFormatting sqref="AX88">
    <cfRule type="cellIs" dxfId="31" priority="4" operator="equal">
      <formula>"P"</formula>
    </cfRule>
    <cfRule type="cellIs" dxfId="30" priority="3" operator="equal">
      <formula>"R"</formula>
    </cfRule>
    <cfRule type="cellIs" dxfId="29" priority="2" operator="equal">
      <formula>"A"</formula>
    </cfRule>
    <cfRule type="cellIs" dxfId="28" priority="1" operator="equal">
      <formula>"C"</formula>
    </cfRule>
  </conditionalFormatting>
  <conditionalFormatting sqref="AX24:BA24 Y25:AG25 AL25:BA25 W25:X27 AE26">
    <cfRule type="cellIs" dxfId="27" priority="94" operator="equal">
      <formula>"C"</formula>
    </cfRule>
    <cfRule type="cellIs" dxfId="26" priority="95" operator="equal">
      <formula>"A"</formula>
    </cfRule>
    <cfRule type="cellIs" dxfId="25" priority="96" operator="equal">
      <formula>"R"</formula>
    </cfRule>
    <cfRule type="cellIs" dxfId="24" priority="97" operator="equal">
      <formula>"P"</formula>
    </cfRule>
  </conditionalFormatting>
  <conditionalFormatting sqref="BD8">
    <cfRule type="cellIs" dxfId="23" priority="289" operator="equal">
      <formula>0</formula>
    </cfRule>
    <cfRule type="cellIs" dxfId="22" priority="290" operator="equal">
      <formula>1</formula>
    </cfRule>
  </conditionalFormatting>
  <conditionalFormatting sqref="BD14">
    <cfRule type="cellIs" dxfId="21" priority="287" operator="equal">
      <formula>0</formula>
    </cfRule>
    <cfRule type="cellIs" dxfId="20" priority="288" operator="equal">
      <formula>1</formula>
    </cfRule>
  </conditionalFormatting>
  <conditionalFormatting sqref="BD16">
    <cfRule type="cellIs" dxfId="19" priority="286" operator="equal">
      <formula>1</formula>
    </cfRule>
    <cfRule type="cellIs" dxfId="18" priority="285" operator="equal">
      <formula>0</formula>
    </cfRule>
  </conditionalFormatting>
  <conditionalFormatting sqref="BD18">
    <cfRule type="cellIs" dxfId="17" priority="283" operator="equal">
      <formula>0</formula>
    </cfRule>
    <cfRule type="cellIs" dxfId="16" priority="284" operator="equal">
      <formula>1</formula>
    </cfRule>
  </conditionalFormatting>
  <conditionalFormatting sqref="BD20">
    <cfRule type="cellIs" dxfId="15" priority="305" operator="equal">
      <formula>0</formula>
    </cfRule>
    <cfRule type="cellIs" dxfId="14" priority="306" operator="equal">
      <formula>1</formula>
    </cfRule>
  </conditionalFormatting>
  <conditionalFormatting sqref="BD24:BD40 BD44:BD56 BD60:BD66 BD68 BD72:BD74 BD90:BD98 BD114:BD116">
    <cfRule type="cellIs" dxfId="13" priority="118" operator="equal">
      <formula>1</formula>
    </cfRule>
  </conditionalFormatting>
  <conditionalFormatting sqref="BD40">
    <cfRule type="cellIs" dxfId="12" priority="303" operator="equal">
      <formula>0</formula>
    </cfRule>
  </conditionalFormatting>
  <conditionalFormatting sqref="BD56">
    <cfRule type="cellIs" dxfId="11" priority="301" operator="equal">
      <formula>0</formula>
    </cfRule>
  </conditionalFormatting>
  <conditionalFormatting sqref="BD74">
    <cfRule type="cellIs" dxfId="10" priority="299" operator="equal">
      <formula>0</formula>
    </cfRule>
  </conditionalFormatting>
  <conditionalFormatting sqref="BD84">
    <cfRule type="cellIs" dxfId="9" priority="292" operator="equal">
      <formula>1</formula>
    </cfRule>
    <cfRule type="cellIs" dxfId="8" priority="291" operator="equal">
      <formula>0</formula>
    </cfRule>
  </conditionalFormatting>
  <conditionalFormatting sqref="BD98">
    <cfRule type="cellIs" dxfId="7" priority="293" operator="equal">
      <formula>0</formula>
    </cfRule>
  </conditionalFormatting>
  <conditionalFormatting sqref="BD102">
    <cfRule type="cellIs" dxfId="6" priority="279" operator="equal">
      <formula>0</formula>
    </cfRule>
    <cfRule type="cellIs" dxfId="5" priority="280" operator="equal">
      <formula>1</formula>
    </cfRule>
  </conditionalFormatting>
  <conditionalFormatting sqref="BD108">
    <cfRule type="cellIs" dxfId="4" priority="297" operator="equal">
      <formula>0</formula>
    </cfRule>
    <cfRule type="cellIs" dxfId="3" priority="298" operator="equal">
      <formula>1</formula>
    </cfRule>
  </conditionalFormatting>
  <conditionalFormatting sqref="BD112">
    <cfRule type="cellIs" dxfId="2" priority="307" operator="equal">
      <formula>0</formula>
    </cfRule>
    <cfRule type="cellIs" dxfId="1" priority="308" operator="equal">
      <formula>1</formula>
    </cfRule>
  </conditionalFormatting>
  <conditionalFormatting sqref="BD116">
    <cfRule type="cellIs" dxfId="0" priority="295" operator="equal">
      <formula>0</formula>
    </cfRule>
  </conditionalFormatting>
  <dataValidations count="1">
    <dataValidation type="list" allowBlank="1" showErrorMessage="1" sqref="F8:J8 L8:AM8 F9:AM9 AO8:BA9 F10:J10 L10:BA10 F11:AM19 AO11:BA19 F24:Y24 AA24 AC24:AN24 AP24:AV24 AX24:BA24 F25:BA25 F26:AN26 F27:AD27 AF27:AN27 AP26:BA27 F28:X28 Z28:AH28 AJ28:BA28 F29:BA29 F30:AA30 AC30:AE30 AG30:AI30 AK30:AM30 AO30:AV30 AX30:AY30 BA30 F31:BA33 F34:L34 N34:BA34 F35:BA39 F44:N44 P44:BA44 F45:BA45 F46:Y46 AA46:BA46 F47:U47 W47:BA47 F48:N48 P48:AF48 AH48:BA48 F49:BA55 F60:AH60 AJ60:BA60 F78:BA83 F90:AH90 AJ90:BA90 F91:BA91 F92:AH94 AJ92:BA94 F95:BA95 F96:AH97 AJ96:BA97 F102 H102:AA102 AC102:AT102 AV102:BA102 F103:BA105 F106:S106 U106:X106 Z106 AB106:AF106 AH106:AN106 AP106:AV106 AX106:BA106 F107:BA107 F112:BA115 J88:J89 N88:N89 R88:R89 V88:V89 Z88:Z89 AD88:AD89 AH88:AH89 AL88:AL89 AP88:AP89 AT88:AT89 AX88 F61:AP61 AR61:BA61 F69:W71 Y69:BA71 AS62 F64:BA68 F62:AR63 AT62:BA63 F72:BA73" xr:uid="{00000000-0002-0000-0000-000000000000}">
      <formula1>"P,R,A,C"</formula1>
    </dataValidation>
  </dataValidations>
  <printOptions horizontalCentered="1"/>
  <pageMargins left="0.35433070866141736" right="0.35433070866141736" top="0.39370078740157483" bottom="0.39370078740157483" header="0" footer="0"/>
  <pageSetup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161AC8-7E30-464C-B760-C0AFCEE225C8}"/>
</file>

<file path=customXml/itemProps2.xml><?xml version="1.0" encoding="utf-8"?>
<ds:datastoreItem xmlns:ds="http://schemas.openxmlformats.org/officeDocument/2006/customXml" ds:itemID="{42FFDD28-97E9-4473-BC43-4D0AEA936E90}"/>
</file>

<file path=customXml/itemProps3.xml><?xml version="1.0" encoding="utf-8"?>
<ds:datastoreItem xmlns:ds="http://schemas.openxmlformats.org/officeDocument/2006/customXml" ds:itemID="{D1A77CBC-6FF3-4BCE-81DD-D48E06553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 ANUAL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flamingo oil</dc:creator>
  <cp:lastModifiedBy>Heisa Buelvas</cp:lastModifiedBy>
  <dcterms:created xsi:type="dcterms:W3CDTF">2009-06-27T16:19:01Z</dcterms:created>
  <dcterms:modified xsi:type="dcterms:W3CDTF">2025-09-22T15:26:43Z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_dlc_DocIdItemGuid">
    <vt:lpwstr>d42514df-21b6-43eb-9d54-4fbe1bd0edf8</vt:lpwstr>
  </property>
  <property fmtid="{D5CDD505-2E9C-101B-9397-08002B2CF9AE}" pid="4" name="Order">
    <vt:r8>98200</vt:r8>
  </property>
  <property fmtid="{D5CDD505-2E9C-101B-9397-08002B2CF9AE}" pid="5" name="xd_Signature">
    <vt:bool>false</vt:bool>
  </property>
  <property fmtid="{D5CDD505-2E9C-101B-9397-08002B2CF9AE}" pid="6" name="_ExtendedDescription">
    <vt:lpwstr/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