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16.xml" ContentType="application/vnd.openxmlformats-officedocument.drawingml.chart+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charts/chart15.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worksheets/sheet1.xml" ContentType="application/vnd.openxmlformats-officedocument.spreadsheetml.worksheet+xml"/>
  <Override PartName="/xl/charts/chart13.xml" ContentType="application/vnd.openxmlformats-officedocument.drawingml.chart+xml"/>
  <Override PartName="/xl/drawings/drawing6.xml" ContentType="application/vnd.openxmlformats-officedocument.drawing+xml"/>
  <Override PartName="/xl/charts/chart14.xml" ContentType="application/vnd.openxmlformats-officedocument.drawingml.chart+xml"/>
  <Override PartName="/xl/charts/chart10.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4.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10.50.234\inf mensuales\CALIDAD\"/>
    </mc:Choice>
  </mc:AlternateContent>
  <bookViews>
    <workbookView xWindow="0" yWindow="0" windowWidth="24000" windowHeight="9735" activeTab="3"/>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s>
  <calcPr calcId="152511"/>
</workbook>
</file>

<file path=xl/calcChain.xml><?xml version="1.0" encoding="utf-8"?>
<calcChain xmlns="http://schemas.openxmlformats.org/spreadsheetml/2006/main">
  <c r="D117" i="6" l="1"/>
  <c r="D116" i="6"/>
  <c r="D115" i="6"/>
  <c r="D114" i="6"/>
  <c r="D113" i="6"/>
  <c r="D112" i="6"/>
  <c r="D111" i="6"/>
  <c r="D110" i="6"/>
  <c r="D109" i="6"/>
  <c r="D108" i="6"/>
  <c r="D107" i="6"/>
  <c r="D106" i="6"/>
  <c r="D90" i="6"/>
  <c r="D91" i="6"/>
  <c r="D92" i="6"/>
  <c r="D93" i="6"/>
  <c r="D94" i="6"/>
  <c r="D95" i="6"/>
  <c r="D96" i="6"/>
  <c r="D97" i="6"/>
  <c r="D98" i="6"/>
  <c r="D99" i="6"/>
  <c r="D100" i="6"/>
  <c r="D101" i="6"/>
  <c r="D85" i="6" l="1"/>
  <c r="D84" i="6"/>
  <c r="D83" i="6"/>
  <c r="D82" i="6"/>
  <c r="D81" i="6"/>
  <c r="D80" i="6"/>
  <c r="D79" i="6"/>
  <c r="D78" i="6"/>
  <c r="D77" i="6"/>
  <c r="D76" i="6"/>
  <c r="D75" i="6"/>
  <c r="D74" i="6"/>
  <c r="D29" i="4"/>
  <c r="V14" i="1" s="1"/>
  <c r="W13" i="1"/>
  <c r="V13" i="1"/>
  <c r="U13" i="1"/>
  <c r="V12" i="1"/>
  <c r="U12" i="1"/>
  <c r="S12" i="1"/>
  <c r="R12" i="1"/>
  <c r="Y14" i="1" l="1"/>
  <c r="AB14" i="1"/>
  <c r="S14" i="1"/>
  <c r="D26" i="3"/>
  <c r="Q12" i="1" s="1"/>
  <c r="D29" i="3"/>
  <c r="T12" i="1" s="1"/>
  <c r="W12" i="1"/>
  <c r="X12" i="1"/>
  <c r="Y12" i="1"/>
  <c r="Z12" i="1"/>
  <c r="AA12" i="1"/>
  <c r="AB12" i="1"/>
  <c r="D10" i="9" l="1"/>
  <c r="V25" i="1" s="1"/>
  <c r="D16" i="9" l="1"/>
  <c r="AB25" i="1" s="1"/>
  <c r="D21" i="8"/>
  <c r="AB24" i="1" s="1"/>
  <c r="D20" i="8"/>
  <c r="AA24" i="1" s="1"/>
  <c r="D19" i="8"/>
  <c r="Z24" i="1" s="1"/>
  <c r="D18" i="8"/>
  <c r="Y24" i="1" s="1"/>
  <c r="D17" i="8"/>
  <c r="X24" i="1" s="1"/>
  <c r="D16" i="8"/>
  <c r="W24" i="1" s="1"/>
  <c r="D15" i="8"/>
  <c r="V24" i="1" s="1"/>
  <c r="D14" i="8"/>
  <c r="U24" i="1" s="1"/>
  <c r="D13" i="8"/>
  <c r="T24" i="1" s="1"/>
  <c r="D12" i="8"/>
  <c r="S24" i="1" s="1"/>
  <c r="D11" i="8"/>
  <c r="R24" i="1" s="1"/>
  <c r="D10" i="8"/>
  <c r="Q24" i="1" s="1"/>
  <c r="C22" i="7"/>
  <c r="B22" i="7"/>
  <c r="D21" i="7"/>
  <c r="AB23" i="1" s="1"/>
  <c r="D20" i="7"/>
  <c r="AA23" i="1" s="1"/>
  <c r="D19" i="7"/>
  <c r="Z23" i="1" s="1"/>
  <c r="D18" i="7"/>
  <c r="Y23" i="1" s="1"/>
  <c r="D17" i="7"/>
  <c r="X23" i="1" s="1"/>
  <c r="D16" i="7"/>
  <c r="W23" i="1" s="1"/>
  <c r="D15" i="7"/>
  <c r="V23" i="1" s="1"/>
  <c r="D14" i="7"/>
  <c r="U23" i="1" s="1"/>
  <c r="D13" i="7"/>
  <c r="T23" i="1" s="1"/>
  <c r="D12" i="7"/>
  <c r="S23" i="1" s="1"/>
  <c r="D11" i="7"/>
  <c r="R23" i="1" s="1"/>
  <c r="D10" i="7"/>
  <c r="Q23" i="1" s="1"/>
  <c r="F53" i="6"/>
  <c r="AB20" i="1" s="1"/>
  <c r="E53" i="6"/>
  <c r="AB19" i="1" s="1"/>
  <c r="F52" i="6"/>
  <c r="AA20" i="1" s="1"/>
  <c r="E52" i="6"/>
  <c r="AA19" i="1" s="1"/>
  <c r="F51" i="6"/>
  <c r="Z20" i="1" s="1"/>
  <c r="E51" i="6"/>
  <c r="Z19" i="1" s="1"/>
  <c r="F50" i="6"/>
  <c r="Y20" i="1" s="1"/>
  <c r="E50" i="6"/>
  <c r="Y19" i="1" s="1"/>
  <c r="F49" i="6"/>
  <c r="X20" i="1" s="1"/>
  <c r="E49" i="6"/>
  <c r="X19" i="1" s="1"/>
  <c r="F48" i="6"/>
  <c r="W20" i="1" s="1"/>
  <c r="E48" i="6"/>
  <c r="W19" i="1" s="1"/>
  <c r="F47" i="6"/>
  <c r="V20" i="1" s="1"/>
  <c r="E47" i="6"/>
  <c r="V19" i="1" s="1"/>
  <c r="F46" i="6"/>
  <c r="U20" i="1" s="1"/>
  <c r="E46" i="6"/>
  <c r="U19" i="1" s="1"/>
  <c r="F45" i="6"/>
  <c r="T20" i="1" s="1"/>
  <c r="E45" i="6"/>
  <c r="T19" i="1" s="1"/>
  <c r="F44" i="6"/>
  <c r="S20" i="1" s="1"/>
  <c r="E44" i="6"/>
  <c r="S19" i="1" s="1"/>
  <c r="F43" i="6"/>
  <c r="R20" i="1" s="1"/>
  <c r="E43" i="6"/>
  <c r="R19" i="1" s="1"/>
  <c r="F42" i="6"/>
  <c r="Q20" i="1" s="1"/>
  <c r="E42" i="6"/>
  <c r="Q19" i="1" s="1"/>
  <c r="E37" i="6"/>
  <c r="AB18" i="1" s="1"/>
  <c r="E36" i="6"/>
  <c r="AA18" i="1" s="1"/>
  <c r="E35" i="6"/>
  <c r="Z18" i="1" s="1"/>
  <c r="E34" i="6"/>
  <c r="Y18" i="1" s="1"/>
  <c r="E33" i="6"/>
  <c r="X18" i="1" s="1"/>
  <c r="E32" i="6"/>
  <c r="W18" i="1" s="1"/>
  <c r="E31" i="6"/>
  <c r="V18" i="1" s="1"/>
  <c r="E30" i="6"/>
  <c r="U18" i="1" s="1"/>
  <c r="E29" i="6"/>
  <c r="T18" i="1" s="1"/>
  <c r="E28" i="6"/>
  <c r="S18" i="1" s="1"/>
  <c r="E27" i="6"/>
  <c r="R18" i="1" s="1"/>
  <c r="E26" i="6"/>
  <c r="Q18" i="1" s="1"/>
  <c r="D21" i="6"/>
  <c r="AB17" i="1" s="1"/>
  <c r="D20" i="6"/>
  <c r="AA17" i="1" s="1"/>
  <c r="D19" i="6"/>
  <c r="Z17" i="1" s="1"/>
  <c r="D18" i="6"/>
  <c r="Y17" i="1" s="1"/>
  <c r="D17" i="6"/>
  <c r="X17" i="1" s="1"/>
  <c r="D16" i="6"/>
  <c r="W17" i="1" s="1"/>
  <c r="D15" i="6"/>
  <c r="V17" i="1" s="1"/>
  <c r="D14" i="6"/>
  <c r="U17" i="1" s="1"/>
  <c r="D13" i="6"/>
  <c r="T17" i="1" s="1"/>
  <c r="D12" i="6"/>
  <c r="S17" i="1" s="1"/>
  <c r="D11" i="6"/>
  <c r="R17" i="1" s="1"/>
  <c r="D10" i="6"/>
  <c r="Q17" i="1" s="1"/>
  <c r="D19" i="5"/>
  <c r="AB16" i="1" s="1"/>
  <c r="D16" i="5"/>
  <c r="Y16" i="1" s="1"/>
  <c r="D13" i="5"/>
  <c r="V16" i="1" s="1"/>
  <c r="D10" i="5"/>
  <c r="S16" i="1" s="1"/>
  <c r="D21" i="4"/>
  <c r="AB15" i="1" s="1"/>
  <c r="D20" i="4"/>
  <c r="AA15" i="1" s="1"/>
  <c r="D19" i="4"/>
  <c r="Z15" i="1" s="1"/>
  <c r="D18" i="4"/>
  <c r="Y15" i="1" s="1"/>
  <c r="D17" i="4"/>
  <c r="X15" i="1" s="1"/>
  <c r="D16" i="4"/>
  <c r="W15" i="1" s="1"/>
  <c r="D15" i="4"/>
  <c r="V15" i="1" s="1"/>
  <c r="D14" i="4"/>
  <c r="U15" i="1" s="1"/>
  <c r="D13" i="4"/>
  <c r="T15" i="1" s="1"/>
  <c r="D12" i="4"/>
  <c r="S15" i="1" s="1"/>
  <c r="D11" i="4"/>
  <c r="R15" i="1" s="1"/>
  <c r="D10" i="4"/>
  <c r="Q15" i="1" s="1"/>
  <c r="D21" i="3"/>
  <c r="AB13" i="1" s="1"/>
  <c r="AA13" i="1"/>
  <c r="Z13" i="1"/>
  <c r="Y13" i="1"/>
  <c r="X13" i="1"/>
  <c r="D13" i="3"/>
  <c r="C13" i="3"/>
  <c r="B13" i="3"/>
  <c r="T13" i="1" s="1"/>
  <c r="D12" i="3"/>
  <c r="C12" i="3"/>
  <c r="B12" i="3"/>
  <c r="D11" i="3"/>
  <c r="C11" i="3"/>
  <c r="B11" i="3"/>
  <c r="D10" i="3"/>
  <c r="C10" i="3"/>
  <c r="B10" i="3"/>
  <c r="Q13" i="1" s="1"/>
  <c r="D37" i="2"/>
  <c r="AB11" i="1" s="1"/>
  <c r="D36" i="2"/>
  <c r="AA11" i="1" s="1"/>
  <c r="D35" i="2"/>
  <c r="Z11" i="1" s="1"/>
  <c r="D34" i="2"/>
  <c r="Y11" i="1" s="1"/>
  <c r="D33" i="2"/>
  <c r="X11" i="1" s="1"/>
  <c r="D32" i="2"/>
  <c r="W11" i="1" s="1"/>
  <c r="D31" i="2"/>
  <c r="V11" i="1" s="1"/>
  <c r="D30" i="2"/>
  <c r="U11" i="1" s="1"/>
  <c r="D29" i="2"/>
  <c r="T11" i="1" s="1"/>
  <c r="D28" i="2"/>
  <c r="S11" i="1" s="1"/>
  <c r="D27" i="2"/>
  <c r="R11" i="1" s="1"/>
  <c r="D26" i="2"/>
  <c r="Q11" i="1" s="1"/>
  <c r="D21" i="2"/>
  <c r="AB10" i="1" s="1"/>
  <c r="D20" i="2"/>
  <c r="AA10" i="1" s="1"/>
  <c r="D19" i="2"/>
  <c r="Z10" i="1" s="1"/>
  <c r="D18" i="2"/>
  <c r="Y10" i="1" s="1"/>
  <c r="D17" i="2"/>
  <c r="X10" i="1" s="1"/>
  <c r="D16" i="2"/>
  <c r="W10" i="1" s="1"/>
  <c r="D15" i="2"/>
  <c r="V10" i="1" s="1"/>
  <c r="D14" i="2"/>
  <c r="U10" i="1" s="1"/>
  <c r="D13" i="2"/>
  <c r="T10" i="1" s="1"/>
  <c r="D12" i="2"/>
  <c r="S10" i="1" s="1"/>
  <c r="D11" i="2"/>
  <c r="R10" i="1" s="1"/>
  <c r="D10" i="2"/>
  <c r="Q10" i="1" s="1"/>
  <c r="S13" i="1" l="1"/>
  <c r="R13" i="1"/>
</calcChain>
</file>

<file path=xl/sharedStrings.xml><?xml version="1.0" encoding="utf-8"?>
<sst xmlns="http://schemas.openxmlformats.org/spreadsheetml/2006/main" count="538" uniqueCount="209">
  <si>
    <t>POLITICA DE  CALIDAD</t>
  </si>
  <si>
    <t>PREMISAS</t>
  </si>
  <si>
    <t>OBJETIVOS</t>
  </si>
  <si>
    <t>INDICADOR</t>
  </si>
  <si>
    <t>FORMULACIÓN</t>
  </si>
  <si>
    <t>META</t>
  </si>
  <si>
    <t>FRECUENCIA</t>
  </si>
  <si>
    <t>FUENTE DE DATOS</t>
  </si>
  <si>
    <t>Mensual</t>
  </si>
  <si>
    <t>Evaluación de seguimiento de asesorías quirúrgicas</t>
  </si>
  <si>
    <t>&gt;70%</t>
  </si>
  <si>
    <t>Trimestral</t>
  </si>
  <si>
    <t>Consolidado de acciones correctivas, preventivas y de mejora.</t>
  </si>
  <si>
    <t>Ejecución del programa de capacitación</t>
  </si>
  <si>
    <t>(Capacitaciones ejecutadas / Capacitaciones planeadas)*100%</t>
  </si>
  <si>
    <t>Cronograma de capacitación</t>
  </si>
  <si>
    <t xml:space="preserve">satisfacer las necesidades y expectativas de especialistas, instituciones del área de la salud y usuarios </t>
  </si>
  <si>
    <t>garantizando el cumplimiento de los requisitos legales exigibles,</t>
  </si>
  <si>
    <t>Garantizar a los clientes confiabilidad con el cumpliento del manual de requisitos de  Capacidad de Almacenamiento y/o Acondicionamiento para dispositivos médicos.</t>
  </si>
  <si>
    <t>Crear estrategías de buen servicio que permitan optimizar el manejo de procesos y recursos con el fin de establecer mecanismos para garantizar la satisfacción del cliente.</t>
  </si>
  <si>
    <t>el mejoramiento continuo de nuestros procesos</t>
  </si>
  <si>
    <t xml:space="preserve">optimización de nuestros  recursos </t>
  </si>
  <si>
    <t xml:space="preserve"> el desarrollo integral de nuestros colaboradores,</t>
  </si>
  <si>
    <t>la consolidación de alianzas estratégicas solidas con nuestros proveedores</t>
  </si>
  <si>
    <t>el fortalecimiento de las relaciones comerciales con los clientes.</t>
  </si>
  <si>
    <t>Respaldar los procesos de importación, comercialización y distribuición a los clientes mediante la recepción, acondicionamento, almacenamiento, manejo y suministro de dispositivo médicos acorde a las normas vigentes de sanidad.</t>
  </si>
  <si>
    <t>Planificar, ejecutar, verificar y retroalimentar el sistema de gestión  de calidad, a través de identificaciones de acciones correctivas, preventivas y de mejora continúa.</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</si>
  <si>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</si>
  <si>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PROCESO</t>
  </si>
  <si>
    <t>RESPONSABLE</t>
  </si>
  <si>
    <t>INVOLUCRADOS DEL PROCESO</t>
  </si>
  <si>
    <t>PERSONAL RELACIONADO</t>
  </si>
  <si>
    <t xml:space="preserve">Importación, comercialización y distribución </t>
  </si>
  <si>
    <t>Almacén Gerencia Administrativa</t>
  </si>
  <si>
    <t>Asistencia Técnica</t>
  </si>
  <si>
    <t>Gestión de Calidad</t>
  </si>
  <si>
    <t>Gestión Administrativa</t>
  </si>
  <si>
    <t>Asistencia Técnica, Almacén, Facturación</t>
  </si>
  <si>
    <t>Coordinador Asistencial</t>
  </si>
  <si>
    <t>Almacén, Gestión Administrativa</t>
  </si>
  <si>
    <t xml:space="preserve">Jefe de Almacén </t>
  </si>
  <si>
    <t>Gerente Administrativa</t>
  </si>
  <si>
    <t>Coordinador de Calidad</t>
  </si>
  <si>
    <t>Asesor Quirúrgico</t>
  </si>
  <si>
    <t>_</t>
  </si>
  <si>
    <t>Auxiliar de Contabilidad</t>
  </si>
  <si>
    <t>Todo el personal de Biosteel De Colombia S.A</t>
  </si>
  <si>
    <t>Auxiliar de Almacén, Asesor Quirúrgico, Auxiliar de Facturación, Auxiliar Administrativo</t>
  </si>
  <si>
    <t>Formato de Seguimiento a Proveedores</t>
  </si>
  <si>
    <t>% de Ordenes de Compra recibidas completas</t>
  </si>
  <si>
    <t>% de cumplimientos de especificaciones técnicas</t>
  </si>
  <si>
    <t>(No. De desviaciones encontradas/ No. De muestras verificadas) X 100</t>
  </si>
  <si>
    <t>Sumatoria del resultado de todas las evaluaciones/ El total de las evaluaciones.</t>
  </si>
  <si>
    <t>&gt;95</t>
  </si>
  <si>
    <t>Formato de Evaluación de Proveedores</t>
  </si>
  <si>
    <t>Evalución de Cumplimiento Proveedores</t>
  </si>
  <si>
    <t>Satisfacción del Cliente</t>
  </si>
  <si>
    <t>Formato de Satisfacción del Cliente</t>
  </si>
  <si>
    <t>Gasto real / Presupuesto</t>
  </si>
  <si>
    <t>% Cumplimiento de presupuesto</t>
  </si>
  <si>
    <t>Formato de Informe de Presupuestos</t>
  </si>
  <si>
    <t>Informes de cuentas por pagar y cuentas por cobrar</t>
  </si>
  <si>
    <t>OBJETIVO</t>
  </si>
  <si>
    <t>FORMULA</t>
  </si>
  <si>
    <t>No. De ordenes totales recibidas</t>
  </si>
  <si>
    <t>% de Cumplimiento (&gt;70%)</t>
  </si>
  <si>
    <t>Meses</t>
  </si>
  <si>
    <t>Enero</t>
  </si>
  <si>
    <t>Febrero</t>
  </si>
  <si>
    <t>Marzo</t>
  </si>
  <si>
    <t>Abril</t>
  </si>
  <si>
    <t>Mayo</t>
  </si>
  <si>
    <t>Junio</t>
  </si>
  <si>
    <t>Julio</t>
  </si>
  <si>
    <t>Agosto</t>
  </si>
  <si>
    <t>Septiembre</t>
  </si>
  <si>
    <t>Octubre</t>
  </si>
  <si>
    <t>Noviembre</t>
  </si>
  <si>
    <t>Diciembre</t>
  </si>
  <si>
    <t>No. Ordenes de Compra recibidas Completas</t>
  </si>
  <si>
    <t xml:space="preserve"> % de cumplimientos de especificaciones técnicas</t>
  </si>
  <si>
    <t>(No. De desviaciones encontradas/ No. De muestras verificadas)</t>
  </si>
  <si>
    <t>(No. Ordenes de Compra recibidas completas/ No. Ordenes totales recibidas)</t>
  </si>
  <si>
    <t>No.  De muestras verificadas</t>
  </si>
  <si>
    <t>(No. Ordenes de Compra recibidas completas/ No. Ordenes recibidas) X 100</t>
  </si>
  <si>
    <t>No. De evaluaciones recibidas satisfactoriamente</t>
  </si>
  <si>
    <t xml:space="preserve">Responsable: Jefe De Almacén </t>
  </si>
  <si>
    <t>INDICADORES</t>
  </si>
  <si>
    <t>VERSION: 0</t>
  </si>
  <si>
    <t>Sumatoria del resultado de todas las evaluaciones</t>
  </si>
  <si>
    <t>Sumatoria del resultado de todas las evaluaciones/ El No. total de evaluaciones realizadas.</t>
  </si>
  <si>
    <t>No. total de evaluaciones realizadas.</t>
  </si>
  <si>
    <t>Número de Cirugías canceladas por falta de disponibilidad DM/ Número de Cirugías  programas con requerimientos de DM</t>
  </si>
  <si>
    <t xml:space="preserve">Número de Cirugías  programas con requerimientos de DM </t>
  </si>
  <si>
    <t>Número de Cirugías canceladas por falta de disponibilidad DM</t>
  </si>
  <si>
    <t xml:space="preserve"> % de incumplimiento de disponibilidad de dispositivos médicos</t>
  </si>
  <si>
    <t>Incumplimiento de disponibilidad de dispositivos médicos</t>
  </si>
  <si>
    <t>% Incumplimiento de disponibilidad de DM</t>
  </si>
  <si>
    <t>Jefe de Almacén, Coordinador Asistencial, Gerente Administrativo</t>
  </si>
  <si>
    <t>Auxiliar de almacén, Asesor Quirúrgico, Auxiliar Administrativo</t>
  </si>
  <si>
    <t>Formato de Ostesintesis Programas</t>
  </si>
  <si>
    <t>Cierre de planes de acción</t>
  </si>
  <si>
    <t>No.  Total de planes de Accion</t>
  </si>
  <si>
    <t>Planes de acción cerrados / No. Total de planes  de acción</t>
  </si>
  <si>
    <t>Planes de acción cerrados</t>
  </si>
  <si>
    <t>Enero - Marzo</t>
  </si>
  <si>
    <t>Abril - Junio</t>
  </si>
  <si>
    <t>Julio - Septiembre</t>
  </si>
  <si>
    <t>Octubre - Dicembre</t>
  </si>
  <si>
    <t>Responsable: Coordinador De Calidad</t>
  </si>
  <si>
    <t>Responsable: Coordinador Asistencial</t>
  </si>
  <si>
    <t>Consolidar un adecuado manejo financiero a traves de la contabilización adecuada, con el fin de generar confiabilidad entre los stakeholders de la compañía.</t>
  </si>
  <si>
    <t>Cumplimiento de presupuesto</t>
  </si>
  <si>
    <t xml:space="preserve">Gasto real </t>
  </si>
  <si>
    <t>Gasto presupuestado</t>
  </si>
  <si>
    <t>% de Cumplimiento (&gt;90%)</t>
  </si>
  <si>
    <r>
      <rPr>
        <sz val="11"/>
        <color rgb="FFFF0000"/>
        <rFont val="Calibri"/>
        <family val="2"/>
        <scheme val="minor"/>
      </rPr>
      <t xml:space="preserve">     </t>
    </r>
    <r>
      <rPr>
        <sz val="11"/>
        <color theme="1"/>
        <rFont val="Calibri"/>
        <family val="2"/>
        <scheme val="minor"/>
      </rPr>
      <t>Establecer programas de formación permanentes, los cuales permitirán disponer de un personal con mayor nivel de cualificación para desempeñar las actividades comprendidas en el Sistema de gestión.</t>
    </r>
  </si>
  <si>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</si>
  <si>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</si>
  <si>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</si>
  <si>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</si>
  <si>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Responsable: Gerente Administrativo</t>
  </si>
  <si>
    <t>Expandir y consolidar la relacion con proveedores buscando nuevas opciones en el mercado, diseñando herramientas y concertando acuerdos para adquirir beneficio mutuo.</t>
  </si>
  <si>
    <t>Calificación (&gt;95)</t>
  </si>
  <si>
    <t>Responsable: Jefe De Almacén</t>
  </si>
  <si>
    <t>PAGINA: 8 DE 8</t>
  </si>
  <si>
    <t>PAGINA: 7 DE 8</t>
  </si>
  <si>
    <t>PAGINA: 6 DE 8</t>
  </si>
  <si>
    <t>PAGINA: 5 DE 8</t>
  </si>
  <si>
    <t>PAGINA: 4 DE 8</t>
  </si>
  <si>
    <t>PAGINA: 3 DE 8</t>
  </si>
  <si>
    <t>PAGINA: 2 DE 8</t>
  </si>
  <si>
    <t>PAGINA: 1 DE 8</t>
  </si>
  <si>
    <t>Total Ventas Mensual</t>
  </si>
  <si>
    <t>Total facturado mensual</t>
  </si>
  <si>
    <t>Total radicado</t>
  </si>
  <si>
    <t>% de cumplimiento de radicado (&lt;95%)</t>
  </si>
  <si>
    <t>Responsable: Líder de Contabilidad y Líder de Facturación</t>
  </si>
  <si>
    <t>% de cumplimiento de facturación (&lt;90%)</t>
  </si>
  <si>
    <t>% Cumplimiento Facturado</t>
  </si>
  <si>
    <t>% Cumplimiento Radicado</t>
  </si>
  <si>
    <t xml:space="preserve">Informes de Facturación </t>
  </si>
  <si>
    <t>Total ventas/ Total Facturado</t>
  </si>
  <si>
    <t>Total Facturado/ Total Radicado</t>
  </si>
  <si>
    <t>Líder de Contabilidad y Líder de Facturación</t>
  </si>
  <si>
    <t>Contabilidad Facturación</t>
  </si>
  <si>
    <t xml:space="preserve">% Cumplimiento de Facturación y Radicado
</t>
  </si>
  <si>
    <t>Total ventas/ Total Facturado                                                        Total Facturado/ Total Radicado</t>
  </si>
  <si>
    <t>Evaluaciones de Seguimiento</t>
  </si>
  <si>
    <t>Cumplimiento del servicio (&gt;4.0)</t>
  </si>
  <si>
    <t>Condiciones del Material Utilizado (&gt;4.0)</t>
  </si>
  <si>
    <t>Habilidad Soporte Técnico (&gt;4.0)</t>
  </si>
  <si>
    <t>Semestral</t>
  </si>
  <si>
    <t xml:space="preserve">Atención a Quejas y Reclamos </t>
  </si>
  <si>
    <t>Total de quejas o reclamos presentados</t>
  </si>
  <si>
    <t>Total de Quejas o Reclamos atendido</t>
  </si>
  <si>
    <t>Porcentaje de atención de Quejas y Reclamos</t>
  </si>
  <si>
    <t>No. Quejas y reclamos recibidos = a No. De quejas y reclamos atendidos</t>
  </si>
  <si>
    <t>Formato de quejas y reclamos</t>
  </si>
  <si>
    <t>Almacén, Asistencia Técnica</t>
  </si>
  <si>
    <t>Jefe de Almacén, Coordinador Asistencial</t>
  </si>
  <si>
    <t>Auxiliar de almacén, Asesor Quirúrgico</t>
  </si>
  <si>
    <t>Reportes de Tecnivigilancia</t>
  </si>
  <si>
    <t>No. De Reportes presentados/ No. De Reportes Notificacos al INVIMA</t>
  </si>
  <si>
    <t>Formato de Eventos o Incidentes Adversos</t>
  </si>
  <si>
    <t>No. De Reportes presentados</t>
  </si>
  <si>
    <t>No. De Reportes Notificacos al INVIMA</t>
  </si>
  <si>
    <t>% de Cumplimiento (100%)</t>
  </si>
  <si>
    <t>Responsable: Jefe De Almacén y Coordinador Asistencial</t>
  </si>
  <si>
    <t xml:space="preserve">Ventas - Cuentas por pagar - Gastos </t>
  </si>
  <si>
    <t>Ingresos</t>
  </si>
  <si>
    <t>Gastos</t>
  </si>
  <si>
    <t>Costo</t>
  </si>
  <si>
    <t>Utilidad (&gt;1,000,000,000)</t>
  </si>
  <si>
    <t>Utilidad Mensual</t>
  </si>
  <si>
    <t>CODIGO: FOR-GC-011</t>
  </si>
  <si>
    <t>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con los clientes.</t>
  </si>
  <si>
    <t>Primer Semestre</t>
  </si>
  <si>
    <t>Segundo Semestre</t>
  </si>
  <si>
    <t>MATRIZ DE DESPLIEGUE DE POLÍTICA DE CALIDAD DE BIOSTEEL DE COLOMBIA</t>
  </si>
  <si>
    <t>Calificación (&gt;4.5)</t>
  </si>
  <si>
    <t>&gt;4.5</t>
  </si>
  <si>
    <t>No. Quejas y reclamos atendidas / a No. De quejas y reclamos presentados * 100</t>
  </si>
  <si>
    <t>N/A</t>
  </si>
  <si>
    <t xml:space="preserve">No. De Reportes Notificados al INVIMA / No. De Reportes Presentados * 100 </t>
  </si>
  <si>
    <t>ENERO</t>
  </si>
  <si>
    <t>FEBRERO</t>
  </si>
  <si>
    <t>MARZO</t>
  </si>
  <si>
    <t>ABRIL</t>
  </si>
  <si>
    <t>MAYO</t>
  </si>
  <si>
    <t>JUNIO</t>
  </si>
  <si>
    <t>JULIO</t>
  </si>
  <si>
    <t>AGOSTO</t>
  </si>
  <si>
    <t>SEPTIEMBRE</t>
  </si>
  <si>
    <t>OCTUBRE</t>
  </si>
  <si>
    <t>NOVIEMBRE</t>
  </si>
  <si>
    <t>DICIEMBRE</t>
  </si>
  <si>
    <t>Facturas Anuladas</t>
  </si>
  <si>
    <t>Facturas anuladas/ Facturas Generadas</t>
  </si>
  <si>
    <t>Cuadro de Control Facturas</t>
  </si>
  <si>
    <t>Facturas Glosadas por EPS/ Facturas Generadas a EPS</t>
  </si>
  <si>
    <t>&lt;5%</t>
  </si>
  <si>
    <t>% Facturas Anuladas</t>
  </si>
  <si>
    <t>% Facturas Glosadas por EPS</t>
  </si>
  <si>
    <t>Facturas Generadas</t>
  </si>
  <si>
    <t>% de Cumplimiento (&lt;5%)</t>
  </si>
  <si>
    <t>Facturas Glosadas/ Facturas Generadas a EPS</t>
  </si>
  <si>
    <t>Notificaciones de Glosas</t>
  </si>
  <si>
    <t>Facturas Glosadas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</si>
</sst>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 #,##0_ ;_ * \-#,##0_ ;_ * &quot;-&quot;_ ;_ @_ "/>
    <numFmt numFmtId="44" formatCode="_ &quot;$&quot;\ * #,##0.00_ ;_ &quot;$&quot;\ * \-#,##0.00_ ;_ &quot;$&quot;\ * &quot;-&quot;??_ ;_ @_ "/>
    <numFmt numFmtId="43" formatCode="_ * #,##0.00_ ;_ * \-#,##0.00_ ;_ * &quot;-&quot;??_ ;_ @_ "/>
    <numFmt numFmtId="164" formatCode="0.0"/>
    <numFmt numFmtId="165" formatCode="_ * #,##0_ ;_ * \-#,##0_ ;_ * &quot;-&quot;??_ ;_ @_ "/>
  </numFmts>
  <fonts count="9"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8"/>
      <color theme="1"/>
      <name val="Calibri"/>
      <family val="2"/>
      <scheme val="minor"/>
    </font>
    <font>
      <b/>
      <sz val="11"/>
      <color theme="1"/>
      <name val="Calibri"/>
      <family val="2"/>
      <scheme val="minor"/>
    </font>
    <font>
      <sz val="12"/>
      <color theme="1"/>
      <name val="Calibri"/>
      <family val="2"/>
      <scheme val="minor"/>
    </font>
    <font>
      <sz val="10"/>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69">
    <xf numFmtId="0" fontId="0" fillId="0" borderId="0" xfId="0"/>
    <xf numFmtId="0" fontId="0" fillId="0" borderId="0" xfId="0" applyFont="1"/>
    <xf numFmtId="0" fontId="2" fillId="2" borderId="12" xfId="0" applyFont="1" applyFill="1" applyBorder="1" applyAlignment="1">
      <alignment horizontal="center" vertical="center"/>
    </xf>
    <xf numFmtId="0" fontId="2" fillId="2"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2" xfId="0" applyFont="1" applyFill="1" applyBorder="1" applyAlignment="1">
      <alignment horizontal="center" vertical="center"/>
    </xf>
    <xf numFmtId="9" fontId="0" fillId="0" borderId="0" xfId="1" applyFont="1"/>
    <xf numFmtId="0" fontId="2" fillId="2" borderId="10" xfId="0" applyFont="1" applyFill="1" applyBorder="1" applyAlignment="1">
      <alignment horizontal="center" vertical="center"/>
    </xf>
    <xf numFmtId="0" fontId="2" fillId="2" borderId="1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2" xfId="0" applyFont="1" applyFill="1" applyBorder="1" applyAlignment="1">
      <alignment horizontal="center" vertical="center"/>
    </xf>
    <xf numFmtId="9" fontId="4" fillId="3" borderId="12" xfId="0" applyNumberFormat="1" applyFont="1" applyFill="1" applyBorder="1" applyAlignment="1">
      <alignment horizontal="center" vertical="center"/>
    </xf>
    <xf numFmtId="164" fontId="4" fillId="3" borderId="12" xfId="0" applyNumberFormat="1" applyFont="1" applyFill="1" applyBorder="1" applyAlignment="1">
      <alignment horizontal="center" vertical="center"/>
    </xf>
    <xf numFmtId="0" fontId="0" fillId="3" borderId="10" xfId="0" applyFont="1" applyFill="1" applyBorder="1" applyAlignment="1">
      <alignment horizontal="center" vertical="center" wrapText="1"/>
    </xf>
    <xf numFmtId="0" fontId="0" fillId="3" borderId="0" xfId="0" applyFont="1" applyFill="1" applyAlignment="1">
      <alignment horizontal="center" vertical="center" wrapText="1"/>
    </xf>
    <xf numFmtId="0" fontId="0" fillId="3" borderId="12" xfId="0" applyFont="1" applyFill="1" applyBorder="1" applyAlignment="1">
      <alignment horizontal="center" vertical="center" wrapText="1"/>
    </xf>
    <xf numFmtId="0" fontId="0" fillId="0" borderId="4" xfId="0" applyBorder="1"/>
    <xf numFmtId="0" fontId="0" fillId="0" borderId="6" xfId="0" applyBorder="1"/>
    <xf numFmtId="0" fontId="0" fillId="0" borderId="12" xfId="0" applyBorder="1"/>
    <xf numFmtId="0" fontId="0" fillId="4" borderId="12" xfId="0" applyFill="1" applyBorder="1"/>
    <xf numFmtId="9" fontId="0" fillId="0" borderId="12" xfId="1" applyFont="1" applyBorder="1"/>
    <xf numFmtId="0" fontId="0" fillId="2" borderId="0" xfId="0" applyFill="1" applyBorder="1" applyAlignment="1">
      <alignment vertical="center"/>
    </xf>
    <xf numFmtId="0" fontId="0" fillId="2" borderId="0" xfId="0" applyFill="1" applyBorder="1" applyAlignment="1">
      <alignment horizontal="left" wrapText="1"/>
    </xf>
    <xf numFmtId="0" fontId="0" fillId="2" borderId="0" xfId="0" applyFill="1"/>
    <xf numFmtId="0" fontId="0" fillId="4" borderId="13" xfId="0" applyFill="1" applyBorder="1"/>
    <xf numFmtId="0" fontId="0" fillId="0" borderId="13" xfId="0" applyBorder="1"/>
    <xf numFmtId="9" fontId="0" fillId="0" borderId="13" xfId="1" applyFont="1" applyBorder="1"/>
    <xf numFmtId="0" fontId="0" fillId="0" borderId="0" xfId="0" applyBorder="1"/>
    <xf numFmtId="0" fontId="6" fillId="0" borderId="12" xfId="0" applyFont="1" applyBorder="1" applyAlignment="1">
      <alignment vertical="center"/>
    </xf>
    <xf numFmtId="0" fontId="7" fillId="0" borderId="0" xfId="0" applyFont="1" applyFill="1" applyBorder="1"/>
    <xf numFmtId="0" fontId="0" fillId="0" borderId="5" xfId="0" applyBorder="1"/>
    <xf numFmtId="0" fontId="7" fillId="0" borderId="4" xfId="0" applyFont="1" applyFill="1" applyBorder="1"/>
    <xf numFmtId="0" fontId="0" fillId="0" borderId="8" xfId="0" applyBorder="1"/>
    <xf numFmtId="0" fontId="0" fillId="0" borderId="7" xfId="0" applyBorder="1"/>
    <xf numFmtId="2" fontId="0" fillId="2" borderId="0" xfId="0" applyNumberFormat="1" applyFill="1" applyBorder="1" applyAlignment="1">
      <alignment horizontal="left" wrapText="1"/>
    </xf>
    <xf numFmtId="2" fontId="2" fillId="2" borderId="12" xfId="0" applyNumberFormat="1" applyFont="1" applyFill="1" applyBorder="1" applyAlignment="1">
      <alignment horizontal="center" vertical="center" wrapText="1"/>
    </xf>
    <xf numFmtId="2" fontId="0" fillId="0" borderId="0" xfId="0" applyNumberFormat="1" applyBorder="1"/>
    <xf numFmtId="2" fontId="0" fillId="0" borderId="8" xfId="0" applyNumberFormat="1" applyBorder="1"/>
    <xf numFmtId="2" fontId="0" fillId="0" borderId="0" xfId="0" applyNumberFormat="1"/>
    <xf numFmtId="0" fontId="0" fillId="3"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9" fontId="0" fillId="0" borderId="12" xfId="1" applyFont="1" applyBorder="1" applyAlignment="1">
      <alignment horizont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9" fontId="0" fillId="0" borderId="0" xfId="1" applyFont="1" applyBorder="1" applyAlignment="1">
      <alignment horizontal="center"/>
    </xf>
    <xf numFmtId="0" fontId="0" fillId="0" borderId="4" xfId="0" applyFill="1" applyBorder="1"/>
    <xf numFmtId="44" fontId="0" fillId="0" borderId="0" xfId="2" applyFont="1" applyFill="1" applyBorder="1" applyAlignment="1">
      <alignment horizontal="right" vertical="center" wrapText="1"/>
    </xf>
    <xf numFmtId="9" fontId="6" fillId="0" borderId="0" xfId="1" applyFont="1" applyFill="1" applyBorder="1" applyAlignment="1">
      <alignment horizontal="center" vertical="center"/>
    </xf>
    <xf numFmtId="3" fontId="6" fillId="0" borderId="0" xfId="1" applyNumberFormat="1" applyFont="1" applyFill="1" applyBorder="1" applyAlignment="1">
      <alignment horizontal="center" vertical="center"/>
    </xf>
    <xf numFmtId="0" fontId="6" fillId="0" borderId="13" xfId="0" applyFont="1" applyBorder="1" applyAlignment="1">
      <alignment vertical="center"/>
    </xf>
    <xf numFmtId="41" fontId="6" fillId="0" borderId="12" xfId="2" applyNumberFormat="1" applyFont="1" applyFill="1" applyBorder="1" applyAlignment="1">
      <alignment horizontal="center" vertical="center"/>
    </xf>
    <xf numFmtId="41" fontId="0" fillId="0" borderId="12" xfId="2" applyNumberFormat="1" applyFont="1" applyFill="1" applyBorder="1" applyAlignment="1">
      <alignment horizontal="right" vertical="center" wrapText="1"/>
    </xf>
    <xf numFmtId="9" fontId="0" fillId="3" borderId="12" xfId="0" applyNumberFormat="1" applyFont="1" applyFill="1" applyBorder="1" applyAlignment="1">
      <alignment horizontal="center" vertical="center"/>
    </xf>
    <xf numFmtId="0" fontId="4" fillId="3" borderId="12" xfId="0" applyFont="1" applyFill="1" applyBorder="1" applyAlignment="1">
      <alignment horizontal="center" vertical="center" wrapText="1"/>
    </xf>
    <xf numFmtId="164" fontId="0" fillId="0" borderId="12" xfId="0" applyNumberFormat="1" applyBorder="1"/>
    <xf numFmtId="164" fontId="0" fillId="0" borderId="12" xfId="1" applyNumberFormat="1" applyFont="1" applyBorder="1"/>
    <xf numFmtId="0" fontId="2" fillId="2" borderId="12" xfId="0" applyFont="1" applyFill="1" applyBorder="1" applyAlignment="1">
      <alignment horizontal="center" vertical="center"/>
    </xf>
    <xf numFmtId="0" fontId="2" fillId="2" borderId="12" xfId="0" applyFont="1" applyFill="1" applyBorder="1" applyAlignment="1">
      <alignment horizontal="center" vertical="center" wrapText="1"/>
    </xf>
    <xf numFmtId="1" fontId="0" fillId="0" borderId="12" xfId="0" applyNumberFormat="1" applyBorder="1" applyAlignment="1">
      <alignment horizontal="center"/>
    </xf>
    <xf numFmtId="164" fontId="0" fillId="0" borderId="13" xfId="0" applyNumberFormat="1" applyBorder="1"/>
    <xf numFmtId="164" fontId="0" fillId="0" borderId="13" xfId="1" applyNumberFormat="1" applyFont="1" applyBorder="1"/>
    <xf numFmtId="1" fontId="0" fillId="0" borderId="0" xfId="0" applyNumberFormat="1" applyBorder="1" applyAlignment="1">
      <alignment horizontal="center"/>
    </xf>
    <xf numFmtId="9" fontId="0" fillId="0" borderId="0" xfId="1" applyFont="1" applyBorder="1"/>
    <xf numFmtId="9" fontId="4" fillId="3" borderId="12" xfId="1" applyFont="1" applyFill="1" applyBorder="1" applyAlignment="1">
      <alignment horizontal="center" vertical="center"/>
    </xf>
    <xf numFmtId="0" fontId="0" fillId="3"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165" fontId="0" fillId="0" borderId="12" xfId="3" applyNumberFormat="1" applyFont="1" applyBorder="1"/>
    <xf numFmtId="165" fontId="0" fillId="0" borderId="13" xfId="3" applyNumberFormat="1" applyFont="1" applyBorder="1"/>
    <xf numFmtId="165" fontId="0" fillId="0" borderId="12" xfId="0" applyNumberFormat="1" applyBorder="1"/>
    <xf numFmtId="41" fontId="2" fillId="2" borderId="15" xfId="0" applyNumberFormat="1" applyFont="1" applyFill="1" applyBorder="1" applyAlignment="1">
      <alignment horizontal="center" vertical="center" wrapText="1"/>
    </xf>
    <xf numFmtId="41" fontId="0" fillId="3" borderId="12" xfId="0" applyNumberFormat="1" applyFont="1" applyFill="1" applyBorder="1" applyAlignment="1">
      <alignment horizontal="center" vertical="center"/>
    </xf>
    <xf numFmtId="0" fontId="4" fillId="3" borderId="0" xfId="0" applyFont="1" applyFill="1" applyAlignment="1">
      <alignment horizontal="center" vertical="center"/>
    </xf>
    <xf numFmtId="0" fontId="0" fillId="2" borderId="4" xfId="0" applyFill="1" applyBorder="1" applyAlignment="1">
      <alignment vertical="center"/>
    </xf>
    <xf numFmtId="0" fontId="0" fillId="2" borderId="0" xfId="0" applyFill="1" applyBorder="1"/>
    <xf numFmtId="0" fontId="0" fillId="2" borderId="5" xfId="0" applyFill="1" applyBorder="1"/>
    <xf numFmtId="44" fontId="0" fillId="0" borderId="0" xfId="0" applyNumberFormat="1"/>
    <xf numFmtId="41" fontId="0" fillId="0" borderId="0" xfId="0" applyNumberFormat="1" applyBorder="1" applyAlignment="1">
      <alignment horizontal="center" vertical="center" wrapText="1"/>
    </xf>
    <xf numFmtId="1" fontId="0" fillId="0" borderId="12" xfId="1" applyNumberFormat="1" applyFont="1" applyBorder="1" applyAlignment="1">
      <alignment horizont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0" fillId="5" borderId="0" xfId="0" applyFont="1" applyFill="1"/>
    <xf numFmtId="0" fontId="0" fillId="5" borderId="0" xfId="0" applyFill="1"/>
    <xf numFmtId="49" fontId="0" fillId="3" borderId="12" xfId="0" applyNumberFormat="1" applyFont="1" applyFill="1" applyBorder="1" applyAlignment="1">
      <alignment horizontal="center" vertical="center"/>
    </xf>
    <xf numFmtId="164" fontId="0" fillId="3" borderId="12" xfId="0" applyNumberFormat="1" applyFont="1" applyFill="1" applyBorder="1" applyAlignment="1">
      <alignment horizontal="center" vertical="center"/>
    </xf>
    <xf numFmtId="0" fontId="0" fillId="3" borderId="12" xfId="0" applyFill="1" applyBorder="1" applyAlignment="1">
      <alignment horizontal="center" vertical="center"/>
    </xf>
    <xf numFmtId="9" fontId="0" fillId="3" borderId="12" xfId="0" applyNumberFormat="1" applyFill="1" applyBorder="1" applyAlignment="1">
      <alignment horizontal="center" vertical="center"/>
    </xf>
    <xf numFmtId="1" fontId="0" fillId="3" borderId="12" xfId="0" applyNumberFormat="1" applyFont="1" applyFill="1" applyBorder="1" applyAlignment="1">
      <alignment horizontal="center" vertical="center"/>
    </xf>
    <xf numFmtId="164" fontId="0" fillId="3" borderId="12" xfId="2" applyNumberFormat="1" applyFont="1" applyFill="1" applyBorder="1" applyAlignment="1">
      <alignment horizontal="center" vertical="center"/>
    </xf>
    <xf numFmtId="0" fontId="7" fillId="0" borderId="6" xfId="0" applyFont="1" applyFill="1" applyBorder="1"/>
    <xf numFmtId="0" fontId="4" fillId="3" borderId="13"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5" fillId="0" borderId="12" xfId="0" applyFont="1" applyBorder="1" applyAlignment="1">
      <alignment horizontal="center" vertical="center"/>
    </xf>
    <xf numFmtId="0" fontId="2" fillId="2" borderId="12" xfId="0" applyFont="1" applyFill="1" applyBorder="1" applyAlignment="1">
      <alignment horizontal="center" vertical="center" wrapText="1"/>
    </xf>
    <xf numFmtId="0" fontId="8" fillId="3" borderId="12" xfId="0" applyFont="1" applyFill="1" applyBorder="1" applyAlignment="1">
      <alignment horizontal="left" vertical="center" wrapText="1"/>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1"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2" borderId="12" xfId="0" applyFill="1" applyBorder="1" applyAlignment="1">
      <alignment horizontal="center"/>
    </xf>
    <xf numFmtId="0" fontId="0" fillId="0" borderId="12" xfId="0" applyBorder="1" applyAlignment="1">
      <alignment horizontal="center"/>
    </xf>
    <xf numFmtId="0" fontId="0" fillId="0" borderId="12" xfId="0" applyBorder="1" applyAlignment="1">
      <alignment horizontal="left"/>
    </xf>
    <xf numFmtId="0" fontId="4" fillId="0" borderId="0" xfId="0" applyFont="1" applyFill="1" applyBorder="1" applyAlignment="1">
      <alignment horizontal="center" vertical="center" wrapText="1"/>
    </xf>
    <xf numFmtId="0" fontId="6" fillId="0" borderId="12" xfId="0" applyFont="1" applyBorder="1" applyAlignment="1">
      <alignment horizontal="center" vertical="center"/>
    </xf>
    <xf numFmtId="0" fontId="0" fillId="0" borderId="12" xfId="0" applyBorder="1" applyAlignment="1">
      <alignment horizont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9" fontId="0" fillId="0" borderId="13" xfId="1" applyFont="1" applyBorder="1" applyAlignment="1">
      <alignment horizontal="center" vertical="center"/>
    </xf>
    <xf numFmtId="9" fontId="0" fillId="0" borderId="15" xfId="1" applyFont="1" applyBorder="1" applyAlignment="1">
      <alignment horizontal="center" vertical="center"/>
    </xf>
    <xf numFmtId="9" fontId="0" fillId="0" borderId="14" xfId="1" applyFont="1" applyBorder="1" applyAlignment="1">
      <alignment horizontal="center" vertical="center"/>
    </xf>
    <xf numFmtId="0" fontId="4" fillId="0" borderId="9"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4" fillId="0" borderId="9" xfId="0" applyFont="1" applyFill="1" applyBorder="1" applyAlignment="1">
      <alignment horizontal="center" vertical="top" wrapText="1"/>
    </xf>
    <xf numFmtId="0" fontId="4" fillId="0" borderId="11" xfId="0" applyFont="1" applyFill="1" applyBorder="1" applyAlignment="1">
      <alignment horizontal="center" vertical="top" wrapText="1"/>
    </xf>
    <xf numFmtId="0" fontId="4" fillId="0" borderId="10" xfId="0" applyFont="1" applyFill="1" applyBorder="1" applyAlignment="1">
      <alignment horizontal="center" vertical="top" wrapText="1"/>
    </xf>
    <xf numFmtId="164" fontId="0" fillId="0" borderId="13" xfId="1" applyNumberFormat="1" applyFont="1" applyBorder="1" applyAlignment="1">
      <alignment horizontal="center" vertical="center"/>
    </xf>
    <xf numFmtId="164" fontId="0" fillId="0" borderId="15" xfId="1" applyNumberFormat="1" applyFont="1" applyBorder="1" applyAlignment="1">
      <alignment horizontal="center" vertical="center"/>
    </xf>
    <xf numFmtId="164" fontId="0" fillId="0" borderId="14" xfId="1" applyNumberFormat="1" applyFont="1" applyBorder="1" applyAlignment="1">
      <alignment horizontal="center" vertical="center"/>
    </xf>
  </cellXfs>
  <cellStyles count="4">
    <cellStyle name="Millares" xfId="3" builtinId="3"/>
    <cellStyle name="Moneda" xfId="2" builtinId="4"/>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de Ordenes de Compra Recibidas Completas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'1'!$D$9</c:f>
              <c:strCache>
                <c:ptCount val="1"/>
                <c:pt idx="0">
                  <c:v>% de Cumplimiento (&gt;70%)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'1'!$D$10:$D$21</c:f>
              <c:numCache>
                <c:formatCode>0%</c:formatCode>
                <c:ptCount val="12"/>
                <c:pt idx="0">
                  <c:v>0.97106109324758838</c:v>
                </c:pt>
                <c:pt idx="1">
                  <c:v>0.98344370860927155</c:v>
                </c:pt>
                <c:pt idx="2">
                  <c:v>0.98119122257053293</c:v>
                </c:pt>
                <c:pt idx="3">
                  <c:v>0.9882352941176471</c:v>
                </c:pt>
                <c:pt idx="4">
                  <c:v>0.98119122257053293</c:v>
                </c:pt>
                <c:pt idx="5">
                  <c:v>0.99431818181818177</c:v>
                </c:pt>
                <c:pt idx="6">
                  <c:v>0.9887640449438202</c:v>
                </c:pt>
                <c:pt idx="7">
                  <c:v>0.98622589531680438</c:v>
                </c:pt>
                <c:pt idx="8">
                  <c:v>0.96043165467625902</c:v>
                </c:pt>
                <c:pt idx="9">
                  <c:v>0.97115384615384615</c:v>
                </c:pt>
                <c:pt idx="10">
                  <c:v>0.95593220338983054</c:v>
                </c:pt>
                <c:pt idx="11">
                  <c:v>0.94555873925501432</c:v>
                </c:pt>
              </c:numCache>
            </c:numRef>
          </c:val>
        </c:ser>
        <c:dLbls>
          <c:showLegendKey val="0"/>
          <c:showVal val="0"/>
          <c:showCatName val="0"/>
          <c:showSerName val="0"/>
          <c:showPercent val="0"/>
          <c:showBubbleSize val="0"/>
        </c:dLbls>
        <c:gapWidth val="150"/>
        <c:shape val="box"/>
        <c:axId val="148669744"/>
        <c:axId val="148671704"/>
        <c:axId val="0"/>
      </c:bar3DChart>
      <c:catAx>
        <c:axId val="14866974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8671704"/>
        <c:crosses val="autoZero"/>
        <c:auto val="1"/>
        <c:lblAlgn val="ctr"/>
        <c:lblOffset val="100"/>
        <c:noMultiLvlLbl val="0"/>
      </c:catAx>
      <c:valAx>
        <c:axId val="1486717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8669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Incumplimiento de disponibilidad de dispositivos médicos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'1'!$D$25</c:f>
              <c:strCache>
                <c:ptCount val="1"/>
                <c:pt idx="0">
                  <c:v>% Incumplimiento de disponibilidad de DM</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'1'!$A$26:$A$37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'1'!$D$26:$D$37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149707472"/>
        <c:axId val="149707864"/>
        <c:axId val="0"/>
      </c:bar3DChart>
      <c:catAx>
        <c:axId val="14970747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707864"/>
        <c:crosses val="autoZero"/>
        <c:auto val="1"/>
        <c:lblAlgn val="ctr"/>
        <c:lblOffset val="100"/>
        <c:noMultiLvlLbl val="0"/>
      </c:catAx>
      <c:valAx>
        <c:axId val="14970786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707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Evaluaciones de Seguimiento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215026701466252E-2"/>
          <c:y val="0.15890384239638272"/>
          <c:w val="0.8929207177767996"/>
          <c:h val="0.38867079737579274"/>
        </c:manualLayout>
      </c:layout>
      <c:bar3DChart>
        <c:barDir val="col"/>
        <c:grouping val="clustered"/>
        <c:varyColors val="0"/>
        <c:ser>
          <c:idx val="0"/>
          <c:order val="0"/>
          <c:tx>
            <c:strRef>
              <c:f>'2'!$B$9</c:f>
              <c:strCache>
                <c:ptCount val="1"/>
                <c:pt idx="0">
                  <c:v>Cumplimiento del servicio (&gt;4.0)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'2'!$B$10:$B$21</c:f>
              <c:numCache>
                <c:formatCode>0.0</c:formatCode>
                <c:ptCount val="12"/>
                <c:pt idx="0">
                  <c:v>4.8205128205128203</c:v>
                </c:pt>
                <c:pt idx="1">
                  <c:v>4.8030303030303028</c:v>
                </c:pt>
                <c:pt idx="2">
                  <c:v>4.8478260869565215</c:v>
                </c:pt>
                <c:pt idx="3">
                  <c:v>4.84</c:v>
                </c:pt>
                <c:pt idx="4">
                  <c:v>4.5999999999999996</c:v>
                </c:pt>
                <c:pt idx="5">
                  <c:v>4.5</c:v>
                </c:pt>
                <c:pt idx="6">
                  <c:v>4.5999999999999996</c:v>
                </c:pt>
                <c:pt idx="7">
                  <c:v>4.7</c:v>
                </c:pt>
                <c:pt idx="8">
                  <c:v>4.5</c:v>
                </c:pt>
                <c:pt idx="9">
                  <c:v>4.5999999999999996</c:v>
                </c:pt>
                <c:pt idx="10">
                  <c:v>4.4000000000000004</c:v>
                </c:pt>
              </c:numCache>
            </c:numRef>
          </c:val>
        </c:ser>
        <c:ser>
          <c:idx val="1"/>
          <c:order val="1"/>
          <c:tx>
            <c:strRef>
              <c:f>'2'!$C$9</c:f>
              <c:strCache>
                <c:ptCount val="1"/>
                <c:pt idx="0">
                  <c:v>Condiciones del Material Utilizado (&gt;4.0)</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'2'!$C$10:$C$21</c:f>
              <c:numCache>
                <c:formatCode>0.0</c:formatCode>
                <c:ptCount val="12"/>
                <c:pt idx="0">
                  <c:v>4.6923076923076925</c:v>
                </c:pt>
                <c:pt idx="1">
                  <c:v>4.2424242424242422</c:v>
                </c:pt>
                <c:pt idx="2">
                  <c:v>4.6956521739130439</c:v>
                </c:pt>
                <c:pt idx="3">
                  <c:v>4.82</c:v>
                </c:pt>
                <c:pt idx="4">
                  <c:v>4.5</c:v>
                </c:pt>
                <c:pt idx="5">
                  <c:v>4.5</c:v>
                </c:pt>
                <c:pt idx="6">
                  <c:v>4.5999999999999996</c:v>
                </c:pt>
                <c:pt idx="7">
                  <c:v>4.5999999999999996</c:v>
                </c:pt>
                <c:pt idx="8">
                  <c:v>4.3</c:v>
                </c:pt>
                <c:pt idx="9">
                  <c:v>4.5999999999999996</c:v>
                </c:pt>
                <c:pt idx="10">
                  <c:v>4.5</c:v>
                </c:pt>
              </c:numCache>
            </c:numRef>
          </c:val>
        </c:ser>
        <c:ser>
          <c:idx val="2"/>
          <c:order val="2"/>
          <c:tx>
            <c:strRef>
              <c:f>'2'!$D$9</c:f>
              <c:strCache>
                <c:ptCount val="1"/>
                <c:pt idx="0">
                  <c:v>Habilidad Soporte Técnico (&gt;4.0)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'2'!$D$10:$D$21</c:f>
              <c:numCache>
                <c:formatCode>0.0</c:formatCode>
                <c:ptCount val="12"/>
                <c:pt idx="0">
                  <c:v>4.7435897435897436</c:v>
                </c:pt>
                <c:pt idx="1">
                  <c:v>4.9848484848484844</c:v>
                </c:pt>
                <c:pt idx="2">
                  <c:v>4.7173913043478262</c:v>
                </c:pt>
                <c:pt idx="3">
                  <c:v>4.8</c:v>
                </c:pt>
                <c:pt idx="4">
                  <c:v>4.5999999999999996</c:v>
                </c:pt>
                <c:pt idx="5">
                  <c:v>4.7</c:v>
                </c:pt>
                <c:pt idx="6">
                  <c:v>4.7</c:v>
                </c:pt>
                <c:pt idx="7">
                  <c:v>4.5999999999999996</c:v>
                </c:pt>
                <c:pt idx="8">
                  <c:v>4.4000000000000004</c:v>
                </c:pt>
                <c:pt idx="9">
                  <c:v>4.5999999999999996</c:v>
                </c:pt>
                <c:pt idx="10">
                  <c:v>4.5</c:v>
                </c:pt>
                <c:pt idx="11">
                  <c:v>0</c:v>
                </c:pt>
              </c:numCache>
            </c:numRef>
          </c:val>
        </c:ser>
        <c:dLbls>
          <c:showLegendKey val="0"/>
          <c:showVal val="0"/>
          <c:showCatName val="0"/>
          <c:showSerName val="0"/>
          <c:showPercent val="0"/>
          <c:showBubbleSize val="0"/>
        </c:dLbls>
        <c:gapWidth val="150"/>
        <c:shape val="box"/>
        <c:axId val="149708648"/>
        <c:axId val="149709040"/>
        <c:axId val="0"/>
      </c:bar3DChart>
      <c:catAx>
        <c:axId val="1497086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709040"/>
        <c:crosses val="autoZero"/>
        <c:auto val="1"/>
        <c:lblAlgn val="ctr"/>
        <c:lblOffset val="100"/>
        <c:noMultiLvlLbl val="0"/>
      </c:catAx>
      <c:valAx>
        <c:axId val="14970904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708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Atención de Quejas y Reclamos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'2'!$D$25</c:f>
              <c:strCache>
                <c:ptCount val="1"/>
                <c:pt idx="0">
                  <c:v>Porcentaje de atención de Quejas y Reclamos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'2'!$D$26:$D$37</c:f>
              <c:numCache>
                <c:formatCode>0%</c:formatCode>
                <c:ptCount val="12"/>
                <c:pt idx="0">
                  <c:v>1</c:v>
                </c:pt>
                <c:pt idx="1">
                  <c:v>0</c:v>
                </c:pt>
                <c:pt idx="2">
                  <c:v>0</c:v>
                </c:pt>
                <c:pt idx="3">
                  <c:v>1</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149709824"/>
        <c:axId val="149710216"/>
        <c:axId val="0"/>
      </c:bar3DChart>
      <c:catAx>
        <c:axId val="149709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710216"/>
        <c:crosses val="autoZero"/>
        <c:auto val="1"/>
        <c:lblAlgn val="ctr"/>
        <c:lblOffset val="100"/>
        <c:noMultiLvlLbl val="0"/>
      </c:catAx>
      <c:valAx>
        <c:axId val="14971021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709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de Cumplimiento de Especificaciones Técnicas </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'3'!$D$9</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'3'!$A$10:$A$21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'3'!$D$10:$D$21</c:f>
              <c:numCache>
                <c:formatCode>0%</c:formatCode>
                <c:ptCount val="12"/>
                <c:pt idx="0">
                  <c:v>1</c:v>
                </c:pt>
                <c:pt idx="1">
                  <c:v>1</c:v>
                </c:pt>
                <c:pt idx="2">
                  <c:v>1</c:v>
                </c:pt>
                <c:pt idx="3">
                  <c:v>1</c:v>
                </c:pt>
                <c:pt idx="4">
                  <c:v>1</c:v>
                </c:pt>
                <c:pt idx="5">
                  <c:v>1</c:v>
                </c:pt>
                <c:pt idx="6">
                  <c:v>1</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273942632"/>
        <c:axId val="273943024"/>
        <c:axId val="0"/>
      </c:bar3DChart>
      <c:catAx>
        <c:axId val="27394263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3943024"/>
        <c:crosses val="autoZero"/>
        <c:auto val="1"/>
        <c:lblAlgn val="ctr"/>
        <c:lblOffset val="100"/>
        <c:noMultiLvlLbl val="0"/>
      </c:catAx>
      <c:valAx>
        <c:axId val="2739430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3942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Reportes de Tecnovigilancia</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'3'!$D$25</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'3'!$A$26:$A$37</c:f>
              <c:strCache>
                <c:ptCount val="10"/>
                <c:pt idx="0">
                  <c:v>Enero - Marzo</c:v>
                </c:pt>
                <c:pt idx="3">
                  <c:v>Abril - Junio</c:v>
                </c:pt>
                <c:pt idx="6">
                  <c:v>Julio - Septiembre</c:v>
                </c:pt>
                <c:pt idx="9">
                  <c:v>Octubre - Dicembre</c:v>
                </c:pt>
              </c:strCache>
            </c:strRef>
          </c:cat>
          <c:val>
            <c:numRef>
              <c:f>'3'!$D$26:$D$37</c:f>
              <c:numCache>
                <c:formatCode>0%</c:formatCode>
                <c:ptCount val="12"/>
                <c:pt idx="0">
                  <c:v>0</c:v>
                </c:pt>
                <c:pt idx="3">
                  <c:v>1</c:v>
                </c:pt>
                <c:pt idx="6">
                  <c:v>0</c:v>
                </c:pt>
                <c:pt idx="9">
                  <c:v>0</c:v>
                </c:pt>
              </c:numCache>
            </c:numRef>
          </c:val>
        </c:ser>
        <c:dLbls>
          <c:showLegendKey val="0"/>
          <c:showVal val="0"/>
          <c:showCatName val="0"/>
          <c:showSerName val="0"/>
          <c:showPercent val="0"/>
          <c:showBubbleSize val="0"/>
        </c:dLbls>
        <c:gapWidth val="150"/>
        <c:shape val="box"/>
        <c:axId val="273943808"/>
        <c:axId val="273944200"/>
        <c:axId val="0"/>
      </c:bar3DChart>
      <c:catAx>
        <c:axId val="27394380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3944200"/>
        <c:crosses val="autoZero"/>
        <c:auto val="1"/>
        <c:lblAlgn val="ctr"/>
        <c:lblOffset val="100"/>
        <c:noMultiLvlLbl val="0"/>
      </c:catAx>
      <c:valAx>
        <c:axId val="27394420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3943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Cumplimiento de Planes de Acción</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5830440550615"/>
          <c:y val="0.24065487936103658"/>
          <c:w val="0.79828441285047835"/>
          <c:h val="0.63890865610043945"/>
        </c:manualLayout>
      </c:layout>
      <c:bar3DChart>
        <c:barDir val="col"/>
        <c:grouping val="clustered"/>
        <c:varyColors val="0"/>
        <c:ser>
          <c:idx val="0"/>
          <c:order val="0"/>
          <c:tx>
            <c:strRef>
              <c:f>'4'!$D$9</c:f>
              <c:strCache>
                <c:ptCount val="1"/>
                <c:pt idx="0">
                  <c:v>% de Cumplimiento (100%)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3"/>
            <c:invertIfNegative val="0"/>
            <c:bubble3D val="0"/>
          </c:dPt>
          <c:dPt>
            <c:idx val="6"/>
            <c:invertIfNegative val="0"/>
            <c:bubble3D val="0"/>
          </c:dPt>
          <c:dPt>
            <c:idx val="9"/>
            <c:invertIfNegative val="0"/>
            <c:bubble3D val="0"/>
          </c:dPt>
          <c:cat>
            <c:strRef>
              <c:f>'4'!$A$10:$A$21</c:f>
              <c:strCache>
                <c:ptCount val="10"/>
                <c:pt idx="0">
                  <c:v>Enero - Marzo</c:v>
                </c:pt>
                <c:pt idx="3">
                  <c:v>Abril - Junio</c:v>
                </c:pt>
                <c:pt idx="6">
                  <c:v>Julio - Septiembre</c:v>
                </c:pt>
                <c:pt idx="9">
                  <c:v>Octubre - Dicembre</c:v>
                </c:pt>
              </c:strCache>
            </c:strRef>
          </c:cat>
          <c:val>
            <c:numRef>
              <c:f>'4'!$D$10:$D$21</c:f>
              <c:numCache>
                <c:formatCode>0%</c:formatCode>
                <c:ptCount val="12"/>
                <c:pt idx="0">
                  <c:v>0.98</c:v>
                </c:pt>
                <c:pt idx="3">
                  <c:v>1</c:v>
                </c:pt>
                <c:pt idx="6">
                  <c:v>0</c:v>
                </c:pt>
                <c:pt idx="9">
                  <c:v>0</c:v>
                </c:pt>
              </c:numCache>
            </c:numRef>
          </c:val>
        </c:ser>
        <c:dLbls>
          <c:showLegendKey val="0"/>
          <c:showVal val="0"/>
          <c:showCatName val="0"/>
          <c:showSerName val="0"/>
          <c:showPercent val="0"/>
          <c:showBubbleSize val="0"/>
        </c:dLbls>
        <c:gapWidth val="150"/>
        <c:shape val="box"/>
        <c:axId val="273944984"/>
        <c:axId val="273945376"/>
        <c:axId val="0"/>
      </c:bar3DChart>
      <c:catAx>
        <c:axId val="27394498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3945376"/>
        <c:crosses val="autoZero"/>
        <c:auto val="1"/>
        <c:lblAlgn val="ctr"/>
        <c:lblOffset val="100"/>
        <c:noMultiLvlLbl val="0"/>
      </c:catAx>
      <c:valAx>
        <c:axId val="27394537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3944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Cumplimiento de Presupuesto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'5'!$D$9</c:f>
              <c:strCache>
                <c:ptCount val="1"/>
                <c:pt idx="0">
                  <c:v>% de Cumplimiento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'5'!$D$10:$D$21</c:f>
              <c:numCache>
                <c:formatCode>0%</c:formatCode>
                <c:ptCount val="12"/>
                <c:pt idx="0">
                  <c:v>1.3004520097140133</c:v>
                </c:pt>
                <c:pt idx="1">
                  <c:v>1.490496882204061</c:v>
                </c:pt>
                <c:pt idx="2">
                  <c:v>1.5312719240993904</c:v>
                </c:pt>
                <c:pt idx="3">
                  <c:v>1.2727648947101344</c:v>
                </c:pt>
                <c:pt idx="4">
                  <c:v>1.095083100059002</c:v>
                </c:pt>
                <c:pt idx="5">
                  <c:v>1.2393645556439918</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273946160"/>
        <c:axId val="149038048"/>
        <c:axId val="0"/>
      </c:bar3DChart>
      <c:catAx>
        <c:axId val="27394616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038048"/>
        <c:crosses val="autoZero"/>
        <c:auto val="1"/>
        <c:lblAlgn val="ctr"/>
        <c:lblOffset val="100"/>
        <c:noMultiLvlLbl val="0"/>
      </c:catAx>
      <c:valAx>
        <c:axId val="14903804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3946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Utilidad Mensual</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'5'!$E$25</c:f>
              <c:strCache>
                <c:ptCount val="1"/>
                <c:pt idx="0">
                  <c:v>Utilidad (&gt;1,000,000,000)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'5'!$A$26:$A$37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'5'!$E$26:$E$37</c:f>
              <c:numCache>
                <c:formatCode>_ * #,##0_ ;_ * \-#,##0_ ;_ * "-"??_ ;_ @_ </c:formatCode>
                <c:ptCount val="12"/>
                <c:pt idx="0">
                  <c:v>1230273658</c:v>
                </c:pt>
                <c:pt idx="1">
                  <c:v>1037529326</c:v>
                </c:pt>
                <c:pt idx="2">
                  <c:v>999422576</c:v>
                </c:pt>
                <c:pt idx="3">
                  <c:v>1277198841</c:v>
                </c:pt>
                <c:pt idx="4">
                  <c:v>1398372865</c:v>
                </c:pt>
                <c:pt idx="5">
                  <c:v>1177689086</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149038832"/>
        <c:axId val="149039224"/>
        <c:axId val="0"/>
      </c:bar3DChart>
      <c:catAx>
        <c:axId val="14903883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039224"/>
        <c:crosses val="autoZero"/>
        <c:auto val="1"/>
        <c:lblAlgn val="ctr"/>
        <c:lblOffset val="100"/>
        <c:noMultiLvlLbl val="0"/>
      </c:catAx>
      <c:valAx>
        <c:axId val="149039224"/>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03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Cumplimiento de Facturación y Radicado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'5'!$E$41</c:f>
              <c:strCache>
                <c:ptCount val="1"/>
                <c:pt idx="0">
                  <c:v>% de cumplimiento de facturación (&lt;90%)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'5'!$A$42:$A$53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'5'!$E$42:$E$53</c:f>
              <c:numCache>
                <c:formatCode>0%</c:formatCode>
                <c:ptCount val="12"/>
                <c:pt idx="0">
                  <c:v>0.94283265863053511</c:v>
                </c:pt>
                <c:pt idx="1">
                  <c:v>0.92997459776118785</c:v>
                </c:pt>
                <c:pt idx="2">
                  <c:v>1.0537577519215606</c:v>
                </c:pt>
                <c:pt idx="3">
                  <c:v>0.90484469780536969</c:v>
                </c:pt>
                <c:pt idx="4">
                  <c:v>1.0490491628171565</c:v>
                </c:pt>
                <c:pt idx="5">
                  <c:v>1.0429536934166317</c:v>
                </c:pt>
                <c:pt idx="6">
                  <c:v>0.95820692430427379</c:v>
                </c:pt>
                <c:pt idx="7">
                  <c:v>0.99202638352581618</c:v>
                </c:pt>
                <c:pt idx="8">
                  <c:v>0</c:v>
                </c:pt>
                <c:pt idx="9">
                  <c:v>0</c:v>
                </c:pt>
                <c:pt idx="10">
                  <c:v>0</c:v>
                </c:pt>
                <c:pt idx="11">
                  <c:v>0</c:v>
                </c:pt>
              </c:numCache>
            </c:numRef>
          </c:val>
        </c:ser>
        <c:ser>
          <c:idx val="1"/>
          <c:order val="1"/>
          <c:tx>
            <c:strRef>
              <c:f>'5'!$F$41</c:f>
              <c:strCache>
                <c:ptCount val="1"/>
                <c:pt idx="0">
                  <c:v>% de cumplimiento de radicado (&lt;95%)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'5'!$A$42:$A$53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'5'!$F$42:$F$53</c:f>
              <c:numCache>
                <c:formatCode>0%</c:formatCode>
                <c:ptCount val="12"/>
                <c:pt idx="0">
                  <c:v>1.0400918643147781</c:v>
                </c:pt>
                <c:pt idx="1">
                  <c:v>1.210223495673262</c:v>
                </c:pt>
                <c:pt idx="2">
                  <c:v>0.92091102933734625</c:v>
                </c:pt>
                <c:pt idx="3">
                  <c:v>1.110754575709445</c:v>
                </c:pt>
                <c:pt idx="4">
                  <c:v>1.0861160788553932</c:v>
                </c:pt>
                <c:pt idx="5">
                  <c:v>1.0146306338171855</c:v>
                </c:pt>
                <c:pt idx="6">
                  <c:v>1.0497046129995886</c:v>
                </c:pt>
                <c:pt idx="7">
                  <c:v>0.9342102804414385</c:v>
                </c:pt>
                <c:pt idx="8">
                  <c:v>0</c:v>
                </c:pt>
                <c:pt idx="9">
                  <c:v>0</c:v>
                </c:pt>
                <c:pt idx="10">
                  <c:v>0</c:v>
                </c:pt>
                <c:pt idx="11">
                  <c:v>0</c:v>
                </c:pt>
              </c:numCache>
            </c:numRef>
          </c:val>
        </c:ser>
        <c:dLbls>
          <c:showLegendKey val="0"/>
          <c:showVal val="0"/>
          <c:showCatName val="0"/>
          <c:showSerName val="0"/>
          <c:showPercent val="0"/>
          <c:showBubbleSize val="0"/>
        </c:dLbls>
        <c:gapWidth val="150"/>
        <c:shape val="box"/>
        <c:axId val="149040008"/>
        <c:axId val="149040400"/>
        <c:axId val="0"/>
      </c:bar3DChart>
      <c:catAx>
        <c:axId val="14904000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040400"/>
        <c:crosses val="autoZero"/>
        <c:auto val="1"/>
        <c:lblAlgn val="ctr"/>
        <c:lblOffset val="100"/>
        <c:noMultiLvlLbl val="0"/>
      </c:catAx>
      <c:valAx>
        <c:axId val="14904040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040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Cumplimiento de Presupuesto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'5'!$D$9</c:f>
              <c:strCache>
                <c:ptCount val="1"/>
                <c:pt idx="0">
                  <c:v>% de Cumplimiento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'5'!$D$10:$D$21</c:f>
              <c:numCache>
                <c:formatCode>0%</c:formatCode>
                <c:ptCount val="12"/>
                <c:pt idx="0">
                  <c:v>1.3004520097140133</c:v>
                </c:pt>
                <c:pt idx="1">
                  <c:v>1.490496882204061</c:v>
                </c:pt>
                <c:pt idx="2">
                  <c:v>1.5312719240993904</c:v>
                </c:pt>
                <c:pt idx="3">
                  <c:v>1.2727648947101344</c:v>
                </c:pt>
                <c:pt idx="4">
                  <c:v>1.095083100059002</c:v>
                </c:pt>
                <c:pt idx="5">
                  <c:v>1.2393645556439918</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149041184"/>
        <c:axId val="149041576"/>
        <c:axId val="0"/>
      </c:bar3DChart>
      <c:catAx>
        <c:axId val="14904118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041576"/>
        <c:crosses val="autoZero"/>
        <c:auto val="1"/>
        <c:lblAlgn val="ctr"/>
        <c:lblOffset val="100"/>
        <c:noMultiLvlLbl val="0"/>
      </c:catAx>
      <c:valAx>
        <c:axId val="14904157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149041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
            </a:r>
            <a:r>
              <a:rPr lang="en-US" baseline="0"/>
              <a:t> </a:t>
            </a:r>
            <a:r>
              <a:rPr lang="en-US"/>
              <a:t>Facturas Anuladas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'5'!$D$89</c:f>
              <c:strCache>
                <c:ptCount val="1"/>
                <c:pt idx="0">
                  <c:v>% de Cumplimiento (&lt;5%)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'5'!$A$90:$A$101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'5'!$D$90:$D$101</c:f>
              <c:numCache>
                <c:formatCode>0%</c:formatCode>
                <c:ptCount val="12"/>
                <c:pt idx="0">
                  <c:v>9.6153846153846159E-3</c:v>
                </c:pt>
                <c:pt idx="1">
                  <c:v>1.8684603886397609E-2</c:v>
                </c:pt>
                <c:pt idx="2">
                  <c:v>8.9153046062407128E-3</c:v>
                </c:pt>
                <c:pt idx="3">
                  <c:v>1.2668250197941409E-2</c:v>
                </c:pt>
                <c:pt idx="4">
                  <c:v>1.8882769472856019E-2</c:v>
                </c:pt>
                <c:pt idx="5">
                  <c:v>9.2879256965944269E-3</c:v>
                </c:pt>
                <c:pt idx="6">
                  <c:v>7.9734219269102981E-3</c:v>
                </c:pt>
                <c:pt idx="7">
                  <c:v>7.5930144267274107E-3</c:v>
                </c:pt>
                <c:pt idx="8">
                  <c:v>0</c:v>
                </c:pt>
                <c:pt idx="9">
                  <c:v>0</c:v>
                </c:pt>
                <c:pt idx="10">
                  <c:v>0</c:v>
                </c:pt>
                <c:pt idx="11">
                  <c:v>0</c:v>
                </c:pt>
              </c:numCache>
            </c:numRef>
          </c:val>
        </c:ser>
        <c:dLbls>
          <c:showLegendKey val="0"/>
          <c:showVal val="0"/>
          <c:showCatName val="0"/>
          <c:showSerName val="0"/>
          <c:showPercent val="0"/>
          <c:showBubbleSize val="0"/>
        </c:dLbls>
        <c:gapWidth val="150"/>
        <c:shape val="box"/>
        <c:axId val="351838936"/>
        <c:axId val="351839328"/>
        <c:axId val="0"/>
      </c:bar3DChart>
      <c:catAx>
        <c:axId val="35183893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1839328"/>
        <c:crosses val="autoZero"/>
        <c:auto val="1"/>
        <c:lblAlgn val="ctr"/>
        <c:lblOffset val="100"/>
        <c:noMultiLvlLbl val="0"/>
      </c:catAx>
      <c:valAx>
        <c:axId val="351839328"/>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1838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'5'!$D$105</c:f>
              <c:strCache>
                <c:ptCount val="1"/>
                <c:pt idx="0">
                  <c:v>% de Cumplimiento (&lt;5%)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'5'!$A$106:$A$117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'5'!$D$106:$D$117</c:f>
              <c:numCache>
                <c:formatCode>0%</c:formatCode>
                <c:ptCount val="12"/>
                <c:pt idx="0">
                  <c:v>0.7</c:v>
                </c:pt>
                <c:pt idx="1">
                  <c:v>0.28125</c:v>
                </c:pt>
                <c:pt idx="2">
                  <c:v>0.29411764705882354</c:v>
                </c:pt>
                <c:pt idx="3">
                  <c:v>0.3888888888888889</c:v>
                </c:pt>
                <c:pt idx="4">
                  <c:v>0.2</c:v>
                </c:pt>
                <c:pt idx="5">
                  <c:v>0.23809523809523808</c:v>
                </c:pt>
                <c:pt idx="6">
                  <c:v>9.5238095238095233E-2</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351840112"/>
        <c:axId val="351840504"/>
        <c:axId val="0"/>
      </c:bar3DChart>
      <c:catAx>
        <c:axId val="35184011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1840504"/>
        <c:crosses val="autoZero"/>
        <c:auto val="1"/>
        <c:lblAlgn val="ctr"/>
        <c:lblOffset val="100"/>
        <c:noMultiLvlLbl val="0"/>
      </c:catAx>
      <c:valAx>
        <c:axId val="351840504"/>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1840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Ejecución del Programa de Capacitación</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'6'!$D$9</c:f>
              <c:strCache>
                <c:ptCount val="1"/>
                <c:pt idx="0">
                  <c:v>% de Cumplimiento (&gt;70%)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'6'!$A$10:$A$21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'6'!$D$10:$D$21</c:f>
              <c:numCache>
                <c:formatCode>0%</c:formatCode>
                <c:ptCount val="12"/>
                <c:pt idx="0">
                  <c:v>0.75</c:v>
                </c:pt>
                <c:pt idx="1">
                  <c:v>0.6</c:v>
                </c:pt>
                <c:pt idx="2">
                  <c:v>0.16666666666666666</c:v>
                </c:pt>
                <c:pt idx="3">
                  <c:v>1</c:v>
                </c:pt>
                <c:pt idx="4">
                  <c:v>0.75</c:v>
                </c:pt>
                <c:pt idx="5">
                  <c:v>0.33333333333333331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shape val="box"/>
        <c:axId val="351841288"/>
        <c:axId val="351841680"/>
        <c:axId val="0"/>
      </c:bar3DChart>
      <c:catAx>
        <c:axId val="35184128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1841680"/>
        <c:crosses val="autoZero"/>
        <c:auto val="1"/>
        <c:lblAlgn val="ctr"/>
        <c:lblOffset val="100"/>
        <c:noMultiLvlLbl val="0"/>
      </c:catAx>
      <c:valAx>
        <c:axId val="35184168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1841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Cumplimiento de Proveedores</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strRef>
              <c:f>'7'!$D$9</c:f>
              <c:strCache>
                <c:ptCount val="1"/>
                <c:pt idx="0">
                  <c:v>Calificación (&gt;95)</c:v>
                </c:pt>
              </c:strCache>
            </c:strRef>
          </c:tx>
          <c:spPr>
            <a:solidFill>
              <a:schemeClr val="accent1"/>
            </a:solidFill>
            <a:ln>
              <a:noFill/>
            </a:ln>
            <a:effectLst>
              <a:outerShdw blurRad="40000" dist="23000" dir="5400000" rotWithShape="0">
                <a:srgbClr val="000000">
                  <a:alpha val="35000"/>
                </a:srgbClr>
              </a:outerShdw>
            </a:effectLst>
            <a:sp3d/>
          </c:spPr>
          <c:invertIfNegative val="0"/>
          <c:cat>
            <c:strRef>
              <c:f>'7'!$A$10:$A$21</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'7'!$D$10:$D$21</c:f>
              <c:numCache>
                <c:formatCode>0</c:formatCode>
                <c:ptCount val="12"/>
                <c:pt idx="0">
                  <c:v>94.692307692307693</c:v>
                </c:pt>
                <c:pt idx="1">
                  <c:v>94.416666666666671</c:v>
                </c:pt>
                <c:pt idx="2">
                  <c:v>94.833333333333329</c:v>
                </c:pt>
                <c:pt idx="3">
                  <c:v>94.25</c:v>
                </c:pt>
                <c:pt idx="4">
                  <c:v>93.833333333333329</c:v>
                </c:pt>
                <c:pt idx="5">
                  <c:v>95</c:v>
                </c:pt>
                <c:pt idx="6">
                  <c:v>94.5</c:v>
                </c:pt>
                <c:pt idx="7">
                  <c:v>98.45</c:v>
                </c:pt>
                <c:pt idx="8">
                  <c:v>0</c:v>
                </c:pt>
                <c:pt idx="9">
                  <c:v>0</c:v>
                </c:pt>
                <c:pt idx="10">
                  <c:v>0</c:v>
                </c:pt>
                <c:pt idx="11">
                  <c:v>0</c:v>
                </c:pt>
              </c:numCache>
            </c:numRef>
          </c:val>
        </c:ser>
        <c:dLbls>
          <c:showLegendKey val="0"/>
          <c:showVal val="0"/>
          <c:showCatName val="0"/>
          <c:showSerName val="0"/>
          <c:showPercent val="0"/>
          <c:showBubbleSize val="0"/>
        </c:dLbls>
        <c:gapWidth val="150"/>
        <c:shape val="box"/>
        <c:axId val="353142096"/>
        <c:axId val="353142488"/>
        <c:axId val="0"/>
      </c:bar3DChart>
      <c:catAx>
        <c:axId val="35314209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3142488"/>
        <c:crosses val="autoZero"/>
        <c:auto val="1"/>
        <c:lblAlgn val="ctr"/>
        <c:lblOffset val="100"/>
        <c:noMultiLvlLbl val="0"/>
      </c:catAx>
      <c:valAx>
        <c:axId val="3531424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3142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Satisfacción del Cliente</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strRef>
              <c:f>'8'!$D$9</c:f>
              <c:strCache>
                <c:ptCount val="1"/>
                <c:pt idx="0">
                  <c:v>Calificación (&gt;4.5)</c:v>
                </c:pt>
              </c:strCache>
            </c:strRef>
          </c:tx>
          <c:spPr>
            <a:solidFill>
              <a:schemeClr val="accent1"/>
            </a:solidFill>
            <a:ln>
              <a:noFill/>
            </a:ln>
            <a:effectLst>
              <a:outerShdw blurRad="40000" dist="23000" dir="5400000" rotWithShape="0">
                <a:srgbClr val="000000">
                  <a:alpha val="35000"/>
                </a:srgbClr>
              </a:outerShdw>
            </a:effectLst>
            <a:sp3d/>
          </c:spPr>
          <c:invertIfNegative val="0"/>
          <c:cat>
            <c:strRef>
              <c:f>'8'!$A$10:$A$21</c:f>
              <c:strCache>
                <c:ptCount val="7"/>
                <c:pt idx="0">
                  <c:v>Primer Semestre</c:v>
                </c:pt>
                <c:pt idx="6">
                  <c:v>Segundo Semestre</c:v>
                </c:pt>
              </c:strCache>
            </c:strRef>
          </c:cat>
          <c:val>
            <c:numRef>
              <c:f>'8'!$D$10:$D$21</c:f>
              <c:numCache>
                <c:formatCode>0.0</c:formatCode>
                <c:ptCount val="12"/>
                <c:pt idx="0">
                  <c:v>4.5600000000000005</c:v>
                </c:pt>
                <c:pt idx="6">
                  <c:v>0</c:v>
                </c:pt>
              </c:numCache>
            </c:numRef>
          </c:val>
        </c:ser>
        <c:dLbls>
          <c:showLegendKey val="0"/>
          <c:showVal val="0"/>
          <c:showCatName val="0"/>
          <c:showSerName val="0"/>
          <c:showPercent val="0"/>
          <c:showBubbleSize val="0"/>
        </c:dLbls>
        <c:gapWidth val="150"/>
        <c:shape val="box"/>
        <c:axId val="353143272"/>
        <c:axId val="353143664"/>
        <c:axId val="0"/>
      </c:bar3DChart>
      <c:catAx>
        <c:axId val="35314327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3143664"/>
        <c:crosses val="autoZero"/>
        <c:auto val="1"/>
        <c:lblAlgn val="ctr"/>
        <c:lblOffset val="100"/>
        <c:noMultiLvlLbl val="0"/>
      </c:catAx>
      <c:valAx>
        <c:axId val="353143664"/>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353143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jpe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3" name="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24</xdr:row>
      <xdr:rowOff>42334</xdr:rowOff>
    </xdr:from>
    <xdr:to>
      <xdr:col>9</xdr:col>
      <xdr:colOff>687917</xdr:colOff>
      <xdr:row>37</xdr:row>
      <xdr:rowOff>10584</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254000</xdr:colOff>
      <xdr:row>0</xdr:row>
      <xdr:rowOff>84667</xdr:rowOff>
    </xdr:from>
    <xdr:to>
      <xdr:col>1</xdr:col>
      <xdr:colOff>698500</xdr:colOff>
      <xdr:row>2</xdr:row>
      <xdr:rowOff>74084</xdr:rowOff>
    </xdr:to>
    <xdr:pic>
      <xdr:nvPicPr>
        <xdr:cNvPr id="6" name="5 Imagen" descr="D:\Desktop\ARCHIVOS\Logo_Biosteel-001.jp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4000" y="84667"/>
          <a:ext cx="1259417" cy="37041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52916</xdr:colOff>
      <xdr:row>24</xdr:row>
      <xdr:rowOff>31750</xdr:rowOff>
    </xdr:from>
    <xdr:to>
      <xdr:col>9</xdr:col>
      <xdr:colOff>709083</xdr:colOff>
      <xdr:row>36</xdr:row>
      <xdr:rowOff>158750</xdr:rowOff>
    </xdr:to>
    <xdr:graphicFrame macro="">
      <xdr:nvGraphicFramePr>
        <xdr:cNvPr id="6"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306916</xdr:colOff>
      <xdr:row>0</xdr:row>
      <xdr:rowOff>84667</xdr:rowOff>
    </xdr:from>
    <xdr:to>
      <xdr:col>1</xdr:col>
      <xdr:colOff>751416</xdr:colOff>
      <xdr:row>2</xdr:row>
      <xdr:rowOff>74084</xdr:rowOff>
    </xdr:to>
    <xdr:pic>
      <xdr:nvPicPr>
        <xdr:cNvPr id="5" name="4 Imagen" descr="D:\Desktop\ARCHIVOS\Logo_Biosteel-001.jp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6916" y="84667"/>
          <a:ext cx="1259417" cy="370417"/>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31750</xdr:colOff>
      <xdr:row>8</xdr:row>
      <xdr:rowOff>32808</xdr:rowOff>
    </xdr:from>
    <xdr:to>
      <xdr:col>9</xdr:col>
      <xdr:colOff>687917</xdr:colOff>
      <xdr:row>20</xdr:row>
      <xdr:rowOff>152399</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24</xdr:row>
      <xdr:rowOff>32808</xdr:rowOff>
    </xdr:from>
    <xdr:to>
      <xdr:col>9</xdr:col>
      <xdr:colOff>687917</xdr:colOff>
      <xdr:row>36</xdr:row>
      <xdr:rowOff>152399</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190500</xdr:colOff>
      <xdr:row>0</xdr:row>
      <xdr:rowOff>105834</xdr:rowOff>
    </xdr:from>
    <xdr:to>
      <xdr:col>1</xdr:col>
      <xdr:colOff>635000</xdr:colOff>
      <xdr:row>2</xdr:row>
      <xdr:rowOff>95251</xdr:rowOff>
    </xdr:to>
    <xdr:pic>
      <xdr:nvPicPr>
        <xdr:cNvPr id="6" name="5 Imagen" descr="D:\Desktop\ARCHIVOS\Logo_Biosteel-001.jp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500" y="105834"/>
          <a:ext cx="1259417" cy="370417"/>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31750</xdr:colOff>
      <xdr:row>8</xdr:row>
      <xdr:rowOff>32808</xdr:rowOff>
    </xdr:from>
    <xdr:to>
      <xdr:col>9</xdr:col>
      <xdr:colOff>687917</xdr:colOff>
      <xdr:row>20</xdr:row>
      <xdr:rowOff>152399</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243417</xdr:colOff>
      <xdr:row>0</xdr:row>
      <xdr:rowOff>74084</xdr:rowOff>
    </xdr:from>
    <xdr:to>
      <xdr:col>1</xdr:col>
      <xdr:colOff>687917</xdr:colOff>
      <xdr:row>2</xdr:row>
      <xdr:rowOff>63501</xdr:rowOff>
    </xdr:to>
    <xdr:pic>
      <xdr:nvPicPr>
        <xdr:cNvPr id="4" name="3 Imagen" descr="D:\Desktop\ARCHIVOS\Logo_Biosteel-001.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3417" y="74084"/>
          <a:ext cx="1259417" cy="370417"/>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730250</xdr:colOff>
      <xdr:row>20</xdr:row>
      <xdr:rowOff>169334</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31751</xdr:colOff>
      <xdr:row>24</xdr:row>
      <xdr:rowOff>31750</xdr:rowOff>
    </xdr:from>
    <xdr:to>
      <xdr:col>9</xdr:col>
      <xdr:colOff>751418</xdr:colOff>
      <xdr:row>36</xdr:row>
      <xdr:rowOff>169333</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52916</xdr:colOff>
      <xdr:row>53</xdr:row>
      <xdr:rowOff>42334</xdr:rowOff>
    </xdr:from>
    <xdr:to>
      <xdr:col>9</xdr:col>
      <xdr:colOff>719667</xdr:colOff>
      <xdr:row>68</xdr:row>
      <xdr:rowOff>84668</xdr:rowOff>
    </xdr:to>
    <xdr:graphicFrame macro="">
      <xdr:nvGraphicFramePr>
        <xdr:cNvPr id="7" name="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42334</xdr:colOff>
      <xdr:row>72</xdr:row>
      <xdr:rowOff>42334</xdr:rowOff>
    </xdr:from>
    <xdr:to>
      <xdr:col>9</xdr:col>
      <xdr:colOff>730250</xdr:colOff>
      <xdr:row>84</xdr:row>
      <xdr:rowOff>169334</xdr:rowOff>
    </xdr:to>
    <xdr:graphicFrame macro="">
      <xdr:nvGraphicFramePr>
        <xdr:cNvPr id="6"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42333</xdr:colOff>
      <xdr:row>88</xdr:row>
      <xdr:rowOff>63500</xdr:rowOff>
    </xdr:from>
    <xdr:to>
      <xdr:col>9</xdr:col>
      <xdr:colOff>730249</xdr:colOff>
      <xdr:row>101</xdr:row>
      <xdr:rowOff>0</xdr:rowOff>
    </xdr:to>
    <xdr:graphicFrame macro="">
      <xdr:nvGraphicFramePr>
        <xdr:cNvPr id="14"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42333</xdr:colOff>
      <xdr:row>104</xdr:row>
      <xdr:rowOff>63500</xdr:rowOff>
    </xdr:from>
    <xdr:to>
      <xdr:col>9</xdr:col>
      <xdr:colOff>730249</xdr:colOff>
      <xdr:row>117</xdr:row>
      <xdr:rowOff>0</xdr:rowOff>
    </xdr:to>
    <xdr:graphicFrame macro="">
      <xdr:nvGraphicFramePr>
        <xdr:cNvPr id="15"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486833</xdr:colOff>
      <xdr:row>0</xdr:row>
      <xdr:rowOff>116417</xdr:rowOff>
    </xdr:from>
    <xdr:to>
      <xdr:col>1</xdr:col>
      <xdr:colOff>931333</xdr:colOff>
      <xdr:row>2</xdr:row>
      <xdr:rowOff>105834</xdr:rowOff>
    </xdr:to>
    <xdr:pic>
      <xdr:nvPicPr>
        <xdr:cNvPr id="9" name="8 Imagen" descr="D:\Desktop\ARCHIVOS\Logo_Biosteel-001.jpg"/>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86833" y="116417"/>
          <a:ext cx="1259417" cy="370417"/>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42334</xdr:colOff>
      <xdr:row>8</xdr:row>
      <xdr:rowOff>42334</xdr:rowOff>
    </xdr:from>
    <xdr:to>
      <xdr:col>9</xdr:col>
      <xdr:colOff>698501</xdr:colOff>
      <xdr:row>20</xdr:row>
      <xdr:rowOff>169334</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275166</xdr:colOff>
      <xdr:row>0</xdr:row>
      <xdr:rowOff>95250</xdr:rowOff>
    </xdr:from>
    <xdr:to>
      <xdr:col>1</xdr:col>
      <xdr:colOff>719666</xdr:colOff>
      <xdr:row>2</xdr:row>
      <xdr:rowOff>84667</xdr:rowOff>
    </xdr:to>
    <xdr:pic>
      <xdr:nvPicPr>
        <xdr:cNvPr id="5" name="4 Imagen" descr="D:\Desktop\ARCHIVOS\Logo_Biosteel-001.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5166" y="95250"/>
          <a:ext cx="1259417" cy="37041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8</xdr:row>
      <xdr:rowOff>52917</xdr:rowOff>
    </xdr:from>
    <xdr:to>
      <xdr:col>9</xdr:col>
      <xdr:colOff>698500</xdr:colOff>
      <xdr:row>21</xdr:row>
      <xdr:rowOff>10584</xdr:rowOff>
    </xdr:to>
    <xdr:graphicFrame macro="">
      <xdr:nvGraphicFramePr>
        <xdr:cNvPr id="6" name="5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232833</xdr:colOff>
      <xdr:row>0</xdr:row>
      <xdr:rowOff>105833</xdr:rowOff>
    </xdr:from>
    <xdr:to>
      <xdr:col>1</xdr:col>
      <xdr:colOff>677333</xdr:colOff>
      <xdr:row>2</xdr:row>
      <xdr:rowOff>95250</xdr:rowOff>
    </xdr:to>
    <xdr:pic>
      <xdr:nvPicPr>
        <xdr:cNvPr id="4" name="3 Imagen" descr="D:\Desktop\ARCHIVOS\Logo_Biosteel-001.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2833" y="105833"/>
          <a:ext cx="1259417" cy="370417"/>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63500</xdr:colOff>
      <xdr:row>8</xdr:row>
      <xdr:rowOff>52917</xdr:rowOff>
    </xdr:from>
    <xdr:to>
      <xdr:col>9</xdr:col>
      <xdr:colOff>698500</xdr:colOff>
      <xdr:row>21</xdr:row>
      <xdr:rowOff>10584</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201084</xdr:colOff>
      <xdr:row>0</xdr:row>
      <xdr:rowOff>84667</xdr:rowOff>
    </xdr:from>
    <xdr:to>
      <xdr:col>1</xdr:col>
      <xdr:colOff>645584</xdr:colOff>
      <xdr:row>2</xdr:row>
      <xdr:rowOff>74084</xdr:rowOff>
    </xdr:to>
    <xdr:pic>
      <xdr:nvPicPr>
        <xdr:cNvPr id="4" name="3 Imagen" descr="D:\Desktop\ARCHIVOS\Logo_Biosteel-001.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1084" y="84667"/>
          <a:ext cx="1259417" cy="370417"/>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8"/>
  <sheetViews>
    <sheetView zoomScale="80" zoomScaleNormal="80" workbookViewId="0">
      <selection sqref="A1:P3"/>
    </sheetView>
  </sheetViews>
  <sheetFormatPr baseColWidth="10" defaultRowHeight="15" x14ac:dyDescent="0.25"/>
  <cols>
    <col min="1" max="1" width="5" style="1" customWidth="1"/>
    <col min="2" max="2" width="16.85546875" style="1" customWidth="1"/>
    <col min="3" max="3" width="15.140625" style="1" customWidth="1"/>
    <col min="4" max="6" width="11.42578125" style="1"/>
    <col min="7" max="7" width="13.85546875" style="1" customWidth="1"/>
    <col min="8" max="8" width="15.28515625" style="1" customWidth="1"/>
    <col min="9" max="9" width="16.5703125" style="1" customWidth="1"/>
    <col min="10" max="11" width="17.5703125" style="1" customWidth="1"/>
    <col min="12" max="12" width="17.42578125" style="1" customWidth="1"/>
    <col min="13" max="13" width="17.85546875" style="1" customWidth="1"/>
    <col min="14" max="14" width="16.85546875" style="1" customWidth="1"/>
    <col min="15" max="15" width="12.5703125" style="1" customWidth="1"/>
    <col min="16" max="16" width="14.42578125" style="1" customWidth="1"/>
    <col min="17" max="18" width="15.28515625" style="1" customWidth="1"/>
    <col min="19" max="28" width="15.28515625" customWidth="1"/>
  </cols>
  <sheetData>
    <row r="1" spans="1:28" x14ac:dyDescent="0.25">
      <c r="A1" s="103" t="s">
        <v>179</v>
      </c>
      <c r="B1" s="103"/>
      <c r="C1" s="103"/>
      <c r="D1" s="103"/>
      <c r="E1" s="103"/>
      <c r="F1" s="103"/>
      <c r="G1" s="103"/>
      <c r="H1" s="103"/>
      <c r="I1" s="103"/>
      <c r="J1" s="103"/>
      <c r="K1" s="103"/>
      <c r="L1" s="103"/>
      <c r="M1" s="103"/>
      <c r="N1" s="103"/>
      <c r="O1" s="103"/>
      <c r="P1" s="103"/>
      <c r="Q1" s="91"/>
      <c r="R1" s="91"/>
      <c r="S1" s="92"/>
      <c r="T1" s="92"/>
      <c r="U1" s="92"/>
      <c r="V1" s="92"/>
      <c r="W1" s="92"/>
      <c r="X1" s="92"/>
      <c r="Y1" s="92"/>
      <c r="Z1" s="92"/>
      <c r="AA1" s="92"/>
      <c r="AB1" s="92"/>
    </row>
    <row r="2" spans="1:28" x14ac:dyDescent="0.25">
      <c r="A2" s="103"/>
      <c r="B2" s="103"/>
      <c r="C2" s="103"/>
      <c r="D2" s="103"/>
      <c r="E2" s="103"/>
      <c r="F2" s="103"/>
      <c r="G2" s="103"/>
      <c r="H2" s="103"/>
      <c r="I2" s="103"/>
      <c r="J2" s="103"/>
      <c r="K2" s="103"/>
      <c r="L2" s="103"/>
      <c r="M2" s="103"/>
      <c r="N2" s="103"/>
      <c r="O2" s="103"/>
      <c r="P2" s="103"/>
      <c r="Q2" s="91"/>
      <c r="R2" s="91"/>
      <c r="S2" s="92"/>
      <c r="T2" s="92"/>
      <c r="U2" s="92"/>
      <c r="V2" s="92"/>
      <c r="W2" s="92"/>
      <c r="X2" s="92"/>
      <c r="Y2" s="92"/>
      <c r="Z2" s="92"/>
      <c r="AA2" s="92"/>
      <c r="AB2" s="92"/>
    </row>
    <row r="3" spans="1:28" x14ac:dyDescent="0.25">
      <c r="A3" s="103"/>
      <c r="B3" s="103"/>
      <c r="C3" s="103"/>
      <c r="D3" s="103"/>
      <c r="E3" s="103"/>
      <c r="F3" s="103"/>
      <c r="G3" s="103"/>
      <c r="H3" s="103"/>
      <c r="I3" s="103"/>
      <c r="J3" s="103"/>
      <c r="K3" s="103"/>
      <c r="L3" s="103"/>
      <c r="M3" s="103"/>
      <c r="N3" s="103"/>
      <c r="O3" s="103"/>
      <c r="P3" s="103"/>
      <c r="Q3" s="91"/>
      <c r="R3" s="91"/>
      <c r="S3" s="92"/>
      <c r="T3" s="92"/>
      <c r="U3" s="92"/>
      <c r="V3" s="92"/>
      <c r="W3" s="92"/>
      <c r="X3" s="92"/>
      <c r="Y3" s="92"/>
      <c r="Z3" s="92"/>
      <c r="AA3" s="92"/>
      <c r="AB3" s="92"/>
    </row>
    <row r="4" spans="1:28" ht="15" customHeight="1" x14ac:dyDescent="0.25">
      <c r="A4" s="104" t="s">
        <v>0</v>
      </c>
      <c r="B4" s="104"/>
      <c r="C4" s="105" t="s">
        <v>176</v>
      </c>
      <c r="D4" s="105"/>
      <c r="E4" s="105"/>
      <c r="F4" s="105"/>
      <c r="G4" s="105"/>
      <c r="H4" s="105"/>
      <c r="I4" s="105"/>
      <c r="J4" s="105"/>
      <c r="K4" s="105"/>
      <c r="L4" s="105"/>
      <c r="M4" s="105"/>
      <c r="N4" s="105"/>
      <c r="O4" s="105"/>
      <c r="P4" s="105"/>
      <c r="Q4" s="91"/>
      <c r="R4" s="91"/>
      <c r="S4" s="92"/>
      <c r="T4" s="92"/>
      <c r="U4" s="92"/>
      <c r="V4" s="92"/>
      <c r="W4" s="92"/>
      <c r="X4" s="92"/>
      <c r="Y4" s="92"/>
      <c r="Z4" s="92"/>
      <c r="AA4" s="92"/>
      <c r="AB4" s="92"/>
    </row>
    <row r="5" spans="1:28" x14ac:dyDescent="0.25">
      <c r="A5" s="104"/>
      <c r="B5" s="104"/>
      <c r="C5" s="105"/>
      <c r="D5" s="105"/>
      <c r="E5" s="105"/>
      <c r="F5" s="105"/>
      <c r="G5" s="105"/>
      <c r="H5" s="105"/>
      <c r="I5" s="105"/>
      <c r="J5" s="105"/>
      <c r="K5" s="105"/>
      <c r="L5" s="105"/>
      <c r="M5" s="105"/>
      <c r="N5" s="105"/>
      <c r="O5" s="105"/>
      <c r="P5" s="105"/>
      <c r="Q5" s="91"/>
      <c r="R5" s="91"/>
      <c r="S5" s="92"/>
      <c r="T5" s="92"/>
      <c r="U5" s="92"/>
      <c r="V5" s="92"/>
      <c r="W5" s="92"/>
      <c r="X5" s="92"/>
      <c r="Y5" s="92"/>
      <c r="Z5" s="92"/>
      <c r="AA5" s="92"/>
      <c r="AB5" s="92"/>
    </row>
    <row r="6" spans="1:28" x14ac:dyDescent="0.25">
      <c r="A6" s="104"/>
      <c r="B6" s="104"/>
      <c r="C6" s="105"/>
      <c r="D6" s="105"/>
      <c r="E6" s="105"/>
      <c r="F6" s="105"/>
      <c r="G6" s="105"/>
      <c r="H6" s="105"/>
      <c r="I6" s="105"/>
      <c r="J6" s="105"/>
      <c r="K6" s="105"/>
      <c r="L6" s="105"/>
      <c r="M6" s="105"/>
      <c r="N6" s="105"/>
      <c r="O6" s="105"/>
      <c r="P6" s="105"/>
      <c r="Q6" s="91"/>
      <c r="R6" s="91"/>
      <c r="S6" s="92"/>
      <c r="T6" s="92"/>
      <c r="U6" s="92"/>
      <c r="V6" s="92"/>
      <c r="W6" s="92"/>
      <c r="X6" s="92"/>
      <c r="Y6" s="92"/>
      <c r="Z6" s="92"/>
      <c r="AA6" s="92"/>
      <c r="AB6" s="92"/>
    </row>
    <row r="7" spans="1:28" x14ac:dyDescent="0.25">
      <c r="A7" s="104"/>
      <c r="B7" s="104"/>
      <c r="C7" s="105"/>
      <c r="D7" s="105"/>
      <c r="E7" s="105"/>
      <c r="F7" s="105"/>
      <c r="G7" s="105"/>
      <c r="H7" s="105"/>
      <c r="I7" s="105"/>
      <c r="J7" s="105"/>
      <c r="K7" s="105"/>
      <c r="L7" s="105"/>
      <c r="M7" s="105"/>
      <c r="N7" s="105"/>
      <c r="O7" s="105"/>
      <c r="P7" s="105"/>
      <c r="Q7" s="91"/>
      <c r="R7" s="91"/>
      <c r="S7" s="92"/>
      <c r="T7" s="92"/>
      <c r="U7" s="92"/>
      <c r="V7" s="92"/>
      <c r="W7" s="92"/>
      <c r="X7" s="92"/>
      <c r="Y7" s="92"/>
      <c r="Z7" s="92"/>
      <c r="AA7" s="92"/>
      <c r="AB7" s="92"/>
    </row>
    <row r="8" spans="1:28" x14ac:dyDescent="0.25">
      <c r="A8" s="104"/>
      <c r="B8" s="104"/>
      <c r="C8" s="105"/>
      <c r="D8" s="105"/>
      <c r="E8" s="105"/>
      <c r="F8" s="105"/>
      <c r="G8" s="105"/>
      <c r="H8" s="105"/>
      <c r="I8" s="105"/>
      <c r="J8" s="105"/>
      <c r="K8" s="105"/>
      <c r="L8" s="105"/>
      <c r="M8" s="105"/>
      <c r="N8" s="105"/>
      <c r="O8" s="105"/>
      <c r="P8" s="105"/>
      <c r="Q8" s="91"/>
      <c r="R8" s="91"/>
      <c r="S8" s="92"/>
      <c r="T8" s="92"/>
      <c r="U8" s="92"/>
      <c r="V8" s="92"/>
      <c r="W8" s="92"/>
      <c r="X8" s="92"/>
      <c r="Y8" s="92"/>
      <c r="Z8" s="92"/>
      <c r="AA8" s="92"/>
      <c r="AB8" s="92"/>
    </row>
    <row r="9" spans="1:28" ht="30" customHeight="1" x14ac:dyDescent="0.25">
      <c r="A9" s="106" t="s">
        <v>1</v>
      </c>
      <c r="B9" s="107"/>
      <c r="C9" s="106" t="s">
        <v>2</v>
      </c>
      <c r="D9" s="108"/>
      <c r="E9" s="108"/>
      <c r="F9" s="108"/>
      <c r="G9" s="107"/>
      <c r="H9" s="7" t="s">
        <v>28</v>
      </c>
      <c r="I9" s="7" t="s">
        <v>29</v>
      </c>
      <c r="J9" s="8" t="s">
        <v>30</v>
      </c>
      <c r="K9" s="8" t="s">
        <v>31</v>
      </c>
      <c r="L9" s="2" t="s">
        <v>3</v>
      </c>
      <c r="M9" s="2" t="s">
        <v>4</v>
      </c>
      <c r="N9" s="2" t="s">
        <v>5</v>
      </c>
      <c r="O9" s="2" t="s">
        <v>6</v>
      </c>
      <c r="P9" s="3" t="s">
        <v>7</v>
      </c>
      <c r="Q9" s="87" t="s">
        <v>185</v>
      </c>
      <c r="R9" s="87" t="s">
        <v>186</v>
      </c>
      <c r="S9" s="87" t="s">
        <v>187</v>
      </c>
      <c r="T9" s="87" t="s">
        <v>188</v>
      </c>
      <c r="U9" s="87" t="s">
        <v>189</v>
      </c>
      <c r="V9" s="87" t="s">
        <v>190</v>
      </c>
      <c r="W9" s="87" t="s">
        <v>191</v>
      </c>
      <c r="X9" s="87" t="s">
        <v>192</v>
      </c>
      <c r="Y9" s="87" t="s">
        <v>193</v>
      </c>
      <c r="Z9" s="87" t="s">
        <v>194</v>
      </c>
      <c r="AA9" s="87" t="s">
        <v>195</v>
      </c>
      <c r="AB9" s="87" t="s">
        <v>196</v>
      </c>
    </row>
    <row r="10" spans="1:28" ht="78.75" customHeight="1" x14ac:dyDescent="0.25">
      <c r="A10" s="121">
        <v>1</v>
      </c>
      <c r="B10" s="109" t="s">
        <v>32</v>
      </c>
      <c r="C10" s="112" t="s">
        <v>25</v>
      </c>
      <c r="D10" s="113"/>
      <c r="E10" s="113"/>
      <c r="F10" s="113"/>
      <c r="G10" s="114"/>
      <c r="H10" s="100" t="s">
        <v>33</v>
      </c>
      <c r="I10" s="100" t="s">
        <v>98</v>
      </c>
      <c r="J10" s="100" t="s">
        <v>99</v>
      </c>
      <c r="K10" s="100" t="s">
        <v>46</v>
      </c>
      <c r="L10" s="14" t="s">
        <v>49</v>
      </c>
      <c r="M10" s="10" t="s">
        <v>84</v>
      </c>
      <c r="N10" s="15" t="s">
        <v>10</v>
      </c>
      <c r="O10" s="15" t="s">
        <v>8</v>
      </c>
      <c r="P10" s="10" t="s">
        <v>48</v>
      </c>
      <c r="Q10" s="58">
        <f>'1'!D10</f>
        <v>0.97106109324758838</v>
      </c>
      <c r="R10" s="58">
        <f>'1'!D11</f>
        <v>0.98344370860927155</v>
      </c>
      <c r="S10" s="58">
        <f>'1'!D12</f>
        <v>0.98119122257053293</v>
      </c>
      <c r="T10" s="58">
        <f>'1'!D13</f>
        <v>0.9882352941176471</v>
      </c>
      <c r="U10" s="58">
        <f>'1'!D14</f>
        <v>0.98119122257053293</v>
      </c>
      <c r="V10" s="58">
        <f>'1'!D15</f>
        <v>0.99431818181818177</v>
      </c>
      <c r="W10" s="58">
        <f>'1'!D16</f>
        <v>0.9887640449438202</v>
      </c>
      <c r="X10" s="58">
        <f>'1'!D17</f>
        <v>0.98622589531680438</v>
      </c>
      <c r="Y10" s="58">
        <f>'1'!D18</f>
        <v>0.96043165467625902</v>
      </c>
      <c r="Z10" s="58">
        <f>'1'!D19</f>
        <v>0.97115384615384615</v>
      </c>
      <c r="AA10" s="58">
        <f>'1'!D20</f>
        <v>0.95593220338983054</v>
      </c>
      <c r="AB10" s="58">
        <f>'1'!D21</f>
        <v>0.94555873925501432</v>
      </c>
    </row>
    <row r="11" spans="1:28" ht="135" customHeight="1" x14ac:dyDescent="0.25">
      <c r="A11" s="122"/>
      <c r="B11" s="110"/>
      <c r="C11" s="115"/>
      <c r="D11" s="116"/>
      <c r="E11" s="116"/>
      <c r="F11" s="116"/>
      <c r="G11" s="117"/>
      <c r="H11" s="101"/>
      <c r="I11" s="102"/>
      <c r="J11" s="101"/>
      <c r="K11" s="101"/>
      <c r="L11" s="14" t="s">
        <v>96</v>
      </c>
      <c r="M11" s="10" t="s">
        <v>92</v>
      </c>
      <c r="N11" s="16">
        <v>0</v>
      </c>
      <c r="O11" s="15" t="s">
        <v>8</v>
      </c>
      <c r="P11" s="10" t="s">
        <v>100</v>
      </c>
      <c r="Q11" s="58">
        <f>'1'!D26</f>
        <v>0</v>
      </c>
      <c r="R11" s="58">
        <f>'1'!D27</f>
        <v>0</v>
      </c>
      <c r="S11" s="58">
        <f>'1'!D28</f>
        <v>0</v>
      </c>
      <c r="T11" s="58">
        <f>'1'!D29</f>
        <v>0</v>
      </c>
      <c r="U11" s="58">
        <f>'1'!D30</f>
        <v>0</v>
      </c>
      <c r="V11" s="58">
        <f>'1'!D31</f>
        <v>0</v>
      </c>
      <c r="W11" s="58">
        <f>'1'!D32</f>
        <v>0</v>
      </c>
      <c r="X11" s="58" t="e">
        <f>'1'!D33</f>
        <v>#DIV/0!</v>
      </c>
      <c r="Y11" s="58" t="e">
        <f>'1'!D34</f>
        <v>#DIV/0!</v>
      </c>
      <c r="Z11" s="58" t="e">
        <f>'1'!D35</f>
        <v>#DIV/0!</v>
      </c>
      <c r="AA11" s="58" t="e">
        <f>'1'!D36</f>
        <v>#DIV/0!</v>
      </c>
      <c r="AB11" s="58" t="e">
        <f>'1'!D37</f>
        <v>#DIV/0!</v>
      </c>
    </row>
    <row r="12" spans="1:28" ht="135" customHeight="1" x14ac:dyDescent="0.25">
      <c r="A12" s="124">
        <v>2</v>
      </c>
      <c r="B12" s="104" t="s">
        <v>16</v>
      </c>
      <c r="C12" s="129" t="s">
        <v>19</v>
      </c>
      <c r="D12" s="129"/>
      <c r="E12" s="129"/>
      <c r="F12" s="129"/>
      <c r="G12" s="129"/>
      <c r="H12" s="129" t="s">
        <v>34</v>
      </c>
      <c r="I12" s="129" t="s">
        <v>38</v>
      </c>
      <c r="J12" s="129" t="s">
        <v>43</v>
      </c>
      <c r="K12" s="129" t="s">
        <v>46</v>
      </c>
      <c r="L12" s="14" t="s">
        <v>153</v>
      </c>
      <c r="M12" s="46" t="s">
        <v>157</v>
      </c>
      <c r="N12" s="16">
        <v>1</v>
      </c>
      <c r="O12" s="15" t="s">
        <v>8</v>
      </c>
      <c r="P12" s="46" t="s">
        <v>158</v>
      </c>
      <c r="Q12" s="58">
        <f>'2'!D26</f>
        <v>1</v>
      </c>
      <c r="R12" s="58" t="str">
        <f>'2'!D27</f>
        <v>N/A</v>
      </c>
      <c r="S12" s="58" t="str">
        <f>'2'!D28</f>
        <v>N/A</v>
      </c>
      <c r="T12" s="58">
        <f>'2'!D29</f>
        <v>1</v>
      </c>
      <c r="U12" s="58" t="str">
        <f>'2'!D30</f>
        <v>N/A</v>
      </c>
      <c r="V12" s="58" t="str">
        <f>'2'!D31</f>
        <v>N/A</v>
      </c>
      <c r="W12" s="58" t="str">
        <f>'2'!D32</f>
        <v>N/A</v>
      </c>
      <c r="X12" s="58" t="str">
        <f>'2'!D33</f>
        <v>N/A</v>
      </c>
      <c r="Y12" s="58" t="str">
        <f>'2'!D34</f>
        <v>N/A</v>
      </c>
      <c r="Z12" s="58" t="str">
        <f>'2'!D35</f>
        <v>N/A</v>
      </c>
      <c r="AA12" s="58" t="str">
        <f>'2'!D36</f>
        <v>N/A</v>
      </c>
      <c r="AB12" s="58" t="str">
        <f>'2'!D37</f>
        <v>N/A</v>
      </c>
    </row>
    <row r="13" spans="1:28" ht="105.75" customHeight="1" x14ac:dyDescent="0.25">
      <c r="A13" s="124"/>
      <c r="B13" s="104"/>
      <c r="C13" s="129"/>
      <c r="D13" s="129"/>
      <c r="E13" s="129"/>
      <c r="F13" s="129"/>
      <c r="G13" s="129"/>
      <c r="H13" s="129"/>
      <c r="I13" s="129"/>
      <c r="J13" s="129"/>
      <c r="K13" s="129"/>
      <c r="L13" s="14" t="s">
        <v>148</v>
      </c>
      <c r="M13" s="10" t="s">
        <v>52</v>
      </c>
      <c r="N13" s="17">
        <v>4</v>
      </c>
      <c r="O13" s="15" t="s">
        <v>8</v>
      </c>
      <c r="P13" s="10" t="s">
        <v>9</v>
      </c>
      <c r="Q13" s="94">
        <f>('2'!B10+'2'!C10+'2'!D10)/3</f>
        <v>4.7521367521367521</v>
      </c>
      <c r="R13" s="94">
        <f>('2'!B11+'2'!C11+'2'!D11)/3</f>
        <v>4.6767676767676765</v>
      </c>
      <c r="S13" s="94">
        <f>('2'!B12+'2'!C12+'2'!D12)/3</f>
        <v>4.7536231884057978</v>
      </c>
      <c r="T13" s="94">
        <f>('2'!B13+'2'!C13+'2'!D13)/3</f>
        <v>4.82</v>
      </c>
      <c r="U13" s="94">
        <f>('2'!B14+'2'!C14+'2'!D14)/3</f>
        <v>4.5666666666666664</v>
      </c>
      <c r="V13" s="94">
        <f>('2'!B15+'2'!C15+'2'!D15)/3</f>
        <v>4.5666666666666664</v>
      </c>
      <c r="W13" s="94">
        <f>('2'!B16+'2'!C16+'2'!D16)/3</f>
        <v>4.6333333333333329</v>
      </c>
      <c r="X13" s="94">
        <f>('2'!B17+'2'!C17+'2'!D17)/3</f>
        <v>4.6333333333333337</v>
      </c>
      <c r="Y13" s="94">
        <f>('2'!B18+'2'!C18+'2'!D18)/3</f>
        <v>4.4000000000000004</v>
      </c>
      <c r="Z13" s="94">
        <f>('2'!B19+'2'!C19+'2'!D19)/3</f>
        <v>4.5999999999999996</v>
      </c>
      <c r="AA13" s="94">
        <f>('2'!B20+'2'!C20+'2'!D20)/3</f>
        <v>4.4666666666666668</v>
      </c>
      <c r="AB13" s="94" t="e">
        <f>('2'!B21+'2'!C21+'2'!D21)/3</f>
        <v>#DIV/0!</v>
      </c>
    </row>
    <row r="14" spans="1:28" ht="105.75" customHeight="1" x14ac:dyDescent="0.25">
      <c r="A14" s="121">
        <v>3</v>
      </c>
      <c r="B14" s="109" t="s">
        <v>17</v>
      </c>
      <c r="C14" s="112" t="s">
        <v>18</v>
      </c>
      <c r="D14" s="113"/>
      <c r="E14" s="113"/>
      <c r="F14" s="113"/>
      <c r="G14" s="114"/>
      <c r="H14" s="100" t="s">
        <v>159</v>
      </c>
      <c r="I14" s="100" t="s">
        <v>160</v>
      </c>
      <c r="J14" s="100" t="s">
        <v>161</v>
      </c>
      <c r="K14" s="100" t="s">
        <v>46</v>
      </c>
      <c r="L14" s="14" t="s">
        <v>162</v>
      </c>
      <c r="M14" s="59" t="s">
        <v>163</v>
      </c>
      <c r="N14" s="69">
        <v>1</v>
      </c>
      <c r="O14" s="15" t="s">
        <v>11</v>
      </c>
      <c r="P14" s="59" t="s">
        <v>164</v>
      </c>
      <c r="Q14" s="5" t="s">
        <v>183</v>
      </c>
      <c r="R14" s="5" t="s">
        <v>183</v>
      </c>
      <c r="S14" s="58" t="str">
        <f>'3'!D26</f>
        <v>N/A</v>
      </c>
      <c r="T14" s="95" t="s">
        <v>183</v>
      </c>
      <c r="U14" s="95" t="s">
        <v>183</v>
      </c>
      <c r="V14" s="96">
        <f>'3'!D29</f>
        <v>1</v>
      </c>
      <c r="W14" s="95" t="s">
        <v>183</v>
      </c>
      <c r="X14" s="95" t="s">
        <v>183</v>
      </c>
      <c r="Y14" s="96" t="str">
        <f>'3'!D32</f>
        <v>N/A</v>
      </c>
      <c r="Z14" s="95" t="s">
        <v>183</v>
      </c>
      <c r="AA14" s="95" t="s">
        <v>183</v>
      </c>
      <c r="AB14" s="96" t="str">
        <f>'3'!D35</f>
        <v>N/A</v>
      </c>
    </row>
    <row r="15" spans="1:28" ht="105" customHeight="1" x14ac:dyDescent="0.25">
      <c r="A15" s="123"/>
      <c r="B15" s="111"/>
      <c r="C15" s="118"/>
      <c r="D15" s="119"/>
      <c r="E15" s="119"/>
      <c r="F15" s="119"/>
      <c r="G15" s="120"/>
      <c r="H15" s="102"/>
      <c r="I15" s="102"/>
      <c r="J15" s="102"/>
      <c r="K15" s="102"/>
      <c r="L15" s="14" t="s">
        <v>50</v>
      </c>
      <c r="M15" s="10" t="s">
        <v>51</v>
      </c>
      <c r="N15" s="16">
        <v>1</v>
      </c>
      <c r="O15" s="15" t="s">
        <v>8</v>
      </c>
      <c r="P15" s="10" t="s">
        <v>48</v>
      </c>
      <c r="Q15" s="58">
        <f>'3'!D10</f>
        <v>1</v>
      </c>
      <c r="R15" s="58">
        <f>'3'!D11</f>
        <v>1</v>
      </c>
      <c r="S15" s="58">
        <f>'3'!D12</f>
        <v>1</v>
      </c>
      <c r="T15" s="58">
        <f>'3'!D13</f>
        <v>1</v>
      </c>
      <c r="U15" s="58">
        <f>'3'!D14</f>
        <v>1</v>
      </c>
      <c r="V15" s="58">
        <f>'3'!D15</f>
        <v>1</v>
      </c>
      <c r="W15" s="58">
        <f>'3'!D16</f>
        <v>1</v>
      </c>
      <c r="X15" s="58" t="e">
        <f>'3'!D17</f>
        <v>#DIV/0!</v>
      </c>
      <c r="Y15" s="58" t="e">
        <f>'3'!D18</f>
        <v>#DIV/0!</v>
      </c>
      <c r="Z15" s="58" t="e">
        <f>'3'!D19</f>
        <v>#DIV/0!</v>
      </c>
      <c r="AA15" s="58" t="e">
        <f>'3'!D20</f>
        <v>#DIV/0!</v>
      </c>
      <c r="AB15" s="58" t="e">
        <f>'3'!D21</f>
        <v>#DIV/0!</v>
      </c>
    </row>
    <row r="16" spans="1:28" ht="75" customHeight="1" x14ac:dyDescent="0.25">
      <c r="A16" s="2">
        <v>4</v>
      </c>
      <c r="B16" s="3" t="s">
        <v>20</v>
      </c>
      <c r="C16" s="126" t="s">
        <v>26</v>
      </c>
      <c r="D16" s="127"/>
      <c r="E16" s="127"/>
      <c r="F16" s="127"/>
      <c r="G16" s="128"/>
      <c r="H16" s="4" t="s">
        <v>35</v>
      </c>
      <c r="I16" s="11" t="s">
        <v>42</v>
      </c>
      <c r="J16" s="13" t="s">
        <v>44</v>
      </c>
      <c r="K16" s="10" t="s">
        <v>46</v>
      </c>
      <c r="L16" s="19" t="s">
        <v>101</v>
      </c>
      <c r="M16" s="9" t="s">
        <v>103</v>
      </c>
      <c r="N16" s="5" t="s">
        <v>10</v>
      </c>
      <c r="O16" s="5" t="s">
        <v>11</v>
      </c>
      <c r="P16" s="4" t="s">
        <v>12</v>
      </c>
      <c r="Q16" s="5" t="s">
        <v>183</v>
      </c>
      <c r="R16" s="5" t="s">
        <v>183</v>
      </c>
      <c r="S16" s="58">
        <f>'4'!D10</f>
        <v>0.98</v>
      </c>
      <c r="T16" s="95" t="s">
        <v>183</v>
      </c>
      <c r="U16" s="95" t="s">
        <v>183</v>
      </c>
      <c r="V16" s="96">
        <f>'4'!D13</f>
        <v>1</v>
      </c>
      <c r="W16" s="95" t="s">
        <v>183</v>
      </c>
      <c r="X16" s="95" t="s">
        <v>183</v>
      </c>
      <c r="Y16" s="96" t="e">
        <f>'4'!D16</f>
        <v>#DIV/0!</v>
      </c>
      <c r="Z16" s="95" t="s">
        <v>183</v>
      </c>
      <c r="AA16" s="95" t="s">
        <v>183</v>
      </c>
      <c r="AB16" s="96" t="e">
        <f>'4'!D19</f>
        <v>#DIV/0!</v>
      </c>
    </row>
    <row r="17" spans="1:28" ht="70.5" customHeight="1" x14ac:dyDescent="0.25">
      <c r="A17" s="121">
        <v>5</v>
      </c>
      <c r="B17" s="109" t="s">
        <v>21</v>
      </c>
      <c r="C17" s="112" t="s">
        <v>111</v>
      </c>
      <c r="D17" s="113"/>
      <c r="E17" s="113"/>
      <c r="F17" s="113"/>
      <c r="G17" s="114"/>
      <c r="H17" s="100" t="s">
        <v>145</v>
      </c>
      <c r="I17" s="100" t="s">
        <v>144</v>
      </c>
      <c r="J17" s="100" t="s">
        <v>45</v>
      </c>
      <c r="K17" s="100" t="s">
        <v>46</v>
      </c>
      <c r="L17" s="18" t="s">
        <v>59</v>
      </c>
      <c r="M17" s="4" t="s">
        <v>58</v>
      </c>
      <c r="N17" s="93" t="s">
        <v>10</v>
      </c>
      <c r="O17" s="5" t="s">
        <v>8</v>
      </c>
      <c r="P17" s="4" t="s">
        <v>60</v>
      </c>
      <c r="Q17" s="58">
        <f>'5'!D10</f>
        <v>1.3004520097140133</v>
      </c>
      <c r="R17" s="58">
        <f>'5'!D11</f>
        <v>1.490496882204061</v>
      </c>
      <c r="S17" s="58">
        <f>'5'!D12</f>
        <v>1.5312719240993904</v>
      </c>
      <c r="T17" s="58">
        <f>'5'!D13</f>
        <v>1.2727648947101344</v>
      </c>
      <c r="U17" s="58">
        <f>'5'!D14</f>
        <v>1.095083100059002</v>
      </c>
      <c r="V17" s="58">
        <f>'5'!D15</f>
        <v>1.2393645556439918</v>
      </c>
      <c r="W17" s="58" t="e">
        <f>'5'!D16</f>
        <v>#DIV/0!</v>
      </c>
      <c r="X17" s="58" t="e">
        <f>'5'!D17</f>
        <v>#DIV/0!</v>
      </c>
      <c r="Y17" s="58" t="e">
        <f>'5'!D18</f>
        <v>#DIV/0!</v>
      </c>
      <c r="Z17" s="58" t="e">
        <f>'5'!D19</f>
        <v>#DIV/0!</v>
      </c>
      <c r="AA17" s="58" t="e">
        <f>'5'!D20</f>
        <v>#DIV/0!</v>
      </c>
      <c r="AB17" s="58" t="e">
        <f>'5'!D21</f>
        <v>#DIV/0!</v>
      </c>
    </row>
    <row r="18" spans="1:28" ht="80.25" customHeight="1" x14ac:dyDescent="0.25">
      <c r="A18" s="122"/>
      <c r="B18" s="110"/>
      <c r="C18" s="115"/>
      <c r="D18" s="116"/>
      <c r="E18" s="116"/>
      <c r="F18" s="116"/>
      <c r="G18" s="117"/>
      <c r="H18" s="101"/>
      <c r="I18" s="101"/>
      <c r="J18" s="101"/>
      <c r="K18" s="101"/>
      <c r="L18" s="79" t="s">
        <v>174</v>
      </c>
      <c r="M18" s="70" t="s">
        <v>169</v>
      </c>
      <c r="N18" s="78">
        <v>1000000000</v>
      </c>
      <c r="O18" s="5" t="s">
        <v>8</v>
      </c>
      <c r="P18" s="20" t="s">
        <v>61</v>
      </c>
      <c r="Q18" s="78">
        <f>'5'!E26</f>
        <v>1230273658</v>
      </c>
      <c r="R18" s="78">
        <f>'5'!E27</f>
        <v>1037529326</v>
      </c>
      <c r="S18" s="78">
        <f>'5'!E28</f>
        <v>999422576</v>
      </c>
      <c r="T18" s="78">
        <f>'5'!E29</f>
        <v>1277198841</v>
      </c>
      <c r="U18" s="78">
        <f>'5'!E30</f>
        <v>1398372865</v>
      </c>
      <c r="V18" s="78">
        <f>'5'!E31</f>
        <v>1177689086</v>
      </c>
      <c r="W18" s="78">
        <f>'5'!E32</f>
        <v>0</v>
      </c>
      <c r="X18" s="78">
        <f>'5'!E33</f>
        <v>0</v>
      </c>
      <c r="Y18" s="78">
        <f>'5'!E34</f>
        <v>0</v>
      </c>
      <c r="Z18" s="78">
        <f>'5'!E35</f>
        <v>0</v>
      </c>
      <c r="AA18" s="78">
        <f>'5'!E36</f>
        <v>0</v>
      </c>
      <c r="AB18" s="78">
        <f>'5'!E37</f>
        <v>0</v>
      </c>
    </row>
    <row r="19" spans="1:28" ht="70.5" customHeight="1" x14ac:dyDescent="0.25">
      <c r="A19" s="122"/>
      <c r="B19" s="110"/>
      <c r="C19" s="115"/>
      <c r="D19" s="116"/>
      <c r="E19" s="116"/>
      <c r="F19" s="116"/>
      <c r="G19" s="117"/>
      <c r="H19" s="101"/>
      <c r="I19" s="101"/>
      <c r="J19" s="101"/>
      <c r="K19" s="101"/>
      <c r="L19" s="45" t="s">
        <v>139</v>
      </c>
      <c r="M19" s="44" t="s">
        <v>142</v>
      </c>
      <c r="N19" s="58">
        <v>0.9</v>
      </c>
      <c r="O19" s="5" t="s">
        <v>8</v>
      </c>
      <c r="P19" s="44" t="s">
        <v>141</v>
      </c>
      <c r="Q19" s="58">
        <f>'5'!E42</f>
        <v>0.94283265863053511</v>
      </c>
      <c r="R19" s="58">
        <f>'5'!E43</f>
        <v>0.92997459776118785</v>
      </c>
      <c r="S19" s="58">
        <f>'5'!E44</f>
        <v>1.0537577519215606</v>
      </c>
      <c r="T19" s="58">
        <f>'5'!E45</f>
        <v>0.90484469780536969</v>
      </c>
      <c r="U19" s="58">
        <f>'5'!E46</f>
        <v>1.0490491628171565</v>
      </c>
      <c r="V19" s="58">
        <f>'5'!E47</f>
        <v>1.0429536934166317</v>
      </c>
      <c r="W19" s="58">
        <f>'5'!E48</f>
        <v>0.95820692430427379</v>
      </c>
      <c r="X19" s="58">
        <f>'5'!E49</f>
        <v>0.99202638352581618</v>
      </c>
      <c r="Y19" s="58" t="e">
        <f>'5'!E50</f>
        <v>#DIV/0!</v>
      </c>
      <c r="Z19" s="58" t="e">
        <f>'5'!E51</f>
        <v>#DIV/0!</v>
      </c>
      <c r="AA19" s="58" t="e">
        <f>'5'!E52</f>
        <v>#DIV/0!</v>
      </c>
      <c r="AB19" s="58" t="e">
        <f>'5'!E53</f>
        <v>#DIV/0!</v>
      </c>
    </row>
    <row r="20" spans="1:28" ht="87" customHeight="1" x14ac:dyDescent="0.25">
      <c r="A20" s="122"/>
      <c r="B20" s="110"/>
      <c r="C20" s="115"/>
      <c r="D20" s="116"/>
      <c r="E20" s="116"/>
      <c r="F20" s="116"/>
      <c r="G20" s="117"/>
      <c r="H20" s="101"/>
      <c r="I20" s="101"/>
      <c r="J20" s="101"/>
      <c r="K20" s="101"/>
      <c r="L20" s="45" t="s">
        <v>140</v>
      </c>
      <c r="M20" s="44" t="s">
        <v>143</v>
      </c>
      <c r="N20" s="58">
        <v>0.95</v>
      </c>
      <c r="O20" s="5" t="s">
        <v>8</v>
      </c>
      <c r="P20" s="44" t="s">
        <v>141</v>
      </c>
      <c r="Q20" s="58">
        <f>'5'!F42</f>
        <v>1.0400918643147781</v>
      </c>
      <c r="R20" s="58">
        <f>'5'!F43</f>
        <v>1.210223495673262</v>
      </c>
      <c r="S20" s="58">
        <f>'5'!F44</f>
        <v>0.92091102933734625</v>
      </c>
      <c r="T20" s="58">
        <f>'5'!F45</f>
        <v>1.110754575709445</v>
      </c>
      <c r="U20" s="58">
        <f>'5'!F46</f>
        <v>1.0861160788553932</v>
      </c>
      <c r="V20" s="58">
        <f>'5'!F47</f>
        <v>1.0146306338171855</v>
      </c>
      <c r="W20" s="58">
        <f>'5'!F48</f>
        <v>1.0497046129995886</v>
      </c>
      <c r="X20" s="58">
        <f>'5'!F49</f>
        <v>0.9342102804414385</v>
      </c>
      <c r="Y20" s="58" t="e">
        <f>'5'!F50</f>
        <v>#DIV/0!</v>
      </c>
      <c r="Z20" s="58" t="e">
        <f>'5'!F51</f>
        <v>#DIV/0!</v>
      </c>
      <c r="AA20" s="58" t="e">
        <f>'5'!F52</f>
        <v>#DIV/0!</v>
      </c>
      <c r="AB20" s="58" t="e">
        <f>'5'!F53</f>
        <v>#DIV/0!</v>
      </c>
    </row>
    <row r="21" spans="1:28" ht="87" customHeight="1" x14ac:dyDescent="0.25">
      <c r="A21" s="122"/>
      <c r="B21" s="110"/>
      <c r="C21" s="115"/>
      <c r="D21" s="116"/>
      <c r="E21" s="116"/>
      <c r="F21" s="116"/>
      <c r="G21" s="117"/>
      <c r="H21" s="101"/>
      <c r="I21" s="101"/>
      <c r="J21" s="101"/>
      <c r="K21" s="101"/>
      <c r="L21" s="14" t="s">
        <v>202</v>
      </c>
      <c r="M21" s="88" t="s">
        <v>198</v>
      </c>
      <c r="N21" s="58" t="s">
        <v>201</v>
      </c>
      <c r="O21" s="5" t="s">
        <v>8</v>
      </c>
      <c r="P21" s="88" t="s">
        <v>199</v>
      </c>
      <c r="Q21" s="58"/>
      <c r="R21" s="58"/>
      <c r="S21" s="58"/>
      <c r="T21" s="58"/>
      <c r="U21" s="58"/>
      <c r="V21" s="58"/>
      <c r="W21" s="58"/>
      <c r="X21" s="58"/>
      <c r="Y21" s="58"/>
      <c r="Z21" s="58"/>
      <c r="AA21" s="58"/>
      <c r="AB21" s="58"/>
    </row>
    <row r="22" spans="1:28" ht="87" customHeight="1" x14ac:dyDescent="0.25">
      <c r="A22" s="123"/>
      <c r="B22" s="111"/>
      <c r="C22" s="118"/>
      <c r="D22" s="119"/>
      <c r="E22" s="119"/>
      <c r="F22" s="119"/>
      <c r="G22" s="120"/>
      <c r="H22" s="102"/>
      <c r="I22" s="102"/>
      <c r="J22" s="102"/>
      <c r="K22" s="102"/>
      <c r="L22" s="14" t="s">
        <v>203</v>
      </c>
      <c r="M22" s="88" t="s">
        <v>200</v>
      </c>
      <c r="N22" s="58" t="s">
        <v>201</v>
      </c>
      <c r="O22" s="5" t="s">
        <v>8</v>
      </c>
      <c r="P22" s="88" t="s">
        <v>207</v>
      </c>
      <c r="Q22" s="58"/>
      <c r="R22" s="58"/>
      <c r="S22" s="58"/>
      <c r="T22" s="58"/>
      <c r="U22" s="58"/>
      <c r="V22" s="58"/>
      <c r="W22" s="58"/>
      <c r="X22" s="58"/>
      <c r="Y22" s="58"/>
      <c r="Z22" s="58"/>
      <c r="AA22" s="58"/>
      <c r="AB22" s="58"/>
    </row>
    <row r="23" spans="1:28" ht="95.25" customHeight="1" x14ac:dyDescent="0.25">
      <c r="A23" s="2">
        <v>6</v>
      </c>
      <c r="B23" s="3" t="s">
        <v>22</v>
      </c>
      <c r="C23" s="125" t="s">
        <v>116</v>
      </c>
      <c r="D23" s="125"/>
      <c r="E23" s="125"/>
      <c r="F23" s="125"/>
      <c r="G23" s="125"/>
      <c r="H23" s="4" t="s">
        <v>36</v>
      </c>
      <c r="I23" s="12" t="s">
        <v>41</v>
      </c>
      <c r="J23" s="4" t="s">
        <v>44</v>
      </c>
      <c r="K23" s="4" t="s">
        <v>46</v>
      </c>
      <c r="L23" s="18" t="s">
        <v>13</v>
      </c>
      <c r="M23" s="4" t="s">
        <v>14</v>
      </c>
      <c r="N23" s="5" t="s">
        <v>10</v>
      </c>
      <c r="O23" s="5" t="s">
        <v>8</v>
      </c>
      <c r="P23" s="4" t="s">
        <v>15</v>
      </c>
      <c r="Q23" s="58">
        <f>'6'!D10</f>
        <v>0.75</v>
      </c>
      <c r="R23" s="58">
        <f>'6'!D11</f>
        <v>0.6</v>
      </c>
      <c r="S23" s="58">
        <f>'6'!D12</f>
        <v>0.16666666666666666</v>
      </c>
      <c r="T23" s="58">
        <f>'6'!D13</f>
        <v>1</v>
      </c>
      <c r="U23" s="58">
        <f>'6'!D14</f>
        <v>0.75</v>
      </c>
      <c r="V23" s="58">
        <f>'6'!D15</f>
        <v>0.33333333333333331</v>
      </c>
      <c r="W23" s="58">
        <f>'6'!D16</f>
        <v>0</v>
      </c>
      <c r="X23" s="58">
        <f>'6'!D17</f>
        <v>0</v>
      </c>
      <c r="Y23" s="58">
        <f>'6'!D18</f>
        <v>0</v>
      </c>
      <c r="Z23" s="58">
        <f>'6'!D19</f>
        <v>0</v>
      </c>
      <c r="AA23" s="58">
        <f>'6'!D20</f>
        <v>0</v>
      </c>
      <c r="AB23" s="58">
        <f>'6'!D21</f>
        <v>0</v>
      </c>
    </row>
    <row r="24" spans="1:28" ht="94.5" customHeight="1" x14ac:dyDescent="0.25">
      <c r="A24" s="2">
        <v>7</v>
      </c>
      <c r="B24" s="3" t="s">
        <v>23</v>
      </c>
      <c r="C24" s="125" t="s">
        <v>122</v>
      </c>
      <c r="D24" s="125"/>
      <c r="E24" s="125"/>
      <c r="F24" s="125"/>
      <c r="G24" s="125"/>
      <c r="H24" s="4" t="s">
        <v>39</v>
      </c>
      <c r="I24" s="12" t="s">
        <v>40</v>
      </c>
      <c r="J24" s="4" t="s">
        <v>44</v>
      </c>
      <c r="K24" s="4" t="s">
        <v>46</v>
      </c>
      <c r="L24" s="18" t="s">
        <v>55</v>
      </c>
      <c r="M24" s="10" t="s">
        <v>52</v>
      </c>
      <c r="N24" s="5" t="s">
        <v>53</v>
      </c>
      <c r="O24" s="5" t="s">
        <v>8</v>
      </c>
      <c r="P24" s="4" t="s">
        <v>54</v>
      </c>
      <c r="Q24" s="97">
        <f>'7'!D10</f>
        <v>94.692307692307693</v>
      </c>
      <c r="R24" s="97">
        <f>'7'!D11</f>
        <v>94.416666666666671</v>
      </c>
      <c r="S24" s="97">
        <f>'7'!D12</f>
        <v>94.833333333333329</v>
      </c>
      <c r="T24" s="97">
        <f>'7'!D13</f>
        <v>94.25</v>
      </c>
      <c r="U24" s="97">
        <f>'7'!D14</f>
        <v>93.833333333333329</v>
      </c>
      <c r="V24" s="97">
        <f>'7'!D15</f>
        <v>95</v>
      </c>
      <c r="W24" s="97">
        <f>'7'!D16</f>
        <v>94.5</v>
      </c>
      <c r="X24" s="97">
        <f>'7'!D17</f>
        <v>98.45</v>
      </c>
      <c r="Y24" s="97" t="e">
        <f>'7'!D18</f>
        <v>#DIV/0!</v>
      </c>
      <c r="Z24" s="97" t="e">
        <f>'7'!D19</f>
        <v>#DIV/0!</v>
      </c>
      <c r="AA24" s="97" t="e">
        <f>'7'!D20</f>
        <v>#DIV/0!</v>
      </c>
      <c r="AB24" s="97" t="e">
        <f>'7'!D21</f>
        <v>#DIV/0!</v>
      </c>
    </row>
    <row r="25" spans="1:28" ht="102.75" customHeight="1" x14ac:dyDescent="0.25">
      <c r="A25" s="2">
        <v>8</v>
      </c>
      <c r="B25" s="3" t="s">
        <v>24</v>
      </c>
      <c r="C25" s="125" t="s">
        <v>27</v>
      </c>
      <c r="D25" s="125"/>
      <c r="E25" s="125"/>
      <c r="F25" s="125"/>
      <c r="G25" s="125"/>
      <c r="H25" s="4" t="s">
        <v>37</v>
      </c>
      <c r="I25" s="12" t="s">
        <v>38</v>
      </c>
      <c r="J25" s="4" t="s">
        <v>47</v>
      </c>
      <c r="K25" s="4" t="s">
        <v>46</v>
      </c>
      <c r="L25" s="18" t="s">
        <v>56</v>
      </c>
      <c r="M25" s="10" t="s">
        <v>52</v>
      </c>
      <c r="N25" s="5" t="s">
        <v>181</v>
      </c>
      <c r="O25" s="5" t="s">
        <v>152</v>
      </c>
      <c r="P25" s="4" t="s">
        <v>57</v>
      </c>
      <c r="Q25" s="97" t="s">
        <v>183</v>
      </c>
      <c r="R25" s="97" t="s">
        <v>183</v>
      </c>
      <c r="S25" s="97" t="s">
        <v>183</v>
      </c>
      <c r="T25" s="97" t="s">
        <v>183</v>
      </c>
      <c r="U25" s="97" t="s">
        <v>183</v>
      </c>
      <c r="V25" s="98">
        <f>'8'!D10</f>
        <v>4.5600000000000005</v>
      </c>
      <c r="W25" s="97" t="s">
        <v>183</v>
      </c>
      <c r="X25" s="97" t="s">
        <v>183</v>
      </c>
      <c r="Y25" s="97" t="s">
        <v>183</v>
      </c>
      <c r="Z25" s="97" t="s">
        <v>183</v>
      </c>
      <c r="AA25" s="97" t="s">
        <v>183</v>
      </c>
      <c r="AB25" s="97" t="e">
        <f>'8'!D16</f>
        <v>#DIV/0!</v>
      </c>
    </row>
    <row r="26" spans="1:28" x14ac:dyDescent="0.25">
      <c r="R26" s="6"/>
    </row>
    <row r="27" spans="1:28" x14ac:dyDescent="0.25">
      <c r="R27" s="6"/>
    </row>
    <row r="28" spans="1:28" x14ac:dyDescent="0.25">
      <c r="R28" s="6"/>
    </row>
  </sheetData>
  <mergeCells count="37">
    <mergeCell ref="H10:H11"/>
    <mergeCell ref="I10:I11"/>
    <mergeCell ref="J10:J11"/>
    <mergeCell ref="K10:K11"/>
    <mergeCell ref="C12:G13"/>
    <mergeCell ref="H12:H13"/>
    <mergeCell ref="I12:I13"/>
    <mergeCell ref="J12:J13"/>
    <mergeCell ref="K12:K13"/>
    <mergeCell ref="C24:G24"/>
    <mergeCell ref="C25:G25"/>
    <mergeCell ref="C16:G16"/>
    <mergeCell ref="C23:G23"/>
    <mergeCell ref="C10:G11"/>
    <mergeCell ref="B17:B22"/>
    <mergeCell ref="C17:G22"/>
    <mergeCell ref="A17:A22"/>
    <mergeCell ref="B10:B11"/>
    <mergeCell ref="A10:A11"/>
    <mergeCell ref="B12:B13"/>
    <mergeCell ref="A12:A13"/>
    <mergeCell ref="B14:B15"/>
    <mergeCell ref="A14:A15"/>
    <mergeCell ref="C14:G15"/>
    <mergeCell ref="A1:P3"/>
    <mergeCell ref="A4:B8"/>
    <mergeCell ref="C4:P8"/>
    <mergeCell ref="A9:B9"/>
    <mergeCell ref="C9:G9"/>
    <mergeCell ref="H17:H22"/>
    <mergeCell ref="I17:I22"/>
    <mergeCell ref="J17:J22"/>
    <mergeCell ref="K17:K22"/>
    <mergeCell ref="J14:J15"/>
    <mergeCell ref="K14:K15"/>
    <mergeCell ref="H14:H15"/>
    <mergeCell ref="I14:I15"/>
  </mergeCells>
  <pageMargins left="0.7" right="0.7" top="0.75" bottom="0.75" header="0.3" footer="0.3"/>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topLeftCell="A13" zoomScale="90" zoomScaleNormal="90" workbookViewId="0">
      <selection sqref="A1:B3"/>
    </sheetView>
  </sheetViews>
  <sheetFormatPr baseColWidth="10" defaultRowHeight="15" x14ac:dyDescent="0.25"/>
  <cols>
    <col min="1" max="1" width="12.28515625" customWidth="1"/>
    <col min="2" max="5" width="14.5703125"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132</v>
      </c>
      <c r="J3" s="135"/>
      <c r="N3" s="136"/>
      <c r="O3" s="136"/>
      <c r="P3" s="136"/>
      <c r="Q3" s="136"/>
      <c r="R3" s="136"/>
      <c r="S3" s="136"/>
    </row>
    <row r="4" spans="1:19" ht="15" customHeight="1" x14ac:dyDescent="0.25">
      <c r="A4" s="137" t="s">
        <v>62</v>
      </c>
      <c r="B4" s="138" t="s">
        <v>25</v>
      </c>
      <c r="C4" s="138"/>
      <c r="D4" s="138"/>
      <c r="E4" s="138"/>
      <c r="F4" s="138"/>
      <c r="G4" s="138"/>
      <c r="H4" s="138"/>
      <c r="I4" s="138"/>
      <c r="J4" s="138"/>
      <c r="N4" s="32"/>
      <c r="O4" s="32"/>
      <c r="P4" s="32"/>
      <c r="Q4" s="32"/>
      <c r="R4" s="32"/>
      <c r="S4" s="32"/>
    </row>
    <row r="5" spans="1:19" x14ac:dyDescent="0.25">
      <c r="A5" s="137"/>
      <c r="B5" s="138"/>
      <c r="C5" s="138"/>
      <c r="D5" s="138"/>
      <c r="E5" s="138"/>
      <c r="F5" s="138"/>
      <c r="G5" s="138"/>
      <c r="H5" s="138"/>
      <c r="I5" s="138"/>
      <c r="J5" s="138"/>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30" t="s">
        <v>49</v>
      </c>
      <c r="C7" s="130"/>
      <c r="D7" s="130"/>
      <c r="E7" s="130"/>
      <c r="F7" s="130"/>
      <c r="G7" s="130"/>
      <c r="H7" s="130"/>
      <c r="I7" s="130"/>
      <c r="J7" s="130"/>
    </row>
    <row r="8" spans="1:19" x14ac:dyDescent="0.25">
      <c r="A8" s="33" t="s">
        <v>63</v>
      </c>
      <c r="B8" s="132" t="s">
        <v>82</v>
      </c>
      <c r="C8" s="132"/>
      <c r="D8" s="132"/>
      <c r="E8" s="132"/>
      <c r="F8" s="132"/>
      <c r="G8" s="132"/>
      <c r="H8" s="132"/>
      <c r="I8" s="132"/>
      <c r="J8" s="132"/>
    </row>
    <row r="9" spans="1:19" ht="58.5" customHeight="1" x14ac:dyDescent="0.25">
      <c r="A9" s="2" t="s">
        <v>66</v>
      </c>
      <c r="B9" s="3" t="s">
        <v>79</v>
      </c>
      <c r="C9" s="3" t="s">
        <v>64</v>
      </c>
      <c r="D9" s="3" t="s">
        <v>65</v>
      </c>
      <c r="E9" s="32"/>
      <c r="F9" s="32"/>
      <c r="G9" s="32"/>
      <c r="H9" s="32"/>
      <c r="I9" s="32"/>
      <c r="J9" s="35"/>
    </row>
    <row r="10" spans="1:19" x14ac:dyDescent="0.25">
      <c r="A10" s="24" t="s">
        <v>67</v>
      </c>
      <c r="B10" s="23">
        <v>302</v>
      </c>
      <c r="C10" s="23">
        <v>311</v>
      </c>
      <c r="D10" s="25">
        <f>B10/C10</f>
        <v>0.97106109324758838</v>
      </c>
      <c r="E10" s="32"/>
      <c r="F10" s="32"/>
      <c r="G10" s="32"/>
      <c r="H10" s="32"/>
      <c r="I10" s="32"/>
      <c r="J10" s="35"/>
    </row>
    <row r="11" spans="1:19" x14ac:dyDescent="0.25">
      <c r="A11" s="24" t="s">
        <v>68</v>
      </c>
      <c r="B11" s="23">
        <v>297</v>
      </c>
      <c r="C11" s="23">
        <v>302</v>
      </c>
      <c r="D11" s="25">
        <f t="shared" ref="D11:D21" si="0">B11/C11</f>
        <v>0.98344370860927155</v>
      </c>
      <c r="E11" s="32"/>
      <c r="F11" s="32"/>
      <c r="G11" s="32"/>
      <c r="H11" s="32"/>
      <c r="I11" s="32"/>
      <c r="J11" s="35"/>
    </row>
    <row r="12" spans="1:19" x14ac:dyDescent="0.25">
      <c r="A12" s="24" t="s">
        <v>69</v>
      </c>
      <c r="B12" s="23">
        <v>313</v>
      </c>
      <c r="C12" s="23">
        <v>319</v>
      </c>
      <c r="D12" s="25">
        <f t="shared" si="0"/>
        <v>0.98119122257053293</v>
      </c>
      <c r="E12" s="32"/>
      <c r="F12" s="32"/>
      <c r="G12" s="32"/>
      <c r="H12" s="32"/>
      <c r="I12" s="32"/>
      <c r="J12" s="35"/>
    </row>
    <row r="13" spans="1:19" x14ac:dyDescent="0.25">
      <c r="A13" s="24" t="s">
        <v>70</v>
      </c>
      <c r="B13" s="23">
        <v>336</v>
      </c>
      <c r="C13" s="23">
        <v>340</v>
      </c>
      <c r="D13" s="25">
        <f t="shared" si="0"/>
        <v>0.9882352941176471</v>
      </c>
      <c r="E13" s="32"/>
      <c r="F13" s="32"/>
      <c r="G13" s="32"/>
      <c r="H13" s="32"/>
      <c r="I13" s="32"/>
      <c r="J13" s="35"/>
    </row>
    <row r="14" spans="1:19" x14ac:dyDescent="0.25">
      <c r="A14" s="24" t="s">
        <v>71</v>
      </c>
      <c r="B14" s="23">
        <v>313</v>
      </c>
      <c r="C14" s="23">
        <v>319</v>
      </c>
      <c r="D14" s="25">
        <f t="shared" si="0"/>
        <v>0.98119122257053293</v>
      </c>
      <c r="E14" s="32"/>
      <c r="F14" s="32"/>
      <c r="G14" s="32"/>
      <c r="H14" s="32"/>
      <c r="I14" s="32"/>
      <c r="J14" s="35"/>
    </row>
    <row r="15" spans="1:19" x14ac:dyDescent="0.25">
      <c r="A15" s="24" t="s">
        <v>72</v>
      </c>
      <c r="B15" s="23">
        <v>350</v>
      </c>
      <c r="C15" s="23">
        <v>352</v>
      </c>
      <c r="D15" s="25">
        <f t="shared" si="0"/>
        <v>0.99431818181818177</v>
      </c>
      <c r="E15" s="32"/>
      <c r="F15" s="32"/>
      <c r="G15" s="32"/>
      <c r="H15" s="32"/>
      <c r="I15" s="32"/>
      <c r="J15" s="35"/>
    </row>
    <row r="16" spans="1:19" x14ac:dyDescent="0.25">
      <c r="A16" s="24" t="s">
        <v>73</v>
      </c>
      <c r="B16" s="23">
        <v>440</v>
      </c>
      <c r="C16" s="23">
        <v>445</v>
      </c>
      <c r="D16" s="25">
        <f t="shared" si="0"/>
        <v>0.9887640449438202</v>
      </c>
      <c r="E16" s="32"/>
      <c r="F16" s="32"/>
      <c r="G16" s="32"/>
      <c r="H16" s="32"/>
      <c r="I16" s="32"/>
      <c r="J16" s="35"/>
    </row>
    <row r="17" spans="1:10" x14ac:dyDescent="0.25">
      <c r="A17" s="24" t="s">
        <v>74</v>
      </c>
      <c r="B17" s="23">
        <v>358</v>
      </c>
      <c r="C17" s="23">
        <v>363</v>
      </c>
      <c r="D17" s="25">
        <f t="shared" si="0"/>
        <v>0.98622589531680438</v>
      </c>
      <c r="E17" s="32"/>
      <c r="F17" s="32"/>
      <c r="G17" s="32"/>
      <c r="H17" s="32"/>
      <c r="I17" s="32"/>
      <c r="J17" s="35"/>
    </row>
    <row r="18" spans="1:10" x14ac:dyDescent="0.25">
      <c r="A18" s="24" t="s">
        <v>75</v>
      </c>
      <c r="B18" s="23">
        <v>267</v>
      </c>
      <c r="C18" s="23">
        <v>278</v>
      </c>
      <c r="D18" s="25">
        <f t="shared" si="0"/>
        <v>0.96043165467625902</v>
      </c>
      <c r="E18" s="32"/>
      <c r="F18" s="32"/>
      <c r="G18" s="32"/>
      <c r="H18" s="32"/>
      <c r="I18" s="32"/>
      <c r="J18" s="35"/>
    </row>
    <row r="19" spans="1:10" x14ac:dyDescent="0.25">
      <c r="A19" s="24" t="s">
        <v>76</v>
      </c>
      <c r="B19" s="23">
        <v>303</v>
      </c>
      <c r="C19" s="23">
        <v>312</v>
      </c>
      <c r="D19" s="25">
        <f t="shared" si="0"/>
        <v>0.97115384615384615</v>
      </c>
      <c r="E19" s="32"/>
      <c r="F19" s="32"/>
      <c r="G19" s="32"/>
      <c r="H19" s="32"/>
      <c r="I19" s="32"/>
      <c r="J19" s="35"/>
    </row>
    <row r="20" spans="1:10" x14ac:dyDescent="0.25">
      <c r="A20" s="24" t="s">
        <v>77</v>
      </c>
      <c r="B20" s="23">
        <v>282</v>
      </c>
      <c r="C20" s="23">
        <v>295</v>
      </c>
      <c r="D20" s="25">
        <f t="shared" si="0"/>
        <v>0.95593220338983054</v>
      </c>
      <c r="E20" s="32"/>
      <c r="F20" s="32"/>
      <c r="G20" s="32"/>
      <c r="H20" s="32"/>
      <c r="I20" s="32"/>
      <c r="J20" s="35"/>
    </row>
    <row r="21" spans="1:10" x14ac:dyDescent="0.25">
      <c r="A21" s="29" t="s">
        <v>78</v>
      </c>
      <c r="B21" s="30">
        <v>330</v>
      </c>
      <c r="C21" s="30">
        <v>349</v>
      </c>
      <c r="D21" s="31">
        <f t="shared" si="0"/>
        <v>0.94555873925501432</v>
      </c>
      <c r="E21" s="32"/>
      <c r="F21" s="32"/>
      <c r="G21" s="32"/>
      <c r="H21" s="32"/>
      <c r="I21" s="32"/>
      <c r="J21" s="35"/>
    </row>
    <row r="22" spans="1:10" x14ac:dyDescent="0.25">
      <c r="A22" s="133"/>
      <c r="B22" s="133"/>
      <c r="C22" s="133"/>
      <c r="D22" s="133"/>
      <c r="E22" s="133"/>
      <c r="F22" s="133"/>
      <c r="G22" s="133"/>
      <c r="H22" s="133"/>
      <c r="I22" s="133"/>
      <c r="J22" s="133"/>
    </row>
    <row r="23" spans="1:10" x14ac:dyDescent="0.25">
      <c r="A23" s="33" t="s">
        <v>3</v>
      </c>
      <c r="B23" s="130" t="s">
        <v>95</v>
      </c>
      <c r="C23" s="130"/>
      <c r="D23" s="130"/>
      <c r="E23" s="130"/>
      <c r="F23" s="130"/>
      <c r="G23" s="130"/>
      <c r="H23" s="130"/>
      <c r="I23" s="130"/>
      <c r="J23" s="130"/>
    </row>
    <row r="24" spans="1:10" x14ac:dyDescent="0.25">
      <c r="A24" s="33" t="s">
        <v>63</v>
      </c>
      <c r="B24" s="131" t="s">
        <v>92</v>
      </c>
      <c r="C24" s="131"/>
      <c r="D24" s="131"/>
      <c r="E24" s="132"/>
      <c r="F24" s="132"/>
      <c r="G24" s="132"/>
      <c r="H24" s="132"/>
      <c r="I24" s="132"/>
      <c r="J24" s="132"/>
    </row>
    <row r="25" spans="1:10" ht="90" x14ac:dyDescent="0.25">
      <c r="A25" s="2" t="s">
        <v>66</v>
      </c>
      <c r="B25" s="3" t="s">
        <v>94</v>
      </c>
      <c r="C25" s="3" t="s">
        <v>93</v>
      </c>
      <c r="D25" s="3" t="s">
        <v>97</v>
      </c>
      <c r="E25" s="32"/>
      <c r="F25" s="32"/>
      <c r="G25" s="32"/>
      <c r="H25" s="32"/>
      <c r="I25" s="32"/>
      <c r="J25" s="35"/>
    </row>
    <row r="26" spans="1:10" x14ac:dyDescent="0.25">
      <c r="A26" s="24" t="s">
        <v>67</v>
      </c>
      <c r="B26" s="23">
        <v>0</v>
      </c>
      <c r="C26" s="23">
        <v>59</v>
      </c>
      <c r="D26" s="25">
        <f>B26/C26</f>
        <v>0</v>
      </c>
      <c r="E26" s="32"/>
      <c r="F26" s="32"/>
      <c r="G26" s="32"/>
      <c r="H26" s="32"/>
      <c r="I26" s="32"/>
      <c r="J26" s="35"/>
    </row>
    <row r="27" spans="1:10" x14ac:dyDescent="0.25">
      <c r="A27" s="24" t="s">
        <v>68</v>
      </c>
      <c r="B27" s="23">
        <v>0</v>
      </c>
      <c r="C27" s="23">
        <v>133</v>
      </c>
      <c r="D27" s="25">
        <f t="shared" ref="D27:D37" si="1">B27/C27</f>
        <v>0</v>
      </c>
      <c r="E27" s="32"/>
      <c r="F27" s="32"/>
      <c r="G27" s="32"/>
      <c r="H27" s="32"/>
      <c r="I27" s="32"/>
      <c r="J27" s="35"/>
    </row>
    <row r="28" spans="1:10" x14ac:dyDescent="0.25">
      <c r="A28" s="24" t="s">
        <v>69</v>
      </c>
      <c r="B28" s="23">
        <v>0</v>
      </c>
      <c r="C28" s="23">
        <v>133</v>
      </c>
      <c r="D28" s="25">
        <f t="shared" si="1"/>
        <v>0</v>
      </c>
      <c r="E28" s="32"/>
      <c r="F28" s="32"/>
      <c r="G28" s="32"/>
      <c r="H28" s="32"/>
      <c r="I28" s="32"/>
      <c r="J28" s="35"/>
    </row>
    <row r="29" spans="1:10" x14ac:dyDescent="0.25">
      <c r="A29" s="24" t="s">
        <v>70</v>
      </c>
      <c r="B29" s="23">
        <v>0</v>
      </c>
      <c r="C29" s="23">
        <v>76</v>
      </c>
      <c r="D29" s="25">
        <f t="shared" si="1"/>
        <v>0</v>
      </c>
      <c r="E29" s="32"/>
      <c r="F29" s="32"/>
      <c r="G29" s="32"/>
      <c r="H29" s="32"/>
      <c r="I29" s="32"/>
      <c r="J29" s="35"/>
    </row>
    <row r="30" spans="1:10" x14ac:dyDescent="0.25">
      <c r="A30" s="24" t="s">
        <v>71</v>
      </c>
      <c r="B30" s="23">
        <v>0</v>
      </c>
      <c r="C30" s="23">
        <v>102</v>
      </c>
      <c r="D30" s="25">
        <f t="shared" si="1"/>
        <v>0</v>
      </c>
      <c r="E30" s="32"/>
      <c r="F30" s="32"/>
      <c r="G30" s="32"/>
      <c r="H30" s="32"/>
      <c r="I30" s="32"/>
      <c r="J30" s="35"/>
    </row>
    <row r="31" spans="1:10" x14ac:dyDescent="0.25">
      <c r="A31" s="24" t="s">
        <v>72</v>
      </c>
      <c r="B31" s="23">
        <v>0</v>
      </c>
      <c r="C31" s="23">
        <v>108</v>
      </c>
      <c r="D31" s="25">
        <f t="shared" si="1"/>
        <v>0</v>
      </c>
      <c r="E31" s="32"/>
      <c r="F31" s="32"/>
      <c r="G31" s="32"/>
      <c r="H31" s="32"/>
      <c r="I31" s="32"/>
      <c r="J31" s="35"/>
    </row>
    <row r="32" spans="1:10" x14ac:dyDescent="0.25">
      <c r="A32" s="24" t="s">
        <v>73</v>
      </c>
      <c r="B32" s="23">
        <v>0</v>
      </c>
      <c r="C32" s="23">
        <v>127</v>
      </c>
      <c r="D32" s="25">
        <f t="shared" si="1"/>
        <v>0</v>
      </c>
      <c r="E32" s="32"/>
      <c r="F32" s="32"/>
      <c r="G32" s="32"/>
      <c r="H32" s="32"/>
      <c r="I32" s="32"/>
      <c r="J32" s="35"/>
    </row>
    <row r="33" spans="1:10" x14ac:dyDescent="0.25">
      <c r="A33" s="24" t="s">
        <v>74</v>
      </c>
      <c r="B33" s="23"/>
      <c r="C33" s="23"/>
      <c r="D33" s="25" t="e">
        <f t="shared" si="1"/>
        <v>#DIV/0!</v>
      </c>
      <c r="E33" s="32"/>
      <c r="F33" s="32"/>
      <c r="G33" s="32"/>
      <c r="H33" s="32"/>
      <c r="I33" s="32"/>
      <c r="J33" s="35"/>
    </row>
    <row r="34" spans="1:10" x14ac:dyDescent="0.25">
      <c r="A34" s="24" t="s">
        <v>75</v>
      </c>
      <c r="B34" s="23"/>
      <c r="C34" s="23"/>
      <c r="D34" s="25" t="e">
        <f t="shared" si="1"/>
        <v>#DIV/0!</v>
      </c>
      <c r="E34" s="32"/>
      <c r="F34" s="32"/>
      <c r="G34" s="32"/>
      <c r="H34" s="32"/>
      <c r="I34" s="32"/>
      <c r="J34" s="35"/>
    </row>
    <row r="35" spans="1:10" x14ac:dyDescent="0.25">
      <c r="A35" s="24" t="s">
        <v>76</v>
      </c>
      <c r="B35" s="23"/>
      <c r="C35" s="23"/>
      <c r="D35" s="25" t="e">
        <f t="shared" si="1"/>
        <v>#DIV/0!</v>
      </c>
      <c r="E35" s="32"/>
      <c r="F35" s="32"/>
      <c r="G35" s="32"/>
      <c r="H35" s="32"/>
      <c r="I35" s="32"/>
      <c r="J35" s="35"/>
    </row>
    <row r="36" spans="1:10" x14ac:dyDescent="0.25">
      <c r="A36" s="24" t="s">
        <v>77</v>
      </c>
      <c r="B36" s="23"/>
      <c r="C36" s="23"/>
      <c r="D36" s="25" t="e">
        <f t="shared" si="1"/>
        <v>#DIV/0!</v>
      </c>
      <c r="E36" s="32"/>
      <c r="F36" s="32"/>
      <c r="G36" s="32"/>
      <c r="H36" s="32"/>
      <c r="I36" s="32"/>
      <c r="J36" s="35"/>
    </row>
    <row r="37" spans="1:10" x14ac:dyDescent="0.25">
      <c r="A37" s="24" t="s">
        <v>78</v>
      </c>
      <c r="B37" s="23"/>
      <c r="C37" s="23"/>
      <c r="D37" s="25" t="e">
        <f t="shared" si="1"/>
        <v>#DIV/0!</v>
      </c>
      <c r="E37" s="32"/>
      <c r="F37" s="32"/>
      <c r="G37" s="32"/>
      <c r="H37" s="32"/>
      <c r="I37" s="32"/>
      <c r="J37" s="35"/>
    </row>
    <row r="38" spans="1:10" x14ac:dyDescent="0.25">
      <c r="A38" s="21"/>
      <c r="B38" s="32"/>
      <c r="C38" s="32"/>
      <c r="D38" s="32"/>
      <c r="E38" s="32"/>
      <c r="F38" s="32"/>
      <c r="G38" s="32"/>
      <c r="H38" s="32"/>
      <c r="I38" s="32"/>
      <c r="J38" s="35"/>
    </row>
    <row r="39" spans="1:10" ht="15.75" x14ac:dyDescent="0.25">
      <c r="A39" s="36" t="s">
        <v>86</v>
      </c>
      <c r="B39" s="34"/>
      <c r="C39" s="32"/>
      <c r="D39" s="32"/>
      <c r="E39" s="32"/>
      <c r="F39" s="32"/>
      <c r="G39" s="32"/>
      <c r="H39" s="32"/>
      <c r="I39" s="32"/>
      <c r="J39" s="35"/>
    </row>
    <row r="40" spans="1:10" x14ac:dyDescent="0.25">
      <c r="A40" s="22"/>
      <c r="B40" s="37"/>
      <c r="C40" s="37"/>
      <c r="D40" s="37"/>
      <c r="E40" s="37"/>
      <c r="F40" s="37"/>
      <c r="G40" s="37"/>
      <c r="H40" s="37"/>
      <c r="I40" s="37"/>
      <c r="J40" s="38"/>
    </row>
  </sheetData>
  <mergeCells count="13">
    <mergeCell ref="N3:S3"/>
    <mergeCell ref="A4:A5"/>
    <mergeCell ref="B4:J5"/>
    <mergeCell ref="B7:J7"/>
    <mergeCell ref="B8:J8"/>
    <mergeCell ref="B23:J23"/>
    <mergeCell ref="B24:J24"/>
    <mergeCell ref="A22:J22"/>
    <mergeCell ref="A1:B3"/>
    <mergeCell ref="C1:H3"/>
    <mergeCell ref="I1:J1"/>
    <mergeCell ref="I2:J2"/>
    <mergeCell ref="I3:J3"/>
  </mergeCell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opLeftCell="A13" zoomScale="90" zoomScaleNormal="90" workbookViewId="0">
      <selection sqref="A1:B3"/>
    </sheetView>
  </sheetViews>
  <sheetFormatPr baseColWidth="10" defaultRowHeight="15" x14ac:dyDescent="0.25"/>
  <cols>
    <col min="1" max="1" width="12.28515625" customWidth="1"/>
    <col min="2" max="5" width="14.5703125"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131</v>
      </c>
      <c r="J3" s="135"/>
      <c r="N3" s="136"/>
      <c r="O3" s="136"/>
      <c r="P3" s="136"/>
      <c r="Q3" s="136"/>
      <c r="R3" s="136"/>
      <c r="S3" s="136"/>
    </row>
    <row r="4" spans="1:19" ht="15" customHeight="1" x14ac:dyDescent="0.25">
      <c r="A4" s="137" t="s">
        <v>62</v>
      </c>
      <c r="B4" s="139" t="s">
        <v>19</v>
      </c>
      <c r="C4" s="140"/>
      <c r="D4" s="140"/>
      <c r="E4" s="140"/>
      <c r="F4" s="140"/>
      <c r="G4" s="140"/>
      <c r="H4" s="140"/>
      <c r="I4" s="140"/>
      <c r="J4" s="141"/>
      <c r="N4" s="32"/>
      <c r="O4" s="32"/>
      <c r="P4" s="32"/>
      <c r="Q4" s="32"/>
      <c r="R4" s="32"/>
      <c r="S4" s="32"/>
    </row>
    <row r="5" spans="1:19" x14ac:dyDescent="0.25">
      <c r="A5" s="137"/>
      <c r="B5" s="142"/>
      <c r="C5" s="143"/>
      <c r="D5" s="143"/>
      <c r="E5" s="143"/>
      <c r="F5" s="143"/>
      <c r="G5" s="143"/>
      <c r="H5" s="143"/>
      <c r="I5" s="143"/>
      <c r="J5" s="144"/>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30" t="s">
        <v>148</v>
      </c>
      <c r="C7" s="130"/>
      <c r="D7" s="130"/>
      <c r="E7" s="130"/>
      <c r="F7" s="130"/>
      <c r="G7" s="130"/>
      <c r="H7" s="130"/>
      <c r="I7" s="130"/>
      <c r="J7" s="130"/>
    </row>
    <row r="8" spans="1:19" x14ac:dyDescent="0.25">
      <c r="A8" s="33" t="s">
        <v>63</v>
      </c>
      <c r="B8" s="132" t="s">
        <v>90</v>
      </c>
      <c r="C8" s="132"/>
      <c r="D8" s="132"/>
      <c r="E8" s="132"/>
      <c r="F8" s="132"/>
      <c r="G8" s="132"/>
      <c r="H8" s="132"/>
      <c r="I8" s="132"/>
      <c r="J8" s="132"/>
    </row>
    <row r="9" spans="1:19" ht="58.5" customHeight="1" x14ac:dyDescent="0.25">
      <c r="A9" s="2" t="s">
        <v>66</v>
      </c>
      <c r="B9" s="3" t="s">
        <v>149</v>
      </c>
      <c r="C9" s="3" t="s">
        <v>150</v>
      </c>
      <c r="D9" s="3" t="s">
        <v>151</v>
      </c>
      <c r="E9" s="32"/>
      <c r="F9" s="32"/>
      <c r="G9" s="32"/>
      <c r="H9" s="32"/>
      <c r="I9" s="32"/>
      <c r="J9" s="35"/>
    </row>
    <row r="10" spans="1:19" x14ac:dyDescent="0.25">
      <c r="A10" s="24" t="s">
        <v>67</v>
      </c>
      <c r="B10" s="60">
        <f>188/39</f>
        <v>4.8205128205128203</v>
      </c>
      <c r="C10" s="60">
        <f>183/39</f>
        <v>4.6923076923076925</v>
      </c>
      <c r="D10" s="60">
        <f>185/39</f>
        <v>4.7435897435897436</v>
      </c>
      <c r="E10" s="32"/>
      <c r="F10" s="32"/>
      <c r="G10" s="32"/>
      <c r="H10" s="32"/>
      <c r="I10" s="32"/>
      <c r="J10" s="35"/>
    </row>
    <row r="11" spans="1:19" x14ac:dyDescent="0.25">
      <c r="A11" s="24" t="s">
        <v>68</v>
      </c>
      <c r="B11" s="60">
        <f>317/66</f>
        <v>4.8030303030303028</v>
      </c>
      <c r="C11" s="60">
        <f>280/66</f>
        <v>4.2424242424242422</v>
      </c>
      <c r="D11" s="60">
        <f>329/66</f>
        <v>4.9848484848484844</v>
      </c>
      <c r="E11" s="32"/>
      <c r="F11" s="32"/>
      <c r="G11" s="32"/>
      <c r="H11" s="32"/>
      <c r="I11" s="32"/>
      <c r="J11" s="35"/>
    </row>
    <row r="12" spans="1:19" x14ac:dyDescent="0.25">
      <c r="A12" s="24" t="s">
        <v>69</v>
      </c>
      <c r="B12" s="60">
        <f>223/46</f>
        <v>4.8478260869565215</v>
      </c>
      <c r="C12" s="60">
        <f>216/46</f>
        <v>4.6956521739130439</v>
      </c>
      <c r="D12" s="60">
        <f>217/46</f>
        <v>4.7173913043478262</v>
      </c>
      <c r="E12" s="32"/>
      <c r="F12" s="32"/>
      <c r="G12" s="32"/>
      <c r="H12" s="32"/>
      <c r="I12" s="32"/>
      <c r="J12" s="35"/>
    </row>
    <row r="13" spans="1:19" x14ac:dyDescent="0.25">
      <c r="A13" s="24" t="s">
        <v>70</v>
      </c>
      <c r="B13" s="60">
        <f>242/50</f>
        <v>4.84</v>
      </c>
      <c r="C13" s="60">
        <f>241/50</f>
        <v>4.82</v>
      </c>
      <c r="D13" s="60">
        <f>240/50</f>
        <v>4.8</v>
      </c>
      <c r="E13" s="32"/>
      <c r="F13" s="32"/>
      <c r="G13" s="32"/>
      <c r="H13" s="32"/>
      <c r="I13" s="32"/>
      <c r="J13" s="35"/>
    </row>
    <row r="14" spans="1:19" x14ac:dyDescent="0.25">
      <c r="A14" s="24" t="s">
        <v>71</v>
      </c>
      <c r="B14" s="60">
        <v>4.5999999999999996</v>
      </c>
      <c r="C14" s="60">
        <v>4.5</v>
      </c>
      <c r="D14" s="61">
        <v>4.5999999999999996</v>
      </c>
      <c r="E14" s="32"/>
      <c r="F14" s="32"/>
      <c r="G14" s="32"/>
      <c r="H14" s="32"/>
      <c r="I14" s="32"/>
      <c r="J14" s="35"/>
    </row>
    <row r="15" spans="1:19" x14ac:dyDescent="0.25">
      <c r="A15" s="24" t="s">
        <v>72</v>
      </c>
      <c r="B15" s="60">
        <v>4.5</v>
      </c>
      <c r="C15" s="60">
        <v>4.5</v>
      </c>
      <c r="D15" s="61">
        <v>4.7</v>
      </c>
      <c r="E15" s="32"/>
      <c r="F15" s="32"/>
      <c r="G15" s="32"/>
      <c r="H15" s="32"/>
      <c r="I15" s="32"/>
      <c r="J15" s="35"/>
    </row>
    <row r="16" spans="1:19" x14ac:dyDescent="0.25">
      <c r="A16" s="24" t="s">
        <v>73</v>
      </c>
      <c r="B16" s="60">
        <v>4.5999999999999996</v>
      </c>
      <c r="C16" s="60">
        <v>4.5999999999999996</v>
      </c>
      <c r="D16" s="61">
        <v>4.7</v>
      </c>
      <c r="E16" s="32"/>
      <c r="F16" s="32"/>
      <c r="G16" s="32"/>
      <c r="H16" s="32"/>
      <c r="I16" s="32"/>
      <c r="J16" s="35"/>
    </row>
    <row r="17" spans="1:10" x14ac:dyDescent="0.25">
      <c r="A17" s="24" t="s">
        <v>74</v>
      </c>
      <c r="B17" s="60">
        <v>4.7</v>
      </c>
      <c r="C17" s="60">
        <v>4.5999999999999996</v>
      </c>
      <c r="D17" s="61">
        <v>4.5999999999999996</v>
      </c>
      <c r="E17" s="32"/>
      <c r="F17" s="32"/>
      <c r="G17" s="32"/>
      <c r="H17" s="32"/>
      <c r="I17" s="32"/>
      <c r="J17" s="35"/>
    </row>
    <row r="18" spans="1:10" x14ac:dyDescent="0.25">
      <c r="A18" s="24" t="s">
        <v>75</v>
      </c>
      <c r="B18" s="60">
        <v>4.5</v>
      </c>
      <c r="C18" s="60">
        <v>4.3</v>
      </c>
      <c r="D18" s="61">
        <v>4.4000000000000004</v>
      </c>
      <c r="E18" s="32"/>
      <c r="F18" s="32"/>
      <c r="G18" s="32"/>
      <c r="H18" s="32"/>
      <c r="I18" s="32"/>
      <c r="J18" s="35"/>
    </row>
    <row r="19" spans="1:10" x14ac:dyDescent="0.25">
      <c r="A19" s="24" t="s">
        <v>76</v>
      </c>
      <c r="B19" s="60">
        <v>4.5999999999999996</v>
      </c>
      <c r="C19" s="60">
        <v>4.5999999999999996</v>
      </c>
      <c r="D19" s="61">
        <v>4.5999999999999996</v>
      </c>
      <c r="E19" s="32"/>
      <c r="F19" s="32"/>
      <c r="G19" s="32"/>
      <c r="H19" s="32"/>
      <c r="I19" s="32"/>
      <c r="J19" s="35"/>
    </row>
    <row r="20" spans="1:10" x14ac:dyDescent="0.25">
      <c r="A20" s="24" t="s">
        <v>77</v>
      </c>
      <c r="B20" s="60">
        <v>4.4000000000000004</v>
      </c>
      <c r="C20" s="60">
        <v>4.5</v>
      </c>
      <c r="D20" s="61">
        <v>4.5</v>
      </c>
      <c r="E20" s="32"/>
      <c r="F20" s="32"/>
      <c r="G20" s="32"/>
      <c r="H20" s="32"/>
      <c r="I20" s="32"/>
      <c r="J20" s="35"/>
    </row>
    <row r="21" spans="1:10" x14ac:dyDescent="0.25">
      <c r="A21" s="29" t="s">
        <v>78</v>
      </c>
      <c r="B21" s="65"/>
      <c r="C21" s="65"/>
      <c r="D21" s="66" t="e">
        <f t="shared" ref="D21" si="0">B21/C21</f>
        <v>#DIV/0!</v>
      </c>
      <c r="E21" s="32"/>
      <c r="F21" s="32"/>
      <c r="G21" s="32"/>
      <c r="H21" s="32"/>
      <c r="I21" s="32"/>
      <c r="J21" s="35"/>
    </row>
    <row r="22" spans="1:10" x14ac:dyDescent="0.25">
      <c r="A22" s="133"/>
      <c r="B22" s="133"/>
      <c r="C22" s="133"/>
      <c r="D22" s="133"/>
      <c r="E22" s="133"/>
      <c r="F22" s="133"/>
      <c r="G22" s="133"/>
      <c r="H22" s="133"/>
      <c r="I22" s="133"/>
      <c r="J22" s="133"/>
    </row>
    <row r="23" spans="1:10" x14ac:dyDescent="0.25">
      <c r="A23" s="33" t="s">
        <v>3</v>
      </c>
      <c r="B23" s="130" t="s">
        <v>153</v>
      </c>
      <c r="C23" s="130"/>
      <c r="D23" s="130"/>
      <c r="E23" s="130"/>
      <c r="F23" s="130"/>
      <c r="G23" s="130"/>
      <c r="H23" s="130"/>
      <c r="I23" s="130"/>
      <c r="J23" s="130"/>
    </row>
    <row r="24" spans="1:10" x14ac:dyDescent="0.25">
      <c r="A24" s="33" t="s">
        <v>63</v>
      </c>
      <c r="B24" s="132" t="s">
        <v>182</v>
      </c>
      <c r="C24" s="132"/>
      <c r="D24" s="132"/>
      <c r="E24" s="132"/>
      <c r="F24" s="132"/>
      <c r="G24" s="132"/>
      <c r="H24" s="132"/>
      <c r="I24" s="132"/>
      <c r="J24" s="132"/>
    </row>
    <row r="25" spans="1:10" ht="60" x14ac:dyDescent="0.25">
      <c r="A25" s="2" t="s">
        <v>66</v>
      </c>
      <c r="B25" s="3" t="s">
        <v>154</v>
      </c>
      <c r="C25" s="3" t="s">
        <v>155</v>
      </c>
      <c r="D25" s="3" t="s">
        <v>156</v>
      </c>
      <c r="E25" s="32"/>
      <c r="F25" s="32"/>
      <c r="G25" s="32"/>
      <c r="H25" s="32"/>
      <c r="I25" s="32"/>
      <c r="J25" s="35"/>
    </row>
    <row r="26" spans="1:10" x14ac:dyDescent="0.25">
      <c r="A26" s="24" t="s">
        <v>67</v>
      </c>
      <c r="B26" s="64">
        <v>1</v>
      </c>
      <c r="C26" s="64">
        <v>1</v>
      </c>
      <c r="D26" s="25">
        <f>C26/B26</f>
        <v>1</v>
      </c>
      <c r="E26" s="32"/>
      <c r="F26" s="32"/>
      <c r="G26" s="32"/>
      <c r="H26" s="32"/>
      <c r="I26" s="32"/>
      <c r="J26" s="35"/>
    </row>
    <row r="27" spans="1:10" x14ac:dyDescent="0.25">
      <c r="A27" s="24" t="s">
        <v>68</v>
      </c>
      <c r="B27" s="64">
        <v>0</v>
      </c>
      <c r="C27" s="64">
        <v>0</v>
      </c>
      <c r="D27" s="25" t="s">
        <v>183</v>
      </c>
      <c r="E27" s="32"/>
      <c r="F27" s="32"/>
      <c r="G27" s="32"/>
      <c r="H27" s="32"/>
      <c r="I27" s="32"/>
      <c r="J27" s="35"/>
    </row>
    <row r="28" spans="1:10" x14ac:dyDescent="0.25">
      <c r="A28" s="24" t="s">
        <v>69</v>
      </c>
      <c r="B28" s="64">
        <v>0</v>
      </c>
      <c r="C28" s="64">
        <v>0</v>
      </c>
      <c r="D28" s="25" t="s">
        <v>183</v>
      </c>
      <c r="E28" s="32"/>
      <c r="F28" s="32"/>
      <c r="G28" s="32"/>
      <c r="H28" s="32"/>
      <c r="I28" s="32"/>
      <c r="J28" s="35"/>
    </row>
    <row r="29" spans="1:10" x14ac:dyDescent="0.25">
      <c r="A29" s="24" t="s">
        <v>70</v>
      </c>
      <c r="B29" s="64">
        <v>1</v>
      </c>
      <c r="C29" s="64">
        <v>1</v>
      </c>
      <c r="D29" s="25">
        <f t="shared" ref="D29" si="1">C29/B29</f>
        <v>1</v>
      </c>
      <c r="E29" s="32"/>
      <c r="F29" s="32"/>
      <c r="G29" s="32"/>
      <c r="H29" s="32"/>
      <c r="I29" s="32"/>
      <c r="J29" s="35"/>
    </row>
    <row r="30" spans="1:10" x14ac:dyDescent="0.25">
      <c r="A30" s="24" t="s">
        <v>71</v>
      </c>
      <c r="B30" s="64">
        <v>0</v>
      </c>
      <c r="C30" s="64">
        <v>0</v>
      </c>
      <c r="D30" s="25" t="s">
        <v>183</v>
      </c>
      <c r="E30" s="32"/>
      <c r="F30" s="32"/>
      <c r="G30" s="32"/>
      <c r="H30" s="32"/>
      <c r="I30" s="32"/>
      <c r="J30" s="35"/>
    </row>
    <row r="31" spans="1:10" x14ac:dyDescent="0.25">
      <c r="A31" s="24" t="s">
        <v>72</v>
      </c>
      <c r="B31" s="64">
        <v>0</v>
      </c>
      <c r="C31" s="64">
        <v>0</v>
      </c>
      <c r="D31" s="25" t="s">
        <v>183</v>
      </c>
      <c r="E31" s="32"/>
      <c r="F31" s="32"/>
      <c r="G31" s="32"/>
      <c r="H31" s="32"/>
      <c r="I31" s="32"/>
      <c r="J31" s="35"/>
    </row>
    <row r="32" spans="1:10" x14ac:dyDescent="0.25">
      <c r="A32" s="24" t="s">
        <v>73</v>
      </c>
      <c r="B32" s="64">
        <v>0</v>
      </c>
      <c r="C32" s="64">
        <v>0</v>
      </c>
      <c r="D32" s="25" t="s">
        <v>183</v>
      </c>
      <c r="E32" s="32"/>
      <c r="F32" s="32"/>
      <c r="G32" s="32"/>
      <c r="H32" s="32"/>
      <c r="I32" s="32"/>
      <c r="J32" s="35"/>
    </row>
    <row r="33" spans="1:10" x14ac:dyDescent="0.25">
      <c r="A33" s="24" t="s">
        <v>74</v>
      </c>
      <c r="B33" s="64">
        <v>0</v>
      </c>
      <c r="C33" s="64">
        <v>0</v>
      </c>
      <c r="D33" s="25" t="s">
        <v>183</v>
      </c>
      <c r="E33" s="32"/>
      <c r="F33" s="32"/>
      <c r="G33" s="32"/>
      <c r="H33" s="32"/>
      <c r="I33" s="32"/>
      <c r="J33" s="35"/>
    </row>
    <row r="34" spans="1:10" x14ac:dyDescent="0.25">
      <c r="A34" s="24" t="s">
        <v>75</v>
      </c>
      <c r="B34" s="64">
        <v>0</v>
      </c>
      <c r="C34" s="64">
        <v>0</v>
      </c>
      <c r="D34" s="25" t="s">
        <v>183</v>
      </c>
      <c r="E34" s="32"/>
      <c r="F34" s="32"/>
      <c r="G34" s="32"/>
      <c r="H34" s="32"/>
      <c r="I34" s="32"/>
      <c r="J34" s="35"/>
    </row>
    <row r="35" spans="1:10" x14ac:dyDescent="0.25">
      <c r="A35" s="24" t="s">
        <v>76</v>
      </c>
      <c r="B35" s="64">
        <v>0</v>
      </c>
      <c r="C35" s="64">
        <v>0</v>
      </c>
      <c r="D35" s="25" t="s">
        <v>183</v>
      </c>
      <c r="E35" s="32"/>
      <c r="F35" s="32"/>
      <c r="G35" s="32"/>
      <c r="H35" s="32"/>
      <c r="I35" s="32"/>
      <c r="J35" s="35"/>
    </row>
    <row r="36" spans="1:10" x14ac:dyDescent="0.25">
      <c r="A36" s="24" t="s">
        <v>77</v>
      </c>
      <c r="B36" s="64">
        <v>0</v>
      </c>
      <c r="C36" s="64">
        <v>0</v>
      </c>
      <c r="D36" s="25" t="s">
        <v>183</v>
      </c>
      <c r="E36" s="32"/>
      <c r="F36" s="32"/>
      <c r="G36" s="32"/>
      <c r="H36" s="32"/>
      <c r="I36" s="32"/>
      <c r="J36" s="35"/>
    </row>
    <row r="37" spans="1:10" x14ac:dyDescent="0.25">
      <c r="A37" s="24" t="s">
        <v>78</v>
      </c>
      <c r="B37" s="64">
        <v>0</v>
      </c>
      <c r="C37" s="64">
        <v>0</v>
      </c>
      <c r="D37" s="25" t="s">
        <v>183</v>
      </c>
      <c r="E37" s="32"/>
      <c r="F37" s="32"/>
      <c r="G37" s="32"/>
      <c r="H37" s="32"/>
      <c r="I37" s="32"/>
      <c r="J37" s="35"/>
    </row>
    <row r="38" spans="1:10" x14ac:dyDescent="0.25">
      <c r="A38" s="51"/>
      <c r="B38" s="67"/>
      <c r="C38" s="67"/>
      <c r="D38" s="68"/>
      <c r="E38" s="32"/>
      <c r="F38" s="32"/>
      <c r="G38" s="32"/>
      <c r="H38" s="32"/>
      <c r="I38" s="32"/>
      <c r="J38" s="35"/>
    </row>
    <row r="39" spans="1:10" x14ac:dyDescent="0.25">
      <c r="A39" s="51"/>
      <c r="B39" s="67"/>
      <c r="C39" s="67"/>
      <c r="D39" s="68"/>
      <c r="E39" s="32"/>
      <c r="F39" s="32"/>
      <c r="G39" s="32"/>
      <c r="H39" s="32"/>
      <c r="I39" s="32"/>
      <c r="J39" s="35"/>
    </row>
    <row r="40" spans="1:10" ht="15.75" x14ac:dyDescent="0.25">
      <c r="A40" s="36" t="s">
        <v>110</v>
      </c>
      <c r="B40" s="34"/>
      <c r="C40" s="32"/>
      <c r="D40" s="32"/>
      <c r="E40" s="32"/>
      <c r="F40" s="32"/>
      <c r="G40" s="32"/>
      <c r="H40" s="32"/>
      <c r="I40" s="32"/>
      <c r="J40" s="35"/>
    </row>
    <row r="41" spans="1:10" x14ac:dyDescent="0.25">
      <c r="A41" s="22"/>
      <c r="B41" s="37"/>
      <c r="C41" s="37"/>
      <c r="D41" s="37"/>
      <c r="E41" s="37"/>
      <c r="F41" s="37"/>
      <c r="G41" s="37"/>
      <c r="H41" s="37"/>
      <c r="I41" s="37"/>
      <c r="J41" s="38"/>
    </row>
  </sheetData>
  <mergeCells count="13">
    <mergeCell ref="B23:J23"/>
    <mergeCell ref="B24:J24"/>
    <mergeCell ref="A22:J22"/>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tabSelected="1" zoomScale="90" zoomScaleNormal="90" workbookViewId="0">
      <selection activeCell="M14" sqref="M14"/>
    </sheetView>
  </sheetViews>
  <sheetFormatPr baseColWidth="10" defaultRowHeight="15" x14ac:dyDescent="0.25"/>
  <cols>
    <col min="1" max="1" width="12.28515625" customWidth="1"/>
    <col min="2" max="5" width="14.5703125"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130</v>
      </c>
      <c r="J3" s="135"/>
      <c r="N3" s="136"/>
      <c r="O3" s="136"/>
      <c r="P3" s="136"/>
      <c r="Q3" s="136"/>
      <c r="R3" s="136"/>
      <c r="S3" s="136"/>
    </row>
    <row r="4" spans="1:19" ht="15" customHeight="1" x14ac:dyDescent="0.25">
      <c r="A4" s="137" t="s">
        <v>62</v>
      </c>
      <c r="B4" s="139" t="s">
        <v>18</v>
      </c>
      <c r="C4" s="140"/>
      <c r="D4" s="140"/>
      <c r="E4" s="140"/>
      <c r="F4" s="140"/>
      <c r="G4" s="140"/>
      <c r="H4" s="140"/>
      <c r="I4" s="140"/>
      <c r="J4" s="141"/>
      <c r="N4" s="32"/>
      <c r="O4" s="32"/>
      <c r="P4" s="32"/>
      <c r="Q4" s="32"/>
      <c r="R4" s="32"/>
      <c r="S4" s="32"/>
    </row>
    <row r="5" spans="1:19" x14ac:dyDescent="0.25">
      <c r="A5" s="137"/>
      <c r="B5" s="142"/>
      <c r="C5" s="143"/>
      <c r="D5" s="143"/>
      <c r="E5" s="143"/>
      <c r="F5" s="143"/>
      <c r="G5" s="143"/>
      <c r="H5" s="143"/>
      <c r="I5" s="143"/>
      <c r="J5" s="144"/>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54" t="s">
        <v>80</v>
      </c>
      <c r="C7" s="155"/>
      <c r="D7" s="155"/>
      <c r="E7" s="155"/>
      <c r="F7" s="155"/>
      <c r="G7" s="155"/>
      <c r="H7" s="155"/>
      <c r="I7" s="155"/>
      <c r="J7" s="156"/>
    </row>
    <row r="8" spans="1:19" ht="15" customHeight="1" x14ac:dyDescent="0.25">
      <c r="A8" s="33" t="s">
        <v>63</v>
      </c>
      <c r="B8" s="157" t="s">
        <v>81</v>
      </c>
      <c r="C8" s="158"/>
      <c r="D8" s="158"/>
      <c r="E8" s="158"/>
      <c r="F8" s="158"/>
      <c r="G8" s="158"/>
      <c r="H8" s="158"/>
      <c r="I8" s="158"/>
      <c r="J8" s="159"/>
    </row>
    <row r="9" spans="1:19" ht="58.5" customHeight="1" x14ac:dyDescent="0.25">
      <c r="A9" s="2" t="s">
        <v>66</v>
      </c>
      <c r="B9" s="3" t="s">
        <v>85</v>
      </c>
      <c r="C9" s="3" t="s">
        <v>83</v>
      </c>
      <c r="D9" s="3" t="s">
        <v>167</v>
      </c>
      <c r="E9" s="32"/>
      <c r="F9" s="32"/>
      <c r="G9" s="32"/>
      <c r="H9" s="32"/>
      <c r="I9" s="32"/>
      <c r="J9" s="35"/>
    </row>
    <row r="10" spans="1:19" x14ac:dyDescent="0.25">
      <c r="A10" s="24" t="s">
        <v>67</v>
      </c>
      <c r="B10" s="23">
        <v>17</v>
      </c>
      <c r="C10" s="23">
        <v>17</v>
      </c>
      <c r="D10" s="25">
        <f>B10/C10</f>
        <v>1</v>
      </c>
      <c r="E10" s="32"/>
      <c r="F10" s="32"/>
      <c r="G10" s="32"/>
      <c r="H10" s="32"/>
      <c r="I10" s="32"/>
      <c r="J10" s="35"/>
    </row>
    <row r="11" spans="1:19" x14ac:dyDescent="0.25">
      <c r="A11" s="24" t="s">
        <v>68</v>
      </c>
      <c r="B11" s="23">
        <v>101</v>
      </c>
      <c r="C11" s="23">
        <v>101</v>
      </c>
      <c r="D11" s="25">
        <f t="shared" ref="D11:D21" si="0">B11/C11</f>
        <v>1</v>
      </c>
      <c r="E11" s="32"/>
      <c r="F11" s="32"/>
      <c r="G11" s="32"/>
      <c r="H11" s="32"/>
      <c r="I11" s="32"/>
      <c r="J11" s="35"/>
    </row>
    <row r="12" spans="1:19" x14ac:dyDescent="0.25">
      <c r="A12" s="24" t="s">
        <v>69</v>
      </c>
      <c r="B12" s="23">
        <v>45</v>
      </c>
      <c r="C12" s="23">
        <v>45</v>
      </c>
      <c r="D12" s="25">
        <f t="shared" si="0"/>
        <v>1</v>
      </c>
      <c r="E12" s="32"/>
      <c r="F12" s="32"/>
      <c r="G12" s="32"/>
      <c r="H12" s="32"/>
      <c r="I12" s="32"/>
      <c r="J12" s="35"/>
    </row>
    <row r="13" spans="1:19" x14ac:dyDescent="0.25">
      <c r="A13" s="24" t="s">
        <v>70</v>
      </c>
      <c r="B13" s="23">
        <v>77</v>
      </c>
      <c r="C13" s="23">
        <v>77</v>
      </c>
      <c r="D13" s="25">
        <f t="shared" si="0"/>
        <v>1</v>
      </c>
      <c r="E13" s="32"/>
      <c r="F13" s="32"/>
      <c r="G13" s="32"/>
      <c r="H13" s="32"/>
      <c r="I13" s="32"/>
      <c r="J13" s="35"/>
    </row>
    <row r="14" spans="1:19" x14ac:dyDescent="0.25">
      <c r="A14" s="24" t="s">
        <v>71</v>
      </c>
      <c r="B14" s="23">
        <v>114</v>
      </c>
      <c r="C14" s="23">
        <v>114</v>
      </c>
      <c r="D14" s="25">
        <f t="shared" si="0"/>
        <v>1</v>
      </c>
      <c r="E14" s="32"/>
      <c r="F14" s="32"/>
      <c r="G14" s="32"/>
      <c r="H14" s="32"/>
      <c r="I14" s="32"/>
      <c r="J14" s="35"/>
    </row>
    <row r="15" spans="1:19" x14ac:dyDescent="0.25">
      <c r="A15" s="24" t="s">
        <v>72</v>
      </c>
      <c r="B15" s="23">
        <v>99</v>
      </c>
      <c r="C15" s="23">
        <v>99</v>
      </c>
      <c r="D15" s="25">
        <f t="shared" si="0"/>
        <v>1</v>
      </c>
      <c r="E15" s="32"/>
      <c r="F15" s="32"/>
      <c r="G15" s="32"/>
      <c r="H15" s="32"/>
      <c r="I15" s="32"/>
      <c r="J15" s="35"/>
    </row>
    <row r="16" spans="1:19" x14ac:dyDescent="0.25">
      <c r="A16" s="24" t="s">
        <v>73</v>
      </c>
      <c r="B16" s="23">
        <v>106</v>
      </c>
      <c r="C16" s="23">
        <v>106</v>
      </c>
      <c r="D16" s="25">
        <f t="shared" si="0"/>
        <v>1</v>
      </c>
      <c r="E16" s="32"/>
      <c r="F16" s="32"/>
      <c r="G16" s="32"/>
      <c r="H16" s="32"/>
      <c r="I16" s="32"/>
      <c r="J16" s="35"/>
    </row>
    <row r="17" spans="1:10" x14ac:dyDescent="0.25">
      <c r="A17" s="24" t="s">
        <v>74</v>
      </c>
      <c r="B17" s="23"/>
      <c r="C17" s="23"/>
      <c r="D17" s="25" t="e">
        <f t="shared" si="0"/>
        <v>#DIV/0!</v>
      </c>
      <c r="E17" s="32"/>
      <c r="F17" s="32"/>
      <c r="G17" s="32"/>
      <c r="H17" s="32"/>
      <c r="I17" s="32"/>
      <c r="J17" s="35"/>
    </row>
    <row r="18" spans="1:10" x14ac:dyDescent="0.25">
      <c r="A18" s="24" t="s">
        <v>75</v>
      </c>
      <c r="B18" s="23"/>
      <c r="C18" s="23"/>
      <c r="D18" s="25" t="e">
        <f t="shared" si="0"/>
        <v>#DIV/0!</v>
      </c>
      <c r="E18" s="32"/>
      <c r="F18" s="32"/>
      <c r="G18" s="32"/>
      <c r="H18" s="32"/>
      <c r="I18" s="32"/>
      <c r="J18" s="35"/>
    </row>
    <row r="19" spans="1:10" x14ac:dyDescent="0.25">
      <c r="A19" s="24" t="s">
        <v>76</v>
      </c>
      <c r="B19" s="23"/>
      <c r="C19" s="23"/>
      <c r="D19" s="25" t="e">
        <f t="shared" si="0"/>
        <v>#DIV/0!</v>
      </c>
      <c r="E19" s="32"/>
      <c r="F19" s="32"/>
      <c r="G19" s="32"/>
      <c r="H19" s="32"/>
      <c r="I19" s="32"/>
      <c r="J19" s="35"/>
    </row>
    <row r="20" spans="1:10" x14ac:dyDescent="0.25">
      <c r="A20" s="24" t="s">
        <v>77</v>
      </c>
      <c r="B20" s="23"/>
      <c r="C20" s="23"/>
      <c r="D20" s="25" t="e">
        <f t="shared" si="0"/>
        <v>#DIV/0!</v>
      </c>
      <c r="E20" s="32"/>
      <c r="F20" s="32"/>
      <c r="G20" s="32"/>
      <c r="H20" s="32"/>
      <c r="I20" s="32"/>
      <c r="J20" s="35"/>
    </row>
    <row r="21" spans="1:10" x14ac:dyDescent="0.25">
      <c r="A21" s="24" t="s">
        <v>78</v>
      </c>
      <c r="B21" s="23"/>
      <c r="C21" s="23"/>
      <c r="D21" s="25" t="e">
        <f t="shared" si="0"/>
        <v>#DIV/0!</v>
      </c>
      <c r="E21" s="32"/>
      <c r="F21" s="32"/>
      <c r="G21" s="32"/>
      <c r="H21" s="32"/>
      <c r="I21" s="32"/>
      <c r="J21" s="35"/>
    </row>
    <row r="22" spans="1:10" x14ac:dyDescent="0.25">
      <c r="A22" s="26"/>
      <c r="B22" s="27"/>
      <c r="C22" s="27"/>
      <c r="D22" s="27"/>
      <c r="E22" s="27"/>
      <c r="F22" s="27"/>
      <c r="G22" s="28"/>
      <c r="H22" s="28"/>
      <c r="I22" s="28"/>
      <c r="J22" s="28"/>
    </row>
    <row r="23" spans="1:10" x14ac:dyDescent="0.25">
      <c r="A23" s="33" t="s">
        <v>3</v>
      </c>
      <c r="B23" s="154" t="s">
        <v>162</v>
      </c>
      <c r="C23" s="155"/>
      <c r="D23" s="155"/>
      <c r="E23" s="155"/>
      <c r="F23" s="155"/>
      <c r="G23" s="155"/>
      <c r="H23" s="155"/>
      <c r="I23" s="155"/>
      <c r="J23" s="156"/>
    </row>
    <row r="24" spans="1:10" x14ac:dyDescent="0.25">
      <c r="A24" s="33" t="s">
        <v>63</v>
      </c>
      <c r="B24" s="157" t="s">
        <v>184</v>
      </c>
      <c r="C24" s="158"/>
      <c r="D24" s="158"/>
      <c r="E24" s="158"/>
      <c r="F24" s="158"/>
      <c r="G24" s="158"/>
      <c r="H24" s="158"/>
      <c r="I24" s="158"/>
      <c r="J24" s="159"/>
    </row>
    <row r="25" spans="1:10" ht="60" x14ac:dyDescent="0.25">
      <c r="A25" s="62" t="s">
        <v>66</v>
      </c>
      <c r="B25" s="63" t="s">
        <v>165</v>
      </c>
      <c r="C25" s="63" t="s">
        <v>166</v>
      </c>
      <c r="D25" s="63" t="s">
        <v>167</v>
      </c>
      <c r="E25" s="32"/>
      <c r="F25" s="32"/>
      <c r="G25" s="32"/>
      <c r="H25" s="32"/>
      <c r="I25" s="32"/>
      <c r="J25" s="35"/>
    </row>
    <row r="26" spans="1:10" x14ac:dyDescent="0.25">
      <c r="A26" s="145" t="s">
        <v>105</v>
      </c>
      <c r="B26" s="148">
        <v>0</v>
      </c>
      <c r="C26" s="148">
        <v>0</v>
      </c>
      <c r="D26" s="151" t="s">
        <v>183</v>
      </c>
      <c r="E26" s="32"/>
      <c r="F26" s="32"/>
      <c r="G26" s="32"/>
      <c r="H26" s="32"/>
      <c r="I26" s="32"/>
      <c r="J26" s="35"/>
    </row>
    <row r="27" spans="1:10" x14ac:dyDescent="0.25">
      <c r="A27" s="146"/>
      <c r="B27" s="149"/>
      <c r="C27" s="149"/>
      <c r="D27" s="152"/>
      <c r="E27" s="32"/>
      <c r="F27" s="32"/>
      <c r="G27" s="32"/>
      <c r="H27" s="32"/>
      <c r="I27" s="32"/>
      <c r="J27" s="35"/>
    </row>
    <row r="28" spans="1:10" x14ac:dyDescent="0.25">
      <c r="A28" s="147"/>
      <c r="B28" s="150"/>
      <c r="C28" s="150"/>
      <c r="D28" s="153"/>
      <c r="E28" s="32"/>
      <c r="F28" s="32"/>
      <c r="G28" s="32"/>
      <c r="H28" s="32"/>
      <c r="I28" s="32"/>
      <c r="J28" s="35"/>
    </row>
    <row r="29" spans="1:10" x14ac:dyDescent="0.25">
      <c r="A29" s="145" t="s">
        <v>106</v>
      </c>
      <c r="B29" s="148">
        <v>1</v>
      </c>
      <c r="C29" s="148">
        <v>1</v>
      </c>
      <c r="D29" s="151">
        <f>C29/B29</f>
        <v>1</v>
      </c>
      <c r="E29" s="32"/>
      <c r="F29" s="32"/>
      <c r="G29" s="32"/>
      <c r="H29" s="32"/>
      <c r="I29" s="32"/>
      <c r="J29" s="35"/>
    </row>
    <row r="30" spans="1:10" x14ac:dyDescent="0.25">
      <c r="A30" s="146"/>
      <c r="B30" s="149"/>
      <c r="C30" s="149"/>
      <c r="D30" s="152"/>
      <c r="E30" s="32"/>
      <c r="F30" s="32"/>
      <c r="G30" s="32"/>
      <c r="H30" s="32"/>
      <c r="I30" s="32"/>
      <c r="J30" s="35"/>
    </row>
    <row r="31" spans="1:10" x14ac:dyDescent="0.25">
      <c r="A31" s="147"/>
      <c r="B31" s="150"/>
      <c r="C31" s="150"/>
      <c r="D31" s="153"/>
      <c r="E31" s="32"/>
      <c r="F31" s="32"/>
      <c r="G31" s="32"/>
      <c r="H31" s="32"/>
      <c r="I31" s="32"/>
      <c r="J31" s="35"/>
    </row>
    <row r="32" spans="1:10" x14ac:dyDescent="0.25">
      <c r="A32" s="145" t="s">
        <v>107</v>
      </c>
      <c r="B32" s="148">
        <v>0</v>
      </c>
      <c r="C32" s="148">
        <v>0</v>
      </c>
      <c r="D32" s="151" t="s">
        <v>183</v>
      </c>
      <c r="E32" s="32"/>
      <c r="F32" s="32"/>
      <c r="G32" s="32"/>
      <c r="H32" s="32"/>
      <c r="I32" s="32"/>
      <c r="J32" s="35"/>
    </row>
    <row r="33" spans="1:10" x14ac:dyDescent="0.25">
      <c r="A33" s="146"/>
      <c r="B33" s="149"/>
      <c r="C33" s="149"/>
      <c r="D33" s="152"/>
      <c r="E33" s="32"/>
      <c r="F33" s="32"/>
      <c r="G33" s="32"/>
      <c r="H33" s="32"/>
      <c r="I33" s="32"/>
      <c r="J33" s="35"/>
    </row>
    <row r="34" spans="1:10" x14ac:dyDescent="0.25">
      <c r="A34" s="147"/>
      <c r="B34" s="150"/>
      <c r="C34" s="150"/>
      <c r="D34" s="153"/>
      <c r="E34" s="32"/>
      <c r="F34" s="32"/>
      <c r="G34" s="32"/>
      <c r="H34" s="32"/>
      <c r="I34" s="32"/>
      <c r="J34" s="35"/>
    </row>
    <row r="35" spans="1:10" x14ac:dyDescent="0.25">
      <c r="A35" s="145" t="s">
        <v>108</v>
      </c>
      <c r="B35" s="148">
        <v>0</v>
      </c>
      <c r="C35" s="148">
        <v>0</v>
      </c>
      <c r="D35" s="151" t="s">
        <v>183</v>
      </c>
      <c r="E35" s="32"/>
      <c r="F35" s="32"/>
      <c r="G35" s="32"/>
      <c r="H35" s="32"/>
      <c r="I35" s="32"/>
      <c r="J35" s="35"/>
    </row>
    <row r="36" spans="1:10" x14ac:dyDescent="0.25">
      <c r="A36" s="146"/>
      <c r="B36" s="149"/>
      <c r="C36" s="149"/>
      <c r="D36" s="152"/>
      <c r="E36" s="32"/>
      <c r="F36" s="32"/>
      <c r="G36" s="32"/>
      <c r="H36" s="32"/>
      <c r="I36" s="32"/>
      <c r="J36" s="35"/>
    </row>
    <row r="37" spans="1:10" x14ac:dyDescent="0.25">
      <c r="A37" s="147"/>
      <c r="B37" s="150"/>
      <c r="C37" s="150"/>
      <c r="D37" s="153"/>
      <c r="E37" s="32"/>
      <c r="F37" s="32"/>
      <c r="G37" s="32"/>
      <c r="H37" s="32"/>
      <c r="I37" s="32"/>
      <c r="J37" s="35"/>
    </row>
    <row r="38" spans="1:10" x14ac:dyDescent="0.25">
      <c r="E38" s="32"/>
      <c r="F38" s="32"/>
      <c r="G38" s="32"/>
      <c r="H38" s="32"/>
      <c r="I38" s="32"/>
      <c r="J38" s="35"/>
    </row>
    <row r="39" spans="1:10" ht="15.75" x14ac:dyDescent="0.25">
      <c r="A39" s="36" t="s">
        <v>168</v>
      </c>
      <c r="B39" s="34"/>
      <c r="C39" s="32"/>
      <c r="D39" s="32"/>
      <c r="E39" s="32"/>
      <c r="F39" s="32"/>
      <c r="G39" s="32"/>
      <c r="H39" s="32"/>
      <c r="I39" s="32"/>
      <c r="J39" s="35"/>
    </row>
    <row r="40" spans="1:10" x14ac:dyDescent="0.25">
      <c r="A40" s="22"/>
      <c r="B40" s="37"/>
      <c r="C40" s="37"/>
      <c r="D40" s="37"/>
      <c r="E40" s="37"/>
      <c r="F40" s="37"/>
      <c r="G40" s="37"/>
      <c r="H40" s="37"/>
      <c r="I40" s="37"/>
      <c r="J40" s="38"/>
    </row>
  </sheetData>
  <mergeCells count="28">
    <mergeCell ref="B23:J23"/>
    <mergeCell ref="B24:J24"/>
    <mergeCell ref="N3:S3"/>
    <mergeCell ref="A4:A5"/>
    <mergeCell ref="B4:J5"/>
    <mergeCell ref="B7:J7"/>
    <mergeCell ref="B8:J8"/>
    <mergeCell ref="A1:B3"/>
    <mergeCell ref="C1:H3"/>
    <mergeCell ref="I1:J1"/>
    <mergeCell ref="I2:J2"/>
    <mergeCell ref="I3:J3"/>
    <mergeCell ref="A26:A28"/>
    <mergeCell ref="B26:B28"/>
    <mergeCell ref="C26:C28"/>
    <mergeCell ref="D26:D28"/>
    <mergeCell ref="A29:A31"/>
    <mergeCell ref="B29:B31"/>
    <mergeCell ref="C29:C31"/>
    <mergeCell ref="D29:D31"/>
    <mergeCell ref="A32:A34"/>
    <mergeCell ref="B32:B34"/>
    <mergeCell ref="C32:C34"/>
    <mergeCell ref="D32:D34"/>
    <mergeCell ref="A35:A37"/>
    <mergeCell ref="B35:B37"/>
    <mergeCell ref="C35:C37"/>
    <mergeCell ref="D35:D37"/>
  </mergeCell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zoomScale="90" zoomScaleNormal="90" workbookViewId="0">
      <selection sqref="A1:B3"/>
    </sheetView>
  </sheetViews>
  <sheetFormatPr baseColWidth="10" defaultRowHeight="15" x14ac:dyDescent="0.25"/>
  <cols>
    <col min="1" max="1" width="12.28515625" customWidth="1"/>
    <col min="2" max="5" width="14.5703125"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129</v>
      </c>
      <c r="J3" s="135"/>
      <c r="N3" s="136"/>
      <c r="O3" s="136"/>
      <c r="P3" s="136"/>
      <c r="Q3" s="136"/>
      <c r="R3" s="136"/>
      <c r="S3" s="136"/>
    </row>
    <row r="4" spans="1:19" ht="15" customHeight="1" x14ac:dyDescent="0.25">
      <c r="A4" s="137" t="s">
        <v>62</v>
      </c>
      <c r="B4" s="139" t="s">
        <v>26</v>
      </c>
      <c r="C4" s="140"/>
      <c r="D4" s="140"/>
      <c r="E4" s="140"/>
      <c r="F4" s="140"/>
      <c r="G4" s="140"/>
      <c r="H4" s="140"/>
      <c r="I4" s="140"/>
      <c r="J4" s="141"/>
      <c r="N4" s="32"/>
      <c r="O4" s="32"/>
      <c r="P4" s="32"/>
      <c r="Q4" s="32"/>
      <c r="R4" s="32"/>
      <c r="S4" s="32"/>
    </row>
    <row r="5" spans="1:19" x14ac:dyDescent="0.25">
      <c r="A5" s="137"/>
      <c r="B5" s="142"/>
      <c r="C5" s="143"/>
      <c r="D5" s="143"/>
      <c r="E5" s="143"/>
      <c r="F5" s="143"/>
      <c r="G5" s="143"/>
      <c r="H5" s="143"/>
      <c r="I5" s="143"/>
      <c r="J5" s="144"/>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54" t="s">
        <v>101</v>
      </c>
      <c r="C7" s="155"/>
      <c r="D7" s="155"/>
      <c r="E7" s="155"/>
      <c r="F7" s="155"/>
      <c r="G7" s="155"/>
      <c r="H7" s="155"/>
      <c r="I7" s="155"/>
      <c r="J7" s="156"/>
    </row>
    <row r="8" spans="1:19" ht="15" customHeight="1" x14ac:dyDescent="0.25">
      <c r="A8" s="33" t="s">
        <v>63</v>
      </c>
      <c r="B8" s="157" t="s">
        <v>103</v>
      </c>
      <c r="C8" s="158"/>
      <c r="D8" s="158"/>
      <c r="E8" s="158"/>
      <c r="F8" s="158"/>
      <c r="G8" s="158"/>
      <c r="H8" s="158"/>
      <c r="I8" s="158"/>
      <c r="J8" s="159"/>
    </row>
    <row r="9" spans="1:19" ht="58.5" customHeight="1" x14ac:dyDescent="0.25">
      <c r="A9" s="2" t="s">
        <v>66</v>
      </c>
      <c r="B9" s="3" t="s">
        <v>104</v>
      </c>
      <c r="C9" s="3" t="s">
        <v>102</v>
      </c>
      <c r="D9" s="3" t="s">
        <v>167</v>
      </c>
      <c r="E9" s="32"/>
      <c r="F9" s="32"/>
      <c r="G9" s="32"/>
      <c r="H9" s="32"/>
      <c r="I9" s="32"/>
      <c r="J9" s="35"/>
    </row>
    <row r="10" spans="1:19" x14ac:dyDescent="0.25">
      <c r="A10" s="145" t="s">
        <v>105</v>
      </c>
      <c r="B10" s="148">
        <v>98</v>
      </c>
      <c r="C10" s="148">
        <v>100</v>
      </c>
      <c r="D10" s="151">
        <f>B10/C10</f>
        <v>0.98</v>
      </c>
      <c r="E10" s="32"/>
      <c r="F10" s="32"/>
      <c r="G10" s="32"/>
      <c r="H10" s="32"/>
      <c r="I10" s="32"/>
      <c r="J10" s="35"/>
    </row>
    <row r="11" spans="1:19" x14ac:dyDescent="0.25">
      <c r="A11" s="146"/>
      <c r="B11" s="149"/>
      <c r="C11" s="149"/>
      <c r="D11" s="152"/>
      <c r="E11" s="32"/>
      <c r="F11" s="32"/>
      <c r="G11" s="32"/>
      <c r="H11" s="32"/>
      <c r="I11" s="32"/>
      <c r="J11" s="35"/>
    </row>
    <row r="12" spans="1:19" x14ac:dyDescent="0.25">
      <c r="A12" s="147"/>
      <c r="B12" s="150"/>
      <c r="C12" s="150"/>
      <c r="D12" s="153"/>
      <c r="E12" s="32"/>
      <c r="F12" s="32"/>
      <c r="G12" s="32"/>
      <c r="H12" s="32"/>
      <c r="I12" s="32"/>
      <c r="J12" s="35"/>
    </row>
    <row r="13" spans="1:19" x14ac:dyDescent="0.25">
      <c r="A13" s="145" t="s">
        <v>106</v>
      </c>
      <c r="B13" s="148">
        <v>100</v>
      </c>
      <c r="C13" s="148">
        <v>100</v>
      </c>
      <c r="D13" s="151">
        <f>B13/C13</f>
        <v>1</v>
      </c>
      <c r="E13" s="32"/>
      <c r="F13" s="32"/>
      <c r="G13" s="32"/>
      <c r="H13" s="32"/>
      <c r="I13" s="32"/>
      <c r="J13" s="35"/>
    </row>
    <row r="14" spans="1:19" x14ac:dyDescent="0.25">
      <c r="A14" s="146"/>
      <c r="B14" s="149"/>
      <c r="C14" s="149"/>
      <c r="D14" s="152"/>
      <c r="E14" s="32"/>
      <c r="F14" s="32"/>
      <c r="G14" s="32"/>
      <c r="H14" s="32"/>
      <c r="I14" s="32"/>
      <c r="J14" s="35"/>
    </row>
    <row r="15" spans="1:19" x14ac:dyDescent="0.25">
      <c r="A15" s="147"/>
      <c r="B15" s="150"/>
      <c r="C15" s="150"/>
      <c r="D15" s="153"/>
      <c r="E15" s="32"/>
      <c r="F15" s="32"/>
      <c r="G15" s="32"/>
      <c r="H15" s="32"/>
      <c r="I15" s="32"/>
      <c r="J15" s="35"/>
    </row>
    <row r="16" spans="1:19" x14ac:dyDescent="0.25">
      <c r="A16" s="145" t="s">
        <v>107</v>
      </c>
      <c r="B16" s="148"/>
      <c r="C16" s="148"/>
      <c r="D16" s="151" t="e">
        <f>B16/C16</f>
        <v>#DIV/0!</v>
      </c>
      <c r="E16" s="32"/>
      <c r="F16" s="32"/>
      <c r="G16" s="32"/>
      <c r="H16" s="32"/>
      <c r="I16" s="32"/>
      <c r="J16" s="35"/>
    </row>
    <row r="17" spans="1:10" x14ac:dyDescent="0.25">
      <c r="A17" s="146"/>
      <c r="B17" s="149"/>
      <c r="C17" s="149"/>
      <c r="D17" s="152"/>
      <c r="E17" s="32"/>
      <c r="F17" s="32"/>
      <c r="G17" s="32"/>
      <c r="H17" s="32"/>
      <c r="I17" s="32"/>
      <c r="J17" s="35"/>
    </row>
    <row r="18" spans="1:10" x14ac:dyDescent="0.25">
      <c r="A18" s="147"/>
      <c r="B18" s="150"/>
      <c r="C18" s="150"/>
      <c r="D18" s="153"/>
      <c r="E18" s="32"/>
      <c r="F18" s="32"/>
      <c r="G18" s="32"/>
      <c r="H18" s="32"/>
      <c r="I18" s="32"/>
      <c r="J18" s="35"/>
    </row>
    <row r="19" spans="1:10" x14ac:dyDescent="0.25">
      <c r="A19" s="145" t="s">
        <v>108</v>
      </c>
      <c r="B19" s="148"/>
      <c r="C19" s="148"/>
      <c r="D19" s="151" t="e">
        <f>B19/C19</f>
        <v>#DIV/0!</v>
      </c>
      <c r="E19" s="32"/>
      <c r="F19" s="32"/>
      <c r="G19" s="32"/>
      <c r="H19" s="32"/>
      <c r="I19" s="32"/>
      <c r="J19" s="35"/>
    </row>
    <row r="20" spans="1:10" x14ac:dyDescent="0.25">
      <c r="A20" s="146"/>
      <c r="B20" s="149"/>
      <c r="C20" s="149"/>
      <c r="D20" s="152"/>
      <c r="E20" s="32"/>
      <c r="F20" s="32"/>
      <c r="G20" s="32"/>
      <c r="H20" s="32"/>
      <c r="I20" s="32"/>
      <c r="J20" s="35"/>
    </row>
    <row r="21" spans="1:10" x14ac:dyDescent="0.25">
      <c r="A21" s="147"/>
      <c r="B21" s="150"/>
      <c r="C21" s="150"/>
      <c r="D21" s="153"/>
      <c r="E21" s="32"/>
      <c r="F21" s="32"/>
      <c r="G21" s="32"/>
      <c r="H21" s="32"/>
      <c r="I21" s="32"/>
      <c r="J21" s="35"/>
    </row>
    <row r="22" spans="1:10" x14ac:dyDescent="0.25">
      <c r="E22" s="32"/>
      <c r="F22" s="32"/>
      <c r="G22" s="32"/>
      <c r="H22" s="32"/>
      <c r="I22" s="32"/>
      <c r="J22" s="35"/>
    </row>
    <row r="23" spans="1:10" x14ac:dyDescent="0.25">
      <c r="A23" s="21"/>
      <c r="B23" s="32"/>
      <c r="C23" s="32"/>
      <c r="D23" s="32"/>
      <c r="E23" s="32"/>
      <c r="F23" s="32"/>
      <c r="G23" s="32"/>
      <c r="H23" s="32"/>
      <c r="I23" s="32"/>
      <c r="J23" s="35"/>
    </row>
    <row r="24" spans="1:10" ht="15.75" x14ac:dyDescent="0.25">
      <c r="A24" s="36" t="s">
        <v>109</v>
      </c>
      <c r="B24" s="34"/>
      <c r="C24" s="32"/>
      <c r="D24" s="32"/>
      <c r="E24" s="32"/>
      <c r="F24" s="32"/>
      <c r="G24" s="32"/>
      <c r="H24" s="32"/>
      <c r="I24" s="32"/>
      <c r="J24" s="35"/>
    </row>
    <row r="25" spans="1:10" x14ac:dyDescent="0.25">
      <c r="A25" s="22"/>
      <c r="B25" s="37"/>
      <c r="C25" s="37"/>
      <c r="D25" s="37"/>
      <c r="E25" s="37"/>
      <c r="F25" s="37"/>
      <c r="G25" s="37"/>
      <c r="H25" s="37"/>
      <c r="I25" s="37"/>
      <c r="J25" s="38"/>
    </row>
  </sheetData>
  <mergeCells count="26">
    <mergeCell ref="N3:S3"/>
    <mergeCell ref="A1:B3"/>
    <mergeCell ref="C1:H3"/>
    <mergeCell ref="I1:J1"/>
    <mergeCell ref="I2:J2"/>
    <mergeCell ref="I3:J3"/>
    <mergeCell ref="A4:A5"/>
    <mergeCell ref="B4:J5"/>
    <mergeCell ref="B7:J7"/>
    <mergeCell ref="B8:J8"/>
    <mergeCell ref="B10:B12"/>
    <mergeCell ref="C10:C12"/>
    <mergeCell ref="D10:D12"/>
    <mergeCell ref="B19:B21"/>
    <mergeCell ref="C19:C21"/>
    <mergeCell ref="D19:D21"/>
    <mergeCell ref="A10:A12"/>
    <mergeCell ref="A13:A15"/>
    <mergeCell ref="A16:A18"/>
    <mergeCell ref="A19:A21"/>
    <mergeCell ref="B13:B15"/>
    <mergeCell ref="C13:C15"/>
    <mergeCell ref="D13:D15"/>
    <mergeCell ref="B16:B18"/>
    <mergeCell ref="C16:C18"/>
    <mergeCell ref="D16:D18"/>
  </mergeCells>
  <pageMargins left="0.7" right="0.7" top="0.75" bottom="0.75" header="0.3" footer="0.3"/>
  <pageSetup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0"/>
  <sheetViews>
    <sheetView zoomScale="90" zoomScaleNormal="90" workbookViewId="0">
      <selection sqref="A1:B3"/>
    </sheetView>
  </sheetViews>
  <sheetFormatPr baseColWidth="10" defaultRowHeight="15" x14ac:dyDescent="0.25"/>
  <cols>
    <col min="1" max="1" width="12.28515625" customWidth="1"/>
    <col min="2" max="2" width="19.85546875" bestFit="1" customWidth="1"/>
    <col min="3" max="3" width="20.140625" bestFit="1" customWidth="1"/>
    <col min="4" max="4" width="18.28515625" bestFit="1" customWidth="1"/>
    <col min="5" max="5" width="15.85546875" customWidth="1"/>
    <col min="6" max="6" width="14" customWidth="1"/>
    <col min="7" max="8" width="14.28515625" customWidth="1"/>
    <col min="9" max="10" width="12.140625" customWidth="1"/>
    <col min="12" max="12" width="20.140625" bestFit="1"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128</v>
      </c>
      <c r="J3" s="135"/>
      <c r="N3" s="136"/>
      <c r="O3" s="136"/>
      <c r="P3" s="136"/>
      <c r="Q3" s="136"/>
      <c r="R3" s="136"/>
      <c r="S3" s="136"/>
    </row>
    <row r="4" spans="1:19" ht="15" customHeight="1" x14ac:dyDescent="0.25">
      <c r="A4" s="137" t="s">
        <v>62</v>
      </c>
      <c r="B4" s="139" t="s">
        <v>111</v>
      </c>
      <c r="C4" s="140"/>
      <c r="D4" s="140"/>
      <c r="E4" s="140"/>
      <c r="F4" s="140"/>
      <c r="G4" s="140"/>
      <c r="H4" s="140"/>
      <c r="I4" s="140"/>
      <c r="J4" s="141"/>
      <c r="N4" s="32"/>
      <c r="O4" s="32"/>
      <c r="P4" s="32"/>
      <c r="Q4" s="32"/>
      <c r="R4" s="32"/>
      <c r="S4" s="32"/>
    </row>
    <row r="5" spans="1:19" x14ac:dyDescent="0.25">
      <c r="A5" s="137"/>
      <c r="B5" s="142"/>
      <c r="C5" s="143"/>
      <c r="D5" s="143"/>
      <c r="E5" s="143"/>
      <c r="F5" s="143"/>
      <c r="G5" s="143"/>
      <c r="H5" s="143"/>
      <c r="I5" s="143"/>
      <c r="J5" s="144"/>
      <c r="N5" s="32"/>
      <c r="O5" s="32"/>
      <c r="P5" s="32"/>
      <c r="Q5" s="32"/>
      <c r="R5" s="32"/>
      <c r="S5" s="32"/>
    </row>
    <row r="6" spans="1:19" x14ac:dyDescent="0.25">
      <c r="A6" s="80"/>
      <c r="B6" s="27"/>
      <c r="C6" s="27"/>
      <c r="D6" s="27"/>
      <c r="E6" s="27"/>
      <c r="F6" s="27"/>
      <c r="G6" s="81"/>
      <c r="H6" s="81"/>
      <c r="I6" s="81"/>
      <c r="J6" s="82"/>
      <c r="N6" s="32"/>
      <c r="O6" s="32"/>
      <c r="P6" s="32"/>
      <c r="Q6" s="32"/>
      <c r="R6" s="32"/>
      <c r="S6" s="32"/>
    </row>
    <row r="7" spans="1:19" ht="15" customHeight="1" x14ac:dyDescent="0.25">
      <c r="A7" s="33" t="s">
        <v>3</v>
      </c>
      <c r="B7" s="130" t="s">
        <v>112</v>
      </c>
      <c r="C7" s="130"/>
      <c r="D7" s="130"/>
      <c r="E7" s="130"/>
      <c r="F7" s="130"/>
      <c r="G7" s="130"/>
      <c r="H7" s="130"/>
      <c r="I7" s="130"/>
      <c r="J7" s="130"/>
    </row>
    <row r="8" spans="1:19" x14ac:dyDescent="0.25">
      <c r="A8" s="33" t="s">
        <v>63</v>
      </c>
      <c r="B8" s="132" t="s">
        <v>58</v>
      </c>
      <c r="C8" s="132"/>
      <c r="D8" s="132"/>
      <c r="E8" s="132"/>
      <c r="F8" s="132"/>
      <c r="G8" s="132"/>
      <c r="H8" s="132"/>
      <c r="I8" s="132"/>
      <c r="J8" s="132"/>
    </row>
    <row r="9" spans="1:19" ht="58.5" customHeight="1" x14ac:dyDescent="0.25">
      <c r="A9" s="73" t="s">
        <v>66</v>
      </c>
      <c r="B9" s="72" t="s">
        <v>113</v>
      </c>
      <c r="C9" s="72" t="s">
        <v>114</v>
      </c>
      <c r="D9" s="72" t="s">
        <v>115</v>
      </c>
      <c r="E9" s="32"/>
      <c r="F9" s="32"/>
      <c r="G9" s="32"/>
      <c r="H9" s="32"/>
      <c r="I9" s="32"/>
      <c r="J9" s="35"/>
    </row>
    <row r="10" spans="1:19" x14ac:dyDescent="0.25">
      <c r="A10" s="24" t="s">
        <v>67</v>
      </c>
      <c r="B10" s="74">
        <v>890037560</v>
      </c>
      <c r="C10" s="74">
        <v>684406309</v>
      </c>
      <c r="D10" s="25">
        <f>B10/C10</f>
        <v>1.3004520097140133</v>
      </c>
      <c r="E10" s="32"/>
      <c r="F10" s="32"/>
      <c r="G10" s="32"/>
      <c r="H10" s="32"/>
      <c r="I10" s="32"/>
      <c r="J10" s="35"/>
    </row>
    <row r="11" spans="1:19" x14ac:dyDescent="0.25">
      <c r="A11" s="24" t="s">
        <v>68</v>
      </c>
      <c r="B11" s="74">
        <v>1044104513</v>
      </c>
      <c r="C11" s="74">
        <v>700507680</v>
      </c>
      <c r="D11" s="25">
        <f t="shared" ref="D11:D21" si="0">B11/C11</f>
        <v>1.490496882204061</v>
      </c>
      <c r="E11" s="32"/>
      <c r="F11" s="32"/>
      <c r="G11" s="32"/>
      <c r="H11" s="32"/>
      <c r="I11" s="32"/>
      <c r="J11" s="35"/>
    </row>
    <row r="12" spans="1:19" x14ac:dyDescent="0.25">
      <c r="A12" s="24" t="s">
        <v>69</v>
      </c>
      <c r="B12" s="74">
        <v>1072667743</v>
      </c>
      <c r="C12" s="74">
        <v>700507680</v>
      </c>
      <c r="D12" s="25">
        <f t="shared" si="0"/>
        <v>1.5312719240993904</v>
      </c>
      <c r="E12" s="32"/>
      <c r="F12" s="32"/>
      <c r="G12" s="32"/>
      <c r="H12" s="32"/>
      <c r="I12" s="32"/>
      <c r="J12" s="35"/>
    </row>
    <row r="13" spans="1:19" x14ac:dyDescent="0.25">
      <c r="A13" s="24" t="s">
        <v>70</v>
      </c>
      <c r="B13" s="74">
        <v>886490524</v>
      </c>
      <c r="C13" s="74">
        <v>696507680</v>
      </c>
      <c r="D13" s="25">
        <f t="shared" si="0"/>
        <v>1.2727648947101344</v>
      </c>
      <c r="E13" s="32"/>
      <c r="F13" s="32"/>
      <c r="G13" s="32"/>
      <c r="H13" s="32"/>
      <c r="I13" s="32"/>
      <c r="J13" s="35"/>
    </row>
    <row r="14" spans="1:19" x14ac:dyDescent="0.25">
      <c r="A14" s="24" t="s">
        <v>71</v>
      </c>
      <c r="B14" s="74">
        <v>871162169</v>
      </c>
      <c r="C14" s="74">
        <v>795521517</v>
      </c>
      <c r="D14" s="25">
        <f t="shared" si="0"/>
        <v>1.095083100059002</v>
      </c>
      <c r="E14" s="32"/>
      <c r="F14" s="32"/>
      <c r="G14" s="32"/>
      <c r="H14" s="32"/>
      <c r="I14" s="32"/>
      <c r="J14" s="35"/>
    </row>
    <row r="15" spans="1:19" x14ac:dyDescent="0.25">
      <c r="A15" s="24" t="s">
        <v>72</v>
      </c>
      <c r="B15" s="74">
        <v>989907138</v>
      </c>
      <c r="C15" s="74">
        <v>798721517</v>
      </c>
      <c r="D15" s="25">
        <f t="shared" si="0"/>
        <v>1.2393645556439918</v>
      </c>
      <c r="E15" s="32"/>
      <c r="F15" s="32"/>
      <c r="G15" s="32"/>
      <c r="H15" s="32"/>
      <c r="I15" s="32"/>
      <c r="J15" s="35"/>
    </row>
    <row r="16" spans="1:19" x14ac:dyDescent="0.25">
      <c r="A16" s="24" t="s">
        <v>73</v>
      </c>
      <c r="B16" s="74"/>
      <c r="C16" s="74"/>
      <c r="D16" s="25" t="e">
        <f t="shared" si="0"/>
        <v>#DIV/0!</v>
      </c>
      <c r="E16" s="32"/>
      <c r="F16" s="32"/>
      <c r="G16" s="32"/>
      <c r="H16" s="32"/>
      <c r="I16" s="32"/>
      <c r="J16" s="35"/>
    </row>
    <row r="17" spans="1:10" x14ac:dyDescent="0.25">
      <c r="A17" s="24" t="s">
        <v>74</v>
      </c>
      <c r="B17" s="74"/>
      <c r="C17" s="74"/>
      <c r="D17" s="25" t="e">
        <f t="shared" si="0"/>
        <v>#DIV/0!</v>
      </c>
      <c r="E17" s="32"/>
      <c r="F17" s="32"/>
      <c r="G17" s="32"/>
      <c r="H17" s="32"/>
      <c r="I17" s="32"/>
      <c r="J17" s="35"/>
    </row>
    <row r="18" spans="1:10" x14ac:dyDescent="0.25">
      <c r="A18" s="24" t="s">
        <v>75</v>
      </c>
      <c r="B18" s="74"/>
      <c r="C18" s="74"/>
      <c r="D18" s="25" t="e">
        <f t="shared" si="0"/>
        <v>#DIV/0!</v>
      </c>
      <c r="E18" s="32"/>
      <c r="F18" s="32"/>
      <c r="G18" s="32"/>
      <c r="H18" s="32"/>
      <c r="I18" s="32"/>
      <c r="J18" s="35"/>
    </row>
    <row r="19" spans="1:10" x14ac:dyDescent="0.25">
      <c r="A19" s="24" t="s">
        <v>76</v>
      </c>
      <c r="B19" s="74"/>
      <c r="C19" s="74"/>
      <c r="D19" s="25" t="e">
        <f t="shared" si="0"/>
        <v>#DIV/0!</v>
      </c>
      <c r="E19" s="32"/>
      <c r="F19" s="32"/>
      <c r="G19" s="32"/>
      <c r="H19" s="32"/>
      <c r="I19" s="32"/>
      <c r="J19" s="35"/>
    </row>
    <row r="20" spans="1:10" x14ac:dyDescent="0.25">
      <c r="A20" s="24" t="s">
        <v>77</v>
      </c>
      <c r="B20" s="74"/>
      <c r="C20" s="74"/>
      <c r="D20" s="25" t="e">
        <f t="shared" si="0"/>
        <v>#DIV/0!</v>
      </c>
      <c r="E20" s="32"/>
      <c r="F20" s="32"/>
      <c r="G20" s="32"/>
      <c r="H20" s="32"/>
      <c r="I20" s="32"/>
      <c r="J20" s="35"/>
    </row>
    <row r="21" spans="1:10" x14ac:dyDescent="0.25">
      <c r="A21" s="29" t="s">
        <v>78</v>
      </c>
      <c r="B21" s="75"/>
      <c r="C21" s="75"/>
      <c r="D21" s="25" t="e">
        <f t="shared" si="0"/>
        <v>#DIV/0!</v>
      </c>
      <c r="E21" s="32"/>
      <c r="F21" s="32"/>
      <c r="G21" s="32"/>
      <c r="H21" s="32"/>
      <c r="I21" s="32"/>
      <c r="J21" s="35"/>
    </row>
    <row r="22" spans="1:10" x14ac:dyDescent="0.25">
      <c r="A22" s="133"/>
      <c r="B22" s="133"/>
      <c r="C22" s="133"/>
      <c r="D22" s="133"/>
      <c r="E22" s="133"/>
      <c r="F22" s="133"/>
      <c r="G22" s="133"/>
      <c r="H22" s="133"/>
      <c r="I22" s="133"/>
      <c r="J22" s="133"/>
    </row>
    <row r="23" spans="1:10" x14ac:dyDescent="0.25">
      <c r="A23" s="33" t="s">
        <v>3</v>
      </c>
      <c r="B23" s="130" t="s">
        <v>174</v>
      </c>
      <c r="C23" s="130"/>
      <c r="D23" s="130"/>
      <c r="E23" s="130"/>
      <c r="F23" s="130"/>
      <c r="G23" s="130"/>
      <c r="H23" s="130"/>
      <c r="I23" s="130"/>
      <c r="J23" s="130"/>
    </row>
    <row r="24" spans="1:10" x14ac:dyDescent="0.25">
      <c r="A24" s="33" t="s">
        <v>63</v>
      </c>
      <c r="B24" s="131" t="s">
        <v>169</v>
      </c>
      <c r="C24" s="131"/>
      <c r="D24" s="131"/>
      <c r="E24" s="132"/>
      <c r="F24" s="132"/>
      <c r="G24" s="132"/>
      <c r="H24" s="132"/>
      <c r="I24" s="132"/>
      <c r="J24" s="132"/>
    </row>
    <row r="25" spans="1:10" ht="30" x14ac:dyDescent="0.25">
      <c r="A25" s="73" t="s">
        <v>66</v>
      </c>
      <c r="B25" s="72" t="s">
        <v>170</v>
      </c>
      <c r="C25" s="72" t="s">
        <v>171</v>
      </c>
      <c r="D25" s="71" t="s">
        <v>172</v>
      </c>
      <c r="E25" s="77" t="s">
        <v>173</v>
      </c>
      <c r="F25" s="32"/>
      <c r="G25" s="32"/>
      <c r="H25" s="32"/>
      <c r="I25" s="32"/>
      <c r="J25" s="35"/>
    </row>
    <row r="26" spans="1:10" x14ac:dyDescent="0.25">
      <c r="A26" s="24" t="s">
        <v>67</v>
      </c>
      <c r="B26" s="74">
        <v>2075180140</v>
      </c>
      <c r="C26" s="74">
        <v>157302988</v>
      </c>
      <c r="D26" s="74">
        <v>687603494</v>
      </c>
      <c r="E26" s="76">
        <f>B26-C26-D26</f>
        <v>1230273658</v>
      </c>
      <c r="F26" s="32"/>
      <c r="G26" s="32"/>
      <c r="H26" s="32"/>
      <c r="I26" s="32"/>
      <c r="J26" s="35"/>
    </row>
    <row r="27" spans="1:10" x14ac:dyDescent="0.25">
      <c r="A27" s="24" t="s">
        <v>68</v>
      </c>
      <c r="B27" s="74">
        <v>2149769247</v>
      </c>
      <c r="C27" s="74">
        <v>256532006</v>
      </c>
      <c r="D27" s="74">
        <v>855707915</v>
      </c>
      <c r="E27" s="76">
        <f t="shared" ref="E27:E37" si="1">B27-C27-D27</f>
        <v>1037529326</v>
      </c>
      <c r="F27" s="32"/>
      <c r="G27" s="32"/>
      <c r="H27" s="32"/>
      <c r="I27" s="32"/>
      <c r="J27" s="35"/>
    </row>
    <row r="28" spans="1:10" x14ac:dyDescent="0.25">
      <c r="A28" s="24" t="s">
        <v>69</v>
      </c>
      <c r="B28" s="74">
        <v>2035284265</v>
      </c>
      <c r="C28" s="74">
        <v>292629093</v>
      </c>
      <c r="D28" s="74">
        <v>743232596</v>
      </c>
      <c r="E28" s="76">
        <f t="shared" si="1"/>
        <v>999422576</v>
      </c>
      <c r="F28" s="32"/>
      <c r="G28" s="32"/>
      <c r="H28" s="32"/>
      <c r="I28" s="32"/>
      <c r="J28" s="35"/>
    </row>
    <row r="29" spans="1:10" x14ac:dyDescent="0.25">
      <c r="A29" s="24" t="s">
        <v>70</v>
      </c>
      <c r="B29" s="74">
        <v>2089127820</v>
      </c>
      <c r="C29" s="74">
        <v>130180740</v>
      </c>
      <c r="D29" s="74">
        <v>681748239</v>
      </c>
      <c r="E29" s="76">
        <f t="shared" si="1"/>
        <v>1277198841</v>
      </c>
      <c r="F29" s="32"/>
      <c r="G29" s="32"/>
      <c r="H29" s="32"/>
      <c r="I29" s="32"/>
      <c r="J29" s="35"/>
    </row>
    <row r="30" spans="1:10" x14ac:dyDescent="0.25">
      <c r="A30" s="24" t="s">
        <v>71</v>
      </c>
      <c r="B30" s="74">
        <v>2093356352</v>
      </c>
      <c r="C30" s="74">
        <v>172254349</v>
      </c>
      <c r="D30" s="74">
        <v>522729138</v>
      </c>
      <c r="E30" s="76">
        <f t="shared" si="1"/>
        <v>1398372865</v>
      </c>
      <c r="F30" s="32"/>
      <c r="G30" s="32"/>
      <c r="H30" s="32"/>
      <c r="I30" s="32"/>
      <c r="J30" s="35"/>
    </row>
    <row r="31" spans="1:10" x14ac:dyDescent="0.25">
      <c r="A31" s="24" t="s">
        <v>72</v>
      </c>
      <c r="B31" s="74">
        <v>2165308873</v>
      </c>
      <c r="C31" s="74">
        <v>286053388</v>
      </c>
      <c r="D31" s="74">
        <v>701566399</v>
      </c>
      <c r="E31" s="76">
        <f t="shared" si="1"/>
        <v>1177689086</v>
      </c>
      <c r="F31" s="32"/>
      <c r="G31" s="32"/>
      <c r="H31" s="32"/>
      <c r="I31" s="32"/>
      <c r="J31" s="35"/>
    </row>
    <row r="32" spans="1:10" x14ac:dyDescent="0.25">
      <c r="A32" s="24" t="s">
        <v>73</v>
      </c>
      <c r="B32" s="74"/>
      <c r="C32" s="74"/>
      <c r="D32" s="74"/>
      <c r="E32" s="76">
        <f t="shared" si="1"/>
        <v>0</v>
      </c>
      <c r="F32" s="32"/>
      <c r="G32" s="32"/>
      <c r="H32" s="32"/>
      <c r="I32" s="32"/>
      <c r="J32" s="35"/>
    </row>
    <row r="33" spans="1:12" x14ac:dyDescent="0.25">
      <c r="A33" s="24" t="s">
        <v>74</v>
      </c>
      <c r="B33" s="74"/>
      <c r="C33" s="74"/>
      <c r="D33" s="74"/>
      <c r="E33" s="76">
        <f t="shared" si="1"/>
        <v>0</v>
      </c>
      <c r="F33" s="32"/>
      <c r="G33" s="32"/>
      <c r="H33" s="32"/>
      <c r="I33" s="32"/>
      <c r="J33" s="35"/>
    </row>
    <row r="34" spans="1:12" x14ac:dyDescent="0.25">
      <c r="A34" s="24" t="s">
        <v>75</v>
      </c>
      <c r="B34" s="74"/>
      <c r="C34" s="74"/>
      <c r="D34" s="74"/>
      <c r="E34" s="76">
        <f t="shared" si="1"/>
        <v>0</v>
      </c>
      <c r="F34" s="32"/>
      <c r="G34" s="32"/>
      <c r="H34" s="32"/>
      <c r="I34" s="32"/>
      <c r="J34" s="35"/>
    </row>
    <row r="35" spans="1:12" x14ac:dyDescent="0.25">
      <c r="A35" s="24" t="s">
        <v>76</v>
      </c>
      <c r="B35" s="74"/>
      <c r="C35" s="74"/>
      <c r="D35" s="74"/>
      <c r="E35" s="76">
        <f t="shared" si="1"/>
        <v>0</v>
      </c>
      <c r="F35" s="32"/>
      <c r="G35" s="32"/>
      <c r="H35" s="32"/>
      <c r="I35" s="32"/>
      <c r="J35" s="35"/>
    </row>
    <row r="36" spans="1:12" x14ac:dyDescent="0.25">
      <c r="A36" s="24" t="s">
        <v>77</v>
      </c>
      <c r="B36" s="74"/>
      <c r="C36" s="74"/>
      <c r="D36" s="74"/>
      <c r="E36" s="76">
        <f t="shared" si="1"/>
        <v>0</v>
      </c>
      <c r="F36" s="32"/>
      <c r="G36" s="32"/>
      <c r="H36" s="32"/>
      <c r="I36" s="32"/>
      <c r="J36" s="35"/>
    </row>
    <row r="37" spans="1:12" x14ac:dyDescent="0.25">
      <c r="A37" s="24" t="s">
        <v>78</v>
      </c>
      <c r="B37" s="74"/>
      <c r="C37" s="74"/>
      <c r="D37" s="74"/>
      <c r="E37" s="76">
        <f t="shared" si="1"/>
        <v>0</v>
      </c>
      <c r="F37" s="32"/>
      <c r="G37" s="32"/>
      <c r="H37" s="32"/>
      <c r="I37" s="32"/>
      <c r="J37" s="35"/>
    </row>
    <row r="38" spans="1:12" x14ac:dyDescent="0.25">
      <c r="A38" s="133"/>
      <c r="B38" s="133"/>
      <c r="C38" s="133"/>
      <c r="D38" s="133"/>
      <c r="E38" s="133"/>
      <c r="F38" s="133"/>
      <c r="G38" s="133"/>
      <c r="H38" s="133"/>
      <c r="I38" s="133"/>
      <c r="J38" s="133"/>
    </row>
    <row r="39" spans="1:12" x14ac:dyDescent="0.25">
      <c r="A39" s="33" t="s">
        <v>3</v>
      </c>
      <c r="B39" s="163" t="s">
        <v>146</v>
      </c>
      <c r="C39" s="164"/>
      <c r="D39" s="164"/>
      <c r="E39" s="164"/>
      <c r="F39" s="164"/>
      <c r="G39" s="164"/>
      <c r="H39" s="164"/>
      <c r="I39" s="164"/>
      <c r="J39" s="165"/>
    </row>
    <row r="40" spans="1:12" x14ac:dyDescent="0.25">
      <c r="A40" s="55" t="s">
        <v>63</v>
      </c>
      <c r="B40" s="131" t="s">
        <v>147</v>
      </c>
      <c r="C40" s="131"/>
      <c r="D40" s="131"/>
      <c r="E40" s="131"/>
      <c r="F40" s="131"/>
      <c r="G40" s="132"/>
      <c r="H40" s="132"/>
      <c r="I40" s="132"/>
      <c r="J40" s="132"/>
    </row>
    <row r="41" spans="1:12" ht="60" x14ac:dyDescent="0.25">
      <c r="A41" s="73" t="s">
        <v>66</v>
      </c>
      <c r="B41" s="72" t="s">
        <v>133</v>
      </c>
      <c r="C41" s="72" t="s">
        <v>134</v>
      </c>
      <c r="D41" s="72" t="s">
        <v>135</v>
      </c>
      <c r="E41" s="72" t="s">
        <v>138</v>
      </c>
      <c r="F41" s="72" t="s">
        <v>136</v>
      </c>
      <c r="G41" s="48"/>
      <c r="H41" s="48"/>
      <c r="I41" s="48"/>
      <c r="J41" s="49"/>
    </row>
    <row r="42" spans="1:12" x14ac:dyDescent="0.25">
      <c r="A42" s="24" t="s">
        <v>67</v>
      </c>
      <c r="B42" s="57">
        <v>2616452486</v>
      </c>
      <c r="C42" s="57">
        <v>2775097428</v>
      </c>
      <c r="D42" s="57">
        <v>2668127233</v>
      </c>
      <c r="E42" s="47">
        <f t="shared" ref="E42:E53" si="2">B42/C42</f>
        <v>0.94283265863053511</v>
      </c>
      <c r="F42" s="47">
        <f>+C42/D42</f>
        <v>1.0400918643147781</v>
      </c>
      <c r="G42" s="48"/>
      <c r="H42" s="48"/>
      <c r="I42" s="48"/>
      <c r="J42" s="49"/>
    </row>
    <row r="43" spans="1:12" x14ac:dyDescent="0.25">
      <c r="A43" s="24" t="s">
        <v>68</v>
      </c>
      <c r="B43" s="57">
        <v>2669309527</v>
      </c>
      <c r="C43" s="57">
        <v>2870303698</v>
      </c>
      <c r="D43" s="57">
        <v>2371713744</v>
      </c>
      <c r="E43" s="47">
        <f t="shared" si="2"/>
        <v>0.92997459776118785</v>
      </c>
      <c r="F43" s="47">
        <f t="shared" ref="F43:F53" si="3">C43/D43</f>
        <v>1.210223495673262</v>
      </c>
      <c r="G43" s="48"/>
      <c r="H43" s="48"/>
      <c r="I43" s="48"/>
      <c r="J43" s="49"/>
    </row>
    <row r="44" spans="1:12" x14ac:dyDescent="0.25">
      <c r="A44" s="24" t="s">
        <v>69</v>
      </c>
      <c r="B44" s="57">
        <v>2932716544</v>
      </c>
      <c r="C44" s="57">
        <v>2783103174</v>
      </c>
      <c r="D44" s="57">
        <v>3022119494</v>
      </c>
      <c r="E44" s="47">
        <f t="shared" si="2"/>
        <v>1.0537577519215606</v>
      </c>
      <c r="F44" s="47">
        <f t="shared" si="3"/>
        <v>0.92091102933734625</v>
      </c>
      <c r="G44" s="48"/>
      <c r="H44" s="48"/>
      <c r="I44" s="48"/>
      <c r="J44" s="49"/>
    </row>
    <row r="45" spans="1:12" x14ac:dyDescent="0.25">
      <c r="A45" s="24" t="s">
        <v>70</v>
      </c>
      <c r="B45" s="57">
        <v>2553800470</v>
      </c>
      <c r="C45" s="57">
        <v>2822363303</v>
      </c>
      <c r="D45" s="57">
        <v>2540942315</v>
      </c>
      <c r="E45" s="47">
        <f t="shared" si="2"/>
        <v>0.90484469780536969</v>
      </c>
      <c r="F45" s="47">
        <f t="shared" si="3"/>
        <v>1.110754575709445</v>
      </c>
      <c r="G45" s="48"/>
      <c r="H45" s="48"/>
      <c r="I45" s="48"/>
      <c r="J45" s="49"/>
    </row>
    <row r="46" spans="1:12" x14ac:dyDescent="0.25">
      <c r="A46" s="24" t="s">
        <v>71</v>
      </c>
      <c r="B46" s="57">
        <v>2921571132</v>
      </c>
      <c r="C46" s="57">
        <v>2784970653</v>
      </c>
      <c r="D46" s="57">
        <v>2564155625</v>
      </c>
      <c r="E46" s="47">
        <f t="shared" si="2"/>
        <v>1.0490491628171565</v>
      </c>
      <c r="F46" s="47">
        <f t="shared" si="3"/>
        <v>1.0861160788553932</v>
      </c>
      <c r="G46" s="48"/>
      <c r="H46" s="48"/>
      <c r="I46" s="48"/>
      <c r="J46" s="49"/>
    </row>
    <row r="47" spans="1:12" x14ac:dyDescent="0.25">
      <c r="A47" s="24" t="s">
        <v>72</v>
      </c>
      <c r="B47" s="57">
        <v>3057304626</v>
      </c>
      <c r="C47" s="57">
        <v>2931390574</v>
      </c>
      <c r="D47" s="57">
        <v>2889120904</v>
      </c>
      <c r="E47" s="47">
        <f t="shared" si="2"/>
        <v>1.0429536934166317</v>
      </c>
      <c r="F47" s="47">
        <f t="shared" si="3"/>
        <v>1.0146306338171855</v>
      </c>
      <c r="G47" s="48"/>
      <c r="H47" s="84"/>
      <c r="I47" s="48"/>
      <c r="J47" s="49"/>
    </row>
    <row r="48" spans="1:12" x14ac:dyDescent="0.25">
      <c r="A48" s="24" t="s">
        <v>73</v>
      </c>
      <c r="B48" s="57">
        <v>3301800924</v>
      </c>
      <c r="C48" s="57">
        <v>3445812006</v>
      </c>
      <c r="D48" s="57">
        <v>3282649198</v>
      </c>
      <c r="E48" s="47">
        <f t="shared" si="2"/>
        <v>0.95820692430427379</v>
      </c>
      <c r="F48" s="47">
        <f t="shared" si="3"/>
        <v>1.0497046129995886</v>
      </c>
      <c r="G48" s="48"/>
      <c r="H48" s="48"/>
      <c r="I48" s="48"/>
      <c r="J48" s="49"/>
      <c r="L48" s="83"/>
    </row>
    <row r="49" spans="1:12" x14ac:dyDescent="0.25">
      <c r="A49" s="24" t="s">
        <v>74</v>
      </c>
      <c r="B49" s="57">
        <v>2936739640</v>
      </c>
      <c r="C49" s="57">
        <v>2960344290</v>
      </c>
      <c r="D49" s="57">
        <v>3168820074</v>
      </c>
      <c r="E49" s="47">
        <f t="shared" si="2"/>
        <v>0.99202638352581618</v>
      </c>
      <c r="F49" s="47">
        <f t="shared" si="3"/>
        <v>0.9342102804414385</v>
      </c>
      <c r="G49" s="48"/>
      <c r="H49" s="48"/>
      <c r="I49" s="48"/>
      <c r="J49" s="49"/>
      <c r="L49" s="83"/>
    </row>
    <row r="50" spans="1:12" x14ac:dyDescent="0.25">
      <c r="A50" s="24" t="s">
        <v>75</v>
      </c>
      <c r="B50" s="57"/>
      <c r="C50" s="57"/>
      <c r="D50" s="57"/>
      <c r="E50" s="47" t="e">
        <f t="shared" si="2"/>
        <v>#DIV/0!</v>
      </c>
      <c r="F50" s="47" t="e">
        <f t="shared" si="3"/>
        <v>#DIV/0!</v>
      </c>
      <c r="G50" s="48"/>
      <c r="H50" s="48"/>
      <c r="I50" s="48"/>
      <c r="J50" s="49"/>
    </row>
    <row r="51" spans="1:12" x14ac:dyDescent="0.25">
      <c r="A51" s="24" t="s">
        <v>76</v>
      </c>
      <c r="B51" s="57"/>
      <c r="C51" s="56"/>
      <c r="D51" s="56"/>
      <c r="E51" s="47" t="e">
        <f t="shared" si="2"/>
        <v>#DIV/0!</v>
      </c>
      <c r="F51" s="47" t="e">
        <f t="shared" si="3"/>
        <v>#DIV/0!</v>
      </c>
      <c r="G51" s="48"/>
      <c r="H51" s="48"/>
      <c r="I51" s="48"/>
      <c r="J51" s="49"/>
    </row>
    <row r="52" spans="1:12" x14ac:dyDescent="0.25">
      <c r="A52" s="24" t="s">
        <v>77</v>
      </c>
      <c r="B52" s="57"/>
      <c r="C52" s="56"/>
      <c r="D52" s="56"/>
      <c r="E52" s="47" t="e">
        <f t="shared" si="2"/>
        <v>#DIV/0!</v>
      </c>
      <c r="F52" s="47" t="e">
        <f t="shared" si="3"/>
        <v>#DIV/0!</v>
      </c>
      <c r="G52" s="48"/>
      <c r="H52" s="48"/>
      <c r="I52" s="48"/>
      <c r="J52" s="49"/>
    </row>
    <row r="53" spans="1:12" x14ac:dyDescent="0.25">
      <c r="A53" s="24" t="s">
        <v>78</v>
      </c>
      <c r="B53" s="57"/>
      <c r="C53" s="56"/>
      <c r="D53" s="56"/>
      <c r="E53" s="47" t="e">
        <f t="shared" si="2"/>
        <v>#DIV/0!</v>
      </c>
      <c r="F53" s="47" t="e">
        <f t="shared" si="3"/>
        <v>#DIV/0!</v>
      </c>
      <c r="G53" s="32"/>
      <c r="H53" s="32"/>
      <c r="I53" s="32"/>
      <c r="J53" s="35"/>
    </row>
    <row r="54" spans="1:12" x14ac:dyDescent="0.25">
      <c r="A54" s="51"/>
      <c r="B54" s="52"/>
      <c r="C54" s="53"/>
      <c r="D54" s="54"/>
      <c r="E54" s="50"/>
      <c r="F54" s="50"/>
      <c r="G54" s="32"/>
      <c r="H54" s="32"/>
      <c r="I54" s="32"/>
      <c r="J54" s="35"/>
    </row>
    <row r="55" spans="1:12" x14ac:dyDescent="0.25">
      <c r="A55" s="51"/>
      <c r="B55" s="52"/>
      <c r="C55" s="53"/>
      <c r="D55" s="54"/>
      <c r="E55" s="50"/>
      <c r="F55" s="50"/>
      <c r="G55" s="32"/>
      <c r="H55" s="32"/>
      <c r="I55" s="32"/>
      <c r="J55" s="35"/>
    </row>
    <row r="56" spans="1:12" x14ac:dyDescent="0.25">
      <c r="A56" s="51"/>
      <c r="B56" s="52"/>
      <c r="C56" s="53"/>
      <c r="D56" s="54"/>
      <c r="E56" s="50"/>
      <c r="F56" s="50"/>
      <c r="G56" s="32"/>
      <c r="H56" s="32"/>
      <c r="I56" s="32"/>
      <c r="J56" s="35"/>
    </row>
    <row r="57" spans="1:12" x14ac:dyDescent="0.25">
      <c r="A57" s="51"/>
      <c r="B57" s="52"/>
      <c r="C57" s="53"/>
      <c r="D57" s="54"/>
      <c r="E57" s="50"/>
      <c r="F57" s="50"/>
      <c r="G57" s="32"/>
      <c r="H57" s="32"/>
      <c r="I57" s="32"/>
      <c r="J57" s="35"/>
    </row>
    <row r="58" spans="1:12" x14ac:dyDescent="0.25">
      <c r="A58" s="51"/>
      <c r="B58" s="52"/>
      <c r="C58" s="53"/>
      <c r="D58" s="54"/>
      <c r="E58" s="50"/>
      <c r="F58" s="50"/>
      <c r="G58" s="32"/>
      <c r="H58" s="32"/>
      <c r="I58" s="32"/>
      <c r="J58" s="35"/>
    </row>
    <row r="59" spans="1:12" x14ac:dyDescent="0.25">
      <c r="A59" s="51"/>
      <c r="B59" s="52"/>
      <c r="C59" s="53"/>
      <c r="D59" s="54"/>
      <c r="E59" s="50"/>
      <c r="F59" s="50"/>
      <c r="G59" s="32"/>
      <c r="H59" s="32"/>
      <c r="I59" s="32"/>
      <c r="J59" s="35"/>
    </row>
    <row r="60" spans="1:12" x14ac:dyDescent="0.25">
      <c r="A60" s="51"/>
      <c r="B60" s="52"/>
      <c r="C60" s="53"/>
      <c r="D60" s="54"/>
      <c r="E60" s="50"/>
      <c r="F60" s="50"/>
      <c r="G60" s="32"/>
      <c r="H60" s="32"/>
      <c r="I60" s="32"/>
      <c r="J60" s="35"/>
    </row>
    <row r="61" spans="1:12" x14ac:dyDescent="0.25">
      <c r="A61" s="51"/>
      <c r="B61" s="52"/>
      <c r="C61" s="53"/>
      <c r="D61" s="54"/>
      <c r="E61" s="50"/>
      <c r="F61" s="50"/>
      <c r="G61" s="32"/>
      <c r="H61" s="32"/>
      <c r="I61" s="32"/>
      <c r="J61" s="35"/>
    </row>
    <row r="62" spans="1:12" x14ac:dyDescent="0.25">
      <c r="A62" s="51"/>
      <c r="B62" s="52"/>
      <c r="C62" s="53"/>
      <c r="D62" s="54"/>
      <c r="E62" s="50"/>
      <c r="F62" s="50"/>
      <c r="G62" s="32"/>
      <c r="H62" s="32"/>
      <c r="I62" s="32"/>
      <c r="J62" s="35"/>
    </row>
    <row r="63" spans="1:12" x14ac:dyDescent="0.25">
      <c r="A63" s="51"/>
      <c r="B63" s="52"/>
      <c r="C63" s="53"/>
      <c r="D63" s="54"/>
      <c r="E63" s="50"/>
      <c r="F63" s="50"/>
      <c r="G63" s="32"/>
      <c r="H63" s="32"/>
      <c r="I63" s="32"/>
      <c r="J63" s="35"/>
    </row>
    <row r="64" spans="1:12" x14ac:dyDescent="0.25">
      <c r="A64" s="51"/>
      <c r="B64" s="52"/>
      <c r="C64" s="53"/>
      <c r="D64" s="54"/>
      <c r="E64" s="50"/>
      <c r="F64" s="50"/>
      <c r="G64" s="32"/>
      <c r="H64" s="32"/>
      <c r="I64" s="32"/>
      <c r="J64" s="35"/>
    </row>
    <row r="65" spans="1:10" x14ac:dyDescent="0.25">
      <c r="A65" s="51"/>
      <c r="B65" s="52"/>
      <c r="C65" s="53"/>
      <c r="D65" s="54"/>
      <c r="E65" s="50"/>
      <c r="F65" s="50"/>
      <c r="G65" s="32"/>
      <c r="H65" s="32"/>
      <c r="I65" s="32"/>
      <c r="J65" s="35"/>
    </row>
    <row r="66" spans="1:10" x14ac:dyDescent="0.25">
      <c r="A66" s="51"/>
      <c r="B66" s="52"/>
      <c r="C66" s="53"/>
      <c r="D66" s="54"/>
      <c r="E66" s="50"/>
      <c r="F66" s="50"/>
      <c r="G66" s="32"/>
      <c r="H66" s="32"/>
      <c r="I66" s="32"/>
      <c r="J66" s="35"/>
    </row>
    <row r="67" spans="1:10" x14ac:dyDescent="0.25">
      <c r="A67" s="51"/>
      <c r="B67" s="52"/>
      <c r="C67" s="53"/>
      <c r="D67" s="54"/>
      <c r="E67" s="50"/>
      <c r="F67" s="50"/>
      <c r="G67" s="32"/>
      <c r="H67" s="32"/>
      <c r="I67" s="32"/>
      <c r="J67" s="35"/>
    </row>
    <row r="68" spans="1:10" x14ac:dyDescent="0.25">
      <c r="A68" s="51"/>
      <c r="B68" s="52"/>
      <c r="C68" s="53"/>
      <c r="D68" s="54"/>
      <c r="E68" s="50"/>
      <c r="F68" s="50"/>
      <c r="G68" s="32"/>
      <c r="H68" s="32"/>
      <c r="I68" s="32"/>
      <c r="J68" s="35"/>
    </row>
    <row r="69" spans="1:10" x14ac:dyDescent="0.25">
      <c r="A69" s="51"/>
      <c r="B69" s="52"/>
      <c r="C69" s="53"/>
      <c r="D69" s="54"/>
      <c r="E69" s="50"/>
      <c r="F69" s="50"/>
      <c r="G69" s="32"/>
      <c r="H69" s="32"/>
      <c r="I69" s="32"/>
      <c r="J69" s="35"/>
    </row>
    <row r="70" spans="1:10" x14ac:dyDescent="0.25">
      <c r="A70" s="80"/>
      <c r="B70" s="27"/>
      <c r="C70" s="27"/>
      <c r="D70" s="27"/>
      <c r="E70" s="27"/>
      <c r="F70" s="27"/>
      <c r="G70" s="81"/>
      <c r="H70" s="81"/>
      <c r="I70" s="81"/>
      <c r="J70" s="82"/>
    </row>
    <row r="71" spans="1:10" x14ac:dyDescent="0.25">
      <c r="A71" s="33" t="s">
        <v>3</v>
      </c>
      <c r="B71" s="130" t="s">
        <v>112</v>
      </c>
      <c r="C71" s="130"/>
      <c r="D71" s="130"/>
      <c r="E71" s="130"/>
      <c r="F71" s="130"/>
      <c r="G71" s="130"/>
      <c r="H71" s="130"/>
      <c r="I71" s="130"/>
      <c r="J71" s="130"/>
    </row>
    <row r="72" spans="1:10" x14ac:dyDescent="0.25">
      <c r="A72" s="33" t="s">
        <v>63</v>
      </c>
      <c r="B72" s="132" t="s">
        <v>58</v>
      </c>
      <c r="C72" s="132"/>
      <c r="D72" s="132"/>
      <c r="E72" s="132"/>
      <c r="F72" s="132"/>
      <c r="G72" s="132"/>
      <c r="H72" s="132"/>
      <c r="I72" s="132"/>
      <c r="J72" s="132"/>
    </row>
    <row r="73" spans="1:10" ht="45" x14ac:dyDescent="0.25">
      <c r="A73" s="87" t="s">
        <v>66</v>
      </c>
      <c r="B73" s="86" t="s">
        <v>113</v>
      </c>
      <c r="C73" s="86" t="s">
        <v>114</v>
      </c>
      <c r="D73" s="86" t="s">
        <v>115</v>
      </c>
      <c r="E73" s="32"/>
      <c r="F73" s="32"/>
      <c r="G73" s="32"/>
      <c r="H73" s="32"/>
      <c r="I73" s="32"/>
      <c r="J73" s="35"/>
    </row>
    <row r="74" spans="1:10" x14ac:dyDescent="0.25">
      <c r="A74" s="24" t="s">
        <v>67</v>
      </c>
      <c r="B74" s="74">
        <v>890037560</v>
      </c>
      <c r="C74" s="74">
        <v>684406309</v>
      </c>
      <c r="D74" s="25">
        <f>B74/C74</f>
        <v>1.3004520097140133</v>
      </c>
      <c r="E74" s="32"/>
      <c r="F74" s="32"/>
      <c r="G74" s="32"/>
      <c r="H74" s="32"/>
      <c r="I74" s="32"/>
      <c r="J74" s="35"/>
    </row>
    <row r="75" spans="1:10" x14ac:dyDescent="0.25">
      <c r="A75" s="24" t="s">
        <v>68</v>
      </c>
      <c r="B75" s="74">
        <v>1044104513</v>
      </c>
      <c r="C75" s="74">
        <v>700507680</v>
      </c>
      <c r="D75" s="25">
        <f t="shared" ref="D75:D85" si="4">B75/C75</f>
        <v>1.490496882204061</v>
      </c>
      <c r="E75" s="32"/>
      <c r="F75" s="32"/>
      <c r="G75" s="32"/>
      <c r="H75" s="32"/>
      <c r="I75" s="32"/>
      <c r="J75" s="35"/>
    </row>
    <row r="76" spans="1:10" x14ac:dyDescent="0.25">
      <c r="A76" s="24" t="s">
        <v>69</v>
      </c>
      <c r="B76" s="74">
        <v>1072667743</v>
      </c>
      <c r="C76" s="74">
        <v>700507680</v>
      </c>
      <c r="D76" s="25">
        <f t="shared" si="4"/>
        <v>1.5312719240993904</v>
      </c>
      <c r="E76" s="32"/>
      <c r="F76" s="32"/>
      <c r="G76" s="32"/>
      <c r="H76" s="32"/>
      <c r="I76" s="32"/>
      <c r="J76" s="35"/>
    </row>
    <row r="77" spans="1:10" x14ac:dyDescent="0.25">
      <c r="A77" s="24" t="s">
        <v>70</v>
      </c>
      <c r="B77" s="74">
        <v>886490524</v>
      </c>
      <c r="C77" s="74">
        <v>696507680</v>
      </c>
      <c r="D77" s="25">
        <f t="shared" si="4"/>
        <v>1.2727648947101344</v>
      </c>
      <c r="E77" s="32"/>
      <c r="F77" s="32"/>
      <c r="G77" s="32"/>
      <c r="H77" s="32"/>
      <c r="I77" s="32"/>
      <c r="J77" s="35"/>
    </row>
    <row r="78" spans="1:10" x14ac:dyDescent="0.25">
      <c r="A78" s="24" t="s">
        <v>71</v>
      </c>
      <c r="B78" s="74">
        <v>871162169</v>
      </c>
      <c r="C78" s="74">
        <v>795521517</v>
      </c>
      <c r="D78" s="25">
        <f t="shared" si="4"/>
        <v>1.095083100059002</v>
      </c>
      <c r="E78" s="32"/>
      <c r="F78" s="32"/>
      <c r="G78" s="32"/>
      <c r="H78" s="32"/>
      <c r="I78" s="32"/>
      <c r="J78" s="35"/>
    </row>
    <row r="79" spans="1:10" x14ac:dyDescent="0.25">
      <c r="A79" s="24" t="s">
        <v>72</v>
      </c>
      <c r="B79" s="74">
        <v>989907138</v>
      </c>
      <c r="C79" s="74">
        <v>798721517</v>
      </c>
      <c r="D79" s="25">
        <f t="shared" si="4"/>
        <v>1.2393645556439918</v>
      </c>
      <c r="E79" s="32"/>
      <c r="F79" s="32"/>
      <c r="G79" s="32"/>
      <c r="H79" s="32"/>
      <c r="I79" s="32"/>
      <c r="J79" s="35"/>
    </row>
    <row r="80" spans="1:10" x14ac:dyDescent="0.25">
      <c r="A80" s="24" t="s">
        <v>73</v>
      </c>
      <c r="B80" s="74"/>
      <c r="C80" s="74"/>
      <c r="D80" s="25" t="e">
        <f t="shared" si="4"/>
        <v>#DIV/0!</v>
      </c>
      <c r="E80" s="32"/>
      <c r="F80" s="32"/>
      <c r="G80" s="32"/>
      <c r="H80" s="32"/>
      <c r="I80" s="32"/>
      <c r="J80" s="35"/>
    </row>
    <row r="81" spans="1:10" x14ac:dyDescent="0.25">
      <c r="A81" s="24" t="s">
        <v>74</v>
      </c>
      <c r="B81" s="74"/>
      <c r="C81" s="74"/>
      <c r="D81" s="25" t="e">
        <f t="shared" si="4"/>
        <v>#DIV/0!</v>
      </c>
      <c r="E81" s="32"/>
      <c r="F81" s="32"/>
      <c r="G81" s="32"/>
      <c r="H81" s="32"/>
      <c r="I81" s="32"/>
      <c r="J81" s="35"/>
    </row>
    <row r="82" spans="1:10" x14ac:dyDescent="0.25">
      <c r="A82" s="24" t="s">
        <v>75</v>
      </c>
      <c r="B82" s="74"/>
      <c r="C82" s="74"/>
      <c r="D82" s="25" t="e">
        <f t="shared" si="4"/>
        <v>#DIV/0!</v>
      </c>
      <c r="E82" s="32"/>
      <c r="F82" s="32"/>
      <c r="G82" s="32"/>
      <c r="H82" s="32"/>
      <c r="I82" s="32"/>
      <c r="J82" s="35"/>
    </row>
    <row r="83" spans="1:10" x14ac:dyDescent="0.25">
      <c r="A83" s="24" t="s">
        <v>76</v>
      </c>
      <c r="B83" s="74"/>
      <c r="C83" s="74"/>
      <c r="D83" s="25" t="e">
        <f t="shared" si="4"/>
        <v>#DIV/0!</v>
      </c>
      <c r="E83" s="32"/>
      <c r="F83" s="32"/>
      <c r="G83" s="32"/>
      <c r="H83" s="32"/>
      <c r="I83" s="32"/>
      <c r="J83" s="35"/>
    </row>
    <row r="84" spans="1:10" x14ac:dyDescent="0.25">
      <c r="A84" s="24" t="s">
        <v>77</v>
      </c>
      <c r="B84" s="74"/>
      <c r="C84" s="74"/>
      <c r="D84" s="25" t="e">
        <f t="shared" si="4"/>
        <v>#DIV/0!</v>
      </c>
      <c r="E84" s="32"/>
      <c r="F84" s="32"/>
      <c r="G84" s="32"/>
      <c r="H84" s="32"/>
      <c r="I84" s="32"/>
      <c r="J84" s="35"/>
    </row>
    <row r="85" spans="1:10" x14ac:dyDescent="0.25">
      <c r="A85" s="29" t="s">
        <v>78</v>
      </c>
      <c r="B85" s="75"/>
      <c r="C85" s="75"/>
      <c r="D85" s="31" t="e">
        <f t="shared" si="4"/>
        <v>#DIV/0!</v>
      </c>
      <c r="E85" s="32"/>
      <c r="F85" s="32"/>
      <c r="G85" s="32"/>
      <c r="H85" s="32"/>
      <c r="I85" s="32"/>
      <c r="J85" s="35"/>
    </row>
    <row r="86" spans="1:10" x14ac:dyDescent="0.25">
      <c r="A86" s="160"/>
      <c r="B86" s="161"/>
      <c r="C86" s="161"/>
      <c r="D86" s="161"/>
      <c r="E86" s="161"/>
      <c r="F86" s="161"/>
      <c r="G86" s="161"/>
      <c r="H86" s="161"/>
      <c r="I86" s="161"/>
      <c r="J86" s="162"/>
    </row>
    <row r="87" spans="1:10" x14ac:dyDescent="0.25">
      <c r="A87" s="33" t="s">
        <v>3</v>
      </c>
      <c r="B87" s="130" t="s">
        <v>202</v>
      </c>
      <c r="C87" s="130"/>
      <c r="D87" s="130"/>
      <c r="E87" s="130"/>
      <c r="F87" s="130"/>
      <c r="G87" s="130"/>
      <c r="H87" s="130"/>
      <c r="I87" s="130"/>
      <c r="J87" s="130"/>
    </row>
    <row r="88" spans="1:10" x14ac:dyDescent="0.25">
      <c r="A88" s="33" t="s">
        <v>63</v>
      </c>
      <c r="B88" s="132" t="s">
        <v>198</v>
      </c>
      <c r="C88" s="132"/>
      <c r="D88" s="132"/>
      <c r="E88" s="132"/>
      <c r="F88" s="132"/>
      <c r="G88" s="132"/>
      <c r="H88" s="132"/>
      <c r="I88" s="132"/>
      <c r="J88" s="132"/>
    </row>
    <row r="89" spans="1:10" ht="45" x14ac:dyDescent="0.25">
      <c r="A89" s="87" t="s">
        <v>66</v>
      </c>
      <c r="B89" s="86" t="s">
        <v>197</v>
      </c>
      <c r="C89" s="86" t="s">
        <v>204</v>
      </c>
      <c r="D89" s="86" t="s">
        <v>205</v>
      </c>
      <c r="E89" s="32"/>
      <c r="F89" s="32"/>
      <c r="G89" s="32"/>
      <c r="H89" s="32"/>
      <c r="I89" s="32"/>
      <c r="J89" s="35"/>
    </row>
    <row r="90" spans="1:10" x14ac:dyDescent="0.25">
      <c r="A90" s="24" t="s">
        <v>67</v>
      </c>
      <c r="B90" s="74">
        <v>15</v>
      </c>
      <c r="C90" s="74">
        <v>1560</v>
      </c>
      <c r="D90" s="25">
        <f>B90/C90</f>
        <v>9.6153846153846159E-3</v>
      </c>
      <c r="E90" s="32"/>
      <c r="F90" s="32"/>
      <c r="G90" s="32"/>
      <c r="H90" s="32"/>
      <c r="I90" s="32"/>
      <c r="J90" s="35"/>
    </row>
    <row r="91" spans="1:10" x14ac:dyDescent="0.25">
      <c r="A91" s="24" t="s">
        <v>68</v>
      </c>
      <c r="B91" s="74">
        <v>25</v>
      </c>
      <c r="C91" s="74">
        <v>1338</v>
      </c>
      <c r="D91" s="25">
        <f t="shared" ref="D91:D101" si="5">B91/C91</f>
        <v>1.8684603886397609E-2</v>
      </c>
      <c r="E91" s="32"/>
      <c r="F91" s="32"/>
      <c r="G91" s="32"/>
      <c r="H91" s="32"/>
      <c r="I91" s="32"/>
      <c r="J91" s="35"/>
    </row>
    <row r="92" spans="1:10" x14ac:dyDescent="0.25">
      <c r="A92" s="24" t="s">
        <v>69</v>
      </c>
      <c r="B92" s="74">
        <v>12</v>
      </c>
      <c r="C92" s="74">
        <v>1346</v>
      </c>
      <c r="D92" s="25">
        <f t="shared" si="5"/>
        <v>8.9153046062407128E-3</v>
      </c>
      <c r="E92" s="32"/>
      <c r="F92" s="32"/>
      <c r="G92" s="32"/>
      <c r="H92" s="32"/>
      <c r="I92" s="32"/>
      <c r="J92" s="35"/>
    </row>
    <row r="93" spans="1:10" x14ac:dyDescent="0.25">
      <c r="A93" s="24" t="s">
        <v>70</v>
      </c>
      <c r="B93" s="74">
        <v>16</v>
      </c>
      <c r="C93" s="74">
        <v>1263</v>
      </c>
      <c r="D93" s="25">
        <f t="shared" si="5"/>
        <v>1.2668250197941409E-2</v>
      </c>
      <c r="E93" s="32"/>
      <c r="F93" s="32"/>
      <c r="G93" s="32"/>
      <c r="H93" s="32"/>
      <c r="I93" s="32"/>
      <c r="J93" s="35"/>
    </row>
    <row r="94" spans="1:10" x14ac:dyDescent="0.25">
      <c r="A94" s="24" t="s">
        <v>71</v>
      </c>
      <c r="B94" s="74">
        <v>24</v>
      </c>
      <c r="C94" s="74">
        <v>1271</v>
      </c>
      <c r="D94" s="25">
        <f t="shared" si="5"/>
        <v>1.8882769472856019E-2</v>
      </c>
      <c r="E94" s="32"/>
      <c r="F94" s="32"/>
      <c r="G94" s="32"/>
      <c r="H94" s="32"/>
      <c r="I94" s="32"/>
      <c r="J94" s="35"/>
    </row>
    <row r="95" spans="1:10" x14ac:dyDescent="0.25">
      <c r="A95" s="24" t="s">
        <v>72</v>
      </c>
      <c r="B95" s="74">
        <v>12</v>
      </c>
      <c r="C95" s="74">
        <v>1292</v>
      </c>
      <c r="D95" s="25">
        <f t="shared" si="5"/>
        <v>9.2879256965944269E-3</v>
      </c>
      <c r="E95" s="32"/>
      <c r="F95" s="32"/>
      <c r="G95" s="32"/>
      <c r="H95" s="32"/>
      <c r="I95" s="32"/>
      <c r="J95" s="35"/>
    </row>
    <row r="96" spans="1:10" x14ac:dyDescent="0.25">
      <c r="A96" s="24" t="s">
        <v>73</v>
      </c>
      <c r="B96" s="74">
        <v>12</v>
      </c>
      <c r="C96" s="74">
        <v>1505</v>
      </c>
      <c r="D96" s="25">
        <f t="shared" si="5"/>
        <v>7.9734219269102981E-3</v>
      </c>
      <c r="E96" s="32"/>
      <c r="F96" s="32"/>
      <c r="G96" s="32"/>
      <c r="H96" s="32"/>
      <c r="I96" s="32"/>
      <c r="J96" s="35"/>
    </row>
    <row r="97" spans="1:10" x14ac:dyDescent="0.25">
      <c r="A97" s="24" t="s">
        <v>74</v>
      </c>
      <c r="B97" s="74">
        <v>10</v>
      </c>
      <c r="C97" s="74">
        <v>1317</v>
      </c>
      <c r="D97" s="25">
        <f t="shared" si="5"/>
        <v>7.5930144267274107E-3</v>
      </c>
      <c r="E97" s="32"/>
      <c r="F97" s="32"/>
      <c r="G97" s="32"/>
      <c r="H97" s="32"/>
      <c r="I97" s="32"/>
      <c r="J97" s="35"/>
    </row>
    <row r="98" spans="1:10" x14ac:dyDescent="0.25">
      <c r="A98" s="24" t="s">
        <v>75</v>
      </c>
      <c r="B98" s="74"/>
      <c r="C98" s="74"/>
      <c r="D98" s="25" t="e">
        <f t="shared" si="5"/>
        <v>#DIV/0!</v>
      </c>
      <c r="E98" s="32"/>
      <c r="F98" s="32"/>
      <c r="G98" s="32"/>
      <c r="H98" s="32"/>
      <c r="I98" s="32"/>
      <c r="J98" s="35"/>
    </row>
    <row r="99" spans="1:10" x14ac:dyDescent="0.25">
      <c r="A99" s="24" t="s">
        <v>76</v>
      </c>
      <c r="B99" s="74"/>
      <c r="C99" s="74"/>
      <c r="D99" s="25" t="e">
        <f t="shared" si="5"/>
        <v>#DIV/0!</v>
      </c>
      <c r="E99" s="32"/>
      <c r="F99" s="32"/>
      <c r="G99" s="32"/>
      <c r="H99" s="32"/>
      <c r="I99" s="32"/>
      <c r="J99" s="35"/>
    </row>
    <row r="100" spans="1:10" x14ac:dyDescent="0.25">
      <c r="A100" s="24" t="s">
        <v>77</v>
      </c>
      <c r="B100" s="74"/>
      <c r="C100" s="74"/>
      <c r="D100" s="25" t="e">
        <f t="shared" si="5"/>
        <v>#DIV/0!</v>
      </c>
      <c r="E100" s="32"/>
      <c r="F100" s="32"/>
      <c r="G100" s="32"/>
      <c r="H100" s="32"/>
      <c r="I100" s="32"/>
      <c r="J100" s="35"/>
    </row>
    <row r="101" spans="1:10" x14ac:dyDescent="0.25">
      <c r="A101" s="24" t="s">
        <v>78</v>
      </c>
      <c r="B101" s="74"/>
      <c r="C101" s="74"/>
      <c r="D101" s="25" t="e">
        <f t="shared" si="5"/>
        <v>#DIV/0!</v>
      </c>
      <c r="E101" s="32"/>
      <c r="F101" s="32"/>
      <c r="G101" s="32"/>
      <c r="H101" s="32"/>
      <c r="I101" s="32"/>
      <c r="J101" s="35"/>
    </row>
    <row r="102" spans="1:10" x14ac:dyDescent="0.25">
      <c r="A102" s="160"/>
      <c r="B102" s="161"/>
      <c r="C102" s="161"/>
      <c r="D102" s="161"/>
      <c r="E102" s="161"/>
      <c r="F102" s="161"/>
      <c r="G102" s="161"/>
      <c r="H102" s="161"/>
      <c r="I102" s="161"/>
      <c r="J102" s="162"/>
    </row>
    <row r="103" spans="1:10" x14ac:dyDescent="0.25">
      <c r="A103" s="33" t="s">
        <v>3</v>
      </c>
      <c r="B103" s="130" t="s">
        <v>203</v>
      </c>
      <c r="C103" s="130"/>
      <c r="D103" s="130"/>
      <c r="E103" s="130"/>
      <c r="F103" s="130"/>
      <c r="G103" s="130"/>
      <c r="H103" s="130"/>
      <c r="I103" s="130"/>
      <c r="J103" s="130"/>
    </row>
    <row r="104" spans="1:10" x14ac:dyDescent="0.25">
      <c r="A104" s="33" t="s">
        <v>63</v>
      </c>
      <c r="B104" s="132" t="s">
        <v>206</v>
      </c>
      <c r="C104" s="132"/>
      <c r="D104" s="132"/>
      <c r="E104" s="132"/>
      <c r="F104" s="132"/>
      <c r="G104" s="132"/>
      <c r="H104" s="132"/>
      <c r="I104" s="132"/>
      <c r="J104" s="132"/>
    </row>
    <row r="105" spans="1:10" ht="45" x14ac:dyDescent="0.25">
      <c r="A105" s="90" t="s">
        <v>66</v>
      </c>
      <c r="B105" s="89" t="s">
        <v>208</v>
      </c>
      <c r="C105" s="89" t="s">
        <v>204</v>
      </c>
      <c r="D105" s="89" t="s">
        <v>205</v>
      </c>
      <c r="E105" s="32"/>
      <c r="F105" s="32"/>
      <c r="G105" s="32"/>
      <c r="H105" s="32"/>
      <c r="I105" s="32"/>
      <c r="J105" s="35"/>
    </row>
    <row r="106" spans="1:10" x14ac:dyDescent="0.25">
      <c r="A106" s="24" t="s">
        <v>67</v>
      </c>
      <c r="B106" s="74">
        <v>14</v>
      </c>
      <c r="C106" s="74">
        <v>20</v>
      </c>
      <c r="D106" s="25">
        <f>B106/C106</f>
        <v>0.7</v>
      </c>
      <c r="E106" s="32"/>
      <c r="F106" s="32"/>
      <c r="G106" s="32"/>
      <c r="H106" s="32"/>
      <c r="I106" s="32"/>
      <c r="J106" s="35"/>
    </row>
    <row r="107" spans="1:10" x14ac:dyDescent="0.25">
      <c r="A107" s="24" t="s">
        <v>68</v>
      </c>
      <c r="B107" s="74">
        <v>9</v>
      </c>
      <c r="C107" s="74">
        <v>32</v>
      </c>
      <c r="D107" s="25">
        <f t="shared" ref="D107:D117" si="6">B107/C107</f>
        <v>0.28125</v>
      </c>
      <c r="E107" s="32"/>
      <c r="F107" s="32"/>
      <c r="G107" s="32"/>
      <c r="H107" s="32"/>
      <c r="I107" s="32"/>
      <c r="J107" s="35"/>
    </row>
    <row r="108" spans="1:10" x14ac:dyDescent="0.25">
      <c r="A108" s="24" t="s">
        <v>69</v>
      </c>
      <c r="B108" s="74">
        <v>5</v>
      </c>
      <c r="C108" s="74">
        <v>17</v>
      </c>
      <c r="D108" s="25">
        <f t="shared" si="6"/>
        <v>0.29411764705882354</v>
      </c>
      <c r="E108" s="32"/>
      <c r="F108" s="32"/>
      <c r="G108" s="32"/>
      <c r="H108" s="32"/>
      <c r="I108" s="32"/>
      <c r="J108" s="35"/>
    </row>
    <row r="109" spans="1:10" x14ac:dyDescent="0.25">
      <c r="A109" s="24" t="s">
        <v>70</v>
      </c>
      <c r="B109" s="74">
        <v>7</v>
      </c>
      <c r="C109" s="74">
        <v>18</v>
      </c>
      <c r="D109" s="25">
        <f t="shared" si="6"/>
        <v>0.3888888888888889</v>
      </c>
      <c r="E109" s="32"/>
      <c r="F109" s="32"/>
      <c r="G109" s="32"/>
      <c r="H109" s="32"/>
      <c r="I109" s="32"/>
      <c r="J109" s="35"/>
    </row>
    <row r="110" spans="1:10" x14ac:dyDescent="0.25">
      <c r="A110" s="24" t="s">
        <v>71</v>
      </c>
      <c r="B110" s="74">
        <v>2</v>
      </c>
      <c r="C110" s="74">
        <v>10</v>
      </c>
      <c r="D110" s="25">
        <f t="shared" si="6"/>
        <v>0.2</v>
      </c>
      <c r="E110" s="32"/>
      <c r="F110" s="32"/>
      <c r="G110" s="32"/>
      <c r="H110" s="32"/>
      <c r="I110" s="32"/>
      <c r="J110" s="35"/>
    </row>
    <row r="111" spans="1:10" x14ac:dyDescent="0.25">
      <c r="A111" s="24" t="s">
        <v>72</v>
      </c>
      <c r="B111" s="74">
        <v>5</v>
      </c>
      <c r="C111" s="74">
        <v>21</v>
      </c>
      <c r="D111" s="25">
        <f t="shared" si="6"/>
        <v>0.23809523809523808</v>
      </c>
      <c r="E111" s="32"/>
      <c r="F111" s="32"/>
      <c r="G111" s="32"/>
      <c r="H111" s="32"/>
      <c r="I111" s="32"/>
      <c r="J111" s="35"/>
    </row>
    <row r="112" spans="1:10" x14ac:dyDescent="0.25">
      <c r="A112" s="24" t="s">
        <v>73</v>
      </c>
      <c r="B112" s="74">
        <v>2</v>
      </c>
      <c r="C112" s="74">
        <v>21</v>
      </c>
      <c r="D112" s="25">
        <f t="shared" si="6"/>
        <v>9.5238095238095233E-2</v>
      </c>
      <c r="E112" s="32"/>
      <c r="F112" s="32"/>
      <c r="G112" s="32"/>
      <c r="H112" s="32"/>
      <c r="I112" s="32"/>
      <c r="J112" s="35"/>
    </row>
    <row r="113" spans="1:10" x14ac:dyDescent="0.25">
      <c r="A113" s="24" t="s">
        <v>74</v>
      </c>
      <c r="B113" s="74"/>
      <c r="C113" s="74">
        <v>7</v>
      </c>
      <c r="D113" s="25">
        <f t="shared" si="6"/>
        <v>0</v>
      </c>
      <c r="E113" s="32"/>
      <c r="F113" s="32"/>
      <c r="G113" s="32"/>
      <c r="H113" s="32"/>
      <c r="I113" s="32"/>
      <c r="J113" s="35"/>
    </row>
    <row r="114" spans="1:10" x14ac:dyDescent="0.25">
      <c r="A114" s="24" t="s">
        <v>75</v>
      </c>
      <c r="B114" s="74"/>
      <c r="C114" s="74"/>
      <c r="D114" s="25" t="e">
        <f t="shared" si="6"/>
        <v>#DIV/0!</v>
      </c>
      <c r="E114" s="32"/>
      <c r="F114" s="32"/>
      <c r="G114" s="32"/>
      <c r="H114" s="32"/>
      <c r="I114" s="32"/>
      <c r="J114" s="35"/>
    </row>
    <row r="115" spans="1:10" x14ac:dyDescent="0.25">
      <c r="A115" s="24" t="s">
        <v>76</v>
      </c>
      <c r="B115" s="74"/>
      <c r="C115" s="74"/>
      <c r="D115" s="25" t="e">
        <f t="shared" si="6"/>
        <v>#DIV/0!</v>
      </c>
      <c r="E115" s="32"/>
      <c r="F115" s="32"/>
      <c r="G115" s="32"/>
      <c r="H115" s="32"/>
      <c r="I115" s="32"/>
      <c r="J115" s="35"/>
    </row>
    <row r="116" spans="1:10" x14ac:dyDescent="0.25">
      <c r="A116" s="24" t="s">
        <v>77</v>
      </c>
      <c r="B116" s="74"/>
      <c r="C116" s="74"/>
      <c r="D116" s="25" t="e">
        <f t="shared" si="6"/>
        <v>#DIV/0!</v>
      </c>
      <c r="E116" s="32"/>
      <c r="F116" s="32"/>
      <c r="G116" s="32"/>
      <c r="H116" s="32"/>
      <c r="I116" s="32"/>
      <c r="J116" s="35"/>
    </row>
    <row r="117" spans="1:10" x14ac:dyDescent="0.25">
      <c r="A117" s="24" t="s">
        <v>78</v>
      </c>
      <c r="B117" s="74"/>
      <c r="C117" s="74"/>
      <c r="D117" s="25" t="e">
        <f t="shared" si="6"/>
        <v>#DIV/0!</v>
      </c>
      <c r="E117" s="32"/>
      <c r="F117" s="32"/>
      <c r="G117" s="32"/>
      <c r="H117" s="32"/>
      <c r="I117" s="32"/>
      <c r="J117" s="35"/>
    </row>
    <row r="118" spans="1:10" ht="15.75" x14ac:dyDescent="0.25">
      <c r="A118" s="36"/>
      <c r="B118" s="34"/>
      <c r="C118" s="32"/>
      <c r="D118" s="32"/>
      <c r="E118" s="32"/>
      <c r="F118" s="32"/>
      <c r="G118" s="32"/>
      <c r="H118" s="32"/>
      <c r="I118" s="32"/>
      <c r="J118" s="35"/>
    </row>
    <row r="119" spans="1:10" ht="15.75" x14ac:dyDescent="0.25">
      <c r="A119" s="36"/>
      <c r="B119" s="34"/>
      <c r="C119" s="32"/>
      <c r="D119" s="32"/>
      <c r="E119" s="32"/>
      <c r="F119" s="32"/>
      <c r="G119" s="32"/>
      <c r="H119" s="32"/>
      <c r="I119" s="32"/>
      <c r="J119" s="35"/>
    </row>
    <row r="120" spans="1:10" ht="15.75" x14ac:dyDescent="0.25">
      <c r="A120" s="99" t="s">
        <v>137</v>
      </c>
      <c r="B120" s="37"/>
      <c r="C120" s="37"/>
      <c r="D120" s="37"/>
      <c r="E120" s="37"/>
      <c r="F120" s="37"/>
      <c r="G120" s="37"/>
      <c r="H120" s="37"/>
      <c r="I120" s="37"/>
      <c r="J120" s="38"/>
    </row>
  </sheetData>
  <mergeCells count="24">
    <mergeCell ref="A102:J102"/>
    <mergeCell ref="B103:J103"/>
    <mergeCell ref="B104:J104"/>
    <mergeCell ref="N3:S3"/>
    <mergeCell ref="A1:B3"/>
    <mergeCell ref="C1:H3"/>
    <mergeCell ref="I1:J1"/>
    <mergeCell ref="I2:J2"/>
    <mergeCell ref="I3:J3"/>
    <mergeCell ref="B39:J39"/>
    <mergeCell ref="B40:J40"/>
    <mergeCell ref="A38:J38"/>
    <mergeCell ref="B24:J24"/>
    <mergeCell ref="A4:A5"/>
    <mergeCell ref="B4:J5"/>
    <mergeCell ref="B7:J7"/>
    <mergeCell ref="B8:J8"/>
    <mergeCell ref="A22:J22"/>
    <mergeCell ref="B23:J23"/>
    <mergeCell ref="B87:J87"/>
    <mergeCell ref="B88:J88"/>
    <mergeCell ref="A86:J86"/>
    <mergeCell ref="B71:J71"/>
    <mergeCell ref="B72:J72"/>
  </mergeCells>
  <pageMargins left="0.7" right="0.7" top="0.75" bottom="0.75" header="0.3" footer="0.3"/>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
  <sheetViews>
    <sheetView zoomScale="90" zoomScaleNormal="90" workbookViewId="0">
      <selection sqref="A1:B3"/>
    </sheetView>
  </sheetViews>
  <sheetFormatPr baseColWidth="10" defaultRowHeight="15" x14ac:dyDescent="0.25"/>
  <cols>
    <col min="1" max="1" width="12.28515625" customWidth="1"/>
    <col min="2" max="5" width="14.5703125"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127</v>
      </c>
      <c r="J3" s="135"/>
      <c r="N3" s="136"/>
      <c r="O3" s="136"/>
      <c r="P3" s="136"/>
      <c r="Q3" s="136"/>
      <c r="R3" s="136"/>
      <c r="S3" s="136"/>
    </row>
    <row r="4" spans="1:19" ht="15" customHeight="1" x14ac:dyDescent="0.25">
      <c r="A4" s="137" t="s">
        <v>62</v>
      </c>
      <c r="B4" s="138" t="s">
        <v>117</v>
      </c>
      <c r="C4" s="138"/>
      <c r="D4" s="138"/>
      <c r="E4" s="138"/>
      <c r="F4" s="138"/>
      <c r="G4" s="138"/>
      <c r="H4" s="138"/>
      <c r="I4" s="138"/>
      <c r="J4" s="138"/>
      <c r="N4" s="32"/>
      <c r="O4" s="32"/>
      <c r="P4" s="32"/>
      <c r="Q4" s="32"/>
      <c r="R4" s="32"/>
      <c r="S4" s="32"/>
    </row>
    <row r="5" spans="1:19" x14ac:dyDescent="0.25">
      <c r="A5" s="137"/>
      <c r="B5" s="138"/>
      <c r="C5" s="138"/>
      <c r="D5" s="138"/>
      <c r="E5" s="138"/>
      <c r="F5" s="138"/>
      <c r="G5" s="138"/>
      <c r="H5" s="138"/>
      <c r="I5" s="138"/>
      <c r="J5" s="138"/>
      <c r="N5" s="32"/>
      <c r="O5" s="32"/>
      <c r="P5" s="32"/>
      <c r="Q5" s="32"/>
      <c r="R5" s="32"/>
      <c r="S5" s="32"/>
    </row>
    <row r="6" spans="1:19" x14ac:dyDescent="0.25">
      <c r="A6" s="26"/>
      <c r="B6" s="27"/>
      <c r="C6" s="27"/>
      <c r="D6" s="27"/>
      <c r="E6" s="27"/>
      <c r="F6" s="27"/>
      <c r="G6" s="28"/>
      <c r="H6" s="28"/>
      <c r="I6" s="28"/>
      <c r="J6" s="28"/>
      <c r="N6" s="32"/>
      <c r="O6" s="32"/>
      <c r="P6" s="32"/>
      <c r="Q6" s="32"/>
      <c r="R6" s="32"/>
      <c r="S6" s="32"/>
    </row>
    <row r="7" spans="1:19" ht="15" customHeight="1" x14ac:dyDescent="0.25">
      <c r="A7" s="33" t="s">
        <v>3</v>
      </c>
      <c r="B7" s="130" t="s">
        <v>13</v>
      </c>
      <c r="C7" s="130"/>
      <c r="D7" s="130"/>
      <c r="E7" s="130"/>
      <c r="F7" s="130"/>
      <c r="G7" s="130"/>
      <c r="H7" s="130"/>
      <c r="I7" s="130"/>
      <c r="J7" s="130"/>
    </row>
    <row r="8" spans="1:19" x14ac:dyDescent="0.25">
      <c r="A8" s="33" t="s">
        <v>63</v>
      </c>
      <c r="B8" s="132" t="s">
        <v>118</v>
      </c>
      <c r="C8" s="132"/>
      <c r="D8" s="132"/>
      <c r="E8" s="132"/>
      <c r="F8" s="132"/>
      <c r="G8" s="132"/>
      <c r="H8" s="132"/>
      <c r="I8" s="132"/>
      <c r="J8" s="132"/>
    </row>
    <row r="9" spans="1:19" ht="58.5" customHeight="1" x14ac:dyDescent="0.25">
      <c r="A9" s="2" t="s">
        <v>66</v>
      </c>
      <c r="B9" s="3" t="s">
        <v>119</v>
      </c>
      <c r="C9" s="3" t="s">
        <v>120</v>
      </c>
      <c r="D9" s="3" t="s">
        <v>65</v>
      </c>
      <c r="E9" s="32"/>
      <c r="F9" s="32"/>
      <c r="G9" s="32"/>
      <c r="H9" s="32"/>
      <c r="I9" s="32"/>
      <c r="J9" s="35"/>
    </row>
    <row r="10" spans="1:19" x14ac:dyDescent="0.25">
      <c r="A10" s="24" t="s">
        <v>67</v>
      </c>
      <c r="B10" s="23">
        <v>3</v>
      </c>
      <c r="C10" s="23">
        <v>4</v>
      </c>
      <c r="D10" s="25">
        <f>B10/C10</f>
        <v>0.75</v>
      </c>
      <c r="E10" s="32"/>
      <c r="F10" s="32"/>
      <c r="G10" s="32"/>
      <c r="H10" s="32"/>
      <c r="I10" s="32"/>
      <c r="J10" s="35"/>
    </row>
    <row r="11" spans="1:19" x14ac:dyDescent="0.25">
      <c r="A11" s="24" t="s">
        <v>68</v>
      </c>
      <c r="B11" s="23">
        <v>3</v>
      </c>
      <c r="C11" s="23">
        <v>5</v>
      </c>
      <c r="D11" s="25">
        <f t="shared" ref="D11:D21" si="0">B11/C11</f>
        <v>0.6</v>
      </c>
      <c r="E11" s="32"/>
      <c r="F11" s="32"/>
      <c r="G11" s="32"/>
      <c r="H11" s="32"/>
      <c r="I11" s="32"/>
      <c r="J11" s="35"/>
    </row>
    <row r="12" spans="1:19" x14ac:dyDescent="0.25">
      <c r="A12" s="24" t="s">
        <v>69</v>
      </c>
      <c r="B12" s="23">
        <v>1</v>
      </c>
      <c r="C12" s="23">
        <v>6</v>
      </c>
      <c r="D12" s="25">
        <f t="shared" si="0"/>
        <v>0.16666666666666666</v>
      </c>
      <c r="E12" s="32"/>
      <c r="F12" s="32"/>
      <c r="G12" s="32"/>
      <c r="H12" s="32"/>
      <c r="I12" s="32"/>
      <c r="J12" s="35"/>
    </row>
    <row r="13" spans="1:19" x14ac:dyDescent="0.25">
      <c r="A13" s="24" t="s">
        <v>70</v>
      </c>
      <c r="B13" s="23">
        <v>4</v>
      </c>
      <c r="C13" s="23">
        <v>4</v>
      </c>
      <c r="D13" s="25">
        <f t="shared" si="0"/>
        <v>1</v>
      </c>
      <c r="E13" s="32"/>
      <c r="F13" s="32"/>
      <c r="G13" s="32"/>
      <c r="H13" s="32"/>
      <c r="I13" s="32"/>
      <c r="J13" s="35"/>
    </row>
    <row r="14" spans="1:19" x14ac:dyDescent="0.25">
      <c r="A14" s="24" t="s">
        <v>71</v>
      </c>
      <c r="B14" s="23">
        <v>3</v>
      </c>
      <c r="C14" s="23">
        <v>4</v>
      </c>
      <c r="D14" s="25">
        <f t="shared" si="0"/>
        <v>0.75</v>
      </c>
      <c r="E14" s="32"/>
      <c r="F14" s="32"/>
      <c r="G14" s="32"/>
      <c r="H14" s="32"/>
      <c r="I14" s="32"/>
      <c r="J14" s="35"/>
    </row>
    <row r="15" spans="1:19" x14ac:dyDescent="0.25">
      <c r="A15" s="24" t="s">
        <v>72</v>
      </c>
      <c r="B15" s="23">
        <v>2</v>
      </c>
      <c r="C15" s="23">
        <v>6</v>
      </c>
      <c r="D15" s="25">
        <f t="shared" si="0"/>
        <v>0.33333333333333331</v>
      </c>
      <c r="E15" s="32"/>
      <c r="F15" s="32"/>
      <c r="G15" s="32"/>
      <c r="H15" s="32"/>
      <c r="I15" s="32"/>
      <c r="J15" s="35"/>
    </row>
    <row r="16" spans="1:19" x14ac:dyDescent="0.25">
      <c r="A16" s="24" t="s">
        <v>73</v>
      </c>
      <c r="B16" s="23"/>
      <c r="C16" s="23">
        <v>3</v>
      </c>
      <c r="D16" s="25">
        <f t="shared" si="0"/>
        <v>0</v>
      </c>
      <c r="E16" s="32"/>
      <c r="F16" s="32"/>
      <c r="G16" s="32"/>
      <c r="H16" s="32"/>
      <c r="I16" s="32"/>
      <c r="J16" s="35"/>
    </row>
    <row r="17" spans="1:10" x14ac:dyDescent="0.25">
      <c r="A17" s="24" t="s">
        <v>74</v>
      </c>
      <c r="B17" s="23"/>
      <c r="C17" s="23">
        <v>2</v>
      </c>
      <c r="D17" s="25">
        <f t="shared" si="0"/>
        <v>0</v>
      </c>
      <c r="E17" s="32"/>
      <c r="F17" s="32"/>
      <c r="G17" s="32"/>
      <c r="H17" s="32"/>
      <c r="I17" s="32"/>
      <c r="J17" s="35"/>
    </row>
    <row r="18" spans="1:10" x14ac:dyDescent="0.25">
      <c r="A18" s="24" t="s">
        <v>75</v>
      </c>
      <c r="B18" s="23"/>
      <c r="C18" s="23">
        <v>3</v>
      </c>
      <c r="D18" s="25">
        <f t="shared" si="0"/>
        <v>0</v>
      </c>
      <c r="E18" s="32"/>
      <c r="F18" s="32"/>
      <c r="G18" s="32"/>
      <c r="H18" s="32"/>
      <c r="I18" s="32"/>
      <c r="J18" s="35"/>
    </row>
    <row r="19" spans="1:10" x14ac:dyDescent="0.25">
      <c r="A19" s="24" t="s">
        <v>76</v>
      </c>
      <c r="B19" s="23"/>
      <c r="C19" s="23">
        <v>2</v>
      </c>
      <c r="D19" s="25">
        <f t="shared" si="0"/>
        <v>0</v>
      </c>
      <c r="E19" s="32"/>
      <c r="F19" s="32"/>
      <c r="G19" s="32"/>
      <c r="H19" s="32"/>
      <c r="I19" s="32"/>
      <c r="J19" s="35"/>
    </row>
    <row r="20" spans="1:10" x14ac:dyDescent="0.25">
      <c r="A20" s="24" t="s">
        <v>77</v>
      </c>
      <c r="B20" s="23"/>
      <c r="C20" s="23">
        <v>1</v>
      </c>
      <c r="D20" s="25">
        <f t="shared" si="0"/>
        <v>0</v>
      </c>
      <c r="E20" s="32"/>
      <c r="F20" s="32"/>
      <c r="G20" s="32"/>
      <c r="H20" s="32"/>
      <c r="I20" s="32"/>
      <c r="J20" s="35"/>
    </row>
    <row r="21" spans="1:10" x14ac:dyDescent="0.25">
      <c r="A21" s="24" t="s">
        <v>78</v>
      </c>
      <c r="B21" s="23"/>
      <c r="C21" s="23">
        <v>1</v>
      </c>
      <c r="D21" s="25">
        <f t="shared" si="0"/>
        <v>0</v>
      </c>
      <c r="E21" s="32"/>
      <c r="F21" s="32"/>
      <c r="G21" s="32"/>
      <c r="H21" s="32"/>
      <c r="I21" s="32"/>
      <c r="J21" s="35"/>
    </row>
    <row r="22" spans="1:10" x14ac:dyDescent="0.25">
      <c r="A22" s="21"/>
      <c r="B22" s="68">
        <f>SUM(B10:B21)/41</f>
        <v>0.3902439024390244</v>
      </c>
      <c r="C22" s="68">
        <f>SUM(C10:C21)/41</f>
        <v>1</v>
      </c>
      <c r="D22" s="32"/>
      <c r="E22" s="32"/>
      <c r="F22" s="32"/>
      <c r="G22" s="32"/>
      <c r="H22" s="32"/>
      <c r="I22" s="32"/>
      <c r="J22" s="35"/>
    </row>
    <row r="23" spans="1:10" ht="15.75" x14ac:dyDescent="0.25">
      <c r="A23" s="36" t="s">
        <v>121</v>
      </c>
      <c r="B23" s="34"/>
      <c r="C23" s="32"/>
      <c r="D23" s="32"/>
      <c r="E23" s="32"/>
      <c r="F23" s="32"/>
      <c r="G23" s="32"/>
      <c r="H23" s="32"/>
      <c r="I23" s="32"/>
      <c r="J23" s="35"/>
    </row>
    <row r="24" spans="1:10" x14ac:dyDescent="0.25">
      <c r="A24" s="22"/>
      <c r="B24" s="37"/>
      <c r="C24" s="37"/>
      <c r="D24" s="37"/>
      <c r="E24" s="37"/>
      <c r="F24" s="37"/>
      <c r="G24" s="37"/>
      <c r="H24" s="37"/>
      <c r="I24" s="37"/>
      <c r="J24" s="38"/>
    </row>
  </sheetData>
  <mergeCells count="10">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
  <sheetViews>
    <sheetView zoomScale="90" zoomScaleNormal="90" workbookViewId="0">
      <selection sqref="A1:B3"/>
    </sheetView>
  </sheetViews>
  <sheetFormatPr baseColWidth="10" defaultRowHeight="15" x14ac:dyDescent="0.25"/>
  <cols>
    <col min="1" max="1" width="12.28515625" customWidth="1"/>
    <col min="2" max="3" width="14.5703125" customWidth="1"/>
    <col min="4" max="4" width="14.5703125" style="43" customWidth="1"/>
    <col min="5" max="5" width="14.5703125"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126</v>
      </c>
      <c r="J3" s="135"/>
      <c r="N3" s="136"/>
      <c r="O3" s="136"/>
      <c r="P3" s="136"/>
      <c r="Q3" s="136"/>
      <c r="R3" s="136"/>
      <c r="S3" s="136"/>
    </row>
    <row r="4" spans="1:19" ht="15" customHeight="1" x14ac:dyDescent="0.25">
      <c r="A4" s="137" t="s">
        <v>62</v>
      </c>
      <c r="B4" s="138" t="s">
        <v>122</v>
      </c>
      <c r="C4" s="138"/>
      <c r="D4" s="138"/>
      <c r="E4" s="138"/>
      <c r="F4" s="138"/>
      <c r="G4" s="138"/>
      <c r="H4" s="138"/>
      <c r="I4" s="138"/>
      <c r="J4" s="138"/>
      <c r="N4" s="32"/>
      <c r="O4" s="32"/>
      <c r="P4" s="32"/>
      <c r="Q4" s="32"/>
      <c r="R4" s="32"/>
      <c r="S4" s="32"/>
    </row>
    <row r="5" spans="1:19" x14ac:dyDescent="0.25">
      <c r="A5" s="137"/>
      <c r="B5" s="138"/>
      <c r="C5" s="138"/>
      <c r="D5" s="138"/>
      <c r="E5" s="138"/>
      <c r="F5" s="138"/>
      <c r="G5" s="138"/>
      <c r="H5" s="138"/>
      <c r="I5" s="138"/>
      <c r="J5" s="138"/>
      <c r="N5" s="32"/>
      <c r="O5" s="32"/>
      <c r="P5" s="32"/>
      <c r="Q5" s="32"/>
      <c r="R5" s="32"/>
      <c r="S5" s="32"/>
    </row>
    <row r="6" spans="1:19" x14ac:dyDescent="0.25">
      <c r="A6" s="26"/>
      <c r="B6" s="27"/>
      <c r="C6" s="27"/>
      <c r="D6" s="39"/>
      <c r="E6" s="27"/>
      <c r="F6" s="27"/>
      <c r="G6" s="28"/>
      <c r="H6" s="28"/>
      <c r="I6" s="28"/>
      <c r="J6" s="28"/>
      <c r="N6" s="32"/>
      <c r="O6" s="32"/>
      <c r="P6" s="32"/>
      <c r="Q6" s="32"/>
      <c r="R6" s="32"/>
      <c r="S6" s="32"/>
    </row>
    <row r="7" spans="1:19" ht="15" customHeight="1" x14ac:dyDescent="0.25">
      <c r="A7" s="33" t="s">
        <v>3</v>
      </c>
      <c r="B7" s="130" t="s">
        <v>55</v>
      </c>
      <c r="C7" s="130"/>
      <c r="D7" s="130"/>
      <c r="E7" s="130"/>
      <c r="F7" s="130"/>
      <c r="G7" s="130"/>
      <c r="H7" s="130"/>
      <c r="I7" s="130"/>
      <c r="J7" s="130"/>
    </row>
    <row r="8" spans="1:19" x14ac:dyDescent="0.25">
      <c r="A8" s="33" t="s">
        <v>63</v>
      </c>
      <c r="B8" s="132" t="s">
        <v>52</v>
      </c>
      <c r="C8" s="132"/>
      <c r="D8" s="132"/>
      <c r="E8" s="132"/>
      <c r="F8" s="132"/>
      <c r="G8" s="132"/>
      <c r="H8" s="132"/>
      <c r="I8" s="132"/>
      <c r="J8" s="132"/>
    </row>
    <row r="9" spans="1:19" ht="58.5" customHeight="1" x14ac:dyDescent="0.25">
      <c r="A9" s="2" t="s">
        <v>66</v>
      </c>
      <c r="B9" s="3" t="s">
        <v>89</v>
      </c>
      <c r="C9" s="3" t="s">
        <v>91</v>
      </c>
      <c r="D9" s="40" t="s">
        <v>123</v>
      </c>
      <c r="E9" s="32"/>
      <c r="F9" s="32"/>
      <c r="G9" s="32"/>
      <c r="H9" s="32"/>
      <c r="I9" s="32"/>
      <c r="J9" s="35"/>
    </row>
    <row r="10" spans="1:19" x14ac:dyDescent="0.25">
      <c r="A10" s="24" t="s">
        <v>67</v>
      </c>
      <c r="B10" s="23">
        <v>1231</v>
      </c>
      <c r="C10" s="23">
        <v>13</v>
      </c>
      <c r="D10" s="85">
        <f>B10/C10</f>
        <v>94.692307692307693</v>
      </c>
      <c r="E10" s="32"/>
      <c r="F10" s="32"/>
      <c r="G10" s="32"/>
      <c r="H10" s="32"/>
      <c r="I10" s="32"/>
      <c r="J10" s="35"/>
    </row>
    <row r="11" spans="1:19" x14ac:dyDescent="0.25">
      <c r="A11" s="24" t="s">
        <v>68</v>
      </c>
      <c r="B11" s="23">
        <v>1133</v>
      </c>
      <c r="C11" s="23">
        <v>12</v>
      </c>
      <c r="D11" s="85">
        <f t="shared" ref="D11:D21" si="0">B11/C11</f>
        <v>94.416666666666671</v>
      </c>
      <c r="E11" s="32"/>
      <c r="F11" s="32"/>
      <c r="G11" s="32"/>
      <c r="H11" s="32"/>
      <c r="I11" s="32"/>
      <c r="J11" s="35"/>
    </row>
    <row r="12" spans="1:19" x14ac:dyDescent="0.25">
      <c r="A12" s="24" t="s">
        <v>69</v>
      </c>
      <c r="B12" s="23">
        <v>1138</v>
      </c>
      <c r="C12" s="23">
        <v>12</v>
      </c>
      <c r="D12" s="85">
        <f t="shared" si="0"/>
        <v>94.833333333333329</v>
      </c>
      <c r="E12" s="32"/>
      <c r="F12" s="32"/>
      <c r="G12" s="32"/>
      <c r="H12" s="32"/>
      <c r="I12" s="32"/>
      <c r="J12" s="35"/>
    </row>
    <row r="13" spans="1:19" x14ac:dyDescent="0.25">
      <c r="A13" s="24" t="s">
        <v>70</v>
      </c>
      <c r="B13" s="23">
        <v>1508</v>
      </c>
      <c r="C13" s="23">
        <v>16</v>
      </c>
      <c r="D13" s="85">
        <f t="shared" si="0"/>
        <v>94.25</v>
      </c>
      <c r="E13" s="32"/>
      <c r="F13" s="32"/>
      <c r="G13" s="32"/>
      <c r="H13" s="32"/>
      <c r="I13" s="32"/>
      <c r="J13" s="35"/>
    </row>
    <row r="14" spans="1:19" x14ac:dyDescent="0.25">
      <c r="A14" s="24" t="s">
        <v>71</v>
      </c>
      <c r="B14" s="23">
        <v>1126</v>
      </c>
      <c r="C14" s="23">
        <v>12</v>
      </c>
      <c r="D14" s="85">
        <f t="shared" si="0"/>
        <v>93.833333333333329</v>
      </c>
      <c r="E14" s="32"/>
      <c r="F14" s="32"/>
      <c r="G14" s="32"/>
      <c r="H14" s="32"/>
      <c r="I14" s="32"/>
      <c r="J14" s="35"/>
    </row>
    <row r="15" spans="1:19" x14ac:dyDescent="0.25">
      <c r="A15" s="24" t="s">
        <v>72</v>
      </c>
      <c r="B15" s="23">
        <v>1140</v>
      </c>
      <c r="C15" s="23">
        <v>12</v>
      </c>
      <c r="D15" s="85">
        <f t="shared" si="0"/>
        <v>95</v>
      </c>
      <c r="E15" s="32"/>
      <c r="F15" s="32"/>
      <c r="G15" s="32"/>
      <c r="H15" s="32"/>
      <c r="I15" s="32"/>
      <c r="J15" s="35"/>
    </row>
    <row r="16" spans="1:19" x14ac:dyDescent="0.25">
      <c r="A16" s="24" t="s">
        <v>73</v>
      </c>
      <c r="B16" s="23">
        <v>1134</v>
      </c>
      <c r="C16" s="23">
        <v>12</v>
      </c>
      <c r="D16" s="85">
        <f t="shared" si="0"/>
        <v>94.5</v>
      </c>
      <c r="E16" s="32"/>
      <c r="F16" s="32"/>
      <c r="G16" s="32"/>
      <c r="H16" s="32"/>
      <c r="I16" s="32"/>
      <c r="J16" s="35"/>
    </row>
    <row r="17" spans="1:10" x14ac:dyDescent="0.25">
      <c r="A17" s="24" t="s">
        <v>74</v>
      </c>
      <c r="B17" s="23">
        <v>1969</v>
      </c>
      <c r="C17" s="23">
        <v>20</v>
      </c>
      <c r="D17" s="85">
        <f t="shared" si="0"/>
        <v>98.45</v>
      </c>
      <c r="E17" s="32"/>
      <c r="F17" s="32"/>
      <c r="G17" s="32"/>
      <c r="H17" s="32"/>
      <c r="I17" s="32"/>
      <c r="J17" s="35"/>
    </row>
    <row r="18" spans="1:10" x14ac:dyDescent="0.25">
      <c r="A18" s="24" t="s">
        <v>75</v>
      </c>
      <c r="B18" s="23"/>
      <c r="C18" s="23"/>
      <c r="D18" s="85" t="e">
        <f t="shared" si="0"/>
        <v>#DIV/0!</v>
      </c>
      <c r="E18" s="32"/>
      <c r="F18" s="32"/>
      <c r="G18" s="32"/>
      <c r="H18" s="32"/>
      <c r="I18" s="32"/>
      <c r="J18" s="35"/>
    </row>
    <row r="19" spans="1:10" x14ac:dyDescent="0.25">
      <c r="A19" s="24" t="s">
        <v>76</v>
      </c>
      <c r="B19" s="23"/>
      <c r="C19" s="23"/>
      <c r="D19" s="85" t="e">
        <f t="shared" si="0"/>
        <v>#DIV/0!</v>
      </c>
      <c r="E19" s="32"/>
      <c r="F19" s="32"/>
      <c r="G19" s="32"/>
      <c r="H19" s="32"/>
      <c r="I19" s="32"/>
      <c r="J19" s="35"/>
    </row>
    <row r="20" spans="1:10" x14ac:dyDescent="0.25">
      <c r="A20" s="24" t="s">
        <v>77</v>
      </c>
      <c r="B20" s="23"/>
      <c r="C20" s="23"/>
      <c r="D20" s="85" t="e">
        <f t="shared" si="0"/>
        <v>#DIV/0!</v>
      </c>
      <c r="E20" s="32"/>
      <c r="F20" s="32"/>
      <c r="G20" s="32"/>
      <c r="H20" s="32"/>
      <c r="I20" s="32"/>
      <c r="J20" s="35"/>
    </row>
    <row r="21" spans="1:10" x14ac:dyDescent="0.25">
      <c r="A21" s="24" t="s">
        <v>78</v>
      </c>
      <c r="B21" s="23"/>
      <c r="C21" s="23"/>
      <c r="D21" s="85" t="e">
        <f t="shared" si="0"/>
        <v>#DIV/0!</v>
      </c>
      <c r="E21" s="32"/>
      <c r="F21" s="32"/>
      <c r="G21" s="32"/>
      <c r="H21" s="32"/>
      <c r="I21" s="32"/>
      <c r="J21" s="35"/>
    </row>
    <row r="22" spans="1:10" x14ac:dyDescent="0.25">
      <c r="A22" s="21"/>
      <c r="B22" s="32"/>
      <c r="C22" s="32"/>
      <c r="D22" s="41"/>
      <c r="E22" s="32"/>
      <c r="F22" s="32"/>
      <c r="G22" s="32"/>
      <c r="H22" s="32"/>
      <c r="I22" s="32"/>
      <c r="J22" s="35"/>
    </row>
    <row r="23" spans="1:10" ht="15.75" x14ac:dyDescent="0.25">
      <c r="A23" s="36" t="s">
        <v>124</v>
      </c>
      <c r="B23" s="34"/>
      <c r="C23" s="32"/>
      <c r="D23" s="41"/>
      <c r="E23" s="32"/>
      <c r="F23" s="32"/>
      <c r="G23" s="32"/>
      <c r="H23" s="32"/>
      <c r="I23" s="32"/>
      <c r="J23" s="35"/>
    </row>
    <row r="24" spans="1:10" x14ac:dyDescent="0.25">
      <c r="A24" s="22"/>
      <c r="B24" s="37"/>
      <c r="C24" s="37"/>
      <c r="D24" s="42"/>
      <c r="E24" s="37"/>
      <c r="F24" s="37"/>
      <c r="G24" s="37"/>
      <c r="H24" s="37"/>
      <c r="I24" s="37"/>
      <c r="J24" s="38"/>
    </row>
  </sheetData>
  <mergeCells count="10">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
  <sheetViews>
    <sheetView zoomScale="90" zoomScaleNormal="90" workbookViewId="0">
      <selection activeCell="N12" sqref="N12"/>
    </sheetView>
  </sheetViews>
  <sheetFormatPr baseColWidth="10" defaultRowHeight="15" x14ac:dyDescent="0.25"/>
  <cols>
    <col min="1" max="1" width="12.28515625" customWidth="1"/>
    <col min="2" max="3" width="14.5703125" customWidth="1"/>
    <col min="4" max="4" width="14.5703125" style="43" customWidth="1"/>
    <col min="5" max="5" width="14.5703125" customWidth="1"/>
  </cols>
  <sheetData>
    <row r="1" spans="1:19" x14ac:dyDescent="0.25">
      <c r="A1" s="134"/>
      <c r="B1" s="134"/>
      <c r="C1" s="103" t="s">
        <v>87</v>
      </c>
      <c r="D1" s="103"/>
      <c r="E1" s="103"/>
      <c r="F1" s="103"/>
      <c r="G1" s="103"/>
      <c r="H1" s="103"/>
      <c r="I1" s="135" t="s">
        <v>175</v>
      </c>
      <c r="J1" s="135"/>
    </row>
    <row r="2" spans="1:19" x14ac:dyDescent="0.25">
      <c r="A2" s="134"/>
      <c r="B2" s="134"/>
      <c r="C2" s="103"/>
      <c r="D2" s="103"/>
      <c r="E2" s="103"/>
      <c r="F2" s="103"/>
      <c r="G2" s="103"/>
      <c r="H2" s="103"/>
      <c r="I2" s="135" t="s">
        <v>88</v>
      </c>
      <c r="J2" s="135"/>
      <c r="N2" s="32"/>
      <c r="O2" s="32"/>
      <c r="P2" s="32"/>
      <c r="Q2" s="32"/>
      <c r="R2" s="32"/>
      <c r="S2" s="32"/>
    </row>
    <row r="3" spans="1:19" x14ac:dyDescent="0.25">
      <c r="A3" s="134"/>
      <c r="B3" s="134"/>
      <c r="C3" s="103"/>
      <c r="D3" s="103"/>
      <c r="E3" s="103"/>
      <c r="F3" s="103"/>
      <c r="G3" s="103"/>
      <c r="H3" s="103"/>
      <c r="I3" s="135" t="s">
        <v>125</v>
      </c>
      <c r="J3" s="135"/>
      <c r="N3" s="136"/>
      <c r="O3" s="136"/>
      <c r="P3" s="136"/>
      <c r="Q3" s="136"/>
      <c r="R3" s="136"/>
      <c r="S3" s="136"/>
    </row>
    <row r="4" spans="1:19" ht="15" customHeight="1" x14ac:dyDescent="0.25">
      <c r="A4" s="137" t="s">
        <v>62</v>
      </c>
      <c r="B4" s="138" t="s">
        <v>27</v>
      </c>
      <c r="C4" s="138"/>
      <c r="D4" s="138"/>
      <c r="E4" s="138"/>
      <c r="F4" s="138"/>
      <c r="G4" s="138"/>
      <c r="H4" s="138"/>
      <c r="I4" s="138"/>
      <c r="J4" s="138"/>
      <c r="N4" s="32"/>
      <c r="O4" s="32"/>
      <c r="P4" s="32"/>
      <c r="Q4" s="32"/>
      <c r="R4" s="32"/>
      <c r="S4" s="32"/>
    </row>
    <row r="5" spans="1:19" x14ac:dyDescent="0.25">
      <c r="A5" s="137"/>
      <c r="B5" s="138"/>
      <c r="C5" s="138"/>
      <c r="D5" s="138"/>
      <c r="E5" s="138"/>
      <c r="F5" s="138"/>
      <c r="G5" s="138"/>
      <c r="H5" s="138"/>
      <c r="I5" s="138"/>
      <c r="J5" s="138"/>
      <c r="N5" s="32"/>
      <c r="O5" s="32"/>
      <c r="P5" s="32"/>
      <c r="Q5" s="32"/>
      <c r="R5" s="32"/>
      <c r="S5" s="32"/>
    </row>
    <row r="6" spans="1:19" x14ac:dyDescent="0.25">
      <c r="A6" s="26"/>
      <c r="B6" s="27"/>
      <c r="C6" s="27"/>
      <c r="D6" s="39"/>
      <c r="E6" s="27"/>
      <c r="F6" s="27"/>
      <c r="G6" s="28"/>
      <c r="H6" s="28"/>
      <c r="I6" s="28"/>
      <c r="J6" s="28"/>
      <c r="N6" s="32"/>
      <c r="O6" s="32"/>
      <c r="P6" s="32"/>
      <c r="Q6" s="32"/>
      <c r="R6" s="32"/>
      <c r="S6" s="32"/>
    </row>
    <row r="7" spans="1:19" ht="15" customHeight="1" x14ac:dyDescent="0.25">
      <c r="A7" s="33" t="s">
        <v>3</v>
      </c>
      <c r="B7" s="130" t="s">
        <v>56</v>
      </c>
      <c r="C7" s="130"/>
      <c r="D7" s="130"/>
      <c r="E7" s="130"/>
      <c r="F7" s="130"/>
      <c r="G7" s="130"/>
      <c r="H7" s="130"/>
      <c r="I7" s="130"/>
      <c r="J7" s="130"/>
    </row>
    <row r="8" spans="1:19" x14ac:dyDescent="0.25">
      <c r="A8" s="33" t="s">
        <v>63</v>
      </c>
      <c r="B8" s="132" t="s">
        <v>52</v>
      </c>
      <c r="C8" s="132"/>
      <c r="D8" s="132"/>
      <c r="E8" s="132"/>
      <c r="F8" s="132"/>
      <c r="G8" s="132"/>
      <c r="H8" s="132"/>
      <c r="I8" s="132"/>
      <c r="J8" s="132"/>
    </row>
    <row r="9" spans="1:19" ht="58.5" customHeight="1" x14ac:dyDescent="0.25">
      <c r="A9" s="2" t="s">
        <v>66</v>
      </c>
      <c r="B9" s="3" t="s">
        <v>89</v>
      </c>
      <c r="C9" s="3" t="s">
        <v>91</v>
      </c>
      <c r="D9" s="40" t="s">
        <v>180</v>
      </c>
      <c r="E9" s="32"/>
      <c r="F9" s="32"/>
      <c r="G9" s="32"/>
      <c r="H9" s="32"/>
      <c r="I9" s="32"/>
      <c r="J9" s="35"/>
    </row>
    <row r="10" spans="1:19" x14ac:dyDescent="0.25">
      <c r="A10" s="145" t="s">
        <v>177</v>
      </c>
      <c r="B10" s="148">
        <v>22.8</v>
      </c>
      <c r="C10" s="148">
        <v>5</v>
      </c>
      <c r="D10" s="166">
        <f>B10/C10</f>
        <v>4.5600000000000005</v>
      </c>
      <c r="E10" s="32"/>
      <c r="F10" s="32"/>
      <c r="G10" s="32"/>
      <c r="H10" s="32"/>
      <c r="I10" s="32"/>
      <c r="J10" s="35"/>
    </row>
    <row r="11" spans="1:19" x14ac:dyDescent="0.25">
      <c r="A11" s="146"/>
      <c r="B11" s="149"/>
      <c r="C11" s="149"/>
      <c r="D11" s="167"/>
      <c r="E11" s="32"/>
      <c r="F11" s="32"/>
      <c r="G11" s="32"/>
      <c r="H11" s="32"/>
      <c r="I11" s="32"/>
      <c r="J11" s="35"/>
    </row>
    <row r="12" spans="1:19" x14ac:dyDescent="0.25">
      <c r="A12" s="146"/>
      <c r="B12" s="149"/>
      <c r="C12" s="149"/>
      <c r="D12" s="167"/>
      <c r="E12" s="32"/>
      <c r="F12" s="32"/>
      <c r="G12" s="32"/>
      <c r="H12" s="32"/>
      <c r="I12" s="32"/>
      <c r="J12" s="35"/>
    </row>
    <row r="13" spans="1:19" x14ac:dyDescent="0.25">
      <c r="A13" s="146"/>
      <c r="B13" s="149"/>
      <c r="C13" s="149"/>
      <c r="D13" s="167"/>
      <c r="E13" s="32"/>
      <c r="F13" s="32"/>
      <c r="G13" s="32"/>
      <c r="H13" s="32"/>
      <c r="I13" s="32"/>
      <c r="J13" s="35"/>
    </row>
    <row r="14" spans="1:19" x14ac:dyDescent="0.25">
      <c r="A14" s="146"/>
      <c r="B14" s="149"/>
      <c r="C14" s="149"/>
      <c r="D14" s="167"/>
      <c r="E14" s="32"/>
      <c r="F14" s="32"/>
      <c r="G14" s="32"/>
      <c r="H14" s="32"/>
      <c r="I14" s="32"/>
      <c r="J14" s="35"/>
    </row>
    <row r="15" spans="1:19" x14ac:dyDescent="0.25">
      <c r="A15" s="147"/>
      <c r="B15" s="150"/>
      <c r="C15" s="150"/>
      <c r="D15" s="168"/>
      <c r="E15" s="32"/>
      <c r="F15" s="32"/>
      <c r="G15" s="32"/>
      <c r="H15" s="32"/>
      <c r="I15" s="32"/>
      <c r="J15" s="35"/>
    </row>
    <row r="16" spans="1:19" x14ac:dyDescent="0.25">
      <c r="A16" s="145" t="s">
        <v>178</v>
      </c>
      <c r="B16" s="148"/>
      <c r="C16" s="148"/>
      <c r="D16" s="166" t="e">
        <f>B16/C16</f>
        <v>#DIV/0!</v>
      </c>
      <c r="E16" s="32"/>
      <c r="F16" s="32"/>
      <c r="G16" s="32"/>
      <c r="H16" s="32"/>
      <c r="I16" s="32"/>
      <c r="J16" s="35"/>
    </row>
    <row r="17" spans="1:10" x14ac:dyDescent="0.25">
      <c r="A17" s="146"/>
      <c r="B17" s="149"/>
      <c r="C17" s="149"/>
      <c r="D17" s="167"/>
      <c r="E17" s="32"/>
      <c r="F17" s="32"/>
      <c r="G17" s="32"/>
      <c r="H17" s="32"/>
      <c r="I17" s="32"/>
      <c r="J17" s="35"/>
    </row>
    <row r="18" spans="1:10" x14ac:dyDescent="0.25">
      <c r="A18" s="146"/>
      <c r="B18" s="149"/>
      <c r="C18" s="149"/>
      <c r="D18" s="167"/>
      <c r="E18" s="32"/>
      <c r="F18" s="32"/>
      <c r="G18" s="32"/>
      <c r="H18" s="32"/>
      <c r="I18" s="32"/>
      <c r="J18" s="35"/>
    </row>
    <row r="19" spans="1:10" x14ac:dyDescent="0.25">
      <c r="A19" s="146"/>
      <c r="B19" s="149"/>
      <c r="C19" s="149"/>
      <c r="D19" s="167"/>
      <c r="E19" s="32"/>
      <c r="F19" s="32"/>
      <c r="G19" s="32"/>
      <c r="H19" s="32"/>
      <c r="I19" s="32"/>
      <c r="J19" s="35"/>
    </row>
    <row r="20" spans="1:10" x14ac:dyDescent="0.25">
      <c r="A20" s="146"/>
      <c r="B20" s="149"/>
      <c r="C20" s="149"/>
      <c r="D20" s="167"/>
      <c r="E20" s="32"/>
      <c r="F20" s="32"/>
      <c r="G20" s="32"/>
      <c r="H20" s="32"/>
      <c r="I20" s="32"/>
      <c r="J20" s="35"/>
    </row>
    <row r="21" spans="1:10" x14ac:dyDescent="0.25">
      <c r="A21" s="147"/>
      <c r="B21" s="150"/>
      <c r="C21" s="150"/>
      <c r="D21" s="168"/>
      <c r="E21" s="32"/>
      <c r="F21" s="32"/>
      <c r="G21" s="32"/>
      <c r="H21" s="32"/>
      <c r="I21" s="32"/>
      <c r="J21" s="35"/>
    </row>
    <row r="22" spans="1:10" x14ac:dyDescent="0.25">
      <c r="A22" s="21"/>
      <c r="B22" s="32"/>
      <c r="C22" s="32"/>
      <c r="D22" s="41"/>
      <c r="E22" s="32"/>
      <c r="F22" s="32"/>
      <c r="G22" s="32"/>
      <c r="H22" s="32"/>
      <c r="I22" s="32"/>
      <c r="J22" s="35"/>
    </row>
    <row r="23" spans="1:10" ht="15.75" x14ac:dyDescent="0.25">
      <c r="A23" s="36" t="s">
        <v>110</v>
      </c>
      <c r="B23" s="34"/>
      <c r="C23" s="32"/>
      <c r="D23" s="41"/>
      <c r="E23" s="32"/>
      <c r="F23" s="32"/>
      <c r="G23" s="32"/>
      <c r="H23" s="32"/>
      <c r="I23" s="32"/>
      <c r="J23" s="35"/>
    </row>
    <row r="24" spans="1:10" x14ac:dyDescent="0.25">
      <c r="A24" s="22"/>
      <c r="B24" s="37"/>
      <c r="C24" s="37"/>
      <c r="D24" s="42"/>
      <c r="E24" s="37"/>
      <c r="F24" s="37"/>
      <c r="G24" s="37"/>
      <c r="H24" s="37"/>
      <c r="I24" s="37"/>
      <c r="J24" s="38"/>
    </row>
  </sheetData>
  <mergeCells count="18">
    <mergeCell ref="A10:A15"/>
    <mergeCell ref="B10:B15"/>
    <mergeCell ref="C10:C15"/>
    <mergeCell ref="D10:D15"/>
    <mergeCell ref="D16:D21"/>
    <mergeCell ref="A16:A21"/>
    <mergeCell ref="B16:B21"/>
    <mergeCell ref="C16:C21"/>
    <mergeCell ref="N3:S3"/>
    <mergeCell ref="A4:A5"/>
    <mergeCell ref="B4:J5"/>
    <mergeCell ref="B7:J7"/>
    <mergeCell ref="B8:J8"/>
    <mergeCell ref="A1:B3"/>
    <mergeCell ref="C1:H3"/>
    <mergeCell ref="I1:J1"/>
    <mergeCell ref="I2:J2"/>
    <mergeCell ref="I3:J3"/>
  </mergeCells>
  <pageMargins left="0.7" right="0.7" top="0.75" bottom="0.75" header="0.3" footer="0.3"/>
  <pageSetup scale="7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37D1AA-8336-4180-A378-3BDAADBEAC38}"/>
</file>

<file path=customXml/itemProps2.xml><?xml version="1.0" encoding="utf-8"?>
<ds:datastoreItem xmlns:ds="http://schemas.openxmlformats.org/officeDocument/2006/customXml" ds:itemID="{80C69D45-635B-4DFB-84E3-3BAFBDCF09EB}"/>
</file>

<file path=customXml/itemProps3.xml><?xml version="1.0" encoding="utf-8"?>
<ds:datastoreItem xmlns:ds="http://schemas.openxmlformats.org/officeDocument/2006/customXml" ds:itemID="{89D8F735-56BA-49FE-911D-32F6AFCF50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MATRIZ</vt:lpstr>
      <vt:lpstr>1</vt:lpstr>
      <vt:lpstr>2</vt:lpstr>
      <vt:lpstr>3</vt:lpstr>
      <vt:lpstr>4</vt:lpstr>
      <vt:lpstr>5</vt:lpstr>
      <vt:lpstr>6</vt:lpstr>
      <vt:lpstr>7</vt:lpstr>
      <vt:lpstr>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usuario de red</cp:lastModifiedBy>
  <cp:lastPrinted>2015-07-27T22:07:58Z</cp:lastPrinted>
  <dcterms:created xsi:type="dcterms:W3CDTF">2015-06-02T22:21:33Z</dcterms:created>
  <dcterms:modified xsi:type="dcterms:W3CDTF">2017-04-27T14:09:30Z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18000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