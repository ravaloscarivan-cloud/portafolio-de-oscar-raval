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9.MATRIZ DE RIESGO\"/>
    </mc:Choice>
  </mc:AlternateContent>
  <xr:revisionPtr revIDLastSave="0" documentId="13_ncr:1_{CA8FB677-FA93-4862-9B0B-F550F03A4481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Gerencia Administrativa" sheetId="11" r:id="rId1"/>
    <sheet name="Matriz de Riesgo.." sheetId="10" state="hidden" r:id="rId2"/>
    <sheet name="Matriz de Riesgo" sheetId="4" state="hidden" r:id="rId3"/>
    <sheet name="Calificación y Semaforización" sheetId="2" r:id="rId4"/>
    <sheet name="Hoja2" sheetId="12" r:id="rId5"/>
    <sheet name="Hoja4" sheetId="9" state="hidden" r:id="rId6"/>
    <sheet name="Hoja3" sheetId="5" state="hidden" r:id="rId7"/>
    <sheet name="Hoja1" sheetId="6" state="hidden" r:id="rId8"/>
  </sheets>
  <externalReferences>
    <externalReference r:id="rId9"/>
    <externalReference r:id="rId10"/>
    <externalReference r:id="rId11"/>
  </externalReferences>
  <definedNames>
    <definedName name="_xlnm.Print_Area" localSheetId="3">'Calificación y Semaforización'!$B$1:$D$37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" i="11" l="1"/>
  <c r="X10" i="11" l="1"/>
  <c r="Y9" i="11" l="1"/>
  <c r="AA9" i="11" l="1"/>
  <c r="AN10" i="11" l="1"/>
  <c r="AA10" i="11"/>
  <c r="AB10" i="11" s="1"/>
  <c r="M10" i="11"/>
  <c r="AN9" i="11"/>
  <c r="M9" i="11"/>
  <c r="AN8" i="11"/>
  <c r="AB8" i="11"/>
  <c r="M8" i="11"/>
  <c r="AB9" i="11" l="1"/>
  <c r="M8" i="10"/>
  <c r="AN23" i="10" l="1"/>
  <c r="AA23" i="10"/>
  <c r="X23" i="10"/>
  <c r="Y23" i="10" s="1"/>
  <c r="Z23" i="10" s="1"/>
  <c r="M23" i="10"/>
  <c r="AN22" i="10"/>
  <c r="AA22" i="10"/>
  <c r="X22" i="10"/>
  <c r="Y22" i="10" s="1"/>
  <c r="Z22" i="10" s="1"/>
  <c r="AB22" i="10" s="1"/>
  <c r="M22" i="10"/>
  <c r="AN21" i="10"/>
  <c r="AA21" i="10"/>
  <c r="Z21" i="10"/>
  <c r="X21" i="10"/>
  <c r="Y21" i="10" s="1"/>
  <c r="M21" i="10"/>
  <c r="AN20" i="10"/>
  <c r="AA20" i="10"/>
  <c r="X20" i="10"/>
  <c r="Y20" i="10" s="1"/>
  <c r="Z20" i="10" s="1"/>
  <c r="AB20" i="10" s="1"/>
  <c r="M20" i="10"/>
  <c r="AN19" i="10"/>
  <c r="AA19" i="10"/>
  <c r="Y19" i="10"/>
  <c r="Z19" i="10" s="1"/>
  <c r="AB19" i="10" s="1"/>
  <c r="X19" i="10"/>
  <c r="M19" i="10"/>
  <c r="AN18" i="10"/>
  <c r="AA18" i="10"/>
  <c r="X18" i="10"/>
  <c r="Y18" i="10" s="1"/>
  <c r="Z18" i="10" s="1"/>
  <c r="M18" i="10"/>
  <c r="AN17" i="10"/>
  <c r="AA17" i="10"/>
  <c r="X17" i="10"/>
  <c r="Y17" i="10" s="1"/>
  <c r="Z17" i="10" s="1"/>
  <c r="M17" i="10"/>
  <c r="AN16" i="10"/>
  <c r="AA16" i="10"/>
  <c r="X16" i="10"/>
  <c r="Y16" i="10" s="1"/>
  <c r="Z16" i="10" s="1"/>
  <c r="AB16" i="10" s="1"/>
  <c r="M16" i="10"/>
  <c r="AN15" i="10"/>
  <c r="AA15" i="10"/>
  <c r="X15" i="10"/>
  <c r="Y15" i="10" s="1"/>
  <c r="Z15" i="10" s="1"/>
  <c r="M15" i="10"/>
  <c r="AN14" i="10"/>
  <c r="AA14" i="10"/>
  <c r="X14" i="10"/>
  <c r="Y14" i="10" s="1"/>
  <c r="Z14" i="10" s="1"/>
  <c r="AB14" i="10" s="1"/>
  <c r="M14" i="10"/>
  <c r="AN13" i="10"/>
  <c r="AA13" i="10"/>
  <c r="X13" i="10"/>
  <c r="Y13" i="10" s="1"/>
  <c r="Z13" i="10" s="1"/>
  <c r="AB13" i="10" s="1"/>
  <c r="M13" i="10"/>
  <c r="AN12" i="10"/>
  <c r="AA12" i="10"/>
  <c r="X12" i="10"/>
  <c r="Y12" i="10" s="1"/>
  <c r="Z12" i="10" s="1"/>
  <c r="AB12" i="10" s="1"/>
  <c r="M12" i="10"/>
  <c r="AN11" i="10"/>
  <c r="AA11" i="10"/>
  <c r="X11" i="10"/>
  <c r="Y11" i="10" s="1"/>
  <c r="Z11" i="10" s="1"/>
  <c r="AB11" i="10" s="1"/>
  <c r="M11" i="10"/>
  <c r="AN10" i="10"/>
  <c r="AA10" i="10"/>
  <c r="X10" i="10"/>
  <c r="Y10" i="10" s="1"/>
  <c r="Z10" i="10" s="1"/>
  <c r="AB10" i="10" s="1"/>
  <c r="M10" i="10"/>
  <c r="AN9" i="10"/>
  <c r="AA9" i="10"/>
  <c r="Y9" i="10"/>
  <c r="Z9" i="10" s="1"/>
  <c r="AB9" i="10" s="1"/>
  <c r="X9" i="10"/>
  <c r="M9" i="10"/>
  <c r="AN8" i="10"/>
  <c r="AA8" i="10"/>
  <c r="X8" i="10"/>
  <c r="Y8" i="10" s="1"/>
  <c r="AB17" i="10" l="1"/>
  <c r="AB21" i="10"/>
  <c r="AB23" i="10"/>
  <c r="AB18" i="10"/>
  <c r="AB15" i="10"/>
  <c r="AB8" i="10"/>
  <c r="V9" i="4" l="1"/>
  <c r="V8" i="4"/>
  <c r="M17" i="4" l="1"/>
  <c r="M18" i="4"/>
  <c r="M19" i="4"/>
  <c r="M14" i="4"/>
  <c r="M11" i="4"/>
  <c r="Y21" i="4"/>
  <c r="AF19" i="4"/>
  <c r="AF18" i="4"/>
  <c r="AF17" i="4"/>
  <c r="AF14" i="4"/>
  <c r="AF11" i="4"/>
  <c r="V11" i="4"/>
  <c r="W11" i="4" s="1"/>
  <c r="X11" i="4" s="1"/>
  <c r="Y11" i="4"/>
  <c r="V17" i="4"/>
  <c r="W17" i="4" s="1"/>
  <c r="X17" i="4" s="1"/>
  <c r="Z17" i="4" s="1"/>
  <c r="Y17" i="4"/>
  <c r="V18" i="4"/>
  <c r="W18" i="4" s="1"/>
  <c r="X18" i="4" s="1"/>
  <c r="Z18" i="4" s="1"/>
  <c r="Y18" i="4"/>
  <c r="V19" i="4"/>
  <c r="W19" i="4" s="1"/>
  <c r="X19" i="4" s="1"/>
  <c r="Z19" i="4" s="1"/>
  <c r="Y19" i="4"/>
  <c r="V14" i="4"/>
  <c r="W14" i="4" s="1"/>
  <c r="X14" i="4" s="1"/>
  <c r="Y14" i="4"/>
  <c r="Y10" i="4"/>
  <c r="Z14" i="4" l="1"/>
  <c r="Z11" i="4"/>
  <c r="X21" i="4" l="1"/>
  <c r="M12" i="4" l="1"/>
  <c r="M13" i="4"/>
  <c r="M16" i="4"/>
  <c r="V12" i="4"/>
  <c r="W12" i="4" s="1"/>
  <c r="X12" i="4" s="1"/>
  <c r="Y12" i="4"/>
  <c r="V13" i="4"/>
  <c r="W13" i="4" s="1"/>
  <c r="X13" i="4" s="1"/>
  <c r="Y13" i="4"/>
  <c r="V16" i="4"/>
  <c r="W16" i="4" s="1"/>
  <c r="X16" i="4" s="1"/>
  <c r="Y16" i="4"/>
  <c r="AF12" i="4"/>
  <c r="AF13" i="4"/>
  <c r="AF16" i="4"/>
  <c r="W8" i="4"/>
  <c r="Z12" i="4" l="1"/>
  <c r="Z16" i="4"/>
  <c r="Z13" i="4"/>
  <c r="M23" i="4" l="1"/>
  <c r="M22" i="4"/>
  <c r="M21" i="4"/>
  <c r="M20" i="4"/>
  <c r="M10" i="4"/>
  <c r="M9" i="4"/>
  <c r="M8" i="4"/>
  <c r="Y9" i="4" l="1"/>
  <c r="Y20" i="4"/>
  <c r="Y22" i="4"/>
  <c r="Y23" i="4"/>
  <c r="Y8" i="4"/>
  <c r="Z8" i="4" l="1"/>
  <c r="W9" i="4"/>
  <c r="V10" i="4"/>
  <c r="W10" i="4" s="1"/>
  <c r="X10" i="4" s="1"/>
  <c r="V20" i="4"/>
  <c r="W20" i="4" s="1"/>
  <c r="X20" i="4" s="1"/>
  <c r="Z20" i="4" s="1"/>
  <c r="V21" i="4"/>
  <c r="W21" i="4" s="1"/>
  <c r="Z21" i="4" s="1"/>
  <c r="V22" i="4"/>
  <c r="W22" i="4" s="1"/>
  <c r="X22" i="4" s="1"/>
  <c r="Z22" i="4" s="1"/>
  <c r="V23" i="4"/>
  <c r="W23" i="4" s="1"/>
  <c r="X23" i="4" s="1"/>
  <c r="Z23" i="4" s="1"/>
  <c r="X9" i="4" l="1"/>
  <c r="Z9" i="4" s="1"/>
  <c r="Z10" i="4"/>
  <c r="AF20" i="4"/>
  <c r="AF21" i="4"/>
  <c r="AF10" i="4" l="1"/>
  <c r="AF22" i="4"/>
  <c r="AF23" i="4"/>
  <c r="AF9" i="4"/>
  <c r="AF8" i="4"/>
</calcChain>
</file>

<file path=xl/sharedStrings.xml><?xml version="1.0" encoding="utf-8"?>
<sst xmlns="http://schemas.openxmlformats.org/spreadsheetml/2006/main" count="429" uniqueCount="202">
  <si>
    <t>RESPONSABLE</t>
  </si>
  <si>
    <t>Transferir Riesgo</t>
  </si>
  <si>
    <r>
      <rPr>
        <b/>
        <sz val="10"/>
        <color theme="1"/>
        <rFont val="Arial Narrow"/>
        <family val="2"/>
      </rPr>
      <t>Trasferir el Riesgo</t>
    </r>
    <r>
      <rPr>
        <sz val="10"/>
        <color theme="1"/>
        <rFont val="Arial Narrow"/>
        <family val="2"/>
      </rPr>
      <t>: Cuando se transfiere a terceras persona. Como seguros, subcontratistas entre otros.</t>
    </r>
  </si>
  <si>
    <r>
      <rPr>
        <b/>
        <sz val="10"/>
        <color theme="1"/>
        <rFont val="Arial Narrow"/>
        <family val="2"/>
      </rPr>
      <t>Reducir el Riesgo:</t>
    </r>
    <r>
      <rPr>
        <sz val="10"/>
        <color theme="1"/>
        <rFont val="Arial Narrow"/>
        <family val="2"/>
      </rPr>
      <t xml:space="preserve"> Cuando la direccion decide reducir el riesgo, se ejercen controles a traves de acciones preventivas (Riesgo Medio), planes de continuidad del negocio, de incidentes o recuperacion  del negocio para el caso, en el caso de la gestion para la continuidad del sercicio u otros planes de accion o mejoramiento.</t>
    </r>
  </si>
  <si>
    <r>
      <rPr>
        <b/>
        <sz val="10"/>
        <color theme="1"/>
        <rFont val="Arial Narrow"/>
        <family val="2"/>
      </rPr>
      <t>Aceptar el Riesgo:</t>
    </r>
    <r>
      <rPr>
        <sz val="10"/>
        <color theme="1"/>
        <rFont val="Arial Narrow"/>
        <family val="2"/>
      </rPr>
      <t xml:space="preserve"> Este riesgo se lleva a comité Directivo y este desde alli determina las estrategias a tomar frente al riesgo detectado.</t>
    </r>
  </si>
  <si>
    <t>PROCEDIMIENTO</t>
  </si>
  <si>
    <r>
      <rPr>
        <b/>
        <sz val="10"/>
        <color theme="1"/>
        <rFont val="Arial Narrow"/>
        <family val="2"/>
      </rPr>
      <t xml:space="preserve">Tratar de Eliminar el Riesgo: </t>
    </r>
    <r>
      <rPr>
        <sz val="10"/>
        <color theme="1"/>
        <rFont val="Arial Narrow"/>
        <family val="2"/>
      </rPr>
      <t>Cuando la institucion decide eliminar el riesgo, se ejercen controles a traves de acciones correctivas (Riesgo Alto)</t>
    </r>
  </si>
  <si>
    <t>N° RIESGO</t>
  </si>
  <si>
    <t>TIPO DE RIESGO</t>
  </si>
  <si>
    <t>CATEGORIA</t>
  </si>
  <si>
    <t>Legales</t>
  </si>
  <si>
    <t>Operativo</t>
  </si>
  <si>
    <t>Tecnologico</t>
  </si>
  <si>
    <t>INTERNO / EXTERNO</t>
  </si>
  <si>
    <t>Interno</t>
  </si>
  <si>
    <t>Externo</t>
  </si>
  <si>
    <t>Interno  / Externo</t>
  </si>
  <si>
    <t>EFECTOS DEL FALLO (consecuencias)</t>
  </si>
  <si>
    <t>ANÁLISIS DEL RIESGO</t>
  </si>
  <si>
    <t xml:space="preserve"> RIESGO INICIAL</t>
  </si>
  <si>
    <t>CAUSAS DEL FALLO (Causa raiz por el cual podria ocurrir?)</t>
  </si>
  <si>
    <t>CONTROL PROPUESTO</t>
  </si>
  <si>
    <t>PLAN DE ACCION</t>
  </si>
  <si>
    <t>FECHA DE IMPLEMENTACION</t>
  </si>
  <si>
    <r>
      <rPr>
        <b/>
        <sz val="11"/>
        <color theme="1"/>
        <rFont val="Arial Narrow"/>
        <family val="2"/>
      </rPr>
      <t>1</t>
    </r>
    <r>
      <rPr>
        <sz val="11"/>
        <color theme="1"/>
        <rFont val="Arial Narrow"/>
        <family val="2"/>
      </rPr>
      <t xml:space="preserve">
</t>
    </r>
    <r>
      <rPr>
        <b/>
        <sz val="11"/>
        <color theme="1"/>
        <rFont val="Arial Narrow"/>
        <family val="2"/>
      </rPr>
      <t>(BAJA)</t>
    </r>
  </si>
  <si>
    <t xml:space="preserve">PROBABILIDAD / ESCALA </t>
  </si>
  <si>
    <t>NIVELES DEL RIESGO</t>
  </si>
  <si>
    <t>B(1)</t>
  </si>
  <si>
    <t>M(2)</t>
  </si>
  <si>
    <t xml:space="preserve">PROCESO  </t>
  </si>
  <si>
    <t>Asistenciales</t>
  </si>
  <si>
    <t>Financieros / Admon</t>
  </si>
  <si>
    <t>PROBABILIDAD</t>
  </si>
  <si>
    <t>Aceptable</t>
  </si>
  <si>
    <t>No aceptable</t>
  </si>
  <si>
    <t>P</t>
  </si>
  <si>
    <t>EVALUACION DEL RIESGO</t>
  </si>
  <si>
    <t xml:space="preserve"> RIESGO FINAL</t>
  </si>
  <si>
    <t>G</t>
  </si>
  <si>
    <t>GRAVEDAD</t>
  </si>
  <si>
    <t>CONTROLES EXISTENTES</t>
  </si>
  <si>
    <t>FECHA</t>
  </si>
  <si>
    <t>VERSION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</si>
  <si>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01</t>
    </r>
  </si>
  <si>
    <t>¿Existen manuales, instructivos o procedimientos
para el manejo del control?
15</t>
  </si>
  <si>
    <t>¿Está(n) definido(s) el(los) responsable(s) de la ejecución del control y del seguimiento?
5</t>
  </si>
  <si>
    <t>¿El control es automático?
15</t>
  </si>
  <si>
    <t>¿El control es manual?
10</t>
  </si>
  <si>
    <t>¿Se cuenta con evidencias de la ejecución y
seguimiento del control?
10</t>
  </si>
  <si>
    <t>En el tiempo que lleva la herramienta ha demostrado ser efectiva?
30</t>
  </si>
  <si>
    <t>Total criterios de evaluación
Max (100)</t>
  </si>
  <si>
    <t>ANALISIS Y EVALUACION DE LOS CONTROLES</t>
  </si>
  <si>
    <t>REDUCCION DEL RIESGO CON LOS CONTROLES EXISTENTES</t>
  </si>
  <si>
    <t>EVALUACION DEL RIESGO CON CONTROLES EXIXTENTES</t>
  </si>
  <si>
    <t>EVALUACION DE LA EFICACIA</t>
  </si>
  <si>
    <t>IDENTIFICACION DEL RIESGO Y/O OPORTUNIDAD</t>
  </si>
  <si>
    <r>
      <t xml:space="preserve">RIESGO O MODO DE FALLO  / </t>
    </r>
    <r>
      <rPr>
        <b/>
        <sz val="9"/>
        <color rgb="FFFFFFFF"/>
        <rFont val="Arial Narrow"/>
        <family val="2"/>
      </rPr>
      <t>OPORTUNIDAD GENERADA</t>
    </r>
  </si>
  <si>
    <t>ACTIVIDADES</t>
  </si>
  <si>
    <t xml:space="preserve">¿La frecuencia de ejecución del control y seguimiento es adecuada?                                        15                          </t>
  </si>
  <si>
    <t>3
(MEDIA)</t>
  </si>
  <si>
    <t>4
(ALTA)</t>
  </si>
  <si>
    <t>2
(MODERADA)</t>
  </si>
  <si>
    <t>M(3)</t>
  </si>
  <si>
    <t>A(4)</t>
  </si>
  <si>
    <t>Se debe asumir el riesgo y asumir las consecuencias. Los riesgos de las zonas baja se encuentran en un nivel que puede eliminarse o reducirse fácilmente con los controles establecidos en la entidad.</t>
  </si>
  <si>
    <t>Asumir el riesgo / reducir el riesgo. Deben tomarse las medidas necesarias para llevar los riesgos a la Zona de Riesgo Baja o eliminarlo, actuando bien sea sobre la probabilidad de ocurrencia o sobre la consecuencia, según sea el caso y tenga las posibilidades de acción.</t>
  </si>
  <si>
    <t>Deben tomarse las medidas necesarias para llevar los riesgos a la Zona de Riesgo Moderada, Baja o eliminarlo. Reducir el riesgo, evitar, compartir o transferir.</t>
  </si>
  <si>
    <t>Los riesgos de la Zona de Riesgo Extrema requieren de un tratamiento prioritario. Se deben implementar los controles orientados a reducir la posibilidad de ocurrencia del riesgo o disminuir el impacto de sus efectos y tomar las medidas de protección. Reducir el riesgo, evitar, compartir o transferir</t>
  </si>
  <si>
    <t>CLASIFICACION</t>
  </si>
  <si>
    <t>TRATAMIENTO</t>
  </si>
  <si>
    <t>PUNTAJE</t>
  </si>
  <si>
    <t>1
(BAJA)</t>
  </si>
  <si>
    <t>Entre 1 y 3</t>
  </si>
  <si>
    <t>Entre 8 y 9</t>
  </si>
  <si>
    <t>Entre 12 y 16</t>
  </si>
  <si>
    <r>
      <t xml:space="preserve">Poco problable que ocurra, existen controles efectivos, ningun caso ocurrido hasta la actualidad.
</t>
    </r>
    <r>
      <rPr>
        <b/>
        <u/>
        <sz val="9"/>
        <color theme="1"/>
        <rFont val="Arial Narrow"/>
        <family val="2"/>
      </rPr>
      <t>FRECUENCIA</t>
    </r>
    <r>
      <rPr>
        <sz val="9"/>
        <color theme="1"/>
        <rFont val="Arial Narrow"/>
        <family val="2"/>
      </rPr>
      <t xml:space="preserve">: </t>
    </r>
    <r>
      <rPr>
        <sz val="11"/>
        <color theme="1"/>
        <rFont val="Arial Narrow"/>
        <family val="2"/>
      </rPr>
      <t>No se ha presentado en los ultimos</t>
    </r>
    <r>
      <rPr>
        <sz val="9"/>
        <color theme="1"/>
        <rFont val="Arial Narrow"/>
        <family val="2"/>
      </rPr>
      <t xml:space="preserve"> </t>
    </r>
    <r>
      <rPr>
        <sz val="11"/>
        <color theme="1"/>
        <rFont val="Arial Narrow"/>
        <family val="2"/>
      </rPr>
      <t xml:space="preserve">5 años.
</t>
    </r>
    <r>
      <rPr>
        <sz val="11"/>
        <color theme="1"/>
        <rFont val="Arial Narrow"/>
        <family val="2"/>
      </rPr>
      <t xml:space="preserve">
</t>
    </r>
  </si>
  <si>
    <r>
      <t xml:space="preserve">Podria ocurrir en algun momento                                                                              </t>
    </r>
    <r>
      <rPr>
        <b/>
        <u/>
        <sz val="10"/>
        <color theme="1"/>
        <rFont val="Arial Narrow"/>
        <family val="2"/>
      </rPr>
      <t>FRECUENCIAS</t>
    </r>
    <r>
      <rPr>
        <sz val="11"/>
        <color theme="1"/>
        <rFont val="Arial Narrow"/>
        <family val="2"/>
      </rPr>
      <t xml:space="preserve">: Al menos 1 vez en los ultimos 2 años.                                                                                                                                                        </t>
    </r>
  </si>
  <si>
    <r>
      <t xml:space="preserve">Podria probablemente ocurrir, existen parcialmente controles efectivos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Al menos 1 vez en el ultimo año.                                                                                                                                                </t>
    </r>
  </si>
  <si>
    <r>
      <t xml:space="preserve">Alta probabilidad que ocurra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Mas de 2 veces al año.
</t>
    </r>
  </si>
  <si>
    <t>- No ha Interrupción de las operaciones de la Entidad
- No se generan sanciones económicas o administrativas
- No se afecta la Imagen institucional de forma significativa</t>
  </si>
  <si>
    <t>- Interrupción de las operaciones de la Entidad por algunas horas
- Reclamaciones o quejas de los usuarios que implican investifaciónes internas disciplinarias
- Imagen institucional afectada localmente por retrasos en la prestación del servicio a los usuarios o ciudadanos</t>
  </si>
  <si>
    <t>- Interrupción de las operaciones de la Entidad por más de un (1) día
- Reclamaciones o quejas de los usuarios que podrían implicar una denuncia ante los entes reguladores o una demanda de largo alcance para la entidad
- Inoportunidad en la información ocasionando retrasos en la atención a los usuarios
- Reproceso de actividades y aumento de carga operativa
- Imagen institucional afectada en el orden nacional o regional por retrasos en la prestación del servicio a los usuarios o ciudadanos
- Investigaciones penales, fiscales o disciplinarias</t>
  </si>
  <si>
    <t>- Interrupción de las operaciones de la Entidad por más de dos (2) días
- Pérdida de información critica que puede ser recuperada de forma parcial o incompleta
- Sanción por parte del ente de control y otro ente regulador
- Incumplimiento en las metas y objetivos institucionales afectando el cumplimiento en las metas de gobierno
- Imagen institucional afectada en el orden nacional o regional por incumplimiento en la prestación del servicio a los usuarios o ciudadanos</t>
  </si>
  <si>
    <t>Calificación de los controles</t>
  </si>
  <si>
    <t>Puntaje a disminuir</t>
  </si>
  <si>
    <t>De 0 a 50</t>
  </si>
  <si>
    <t>De 51 a 75</t>
  </si>
  <si>
    <t>De 76 a 100</t>
  </si>
  <si>
    <t>Entre 4 y 6</t>
  </si>
  <si>
    <t>MATRIZ DE RIESGO Y OPORTUNIDAD</t>
  </si>
  <si>
    <t>FECHA ACTUALIZACION:</t>
  </si>
  <si>
    <t>R1</t>
  </si>
  <si>
    <t>R2</t>
  </si>
  <si>
    <t xml:space="preserve">Identificacion de paciente </t>
  </si>
  <si>
    <t>Prevencion del evento adverso</t>
  </si>
  <si>
    <t>Manilla de identificacion , tablero de identificacion de paciente, programa de seguridad del paciente</t>
  </si>
  <si>
    <t xml:space="preserve">Disponibilidad de equipos biomedicos </t>
  </si>
  <si>
    <t>R3</t>
  </si>
  <si>
    <t>R4</t>
  </si>
  <si>
    <t>R5</t>
  </si>
  <si>
    <t>R6</t>
  </si>
  <si>
    <t>Plataforma de historia clínicas  (Esculapio)</t>
  </si>
  <si>
    <t>Plan terapeutico</t>
  </si>
  <si>
    <t xml:space="preserve">Diligenciamiento de historias clinicas </t>
  </si>
  <si>
    <t>Inadecuado diligenciamiento de historias clinicas</t>
  </si>
  <si>
    <t>Agotamiento de medicamentos e insumos para completar tratamiento o  diagnostico</t>
  </si>
  <si>
    <t xml:space="preserve">Fallas en la plataforma de historia clinica </t>
  </si>
  <si>
    <t>Presencia de evento adverso</t>
  </si>
  <si>
    <t>Inadecuada identificacion de pacientes</t>
  </si>
  <si>
    <t xml:space="preserve">Protocolo de reporte de evento adverso </t>
  </si>
  <si>
    <t xml:space="preserve">Evaluacion de provedores </t>
  </si>
  <si>
    <t xml:space="preserve">No adherencia al programa de seguridad del paciente </t>
  </si>
  <si>
    <t>Colapso del servidor, desconexion automatica de la red</t>
  </si>
  <si>
    <t>Falta mantenimiento preventivo, falta de capacitaciones externas de los provedores</t>
  </si>
  <si>
    <t xml:space="preserve">Demora en provedores de insumos </t>
  </si>
  <si>
    <t xml:space="preserve">Error en la administracion tratamiento </t>
  </si>
  <si>
    <t xml:space="preserve">Lesiones y daños al paciente </t>
  </si>
  <si>
    <t xml:space="preserve">Atraso en el digenciaminto de la historia clinica sistematizada </t>
  </si>
  <si>
    <t xml:space="preserve">Deterioro final del equipo, evento adverso, incidente, alto costo mantenimiento </t>
  </si>
  <si>
    <t>Estancias prolongadas , retraso en el inicio de tratamiento , tratamiento inadecuado, glosas y disminucion de la calidad</t>
  </si>
  <si>
    <t xml:space="preserve">Base de datos de provedores </t>
  </si>
  <si>
    <t xml:space="preserve">Actualizaciones  periodicas del esculapio según necesidad </t>
  </si>
  <si>
    <t>Socializacion y seguimiento mensual del programa de seguridad del paciente</t>
  </si>
  <si>
    <t>Creacion de procemiento de que describa que hacer en caso de presentarse fallas en el esculapio</t>
  </si>
  <si>
    <t xml:space="preserve">Programar mantenimiento preventivo periodicamente </t>
  </si>
  <si>
    <t>Seguimiento a formato de evaluacion de provedores</t>
  </si>
  <si>
    <t>O1</t>
  </si>
  <si>
    <t>R7</t>
  </si>
  <si>
    <t>O2</t>
  </si>
  <si>
    <t>Prevencion  de las agresiones de pacientes al personal asistencial</t>
  </si>
  <si>
    <t>Direccion administrativa</t>
  </si>
  <si>
    <t>Junio/Julio</t>
  </si>
  <si>
    <t>Protocolo, correcta identificacion de pacientes</t>
  </si>
  <si>
    <t xml:space="preserve">Documentacion incorrecta, ingreso paciente NN </t>
  </si>
  <si>
    <t xml:space="preserve">Formato de reoprte de evento adverso, programa de seguridad del paciente </t>
  </si>
  <si>
    <t>No existe</t>
  </si>
  <si>
    <t>Daños o fallos en los equipos biomedicos</t>
  </si>
  <si>
    <t xml:space="preserve">Lider de servicio / Biomedico </t>
  </si>
  <si>
    <t>Sensibilizar a usuarios sobre derechos y deberes</t>
  </si>
  <si>
    <t>Departamento de compras /  Lider de servicio</t>
  </si>
  <si>
    <t>Guias de manejo</t>
  </si>
  <si>
    <t>No adherencia a protocolos institucionales</t>
  </si>
  <si>
    <t>Retraso en la facturacion, glosas y evento adverso</t>
  </si>
  <si>
    <t>Socializacion de glosas trimestrales</t>
  </si>
  <si>
    <t>Identificacion de principales causas de glosas , seguimiento de estas mediante auditoria aleatoria, mensuak, y aplicación de listas de chequeo de historias clinicas</t>
  </si>
  <si>
    <t>Lider de servicio / Dto de auditoria</t>
  </si>
  <si>
    <t xml:space="preserve">Agresiones del paciente al personal asistencial </t>
  </si>
  <si>
    <t xml:space="preserve">Continuamente estamos expuestos a pacientes inconformes, en estado de embriaguez o bajo efectos de sustancias alucinogenas </t>
  </si>
  <si>
    <t xml:space="preserve">Lesiones y daños al personal asistencial </t>
  </si>
  <si>
    <t>Afianzar las charlas de derechos y deberes a pacientes y familiares</t>
  </si>
  <si>
    <t>Trabajo social / Lider de Urgencia</t>
  </si>
  <si>
    <t>Hospitalizacion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</si>
  <si>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02</t>
    </r>
  </si>
  <si>
    <t>TIPO DE CONTROL REALIZADO</t>
  </si>
  <si>
    <t>PERIODICIDAD DEL CONTROL REALIZADO</t>
  </si>
  <si>
    <t>TRATAMIENTO DEL RIESGO</t>
  </si>
  <si>
    <t>FRECUENCIA DEL SEGUIMIENTO</t>
  </si>
  <si>
    <t>FECHA DE INICIO</t>
  </si>
  <si>
    <t>FECHA DE TERMINACIÓN</t>
  </si>
  <si>
    <t>REGISTRO / EVIDENCIA</t>
  </si>
  <si>
    <t>Hospitalización</t>
  </si>
  <si>
    <r>
      <t xml:space="preserve">FECHA ACTUALIZACION: </t>
    </r>
    <r>
      <rPr>
        <sz val="11"/>
        <color theme="1"/>
        <rFont val="Arial Narrow"/>
        <family val="2"/>
      </rPr>
      <t>01/02/2020</t>
    </r>
  </si>
  <si>
    <t xml:space="preserve">Manilla de identificacion , tablero de identificacion de paciente, programa de seguridad del paciente, ronda diaria de identificación de pacientes de admisión </t>
  </si>
  <si>
    <t>Mantenimientos preventivos y calibraciones según programación</t>
  </si>
  <si>
    <t>Socialización de glosas trimestrales.
Entrenamiento en diligenciamiento de HC.
Socialización de guias de manejo.</t>
  </si>
  <si>
    <t xml:space="preserve">PREVENTIVO </t>
  </si>
  <si>
    <t>Semestrales</t>
  </si>
  <si>
    <t>Según programación</t>
  </si>
  <si>
    <t>Semanal</t>
  </si>
  <si>
    <t>Trimestral</t>
  </si>
  <si>
    <t>Diario / Cada paciente</t>
  </si>
  <si>
    <t>Diaria / registro diario</t>
  </si>
  <si>
    <t xml:space="preserve">R8 </t>
  </si>
  <si>
    <t>Manejo de normas de bioseguridad</t>
  </si>
  <si>
    <t>Incumplimiento de procedimientos de bioseguridad</t>
  </si>
  <si>
    <t>Manual de bioseguridad</t>
  </si>
  <si>
    <t>No lavado de manos, falta de insumos, no uso de elementos de proteccion, procesos de limpieza y desinfección deficientes.</t>
  </si>
  <si>
    <t>Lesion y daño a pacientes y/o personal sanitario</t>
  </si>
  <si>
    <t>Aceptación del riesgo</t>
  </si>
  <si>
    <t>La empresa asume el riesgo y reduce su impacto a través de estrategias de minimización. Deberá plantearse un plan de contingencia, que intentará paliar los efectos negativos del riesgo, una vez este ya se ha producido.</t>
  </si>
  <si>
    <t>Transferencia</t>
  </si>
  <si>
    <t>Representa el conjunto de procedimientos cuyo objetivo es eliminar el riesgo transfiriéndolo de un lugar a otro. Consiste, por ejemplo, en vender un activo dudoso, asegurar una actividad con importantes riesgos, etc.</t>
  </si>
  <si>
    <t>Reducción</t>
  </si>
  <si>
    <t>Esta estrategia busca, bien reducir la probabilidad de ocurrencia de un riesgo, bien reducir sus consecuencias, o bien lograr ambos objetivos a la vez. La probabilidad de ocurrencia de un riesgo puede reducirse a través de controles de gestión, arreglos organizacionales, y procedimientos encaminados a reducir la frecuencia o la oportunidad de que ocurra un error. Las consecuencias pueden reducirse asegurando o garantizando que todos los controles se encuentren en el lugar apropiado para minimizar cualquier consecuencia adversa.</t>
  </si>
  <si>
    <t>Elusión</t>
  </si>
  <si>
    <t>existen dos opciones para intentar eludir un riesgo: no proceder con el proyecto o la actividad que incorporaría el riesgo, o escoger medios alternativos para la actividad, que logren el mismo resultado y no incorporen el riesgo detectado. El problema de eludir riesgos es que podemos perder oportunidades de negocio, y, además, otros riesgos no identificados inicialmente, pueden volverse más significativos.</t>
  </si>
  <si>
    <t>Diversificación</t>
  </si>
  <si>
    <t>: consiste en intentar extender el riesgo de un área en concreto, a diferentes secciones, con el fin de impedir la pérdida de todo el negocio. Son ejemplos de diversificación orientarse a nuevos mercados y proveedores, diversificar la lista de productos y servicios, etc.</t>
  </si>
  <si>
    <t>DETERMINACIÓN ZONA DE RIESGO</t>
  </si>
  <si>
    <t>IDENTIFICACIÓN DEL RIESGO Y/O OPORTUNIDAD</t>
  </si>
  <si>
    <t>ANALISIS Y EVALUACIÓN DE LOS CONTROLES</t>
  </si>
  <si>
    <t>EVALUACIÓN DEL RIESGO</t>
  </si>
  <si>
    <t>REDUCCIÓN DEL RIESGO CON LOS CONTROLES EXISTENTES</t>
  </si>
  <si>
    <t>EVALUACIÓN DEL RIESGO CON CONTROLES EXIXTENTES</t>
  </si>
  <si>
    <t>PLAN DE ACCIÓN</t>
  </si>
  <si>
    <t>FECHA DE IMPLEMENTACIÓN</t>
  </si>
  <si>
    <t>EVALUACIÓN DE LA EFICACIA</t>
  </si>
  <si>
    <t>Tecnológico</t>
  </si>
  <si>
    <t>Auditoría de lavado manos/ inspecciones de uso EPI/registro de verficación de limpieza y desinfeccion/ salida farmacia consumo para el servicio</t>
  </si>
  <si>
    <t>EVALUACIÓN DEL RIESGO CON CONTROLES EXISTENTES</t>
  </si>
  <si>
    <t>PROCEDIMIENTO/DOCUMENTO</t>
  </si>
  <si>
    <t>FECHA ACTUALIZACION: 09/06/2021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</si>
</sst>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rgb="FFFFFFFF"/>
      <name val="Arial Narrow"/>
      <family val="2"/>
    </font>
    <font>
      <sz val="9"/>
      <color rgb="FFFFFFFF"/>
      <name val="Arial Narrow"/>
      <family val="2"/>
    </font>
    <font>
      <b/>
      <sz val="11"/>
      <color theme="1"/>
      <name val="Arial Narrow"/>
      <family val="2"/>
    </font>
    <font>
      <sz val="11"/>
      <color rgb="FFFFFFFF"/>
      <name val="Arial Narrow"/>
      <family val="2"/>
    </font>
    <font>
      <b/>
      <sz val="11"/>
      <color rgb="FFFFFFFF"/>
      <name val="Arial Narrow"/>
      <family val="2"/>
    </font>
    <font>
      <b/>
      <sz val="22"/>
      <color theme="1"/>
      <name val="Arial Narrow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b/>
      <u/>
      <sz val="10"/>
      <color theme="1"/>
      <name val="Arial Narrow"/>
      <family val="2"/>
    </font>
    <font>
      <sz val="10"/>
      <name val="Arial Narrow"/>
      <family val="2"/>
    </font>
    <font>
      <sz val="12"/>
      <color theme="1"/>
      <name val="Arial Narrow"/>
      <family val="2"/>
    </font>
    <font>
      <sz val="11"/>
      <color rgb="FFFF0000"/>
      <name val="Arial Narrow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rgb="FFFF0000"/>
      <name val="Arial Narrow"/>
      <family val="2"/>
    </font>
    <font>
      <sz val="1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54">
    <xf numFmtId="0" fontId="0" fillId="0" borderId="0" xfId="0"/>
    <xf numFmtId="0" fontId="1" fillId="0" borderId="0" xfId="0" applyFont="1"/>
    <xf numFmtId="0" fontId="1" fillId="6" borderId="6" xfId="0" applyFont="1" applyFill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" fillId="4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1" fillId="7" borderId="55" xfId="0" applyFont="1" applyFill="1" applyBorder="1" applyAlignment="1">
      <alignment horizontal="center"/>
    </xf>
    <xf numFmtId="0" fontId="1" fillId="4" borderId="50" xfId="0" applyFont="1" applyFill="1" applyBorder="1" applyAlignment="1">
      <alignment horizontal="center"/>
    </xf>
    <xf numFmtId="0" fontId="1" fillId="3" borderId="5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vertical="center" wrapText="1"/>
    </xf>
    <xf numFmtId="0" fontId="1" fillId="0" borderId="25" xfId="0" applyFont="1" applyBorder="1" applyAlignment="1">
      <alignment horizontal="left" vertical="top" wrapText="1"/>
    </xf>
    <xf numFmtId="0" fontId="2" fillId="0" borderId="4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1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" fillId="0" borderId="0" xfId="0" applyFont="1" applyProtection="1">
      <protection locked="0"/>
    </xf>
    <xf numFmtId="14" fontId="18" fillId="0" borderId="0" xfId="0" applyNumberFormat="1" applyFont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0" borderId="24" xfId="0" applyFont="1" applyBorder="1" applyAlignment="1" applyProtection="1">
      <alignment horizontal="left" vertical="center" wrapText="1"/>
      <protection locked="0"/>
    </xf>
    <xf numFmtId="0" fontId="1" fillId="0" borderId="51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164" fontId="1" fillId="0" borderId="41" xfId="0" applyNumberFormat="1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 applyProtection="1">
      <alignment horizontal="center" vertical="center" wrapText="1"/>
      <protection locked="0"/>
    </xf>
    <xf numFmtId="0" fontId="1" fillId="0" borderId="55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0" borderId="33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33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left" vertical="center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left" vertical="center" wrapText="1"/>
      <protection locked="0"/>
    </xf>
    <xf numFmtId="0" fontId="19" fillId="0" borderId="33" xfId="0" applyFont="1" applyBorder="1" applyAlignment="1" applyProtection="1">
      <alignment horizontal="left" vertical="center" wrapText="1"/>
      <protection locked="0"/>
    </xf>
    <xf numFmtId="0" fontId="19" fillId="0" borderId="51" xfId="0" applyFont="1" applyBorder="1" applyAlignment="1" applyProtection="1">
      <alignment horizontal="center" vertical="center" wrapText="1"/>
      <protection locked="0"/>
    </xf>
    <xf numFmtId="0" fontId="19" fillId="0" borderId="50" xfId="0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164" fontId="19" fillId="0" borderId="1" xfId="0" applyNumberFormat="1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55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45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39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0" borderId="56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56" xfId="0" applyFont="1" applyBorder="1" applyAlignment="1" applyProtection="1">
      <alignment horizontal="center" vertical="center"/>
      <protection locked="0"/>
    </xf>
    <xf numFmtId="164" fontId="1" fillId="0" borderId="14" xfId="0" applyNumberFormat="1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6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center" vertical="center"/>
    </xf>
    <xf numFmtId="0" fontId="6" fillId="0" borderId="0" xfId="0" applyFont="1"/>
    <xf numFmtId="0" fontId="5" fillId="5" borderId="3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5" borderId="43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48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54" xfId="0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wrapText="1"/>
    </xf>
    <xf numFmtId="0" fontId="5" fillId="5" borderId="5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6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65" xfId="0" applyFont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center" vertical="center"/>
      <protection locked="0"/>
    </xf>
    <xf numFmtId="0" fontId="1" fillId="9" borderId="33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left" vertical="center"/>
      <protection locked="0"/>
    </xf>
    <xf numFmtId="0" fontId="1" fillId="9" borderId="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left" vertical="center" wrapText="1"/>
      <protection locked="0"/>
    </xf>
    <xf numFmtId="0" fontId="1" fillId="9" borderId="33" xfId="0" applyFont="1" applyFill="1" applyBorder="1" applyAlignment="1" applyProtection="1">
      <alignment horizontal="left" vertical="center" wrapText="1"/>
      <protection locked="0"/>
    </xf>
    <xf numFmtId="0" fontId="1" fillId="9" borderId="51" xfId="0" applyFont="1" applyFill="1" applyBorder="1" applyAlignment="1" applyProtection="1">
      <alignment horizontal="center" vertical="center" wrapText="1"/>
      <protection locked="0"/>
    </xf>
    <xf numFmtId="0" fontId="1" fillId="9" borderId="50" xfId="0" applyFont="1" applyFill="1" applyBorder="1" applyAlignment="1" applyProtection="1">
      <alignment horizontal="center" vertical="center" wrapText="1"/>
      <protection locked="0"/>
    </xf>
    <xf numFmtId="0" fontId="1" fillId="9" borderId="20" xfId="0" applyFont="1" applyFill="1" applyBorder="1" applyAlignment="1" applyProtection="1">
      <alignment horizontal="center" vertical="center" wrapText="1"/>
      <protection locked="0"/>
    </xf>
    <xf numFmtId="0" fontId="1" fillId="9" borderId="9" xfId="0" applyFont="1" applyFill="1" applyBorder="1" applyAlignment="1" applyProtection="1">
      <alignment horizontal="left" vertical="center" wrapText="1"/>
      <protection locked="0"/>
    </xf>
    <xf numFmtId="0" fontId="1" fillId="9" borderId="11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10" xfId="0" applyFont="1" applyFill="1" applyBorder="1" applyAlignment="1">
      <alignment horizontal="center" vertical="center" wrapText="1"/>
    </xf>
    <xf numFmtId="0" fontId="1" fillId="9" borderId="49" xfId="0" applyFont="1" applyFill="1" applyBorder="1" applyAlignment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1" fillId="9" borderId="50" xfId="0" applyFont="1" applyFill="1" applyBorder="1" applyAlignment="1" applyProtection="1">
      <alignment horizontal="center" vertical="center"/>
      <protection locked="0"/>
    </xf>
    <xf numFmtId="0" fontId="1" fillId="9" borderId="20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left" vertical="center" wrapText="1"/>
    </xf>
    <xf numFmtId="164" fontId="1" fillId="9" borderId="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 wrapText="1"/>
    </xf>
    <xf numFmtId="0" fontId="1" fillId="9" borderId="55" xfId="0" applyFont="1" applyFill="1" applyBorder="1" applyAlignment="1" applyProtection="1">
      <alignment horizontal="center" vertical="center"/>
      <protection locked="0"/>
    </xf>
    <xf numFmtId="0" fontId="1" fillId="9" borderId="12" xfId="0" applyFont="1" applyFill="1" applyBorder="1" applyAlignment="1">
      <alignment horizontal="center" vertical="center"/>
    </xf>
    <xf numFmtId="0" fontId="1" fillId="9" borderId="0" xfId="0" applyFont="1" applyFill="1" applyProtection="1">
      <protection locked="0"/>
    </xf>
    <xf numFmtId="0" fontId="5" fillId="5" borderId="6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0" borderId="49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1" fillId="8" borderId="4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64" xfId="0" applyFont="1" applyBorder="1" applyAlignment="1">
      <alignment horizontal="left" vertical="center" wrapText="1"/>
    </xf>
    <xf numFmtId="0" fontId="1" fillId="0" borderId="68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/>
    <xf numFmtId="0" fontId="1" fillId="0" borderId="6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68" xfId="0" applyFont="1" applyBorder="1" applyAlignment="1">
      <alignment horizontal="center" vertical="center"/>
    </xf>
    <xf numFmtId="164" fontId="1" fillId="0" borderId="50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/>
      <protection locked="0"/>
    </xf>
    <xf numFmtId="164" fontId="1" fillId="0" borderId="67" xfId="0" applyNumberFormat="1" applyFont="1" applyBorder="1" applyAlignment="1" applyProtection="1">
      <alignment horizontal="center" vertical="center"/>
      <protection locked="0"/>
    </xf>
    <xf numFmtId="0" fontId="1" fillId="0" borderId="69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10" borderId="11" xfId="0" applyFont="1" applyFill="1" applyBorder="1" applyAlignment="1" applyProtection="1">
      <alignment horizontal="center" vertical="center"/>
      <protection locked="0"/>
    </xf>
    <xf numFmtId="0" fontId="1" fillId="10" borderId="33" xfId="0" applyFont="1" applyFill="1" applyBorder="1" applyAlignment="1" applyProtection="1">
      <alignment horizontal="center" vertical="center"/>
      <protection locked="0"/>
    </xf>
    <xf numFmtId="0" fontId="1" fillId="10" borderId="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 applyAlignment="1" applyProtection="1">
      <alignment horizontal="left" vertical="center" wrapText="1"/>
      <protection locked="0"/>
    </xf>
    <xf numFmtId="0" fontId="1" fillId="10" borderId="33" xfId="0" applyFont="1" applyFill="1" applyBorder="1" applyAlignment="1" applyProtection="1">
      <alignment horizontal="left" vertical="center" wrapText="1"/>
      <protection locked="0"/>
    </xf>
    <xf numFmtId="0" fontId="1" fillId="10" borderId="2" xfId="0" applyFont="1" applyFill="1" applyBorder="1" applyAlignment="1" applyProtection="1">
      <alignment horizontal="center" vertical="center" wrapText="1"/>
      <protection locked="0"/>
    </xf>
    <xf numFmtId="0" fontId="1" fillId="10" borderId="1" xfId="0" applyFont="1" applyFill="1" applyBorder="1" applyAlignment="1" applyProtection="1">
      <alignment horizontal="center" vertical="center" wrapText="1"/>
      <protection locked="0"/>
    </xf>
    <xf numFmtId="0" fontId="1" fillId="10" borderId="10" xfId="0" applyFont="1" applyFill="1" applyBorder="1" applyAlignment="1">
      <alignment horizontal="center" vertical="center" wrapText="1"/>
    </xf>
    <xf numFmtId="0" fontId="1" fillId="10" borderId="49" xfId="0" applyFont="1" applyFill="1" applyBorder="1" applyAlignment="1">
      <alignment horizontal="center" vertical="center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0" fontId="1" fillId="10" borderId="20" xfId="0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1" fillId="10" borderId="12" xfId="0" applyFont="1" applyFill="1" applyBorder="1" applyAlignment="1" applyProtection="1">
      <alignment horizontal="center" vertical="center" wrapText="1"/>
      <protection locked="0"/>
    </xf>
    <xf numFmtId="0" fontId="1" fillId="10" borderId="55" xfId="0" applyFont="1" applyFill="1" applyBorder="1" applyAlignment="1" applyProtection="1">
      <alignment horizontal="center" vertical="center"/>
      <protection locked="0"/>
    </xf>
    <xf numFmtId="0" fontId="1" fillId="10" borderId="0" xfId="0" applyFont="1" applyFill="1" applyProtection="1">
      <protection locked="0"/>
    </xf>
    <xf numFmtId="0" fontId="1" fillId="10" borderId="11" xfId="0" applyFont="1" applyFill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0" fontId="1" fillId="0" borderId="49" xfId="0" applyFont="1" applyBorder="1" applyAlignment="1" applyProtection="1">
      <alignment horizontal="left" vertical="center" wrapText="1"/>
      <protection locked="0"/>
    </xf>
    <xf numFmtId="0" fontId="21" fillId="0" borderId="0" xfId="0" applyFont="1"/>
    <xf numFmtId="14" fontId="18" fillId="0" borderId="0" xfId="0" applyNumberFormat="1" applyFont="1" applyAlignment="1">
      <alignment horizontal="left"/>
    </xf>
    <xf numFmtId="0" fontId="1" fillId="0" borderId="25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10" borderId="5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1" fillId="10" borderId="50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46" xfId="0" applyFont="1" applyBorder="1" applyAlignment="1" applyProtection="1">
      <alignment horizontal="left" vertical="center" wrapText="1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1" fillId="0" borderId="4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64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66" xfId="0" applyFont="1" applyBorder="1" applyAlignment="1" applyProtection="1">
      <alignment horizontal="left" vertical="center" wrapText="1"/>
      <protection locked="0"/>
    </xf>
    <xf numFmtId="0" fontId="1" fillId="0" borderId="63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center" vertical="center"/>
      <protection locked="0"/>
    </xf>
    <xf numFmtId="0" fontId="1" fillId="0" borderId="65" xfId="0" applyFont="1" applyBorder="1" applyAlignment="1" applyProtection="1">
      <alignment horizontal="left" vertical="center" wrapText="1"/>
      <protection locked="0"/>
    </xf>
    <xf numFmtId="0" fontId="1" fillId="0" borderId="62" xfId="0" applyFont="1" applyBorder="1" applyAlignment="1" applyProtection="1">
      <alignment horizontal="left" vertical="center" wrapText="1"/>
      <protection locked="0"/>
    </xf>
    <xf numFmtId="0" fontId="1" fillId="0" borderId="65" xfId="0" applyFont="1" applyBorder="1" applyAlignment="1" applyProtection="1">
      <alignment horizontal="center" vertical="center" wrapText="1"/>
      <protection locked="0"/>
    </xf>
    <xf numFmtId="0" fontId="1" fillId="0" borderId="66" xfId="0" applyFont="1" applyBorder="1" applyAlignment="1" applyProtection="1">
      <alignment horizontal="center" vertical="center" wrapText="1"/>
      <protection locked="0"/>
    </xf>
    <xf numFmtId="0" fontId="1" fillId="8" borderId="12" xfId="0" applyFont="1" applyFill="1" applyBorder="1" applyAlignment="1" applyProtection="1">
      <alignment horizontal="left" vertical="center" wrapText="1"/>
      <protection locked="0"/>
    </xf>
    <xf numFmtId="0" fontId="1" fillId="8" borderId="11" xfId="0" applyFont="1" applyFill="1" applyBorder="1" applyAlignment="1" applyProtection="1">
      <alignment horizontal="center" vertical="center" wrapText="1"/>
      <protection locked="0"/>
    </xf>
    <xf numFmtId="0" fontId="1" fillId="10" borderId="12" xfId="0" applyFont="1" applyFill="1" applyBorder="1" applyAlignment="1" applyProtection="1">
      <alignment horizontal="center"/>
      <protection locked="0"/>
    </xf>
    <xf numFmtId="0" fontId="1" fillId="0" borderId="53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0" borderId="44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10" borderId="64" xfId="0" applyFont="1" applyFill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10" borderId="20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7" borderId="1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10" borderId="1" xfId="0" applyFont="1" applyFill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0" fontId="1" fillId="0" borderId="43" xfId="0" applyFont="1" applyBorder="1" applyAlignment="1" applyProtection="1">
      <alignment horizontal="left" vertical="center" wrapText="1"/>
      <protection locked="0"/>
    </xf>
    <xf numFmtId="0" fontId="1" fillId="0" borderId="55" xfId="0" applyFont="1" applyBorder="1" applyAlignment="1" applyProtection="1">
      <alignment horizontal="center" vertical="center" wrapText="1"/>
      <protection locked="0"/>
    </xf>
    <xf numFmtId="14" fontId="1" fillId="0" borderId="55" xfId="0" applyNumberFormat="1" applyFont="1" applyBorder="1" applyAlignment="1" applyProtection="1">
      <alignment horizontal="center" vertical="center"/>
      <protection locked="0"/>
    </xf>
    <xf numFmtId="0" fontId="1" fillId="0" borderId="64" xfId="0" applyFont="1" applyBorder="1" applyAlignment="1" applyProtection="1">
      <alignment horizontal="center" vertical="center" wrapText="1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vertical="center"/>
      <protection locked="0"/>
    </xf>
    <xf numFmtId="0" fontId="4" fillId="5" borderId="27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3" fillId="0" borderId="43" xfId="0" applyFont="1" applyBorder="1" applyAlignment="1" applyProtection="1">
      <alignment horizontal="left" vertical="center" wrapText="1"/>
      <protection locked="0"/>
    </xf>
    <xf numFmtId="0" fontId="22" fillId="0" borderId="12" xfId="0" applyFont="1" applyBorder="1" applyAlignment="1" applyProtection="1">
      <alignment horizontal="left" vertical="center" wrapText="1"/>
      <protection locked="0"/>
    </xf>
    <xf numFmtId="0" fontId="4" fillId="5" borderId="31" xfId="0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4" fontId="12" fillId="0" borderId="25" xfId="0" applyNumberFormat="1" applyFont="1" applyBorder="1" applyAlignment="1">
      <alignment horizontal="center" vertical="center"/>
    </xf>
    <xf numFmtId="14" fontId="12" fillId="0" borderId="26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38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1" fillId="0" borderId="66" xfId="0" applyFont="1" applyBorder="1" applyAlignment="1" applyProtection="1">
      <alignment horizontal="center" vertical="center"/>
      <protection locked="0"/>
    </xf>
    <xf numFmtId="0" fontId="1" fillId="0" borderId="67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14" fontId="12" fillId="0" borderId="47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58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</cellXfs>
  <cellStyles count="1">
    <cellStyle name="Normal" xfId="0" builtinId="0"/>
  </cellStyles>
  <dxfs count="24"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2619375</xdr:colOff>
      <xdr:row>1</xdr:row>
      <xdr:rowOff>57150</xdr:rowOff>
    </xdr:from>
    <xdr:to>
      <xdr:col>5</xdr:col>
      <xdr:colOff>933450</xdr:colOff>
      <xdr:row>2</xdr:row>
      <xdr:rowOff>260632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EBB632-7445-49AE-8480-738F98C6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276225"/>
          <a:ext cx="1019175" cy="5178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25" y="257175"/>
          <a:ext cx="3181350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54000"/>
          <a:ext cx="3187700" cy="558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161925</xdr:rowOff>
        </xdr:from>
        <xdr:to>
          <xdr:col>3</xdr:col>
          <xdr:colOff>1811111</xdr:colOff>
          <xdr:row>18</xdr:row>
          <xdr:rowOff>59094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J$19:$L$23" spid="_x0000_s95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80357" y="1775343"/>
              <a:ext cx="6029325" cy="26574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2</xdr:col>
          <xdr:colOff>1370433</xdr:colOff>
          <xdr:row>29</xdr:row>
          <xdr:rowOff>1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26:$N$29" spid="_x0000_s952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80357" y="9184821"/>
              <a:ext cx="2935255" cy="8164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126353</xdr:rowOff>
        </xdr:from>
        <xdr:to>
          <xdr:col>3</xdr:col>
          <xdr:colOff>933450</xdr:colOff>
          <xdr:row>5</xdr:row>
          <xdr:rowOff>8165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B$3:$F$9" spid="_x0000_s952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80357" y="126353"/>
              <a:ext cx="5151664" cy="14952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tto\Clinica%20Bahia\PM3%20Urgencia\Caracterizacion%20y%20Matriz%20de%20Riesgo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(1)%20uc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urg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cterizacion"/>
      <sheetName val="Matriz de Riesgo"/>
      <sheetName val="Calificación y Semaforización"/>
      <sheetName val="Hoja4"/>
      <sheetName val="Hoja3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21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I7" sqref="I7"/>
    </sheetView>
  </sheetViews>
  <sheetFormatPr baseColWidth="10" defaultRowHeight="16.5" x14ac:dyDescent="0.3"/>
  <cols>
    <col min="1" max="1" width="3" style="51" customWidth="1"/>
    <col min="2" max="2" width="8.7109375" style="51" customWidth="1"/>
    <col min="3" max="3" width="27.140625" style="51" customWidth="1"/>
    <col min="4" max="4" width="49.42578125" style="51" customWidth="1"/>
    <col min="5" max="5" width="40.5703125" style="51" customWidth="1"/>
    <col min="6" max="6" width="38.5703125" style="51" customWidth="1"/>
    <col min="7" max="7" width="17.28515625" style="51" customWidth="1"/>
    <col min="8" max="8" width="19" style="51" customWidth="1"/>
    <col min="9" max="9" width="39.28515625" style="51" customWidth="1"/>
    <col min="10" max="10" width="33.7109375" style="51" customWidth="1"/>
    <col min="11" max="12" width="4.42578125" style="51" customWidth="1"/>
    <col min="13" max="13" width="9" style="51" customWidth="1"/>
    <col min="14" max="14" width="31.42578125" style="51" customWidth="1"/>
    <col min="15" max="16" width="24" style="51" customWidth="1"/>
    <col min="17" max="17" width="17" style="51" customWidth="1"/>
    <col min="18" max="18" width="18.85546875" style="51" customWidth="1"/>
    <col min="19" max="24" width="17" style="51" customWidth="1"/>
    <col min="25" max="25" width="15.28515625" style="51" customWidth="1"/>
    <col min="26" max="27" width="4.42578125" style="51" customWidth="1"/>
    <col min="28" max="32" width="16.5703125" style="51" customWidth="1"/>
    <col min="33" max="33" width="15" style="51" customWidth="1"/>
    <col min="34" max="34" width="23" style="51" customWidth="1"/>
    <col min="35" max="35" width="27.7109375" style="51" customWidth="1"/>
    <col min="36" max="36" width="18.28515625" style="51" customWidth="1"/>
    <col min="37" max="37" width="22" style="51" customWidth="1"/>
    <col min="38" max="39" width="4.42578125" style="51" customWidth="1"/>
    <col min="40" max="16384" width="11.42578125" style="51"/>
  </cols>
  <sheetData>
    <row r="1" spans="2:40" ht="17.25" thickBot="1" x14ac:dyDescent="0.35"/>
    <row r="2" spans="2:40" ht="24.95" customHeight="1" x14ac:dyDescent="0.3">
      <c r="B2" s="301"/>
      <c r="C2" s="302"/>
      <c r="D2" s="302"/>
      <c r="E2" s="302"/>
      <c r="F2" s="302" t="s">
        <v>89</v>
      </c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212" t="s">
        <v>41</v>
      </c>
      <c r="AL2" s="305">
        <v>44284</v>
      </c>
      <c r="AM2" s="305"/>
      <c r="AN2" s="306"/>
    </row>
    <row r="3" spans="2:40" ht="24.95" customHeight="1" thickBot="1" x14ac:dyDescent="0.35">
      <c r="B3" s="303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  <c r="AJ3" s="304"/>
      <c r="AK3" s="213" t="s">
        <v>42</v>
      </c>
      <c r="AL3" s="307">
        <v>0</v>
      </c>
      <c r="AM3" s="307"/>
      <c r="AN3" s="308"/>
    </row>
    <row r="4" spans="2:40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2:40" ht="17.25" thickBot="1" x14ac:dyDescent="0.35">
      <c r="B5" s="116" t="s">
        <v>201</v>
      </c>
      <c r="C5" s="1"/>
      <c r="D5" s="24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2:40" ht="30" customHeight="1" thickBot="1" x14ac:dyDescent="0.35">
      <c r="B6" s="299" t="s">
        <v>189</v>
      </c>
      <c r="C6" s="299"/>
      <c r="D6" s="299"/>
      <c r="E6" s="299"/>
      <c r="F6" s="300"/>
      <c r="G6" s="309" t="s">
        <v>8</v>
      </c>
      <c r="H6" s="310"/>
      <c r="I6" s="311" t="s">
        <v>18</v>
      </c>
      <c r="J6" s="312"/>
      <c r="K6" s="312"/>
      <c r="L6" s="312"/>
      <c r="M6" s="312"/>
      <c r="N6" s="313" t="s">
        <v>40</v>
      </c>
      <c r="O6" s="313" t="s">
        <v>153</v>
      </c>
      <c r="P6" s="313" t="s">
        <v>154</v>
      </c>
      <c r="Q6" s="312" t="s">
        <v>190</v>
      </c>
      <c r="R6" s="312"/>
      <c r="S6" s="312"/>
      <c r="T6" s="312"/>
      <c r="U6" s="312"/>
      <c r="V6" s="312"/>
      <c r="W6" s="312"/>
      <c r="X6" s="316"/>
      <c r="Y6" s="311" t="s">
        <v>191</v>
      </c>
      <c r="Z6" s="312"/>
      <c r="AA6" s="312"/>
      <c r="AB6" s="316"/>
      <c r="AC6" s="317" t="s">
        <v>155</v>
      </c>
      <c r="AD6" s="318"/>
      <c r="AE6" s="318"/>
      <c r="AF6" s="318"/>
      <c r="AG6" s="318"/>
      <c r="AH6" s="318"/>
      <c r="AI6" s="319" t="s">
        <v>194</v>
      </c>
      <c r="AJ6" s="320"/>
      <c r="AK6" s="321"/>
      <c r="AL6" s="309" t="s">
        <v>196</v>
      </c>
      <c r="AM6" s="322"/>
      <c r="AN6" s="310"/>
    </row>
    <row r="7" spans="2:40" ht="68.25" thickBot="1" x14ac:dyDescent="0.35">
      <c r="B7" s="296" t="s">
        <v>7</v>
      </c>
      <c r="C7" s="295" t="s">
        <v>29</v>
      </c>
      <c r="D7" s="295" t="s">
        <v>57</v>
      </c>
      <c r="E7" s="184" t="s">
        <v>56</v>
      </c>
      <c r="F7" s="119" t="s">
        <v>200</v>
      </c>
      <c r="G7" s="120" t="s">
        <v>9</v>
      </c>
      <c r="H7" s="119" t="s">
        <v>13</v>
      </c>
      <c r="I7" s="121" t="s">
        <v>20</v>
      </c>
      <c r="J7" s="122" t="s">
        <v>17</v>
      </c>
      <c r="K7" s="127" t="s">
        <v>35</v>
      </c>
      <c r="L7" s="124" t="s">
        <v>38</v>
      </c>
      <c r="M7" s="125" t="s">
        <v>19</v>
      </c>
      <c r="N7" s="314"/>
      <c r="O7" s="315"/>
      <c r="P7" s="315"/>
      <c r="Q7" s="125" t="s">
        <v>44</v>
      </c>
      <c r="R7" s="126" t="s">
        <v>45</v>
      </c>
      <c r="S7" s="117" t="s">
        <v>46</v>
      </c>
      <c r="T7" s="117" t="s">
        <v>47</v>
      </c>
      <c r="U7" s="117" t="s">
        <v>58</v>
      </c>
      <c r="V7" s="117" t="s">
        <v>48</v>
      </c>
      <c r="W7" s="117" t="s">
        <v>49</v>
      </c>
      <c r="X7" s="117" t="s">
        <v>50</v>
      </c>
      <c r="Y7" s="123" t="s">
        <v>192</v>
      </c>
      <c r="Z7" s="127" t="s">
        <v>35</v>
      </c>
      <c r="AA7" s="124" t="s">
        <v>38</v>
      </c>
      <c r="AB7" s="128" t="s">
        <v>199</v>
      </c>
      <c r="AC7" s="214" t="s">
        <v>155</v>
      </c>
      <c r="AD7" s="130" t="s">
        <v>0</v>
      </c>
      <c r="AE7" s="130" t="s">
        <v>156</v>
      </c>
      <c r="AF7" s="130" t="s">
        <v>157</v>
      </c>
      <c r="AG7" s="130" t="s">
        <v>158</v>
      </c>
      <c r="AH7" s="127" t="s">
        <v>159</v>
      </c>
      <c r="AI7" s="214" t="s">
        <v>21</v>
      </c>
      <c r="AJ7" s="124" t="s">
        <v>195</v>
      </c>
      <c r="AK7" s="128" t="s">
        <v>0</v>
      </c>
      <c r="AL7" s="130" t="s">
        <v>35</v>
      </c>
      <c r="AM7" s="124" t="s">
        <v>38</v>
      </c>
      <c r="AN7" s="128" t="s">
        <v>37</v>
      </c>
    </row>
    <row r="8" spans="2:40" ht="127.5" customHeight="1" x14ac:dyDescent="0.3">
      <c r="B8" s="53" t="s">
        <v>91</v>
      </c>
      <c r="C8" s="215"/>
      <c r="D8" s="55"/>
      <c r="E8" s="248"/>
      <c r="F8" s="297"/>
      <c r="G8" s="53"/>
      <c r="H8" s="249"/>
      <c r="I8" s="56"/>
      <c r="J8" s="250"/>
      <c r="K8" s="269">
        <v>1</v>
      </c>
      <c r="L8" s="242">
        <v>1</v>
      </c>
      <c r="M8" s="275">
        <f>K8*L8</f>
        <v>1</v>
      </c>
      <c r="N8" s="56"/>
      <c r="O8" s="267"/>
      <c r="P8" s="268"/>
      <c r="Q8" s="251">
        <v>15</v>
      </c>
      <c r="R8" s="58">
        <v>5</v>
      </c>
      <c r="S8" s="58">
        <v>0</v>
      </c>
      <c r="T8" s="58">
        <v>10</v>
      </c>
      <c r="U8" s="58">
        <v>15</v>
      </c>
      <c r="V8" s="58">
        <v>10</v>
      </c>
      <c r="W8" s="58">
        <v>30</v>
      </c>
      <c r="X8" s="135">
        <f>SUM(Q8:W8)</f>
        <v>85</v>
      </c>
      <c r="Y8" s="137">
        <v>2</v>
      </c>
      <c r="Z8" s="74">
        <v>1</v>
      </c>
      <c r="AA8" s="245">
        <v>1</v>
      </c>
      <c r="AB8" s="139">
        <f t="shared" ref="AB8:AB10" si="0">Z8*AA8</f>
        <v>1</v>
      </c>
      <c r="AC8" s="251"/>
      <c r="AD8" s="289"/>
      <c r="AE8" s="63"/>
      <c r="AF8" s="290"/>
      <c r="AG8" s="63"/>
      <c r="AH8" s="291"/>
      <c r="AI8" s="239"/>
      <c r="AJ8" s="216"/>
      <c r="AK8" s="217"/>
      <c r="AL8" s="63">
        <v>1</v>
      </c>
      <c r="AM8" s="60">
        <v>1</v>
      </c>
      <c r="AN8" s="254">
        <f>AL8*AM8</f>
        <v>1</v>
      </c>
    </row>
    <row r="9" spans="2:40" x14ac:dyDescent="0.3">
      <c r="B9" s="158" t="s">
        <v>92</v>
      </c>
      <c r="C9" s="215"/>
      <c r="D9" s="186"/>
      <c r="E9" s="66"/>
      <c r="F9" s="67"/>
      <c r="G9" s="64"/>
      <c r="H9" s="68"/>
      <c r="I9" s="69"/>
      <c r="J9" s="70"/>
      <c r="K9" s="270">
        <v>2</v>
      </c>
      <c r="L9" s="20">
        <v>1</v>
      </c>
      <c r="M9" s="276">
        <f>K9*L9</f>
        <v>2</v>
      </c>
      <c r="N9" s="69"/>
      <c r="O9" s="267"/>
      <c r="P9" s="76"/>
      <c r="Q9" s="72">
        <v>0</v>
      </c>
      <c r="R9" s="73">
        <v>5</v>
      </c>
      <c r="S9" s="73">
        <v>0</v>
      </c>
      <c r="T9" s="73">
        <v>10</v>
      </c>
      <c r="U9" s="73">
        <v>15</v>
      </c>
      <c r="V9" s="73">
        <v>10</v>
      </c>
      <c r="W9" s="73">
        <v>30</v>
      </c>
      <c r="X9" s="135"/>
      <c r="Y9" s="137" t="str">
        <f>IF(X9&lt;51,"0",IF(X9&lt;76,1,2))</f>
        <v>0</v>
      </c>
      <c r="Z9" s="74">
        <v>1</v>
      </c>
      <c r="AA9" s="245">
        <f>L9</f>
        <v>1</v>
      </c>
      <c r="AB9" s="139">
        <f t="shared" si="0"/>
        <v>1</v>
      </c>
      <c r="AC9" s="251"/>
      <c r="AD9" s="289"/>
      <c r="AE9" s="63"/>
      <c r="AF9" s="292"/>
      <c r="AG9" s="255"/>
      <c r="AH9" s="293"/>
      <c r="AI9" s="239"/>
      <c r="AJ9" s="75"/>
      <c r="AK9" s="76"/>
      <c r="AL9" s="63">
        <v>1</v>
      </c>
      <c r="AM9" s="74">
        <v>1</v>
      </c>
      <c r="AN9" s="68">
        <f>AL9*AM9</f>
        <v>1</v>
      </c>
    </row>
    <row r="10" spans="2:40" x14ac:dyDescent="0.3">
      <c r="B10" s="64" t="s">
        <v>97</v>
      </c>
      <c r="C10" s="215"/>
      <c r="D10" s="186"/>
      <c r="E10" s="186"/>
      <c r="F10" s="67"/>
      <c r="G10" s="64"/>
      <c r="H10" s="68"/>
      <c r="I10" s="69"/>
      <c r="J10" s="70"/>
      <c r="K10" s="270">
        <v>3</v>
      </c>
      <c r="L10" s="150">
        <v>1</v>
      </c>
      <c r="M10" s="276">
        <f t="shared" ref="M10" si="1">K10*L10</f>
        <v>3</v>
      </c>
      <c r="N10" s="69"/>
      <c r="O10" s="267"/>
      <c r="P10" s="76"/>
      <c r="Q10" s="251">
        <v>15</v>
      </c>
      <c r="R10" s="58">
        <v>5</v>
      </c>
      <c r="S10" s="58">
        <v>0</v>
      </c>
      <c r="T10" s="58">
        <v>10</v>
      </c>
      <c r="U10" s="58">
        <v>15</v>
      </c>
      <c r="V10" s="58">
        <v>10</v>
      </c>
      <c r="W10" s="58">
        <v>30</v>
      </c>
      <c r="X10" s="135">
        <f>SUM(Q10:W10)</f>
        <v>85</v>
      </c>
      <c r="Y10" s="137">
        <v>1</v>
      </c>
      <c r="Z10" s="74">
        <v>1</v>
      </c>
      <c r="AA10" s="245">
        <f t="shared" ref="AA10" si="2">L10</f>
        <v>1</v>
      </c>
      <c r="AB10" s="139">
        <f t="shared" si="0"/>
        <v>1</v>
      </c>
      <c r="AC10" s="251"/>
      <c r="AD10" s="289"/>
      <c r="AE10" s="63"/>
      <c r="AF10" s="290"/>
      <c r="AG10" s="63"/>
      <c r="AH10" s="293"/>
      <c r="AI10" s="239"/>
      <c r="AJ10" s="75"/>
      <c r="AK10" s="76"/>
      <c r="AL10" s="63">
        <v>1</v>
      </c>
      <c r="AM10" s="74">
        <v>1</v>
      </c>
      <c r="AN10" s="68">
        <f t="shared" ref="AN10" si="3">AL10*AM10</f>
        <v>1</v>
      </c>
    </row>
    <row r="11" spans="2:40" x14ac:dyDescent="0.3">
      <c r="B11" s="64"/>
      <c r="C11" s="294"/>
      <c r="D11" s="186"/>
      <c r="E11" s="186"/>
      <c r="F11" s="298"/>
      <c r="G11" s="64"/>
      <c r="H11" s="68"/>
      <c r="I11" s="69"/>
      <c r="J11" s="186"/>
      <c r="K11" s="20"/>
      <c r="L11" s="20"/>
      <c r="M11" s="276"/>
      <c r="N11" s="69"/>
      <c r="O11" s="267"/>
      <c r="P11" s="76"/>
      <c r="Q11" s="72"/>
      <c r="R11" s="73"/>
      <c r="S11" s="73"/>
      <c r="T11" s="73"/>
      <c r="U11" s="73"/>
      <c r="V11" s="73"/>
      <c r="W11" s="73"/>
      <c r="X11" s="135"/>
      <c r="Y11" s="137"/>
      <c r="Z11" s="74"/>
      <c r="AA11" s="245"/>
      <c r="AB11" s="139"/>
      <c r="AC11" s="251"/>
      <c r="AD11" s="289"/>
      <c r="AE11" s="63"/>
      <c r="AF11" s="292"/>
      <c r="AG11" s="255"/>
      <c r="AH11" s="70"/>
      <c r="AI11" s="239"/>
      <c r="AJ11" s="75"/>
      <c r="AK11" s="76"/>
      <c r="AL11" s="63"/>
      <c r="AM11" s="74"/>
      <c r="AN11" s="68"/>
    </row>
    <row r="12" spans="2:40" ht="69" customHeight="1" x14ac:dyDescent="0.3"/>
    <row r="13" spans="2:40" ht="99.75" customHeight="1" x14ac:dyDescent="0.3"/>
    <row r="14" spans="2:40" s="94" customFormat="1" ht="76.5" customHeight="1" x14ac:dyDescent="0.3"/>
    <row r="15" spans="2:40" s="94" customFormat="1" x14ac:dyDescent="0.3"/>
    <row r="16" spans="2:40" ht="66" customHeight="1" x14ac:dyDescent="0.3"/>
    <row r="17" spans="5:5" ht="50.25" customHeight="1" x14ac:dyDescent="0.3"/>
    <row r="21" spans="5:5" x14ac:dyDescent="0.3">
      <c r="E21" s="114"/>
    </row>
  </sheetData>
  <mergeCells count="15">
    <mergeCell ref="B6:F6"/>
    <mergeCell ref="B2:E3"/>
    <mergeCell ref="F2:AJ3"/>
    <mergeCell ref="AL2:AN2"/>
    <mergeCell ref="AL3:AN3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</mergeCells>
  <conditionalFormatting sqref="M8:M11">
    <cfRule type="cellIs" dxfId="23" priority="5" operator="between">
      <formula>12</formula>
      <formula>16</formula>
    </cfRule>
    <cfRule type="cellIs" dxfId="22" priority="6" operator="between">
      <formula>4</formula>
      <formula>6</formula>
    </cfRule>
    <cfRule type="cellIs" dxfId="21" priority="7" operator="between">
      <formula>8</formula>
      <formula>9</formula>
    </cfRule>
    <cfRule type="cellIs" dxfId="20" priority="8" operator="between">
      <formula>1</formula>
      <formula>3</formula>
    </cfRule>
  </conditionalFormatting>
  <conditionalFormatting sqref="AB8:AH11 AN8:AN11">
    <cfRule type="cellIs" dxfId="19" priority="1" operator="between">
      <formula>12</formula>
      <formula>16</formula>
    </cfRule>
    <cfRule type="cellIs" dxfId="18" priority="2" operator="between">
      <formula>8</formula>
      <formula>9</formula>
    </cfRule>
    <cfRule type="cellIs" dxfId="17" priority="3" operator="between">
      <formula>4</formula>
      <formula>6</formula>
    </cfRule>
    <cfRule type="cellIs" dxfId="16" priority="4" operator="between">
      <formula>1</formula>
      <formula>3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Hoja4!$C$6:$C$9</xm:f>
          </x14:formula1>
          <xm:sqref>AL8:AM11</xm:sqref>
        </x14:dataValidation>
        <x14:dataValidation type="list" allowBlank="1" showInputMessage="1" showErrorMessage="1" xr:uid="{00000000-0002-0000-0000-000002000000}">
          <x14:formula1>
            <xm:f>Hoja4!$I$6:$I$7</xm:f>
          </x14:formula1>
          <xm:sqref>W8:W11</xm:sqref>
        </x14:dataValidation>
        <x14:dataValidation type="list" allowBlank="1" showInputMessage="1" showErrorMessage="1" xr:uid="{00000000-0002-0000-0000-000003000000}">
          <x14:formula1>
            <xm:f>Hoja4!$G$6:$G$7</xm:f>
          </x14:formula1>
          <xm:sqref>V8:V11 T8:T11</xm:sqref>
        </x14:dataValidation>
        <x14:dataValidation type="list" allowBlank="1" showInputMessage="1" showErrorMessage="1" xr:uid="{00000000-0002-0000-0000-000004000000}">
          <x14:formula1>
            <xm:f>Hoja4!$F$6:$F$7</xm:f>
          </x14:formula1>
          <xm:sqref>R8:R11</xm:sqref>
        </x14:dataValidation>
        <x14:dataValidation type="list" allowBlank="1" showInputMessage="1" showErrorMessage="1" xr:uid="{00000000-0002-0000-0000-000005000000}">
          <x14:formula1>
            <xm:f>Hoja4!$H$6:$H$7</xm:f>
          </x14:formula1>
          <xm:sqref>U8:U11 S8:S11 Q8:Q11</xm:sqref>
        </x14:dataValidation>
        <x14:dataValidation type="list" allowBlank="1" showInputMessage="1" showErrorMessage="1" xr:uid="{00000000-0002-0000-0000-000006000000}">
          <x14:formula1>
            <xm:f>'Calificación y Semaforización'!$B$33:$B$37</xm:f>
          </x14:formula1>
          <xm:sqref>AC8:AC11</xm:sqref>
        </x14:dataValidation>
        <x14:dataValidation type="list" allowBlank="1" showInputMessage="1" showErrorMessage="1" xr:uid="{00000000-0002-0000-0000-000007000000}">
          <x14:formula1>
            <xm:f>'Calificación y Semaforización'!$A$2:$A$5</xm:f>
          </x14:formula1>
          <xm:sqref>Z8:Z11 K8:L11</xm:sqref>
        </x14:dataValidation>
        <x14:dataValidation type="list" allowBlank="1" showInputMessage="1" showErrorMessage="1" xr:uid="{00000000-0002-0000-0000-000008000000}">
          <x14:formula1>
            <xm:f>Hoja4!$C$13:$C$17</xm:f>
          </x14:formula1>
          <xm:sqref>G8:G11</xm:sqref>
        </x14:dataValidation>
        <x14:dataValidation type="list" allowBlank="1" showInputMessage="1" showErrorMessage="1" xr:uid="{00000000-0002-0000-0000-000009000000}">
          <x14:formula1>
            <xm:f>Hoja4!$D$15:$D$17</xm:f>
          </x14:formula1>
          <xm:sqref>H8:H11</xm:sqref>
        </x14:dataValidation>
        <x14:dataValidation type="list" allowBlank="1" showInputMessage="1" showErrorMessage="1" xr:uid="{00000000-0002-0000-0000-000000000000}">
          <x14:formula1>
            <xm:f>'D:\Mtto\Clinica Bahia\PM3 Urgencia\[Caracterizacion y Matriz de Riesgo - copia.xlsx]Hoja3'!#REF!</xm:f>
          </x14:formula1>
          <xm:sqref>G18:H47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N27"/>
  <sheetViews>
    <sheetView showGridLines="0"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8" sqref="D8"/>
    </sheetView>
  </sheetViews>
  <sheetFormatPr baseColWidth="10" defaultRowHeight="16.5" x14ac:dyDescent="0.3"/>
  <cols>
    <col min="1" max="1" width="3" style="51" customWidth="1"/>
    <col min="2" max="2" width="8.7109375" style="51" customWidth="1"/>
    <col min="3" max="3" width="17.28515625" style="51" customWidth="1"/>
    <col min="4" max="4" width="32.85546875" style="51" customWidth="1"/>
    <col min="5" max="5" width="40.5703125" style="51" customWidth="1"/>
    <col min="6" max="6" width="38.5703125" style="51" customWidth="1"/>
    <col min="7" max="7" width="14.28515625" style="51" customWidth="1"/>
    <col min="8" max="8" width="19" style="51" customWidth="1"/>
    <col min="9" max="9" width="38.85546875" style="51" customWidth="1"/>
    <col min="10" max="10" width="33.7109375" style="51" customWidth="1"/>
    <col min="11" max="12" width="4.42578125" style="51" customWidth="1"/>
    <col min="13" max="13" width="9" style="51" customWidth="1"/>
    <col min="14" max="14" width="28.140625" style="51" customWidth="1"/>
    <col min="15" max="16" width="24" style="51" customWidth="1"/>
    <col min="17" max="17" width="17" style="51" customWidth="1"/>
    <col min="18" max="18" width="18.85546875" style="51" customWidth="1"/>
    <col min="19" max="24" width="17" style="51" customWidth="1"/>
    <col min="25" max="25" width="15.28515625" style="51" customWidth="1"/>
    <col min="26" max="27" width="4.42578125" style="51" customWidth="1"/>
    <col min="28" max="34" width="16.5703125" style="51" customWidth="1"/>
    <col min="35" max="35" width="27.7109375" style="51" customWidth="1"/>
    <col min="36" max="36" width="18.28515625" style="51" customWidth="1"/>
    <col min="37" max="37" width="22" style="51" customWidth="1"/>
    <col min="38" max="39" width="4.42578125" style="51" customWidth="1"/>
    <col min="40" max="16384" width="11.42578125" style="51"/>
  </cols>
  <sheetData>
    <row r="1" spans="2:40" ht="17.25" thickBot="1" x14ac:dyDescent="0.35"/>
    <row r="2" spans="2:40" ht="24.95" customHeight="1" x14ac:dyDescent="0.3">
      <c r="B2" s="301"/>
      <c r="C2" s="302"/>
      <c r="D2" s="302"/>
      <c r="E2" s="302"/>
      <c r="F2" s="302" t="s">
        <v>89</v>
      </c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212" t="s">
        <v>41</v>
      </c>
      <c r="AL2" s="305">
        <v>43979</v>
      </c>
      <c r="AM2" s="305"/>
      <c r="AN2" s="306"/>
    </row>
    <row r="3" spans="2:40" ht="24.95" customHeight="1" thickBot="1" x14ac:dyDescent="0.35">
      <c r="B3" s="303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  <c r="AJ3" s="304"/>
      <c r="AK3" s="213" t="s">
        <v>42</v>
      </c>
      <c r="AL3" s="307" t="s">
        <v>152</v>
      </c>
      <c r="AM3" s="307"/>
      <c r="AN3" s="308"/>
    </row>
    <row r="4" spans="2:40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2:40" ht="17.25" thickBot="1" x14ac:dyDescent="0.35">
      <c r="B5" s="116" t="s">
        <v>161</v>
      </c>
      <c r="C5" s="1"/>
      <c r="D5" s="24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2:40" ht="30" customHeight="1" thickBot="1" x14ac:dyDescent="0.35">
      <c r="B6" s="1"/>
      <c r="C6" s="309" t="s">
        <v>189</v>
      </c>
      <c r="D6" s="312"/>
      <c r="E6" s="312"/>
      <c r="F6" s="310"/>
      <c r="G6" s="309" t="s">
        <v>8</v>
      </c>
      <c r="H6" s="310"/>
      <c r="I6" s="311" t="s">
        <v>18</v>
      </c>
      <c r="J6" s="312"/>
      <c r="K6" s="312"/>
      <c r="L6" s="312"/>
      <c r="M6" s="312"/>
      <c r="N6" s="313" t="s">
        <v>40</v>
      </c>
      <c r="O6" s="313" t="s">
        <v>153</v>
      </c>
      <c r="P6" s="313" t="s">
        <v>154</v>
      </c>
      <c r="Q6" s="312" t="s">
        <v>190</v>
      </c>
      <c r="R6" s="312"/>
      <c r="S6" s="312"/>
      <c r="T6" s="312"/>
      <c r="U6" s="312"/>
      <c r="V6" s="312"/>
      <c r="W6" s="312"/>
      <c r="X6" s="316"/>
      <c r="Y6" s="311" t="s">
        <v>191</v>
      </c>
      <c r="Z6" s="312"/>
      <c r="AA6" s="312"/>
      <c r="AB6" s="316"/>
      <c r="AC6" s="317" t="s">
        <v>155</v>
      </c>
      <c r="AD6" s="318"/>
      <c r="AE6" s="318"/>
      <c r="AF6" s="318"/>
      <c r="AG6" s="318"/>
      <c r="AH6" s="318"/>
      <c r="AI6" s="319" t="s">
        <v>194</v>
      </c>
      <c r="AJ6" s="320"/>
      <c r="AK6" s="321"/>
      <c r="AL6" s="309" t="s">
        <v>196</v>
      </c>
      <c r="AM6" s="322"/>
      <c r="AN6" s="310"/>
    </row>
    <row r="7" spans="2:40" ht="68.25" thickBot="1" x14ac:dyDescent="0.35">
      <c r="B7" s="117" t="s">
        <v>7</v>
      </c>
      <c r="C7" s="118" t="s">
        <v>29</v>
      </c>
      <c r="D7" s="118" t="s">
        <v>57</v>
      </c>
      <c r="E7" s="184" t="s">
        <v>56</v>
      </c>
      <c r="F7" s="119" t="s">
        <v>5</v>
      </c>
      <c r="G7" s="120" t="s">
        <v>9</v>
      </c>
      <c r="H7" s="119" t="s">
        <v>13</v>
      </c>
      <c r="I7" s="121" t="s">
        <v>20</v>
      </c>
      <c r="J7" s="122" t="s">
        <v>17</v>
      </c>
      <c r="K7" s="127" t="s">
        <v>35</v>
      </c>
      <c r="L7" s="124" t="s">
        <v>38</v>
      </c>
      <c r="M7" s="125" t="s">
        <v>19</v>
      </c>
      <c r="N7" s="314"/>
      <c r="O7" s="315"/>
      <c r="P7" s="315"/>
      <c r="Q7" s="125" t="s">
        <v>44</v>
      </c>
      <c r="R7" s="126" t="s">
        <v>45</v>
      </c>
      <c r="S7" s="117" t="s">
        <v>46</v>
      </c>
      <c r="T7" s="117" t="s">
        <v>47</v>
      </c>
      <c r="U7" s="117" t="s">
        <v>58</v>
      </c>
      <c r="V7" s="117" t="s">
        <v>48</v>
      </c>
      <c r="W7" s="117" t="s">
        <v>49</v>
      </c>
      <c r="X7" s="117" t="s">
        <v>50</v>
      </c>
      <c r="Y7" s="123" t="s">
        <v>192</v>
      </c>
      <c r="Z7" s="127" t="s">
        <v>35</v>
      </c>
      <c r="AA7" s="124" t="s">
        <v>38</v>
      </c>
      <c r="AB7" s="128" t="s">
        <v>193</v>
      </c>
      <c r="AC7" s="214" t="s">
        <v>155</v>
      </c>
      <c r="AD7" s="130" t="s">
        <v>0</v>
      </c>
      <c r="AE7" s="130" t="s">
        <v>156</v>
      </c>
      <c r="AF7" s="130" t="s">
        <v>157</v>
      </c>
      <c r="AG7" s="130" t="s">
        <v>158</v>
      </c>
      <c r="AH7" s="127" t="s">
        <v>159</v>
      </c>
      <c r="AI7" s="214" t="s">
        <v>21</v>
      </c>
      <c r="AJ7" s="124" t="s">
        <v>195</v>
      </c>
      <c r="AK7" s="128" t="s">
        <v>0</v>
      </c>
      <c r="AL7" s="130" t="s">
        <v>35</v>
      </c>
      <c r="AM7" s="124" t="s">
        <v>38</v>
      </c>
      <c r="AN7" s="128" t="s">
        <v>37</v>
      </c>
    </row>
    <row r="8" spans="2:40" ht="99" x14ac:dyDescent="0.3">
      <c r="B8" s="53" t="s">
        <v>91</v>
      </c>
      <c r="C8" s="215" t="s">
        <v>160</v>
      </c>
      <c r="D8" s="55" t="s">
        <v>93</v>
      </c>
      <c r="E8" s="248" t="s">
        <v>108</v>
      </c>
      <c r="F8" s="288" t="s">
        <v>132</v>
      </c>
      <c r="G8" s="53" t="s">
        <v>30</v>
      </c>
      <c r="H8" s="249" t="s">
        <v>14</v>
      </c>
      <c r="I8" s="56" t="s">
        <v>133</v>
      </c>
      <c r="J8" s="250" t="s">
        <v>115</v>
      </c>
      <c r="K8" s="269">
        <v>2</v>
      </c>
      <c r="L8" s="242">
        <v>3</v>
      </c>
      <c r="M8" s="275">
        <f>K8*L8</f>
        <v>6</v>
      </c>
      <c r="N8" s="56" t="s">
        <v>162</v>
      </c>
      <c r="O8" s="267" t="s">
        <v>165</v>
      </c>
      <c r="P8" s="268" t="s">
        <v>170</v>
      </c>
      <c r="Q8" s="251">
        <v>15</v>
      </c>
      <c r="R8" s="58">
        <v>5</v>
      </c>
      <c r="S8" s="58">
        <v>0</v>
      </c>
      <c r="T8" s="58">
        <v>10</v>
      </c>
      <c r="U8" s="58">
        <v>15</v>
      </c>
      <c r="V8" s="58">
        <v>10</v>
      </c>
      <c r="W8" s="58">
        <v>30</v>
      </c>
      <c r="X8" s="135">
        <f t="shared" ref="X8:X9" si="0">SUM(Q8:W8)</f>
        <v>85</v>
      </c>
      <c r="Y8" s="137">
        <f>IF(X8&lt;51,"0",IF(X8&lt;76,1,2))</f>
        <v>2</v>
      </c>
      <c r="Z8" s="74">
        <v>1</v>
      </c>
      <c r="AA8" s="245">
        <f t="shared" ref="AA8:AA23" si="1">L8</f>
        <v>3</v>
      </c>
      <c r="AB8" s="139">
        <f>Z8*AA8</f>
        <v>3</v>
      </c>
      <c r="AC8" s="188"/>
      <c r="AD8" s="63"/>
      <c r="AE8" s="63"/>
      <c r="AF8" s="63"/>
      <c r="AG8" s="63"/>
      <c r="AH8" s="253"/>
      <c r="AI8" s="239"/>
      <c r="AJ8" s="216"/>
      <c r="AK8" s="217"/>
      <c r="AL8" s="63"/>
      <c r="AM8" s="60"/>
      <c r="AN8" s="254">
        <f>AL8*AM8</f>
        <v>0</v>
      </c>
    </row>
    <row r="9" spans="2:40" ht="49.5" x14ac:dyDescent="0.3">
      <c r="B9" s="158" t="s">
        <v>92</v>
      </c>
      <c r="C9" s="215" t="s">
        <v>160</v>
      </c>
      <c r="D9" s="186" t="s">
        <v>94</v>
      </c>
      <c r="E9" s="66" t="s">
        <v>107</v>
      </c>
      <c r="F9" s="67" t="s">
        <v>109</v>
      </c>
      <c r="G9" s="64" t="s">
        <v>30</v>
      </c>
      <c r="H9" s="68" t="s">
        <v>16</v>
      </c>
      <c r="I9" s="69" t="s">
        <v>111</v>
      </c>
      <c r="J9" s="70" t="s">
        <v>116</v>
      </c>
      <c r="K9" s="270">
        <v>4</v>
      </c>
      <c r="L9" s="20">
        <v>3</v>
      </c>
      <c r="M9" s="276">
        <f>K9*L9</f>
        <v>12</v>
      </c>
      <c r="N9" s="69" t="s">
        <v>134</v>
      </c>
      <c r="O9" s="267" t="s">
        <v>165</v>
      </c>
      <c r="P9" s="76" t="s">
        <v>170</v>
      </c>
      <c r="Q9" s="72">
        <v>15</v>
      </c>
      <c r="R9" s="73">
        <v>5</v>
      </c>
      <c r="S9" s="73">
        <v>0</v>
      </c>
      <c r="T9" s="73">
        <v>10</v>
      </c>
      <c r="U9" s="73">
        <v>15</v>
      </c>
      <c r="V9" s="73">
        <v>10</v>
      </c>
      <c r="W9" s="73">
        <v>30</v>
      </c>
      <c r="X9" s="135">
        <f t="shared" si="0"/>
        <v>85</v>
      </c>
      <c r="Y9" s="137">
        <f t="shared" ref="Y9:Y23" si="2">IF(X9&lt;51,"0",IF(X9&lt;76,1,2))</f>
        <v>2</v>
      </c>
      <c r="Z9" s="74">
        <f t="shared" ref="Z9:Z23" si="3">K9-Y9</f>
        <v>2</v>
      </c>
      <c r="AA9" s="245">
        <f t="shared" si="1"/>
        <v>3</v>
      </c>
      <c r="AB9" s="139">
        <f>Z9*AA9</f>
        <v>6</v>
      </c>
      <c r="AC9" s="64"/>
      <c r="AD9" s="255"/>
      <c r="AE9" s="255"/>
      <c r="AF9" s="255"/>
      <c r="AG9" s="255"/>
      <c r="AH9" s="54"/>
      <c r="AI9" s="69" t="s">
        <v>122</v>
      </c>
      <c r="AJ9" s="75"/>
      <c r="AK9" s="76"/>
      <c r="AL9" s="63"/>
      <c r="AM9" s="74"/>
      <c r="AN9" s="68">
        <f>AL9*AM9</f>
        <v>0</v>
      </c>
    </row>
    <row r="10" spans="2:40" ht="49.5" x14ac:dyDescent="0.3">
      <c r="B10" s="64" t="s">
        <v>97</v>
      </c>
      <c r="C10" s="215" t="s">
        <v>160</v>
      </c>
      <c r="D10" s="186" t="s">
        <v>101</v>
      </c>
      <c r="E10" s="186" t="s">
        <v>106</v>
      </c>
      <c r="F10" s="67" t="s">
        <v>135</v>
      </c>
      <c r="G10" s="64" t="s">
        <v>12</v>
      </c>
      <c r="H10" s="68" t="s">
        <v>14</v>
      </c>
      <c r="I10" s="69" t="s">
        <v>112</v>
      </c>
      <c r="J10" s="70" t="s">
        <v>117</v>
      </c>
      <c r="K10" s="270">
        <v>3</v>
      </c>
      <c r="L10" s="150">
        <v>2</v>
      </c>
      <c r="M10" s="276">
        <f t="shared" ref="M10:M23" si="4">K10*L10</f>
        <v>6</v>
      </c>
      <c r="N10" s="69" t="s">
        <v>121</v>
      </c>
      <c r="O10" s="267" t="s">
        <v>165</v>
      </c>
      <c r="P10" s="76" t="s">
        <v>166</v>
      </c>
      <c r="Q10" s="72">
        <v>0</v>
      </c>
      <c r="R10" s="73">
        <v>5</v>
      </c>
      <c r="S10" s="73">
        <v>0</v>
      </c>
      <c r="T10" s="73">
        <v>10</v>
      </c>
      <c r="U10" s="73">
        <v>15</v>
      </c>
      <c r="V10" s="73">
        <v>10</v>
      </c>
      <c r="W10" s="73">
        <v>30</v>
      </c>
      <c r="X10" s="135">
        <f t="shared" ref="X10:X23" si="5">SUM(Q10:W10)</f>
        <v>70</v>
      </c>
      <c r="Y10" s="137">
        <f t="shared" si="2"/>
        <v>1</v>
      </c>
      <c r="Z10" s="74">
        <f t="shared" si="3"/>
        <v>2</v>
      </c>
      <c r="AA10" s="245">
        <f t="shared" si="1"/>
        <v>2</v>
      </c>
      <c r="AB10" s="139">
        <f t="shared" ref="AB10:AB23" si="6">Z10*AA10</f>
        <v>4</v>
      </c>
      <c r="AC10" s="64"/>
      <c r="AD10" s="255"/>
      <c r="AE10" s="255"/>
      <c r="AF10" s="255"/>
      <c r="AG10" s="255"/>
      <c r="AH10" s="54"/>
      <c r="AI10" s="69" t="s">
        <v>123</v>
      </c>
      <c r="AJ10" s="75"/>
      <c r="AK10" s="76"/>
      <c r="AL10" s="63"/>
      <c r="AM10" s="74"/>
      <c r="AN10" s="68">
        <f t="shared" ref="AN10:AN23" si="7">AL10*AM10</f>
        <v>0</v>
      </c>
    </row>
    <row r="11" spans="2:40" ht="49.5" x14ac:dyDescent="0.3">
      <c r="B11" s="158" t="s">
        <v>98</v>
      </c>
      <c r="C11" s="215" t="s">
        <v>160</v>
      </c>
      <c r="D11" s="256" t="s">
        <v>96</v>
      </c>
      <c r="E11" s="257" t="s">
        <v>136</v>
      </c>
      <c r="F11" s="258" t="s">
        <v>135</v>
      </c>
      <c r="G11" s="158" t="s">
        <v>11</v>
      </c>
      <c r="H11" s="259" t="s">
        <v>14</v>
      </c>
      <c r="I11" s="260" t="s">
        <v>113</v>
      </c>
      <c r="J11" s="261" t="s">
        <v>118</v>
      </c>
      <c r="K11" s="271">
        <v>3</v>
      </c>
      <c r="L11" s="243">
        <v>3</v>
      </c>
      <c r="M11" s="276">
        <f t="shared" si="4"/>
        <v>9</v>
      </c>
      <c r="N11" s="69" t="s">
        <v>163</v>
      </c>
      <c r="O11" s="267" t="s">
        <v>165</v>
      </c>
      <c r="P11" s="76" t="s">
        <v>167</v>
      </c>
      <c r="Q11" s="262">
        <v>0</v>
      </c>
      <c r="R11" s="263">
        <v>5</v>
      </c>
      <c r="S11" s="263">
        <v>0</v>
      </c>
      <c r="T11" s="263">
        <v>10</v>
      </c>
      <c r="U11" s="263">
        <v>0</v>
      </c>
      <c r="V11" s="263">
        <v>10</v>
      </c>
      <c r="W11" s="263">
        <v>0</v>
      </c>
      <c r="X11" s="135">
        <f t="shared" ref="X11" si="8">SUM(Q11:W11)</f>
        <v>25</v>
      </c>
      <c r="Y11" s="137" t="str">
        <f t="shared" si="2"/>
        <v>0</v>
      </c>
      <c r="Z11" s="74">
        <f t="shared" si="3"/>
        <v>3</v>
      </c>
      <c r="AA11" s="245">
        <f t="shared" si="1"/>
        <v>3</v>
      </c>
      <c r="AB11" s="139">
        <f t="shared" si="6"/>
        <v>9</v>
      </c>
      <c r="AC11" s="64"/>
      <c r="AD11" s="255"/>
      <c r="AE11" s="255"/>
      <c r="AF11" s="255"/>
      <c r="AG11" s="255"/>
      <c r="AH11" s="54"/>
      <c r="AI11" s="69" t="s">
        <v>124</v>
      </c>
      <c r="AJ11" s="75"/>
      <c r="AK11" s="76" t="s">
        <v>137</v>
      </c>
      <c r="AL11" s="63"/>
      <c r="AM11" s="74"/>
      <c r="AN11" s="68">
        <f t="shared" si="7"/>
        <v>0</v>
      </c>
    </row>
    <row r="12" spans="2:40" ht="66" x14ac:dyDescent="0.3">
      <c r="B12" s="64" t="s">
        <v>99</v>
      </c>
      <c r="C12" s="215" t="s">
        <v>160</v>
      </c>
      <c r="D12" s="186" t="s">
        <v>102</v>
      </c>
      <c r="E12" s="66" t="s">
        <v>105</v>
      </c>
      <c r="F12" s="264" t="s">
        <v>110</v>
      </c>
      <c r="G12" s="265" t="s">
        <v>31</v>
      </c>
      <c r="H12" s="68" t="s">
        <v>16</v>
      </c>
      <c r="I12" s="69" t="s">
        <v>114</v>
      </c>
      <c r="J12" s="70" t="s">
        <v>119</v>
      </c>
      <c r="K12" s="272">
        <v>2</v>
      </c>
      <c r="L12" s="20">
        <v>4</v>
      </c>
      <c r="M12" s="276">
        <f t="shared" si="4"/>
        <v>8</v>
      </c>
      <c r="N12" s="239" t="s">
        <v>120</v>
      </c>
      <c r="O12" s="267" t="s">
        <v>165</v>
      </c>
      <c r="P12" s="76" t="s">
        <v>168</v>
      </c>
      <c r="Q12" s="72">
        <v>0</v>
      </c>
      <c r="R12" s="73">
        <v>5</v>
      </c>
      <c r="S12" s="73">
        <v>0</v>
      </c>
      <c r="T12" s="73">
        <v>10</v>
      </c>
      <c r="U12" s="73">
        <v>15</v>
      </c>
      <c r="V12" s="73">
        <v>10</v>
      </c>
      <c r="W12" s="73">
        <v>30</v>
      </c>
      <c r="X12" s="135">
        <f t="shared" ref="X12:X19" si="9">SUM(Q12:W12)</f>
        <v>70</v>
      </c>
      <c r="Y12" s="137">
        <f t="shared" si="2"/>
        <v>1</v>
      </c>
      <c r="Z12" s="74">
        <f t="shared" si="3"/>
        <v>1</v>
      </c>
      <c r="AA12" s="245">
        <f t="shared" si="1"/>
        <v>4</v>
      </c>
      <c r="AB12" s="139">
        <f t="shared" si="6"/>
        <v>4</v>
      </c>
      <c r="AC12" s="64"/>
      <c r="AD12" s="255"/>
      <c r="AE12" s="255"/>
      <c r="AF12" s="255"/>
      <c r="AG12" s="255"/>
      <c r="AH12" s="54"/>
      <c r="AI12" s="239" t="s">
        <v>125</v>
      </c>
      <c r="AJ12" s="208"/>
      <c r="AK12" s="252" t="s">
        <v>139</v>
      </c>
      <c r="AL12" s="63"/>
      <c r="AM12" s="74"/>
      <c r="AN12" s="68">
        <f t="shared" si="7"/>
        <v>0</v>
      </c>
    </row>
    <row r="13" spans="2:40" ht="99" x14ac:dyDescent="0.3">
      <c r="B13" s="158" t="s">
        <v>100</v>
      </c>
      <c r="C13" s="215" t="s">
        <v>160</v>
      </c>
      <c r="D13" s="186" t="s">
        <v>103</v>
      </c>
      <c r="E13" s="66" t="s">
        <v>104</v>
      </c>
      <c r="F13" s="67" t="s">
        <v>140</v>
      </c>
      <c r="G13" s="64" t="s">
        <v>30</v>
      </c>
      <c r="H13" s="68" t="s">
        <v>14</v>
      </c>
      <c r="I13" s="69" t="s">
        <v>141</v>
      </c>
      <c r="J13" s="70" t="s">
        <v>142</v>
      </c>
      <c r="K13" s="270">
        <v>3</v>
      </c>
      <c r="L13" s="150">
        <v>3</v>
      </c>
      <c r="M13" s="276">
        <f t="shared" si="4"/>
        <v>9</v>
      </c>
      <c r="N13" s="69" t="s">
        <v>164</v>
      </c>
      <c r="O13" s="267" t="s">
        <v>165</v>
      </c>
      <c r="P13" s="76" t="s">
        <v>169</v>
      </c>
      <c r="Q13" s="72">
        <v>15</v>
      </c>
      <c r="R13" s="73">
        <v>5</v>
      </c>
      <c r="S13" s="73">
        <v>0</v>
      </c>
      <c r="T13" s="73">
        <v>10</v>
      </c>
      <c r="U13" s="73">
        <v>15</v>
      </c>
      <c r="V13" s="73">
        <v>10</v>
      </c>
      <c r="W13" s="73">
        <v>30</v>
      </c>
      <c r="X13" s="135">
        <f t="shared" si="9"/>
        <v>85</v>
      </c>
      <c r="Y13" s="137">
        <f t="shared" si="2"/>
        <v>2</v>
      </c>
      <c r="Z13" s="74">
        <f t="shared" si="3"/>
        <v>1</v>
      </c>
      <c r="AA13" s="245">
        <f t="shared" si="1"/>
        <v>3</v>
      </c>
      <c r="AB13" s="139">
        <f t="shared" si="6"/>
        <v>3</v>
      </c>
      <c r="AC13" s="64"/>
      <c r="AD13" s="255"/>
      <c r="AE13" s="255"/>
      <c r="AF13" s="255"/>
      <c r="AG13" s="255"/>
      <c r="AH13" s="54"/>
      <c r="AI13" s="69" t="s">
        <v>144</v>
      </c>
      <c r="AJ13" s="75"/>
      <c r="AK13" s="76" t="s">
        <v>145</v>
      </c>
      <c r="AL13" s="63"/>
      <c r="AM13" s="74"/>
      <c r="AN13" s="68">
        <f t="shared" si="7"/>
        <v>0</v>
      </c>
    </row>
    <row r="14" spans="2:40" s="94" customFormat="1" ht="66" x14ac:dyDescent="0.3">
      <c r="B14" s="64" t="s">
        <v>127</v>
      </c>
      <c r="C14" s="215" t="s">
        <v>160</v>
      </c>
      <c r="D14" s="186"/>
      <c r="E14" s="66" t="s">
        <v>146</v>
      </c>
      <c r="F14" s="67" t="s">
        <v>135</v>
      </c>
      <c r="G14" s="64" t="s">
        <v>30</v>
      </c>
      <c r="H14" s="68" t="s">
        <v>14</v>
      </c>
      <c r="I14" s="69" t="s">
        <v>147</v>
      </c>
      <c r="J14" s="70" t="s">
        <v>148</v>
      </c>
      <c r="K14" s="270">
        <v>3</v>
      </c>
      <c r="L14" s="150">
        <v>3</v>
      </c>
      <c r="M14" s="276">
        <f t="shared" si="4"/>
        <v>9</v>
      </c>
      <c r="N14" s="69" t="s">
        <v>138</v>
      </c>
      <c r="O14" s="71"/>
      <c r="P14" s="76"/>
      <c r="Q14" s="72">
        <v>0</v>
      </c>
      <c r="R14" s="73">
        <v>5</v>
      </c>
      <c r="S14" s="73">
        <v>0</v>
      </c>
      <c r="T14" s="73">
        <v>10</v>
      </c>
      <c r="U14" s="73">
        <v>0</v>
      </c>
      <c r="V14" s="73">
        <v>10</v>
      </c>
      <c r="W14" s="73">
        <v>0</v>
      </c>
      <c r="X14" s="135">
        <f t="shared" ref="X14:X15" si="10">SUM(Q14:W14)</f>
        <v>25</v>
      </c>
      <c r="Y14" s="137" t="str">
        <f t="shared" si="2"/>
        <v>0</v>
      </c>
      <c r="Z14" s="74">
        <f t="shared" si="3"/>
        <v>3</v>
      </c>
      <c r="AA14" s="245">
        <f t="shared" si="1"/>
        <v>3</v>
      </c>
      <c r="AB14" s="139">
        <f t="shared" si="6"/>
        <v>9</v>
      </c>
      <c r="AC14" s="64"/>
      <c r="AD14" s="255"/>
      <c r="AE14" s="255"/>
      <c r="AF14" s="255"/>
      <c r="AG14" s="255"/>
      <c r="AH14" s="54"/>
      <c r="AI14" s="69" t="s">
        <v>149</v>
      </c>
      <c r="AJ14" s="90"/>
      <c r="AK14" s="76" t="s">
        <v>150</v>
      </c>
      <c r="AL14" s="92"/>
      <c r="AM14" s="93"/>
      <c r="AN14" s="68">
        <f t="shared" si="7"/>
        <v>0</v>
      </c>
    </row>
    <row r="15" spans="2:40" s="94" customFormat="1" ht="82.5" x14ac:dyDescent="0.3">
      <c r="B15" s="64" t="s">
        <v>172</v>
      </c>
      <c r="C15" s="54" t="s">
        <v>160</v>
      </c>
      <c r="D15" s="186" t="s">
        <v>173</v>
      </c>
      <c r="E15" s="66" t="s">
        <v>174</v>
      </c>
      <c r="F15" s="67" t="s">
        <v>175</v>
      </c>
      <c r="G15" s="64" t="s">
        <v>30</v>
      </c>
      <c r="H15" s="68" t="s">
        <v>14</v>
      </c>
      <c r="I15" s="69" t="s">
        <v>176</v>
      </c>
      <c r="J15" s="70" t="s">
        <v>177</v>
      </c>
      <c r="K15" s="270">
        <v>4</v>
      </c>
      <c r="L15" s="150">
        <v>3</v>
      </c>
      <c r="M15" s="276">
        <f t="shared" si="4"/>
        <v>12</v>
      </c>
      <c r="N15" s="69" t="s">
        <v>198</v>
      </c>
      <c r="O15" s="66" t="s">
        <v>165</v>
      </c>
      <c r="P15" s="76" t="s">
        <v>171</v>
      </c>
      <c r="Q15" s="218">
        <v>15</v>
      </c>
      <c r="R15" s="89">
        <v>5</v>
      </c>
      <c r="S15" s="89">
        <v>0</v>
      </c>
      <c r="T15" s="89">
        <v>10</v>
      </c>
      <c r="U15" s="89">
        <v>15</v>
      </c>
      <c r="V15" s="89">
        <v>10</v>
      </c>
      <c r="W15" s="89">
        <v>30</v>
      </c>
      <c r="X15" s="135">
        <f t="shared" si="10"/>
        <v>85</v>
      </c>
      <c r="Y15" s="137">
        <f t="shared" si="2"/>
        <v>2</v>
      </c>
      <c r="Z15" s="74">
        <f t="shared" si="3"/>
        <v>2</v>
      </c>
      <c r="AA15" s="245">
        <f t="shared" si="1"/>
        <v>3</v>
      </c>
      <c r="AB15" s="139">
        <f t="shared" si="6"/>
        <v>6</v>
      </c>
      <c r="AC15" s="64"/>
      <c r="AD15" s="74"/>
      <c r="AE15" s="74"/>
      <c r="AF15" s="74"/>
      <c r="AG15" s="74"/>
      <c r="AH15" s="54"/>
      <c r="AI15" s="83"/>
      <c r="AJ15" s="90"/>
      <c r="AK15" s="91"/>
      <c r="AL15" s="92"/>
      <c r="AM15" s="93"/>
      <c r="AN15" s="68">
        <f t="shared" si="7"/>
        <v>0</v>
      </c>
    </row>
    <row r="16" spans="2:40" x14ac:dyDescent="0.3">
      <c r="B16" s="64"/>
      <c r="C16" s="54"/>
      <c r="D16" s="186"/>
      <c r="E16" s="66"/>
      <c r="F16" s="67"/>
      <c r="G16" s="64"/>
      <c r="H16" s="68"/>
      <c r="I16" s="69"/>
      <c r="J16" s="70"/>
      <c r="K16" s="270"/>
      <c r="L16" s="150"/>
      <c r="M16" s="276">
        <f t="shared" si="4"/>
        <v>0</v>
      </c>
      <c r="N16" s="69"/>
      <c r="O16" s="66"/>
      <c r="P16" s="67"/>
      <c r="Q16" s="219"/>
      <c r="R16" s="73"/>
      <c r="S16" s="73"/>
      <c r="T16" s="73"/>
      <c r="U16" s="73"/>
      <c r="V16" s="73"/>
      <c r="W16" s="73"/>
      <c r="X16" s="135">
        <f t="shared" si="9"/>
        <v>0</v>
      </c>
      <c r="Y16" s="137" t="str">
        <f t="shared" si="2"/>
        <v>0</v>
      </c>
      <c r="Z16" s="74">
        <f t="shared" si="3"/>
        <v>0</v>
      </c>
      <c r="AA16" s="245">
        <f t="shared" si="1"/>
        <v>0</v>
      </c>
      <c r="AB16" s="139">
        <f t="shared" si="6"/>
        <v>0</v>
      </c>
      <c r="AC16" s="64"/>
      <c r="AD16" s="74"/>
      <c r="AE16" s="74"/>
      <c r="AF16" s="74"/>
      <c r="AG16" s="74"/>
      <c r="AH16" s="54"/>
      <c r="AI16" s="69"/>
      <c r="AJ16" s="75"/>
      <c r="AK16" s="76"/>
      <c r="AL16" s="63"/>
      <c r="AM16" s="74"/>
      <c r="AN16" s="68">
        <f t="shared" si="7"/>
        <v>0</v>
      </c>
    </row>
    <row r="17" spans="2:40" x14ac:dyDescent="0.3">
      <c r="B17" s="64"/>
      <c r="C17" s="54"/>
      <c r="D17" s="186"/>
      <c r="E17" s="66"/>
      <c r="F17" s="67"/>
      <c r="G17" s="64"/>
      <c r="H17" s="68"/>
      <c r="I17" s="69"/>
      <c r="J17" s="70"/>
      <c r="K17" s="270"/>
      <c r="L17" s="150"/>
      <c r="M17" s="276">
        <f t="shared" si="4"/>
        <v>0</v>
      </c>
      <c r="N17" s="69"/>
      <c r="O17" s="66"/>
      <c r="P17" s="67"/>
      <c r="Q17" s="219"/>
      <c r="R17" s="73"/>
      <c r="S17" s="73"/>
      <c r="T17" s="73"/>
      <c r="U17" s="73"/>
      <c r="V17" s="73"/>
      <c r="W17" s="73"/>
      <c r="X17" s="135">
        <f t="shared" si="9"/>
        <v>0</v>
      </c>
      <c r="Y17" s="137" t="str">
        <f t="shared" si="2"/>
        <v>0</v>
      </c>
      <c r="Z17" s="74">
        <f t="shared" si="3"/>
        <v>0</v>
      </c>
      <c r="AA17" s="245">
        <f t="shared" si="1"/>
        <v>0</v>
      </c>
      <c r="AB17" s="139">
        <f t="shared" si="6"/>
        <v>0</v>
      </c>
      <c r="AC17" s="64"/>
      <c r="AD17" s="74"/>
      <c r="AE17" s="74"/>
      <c r="AF17" s="74"/>
      <c r="AG17" s="74"/>
      <c r="AH17" s="54"/>
      <c r="AI17" s="69"/>
      <c r="AJ17" s="75"/>
      <c r="AK17" s="76"/>
      <c r="AL17" s="63"/>
      <c r="AM17" s="74"/>
      <c r="AN17" s="68">
        <f t="shared" si="7"/>
        <v>0</v>
      </c>
    </row>
    <row r="18" spans="2:40" x14ac:dyDescent="0.3">
      <c r="B18" s="64"/>
      <c r="C18" s="54"/>
      <c r="D18" s="186"/>
      <c r="E18" s="66"/>
      <c r="F18" s="67"/>
      <c r="G18" s="64"/>
      <c r="H18" s="68"/>
      <c r="I18" s="69"/>
      <c r="J18" s="70"/>
      <c r="K18" s="270"/>
      <c r="L18" s="150"/>
      <c r="M18" s="276">
        <f t="shared" si="4"/>
        <v>0</v>
      </c>
      <c r="N18" s="69"/>
      <c r="O18" s="66"/>
      <c r="P18" s="67"/>
      <c r="Q18" s="219"/>
      <c r="R18" s="73"/>
      <c r="S18" s="73"/>
      <c r="T18" s="73"/>
      <c r="U18" s="73"/>
      <c r="V18" s="73"/>
      <c r="W18" s="73"/>
      <c r="X18" s="135">
        <f t="shared" si="9"/>
        <v>0</v>
      </c>
      <c r="Y18" s="137" t="str">
        <f t="shared" si="2"/>
        <v>0</v>
      </c>
      <c r="Z18" s="74">
        <f t="shared" si="3"/>
        <v>0</v>
      </c>
      <c r="AA18" s="245">
        <f t="shared" si="1"/>
        <v>0</v>
      </c>
      <c r="AB18" s="139">
        <f t="shared" si="6"/>
        <v>0</v>
      </c>
      <c r="AC18" s="64"/>
      <c r="AD18" s="74"/>
      <c r="AE18" s="74"/>
      <c r="AF18" s="74"/>
      <c r="AG18" s="74"/>
      <c r="AH18" s="54"/>
      <c r="AI18" s="69"/>
      <c r="AJ18" s="75"/>
      <c r="AK18" s="76"/>
      <c r="AL18" s="63"/>
      <c r="AM18" s="74"/>
      <c r="AN18" s="68">
        <f t="shared" si="7"/>
        <v>0</v>
      </c>
    </row>
    <row r="19" spans="2:40" x14ac:dyDescent="0.3">
      <c r="B19" s="64"/>
      <c r="C19" s="54"/>
      <c r="D19" s="186"/>
      <c r="E19" s="66"/>
      <c r="F19" s="67"/>
      <c r="G19" s="64"/>
      <c r="H19" s="68"/>
      <c r="I19" s="69"/>
      <c r="J19" s="70"/>
      <c r="K19" s="270"/>
      <c r="L19" s="150"/>
      <c r="M19" s="276">
        <f t="shared" si="4"/>
        <v>0</v>
      </c>
      <c r="N19" s="69"/>
      <c r="O19" s="66"/>
      <c r="P19" s="67"/>
      <c r="Q19" s="219"/>
      <c r="R19" s="73"/>
      <c r="S19" s="73"/>
      <c r="T19" s="73"/>
      <c r="U19" s="73"/>
      <c r="V19" s="73"/>
      <c r="W19" s="73"/>
      <c r="X19" s="135">
        <f t="shared" si="9"/>
        <v>0</v>
      </c>
      <c r="Y19" s="137" t="str">
        <f t="shared" si="2"/>
        <v>0</v>
      </c>
      <c r="Z19" s="74">
        <f t="shared" si="3"/>
        <v>0</v>
      </c>
      <c r="AA19" s="245">
        <f t="shared" si="1"/>
        <v>0</v>
      </c>
      <c r="AB19" s="139">
        <f t="shared" si="6"/>
        <v>0</v>
      </c>
      <c r="AC19" s="64"/>
      <c r="AD19" s="74"/>
      <c r="AE19" s="74"/>
      <c r="AF19" s="74"/>
      <c r="AG19" s="74"/>
      <c r="AH19" s="54"/>
      <c r="AI19" s="69"/>
      <c r="AJ19" s="75"/>
      <c r="AK19" s="76"/>
      <c r="AL19" s="63"/>
      <c r="AM19" s="74"/>
      <c r="AN19" s="68">
        <f t="shared" si="7"/>
        <v>0</v>
      </c>
    </row>
    <row r="20" spans="2:40" x14ac:dyDescent="0.3">
      <c r="B20" s="64"/>
      <c r="C20" s="54"/>
      <c r="D20" s="186"/>
      <c r="E20" s="66"/>
      <c r="F20" s="67"/>
      <c r="G20" s="64"/>
      <c r="H20" s="68"/>
      <c r="I20" s="69"/>
      <c r="J20" s="70"/>
      <c r="K20" s="270"/>
      <c r="L20" s="150"/>
      <c r="M20" s="276">
        <f t="shared" si="4"/>
        <v>0</v>
      </c>
      <c r="N20" s="69"/>
      <c r="O20" s="66"/>
      <c r="P20" s="67"/>
      <c r="Q20" s="219"/>
      <c r="R20" s="73"/>
      <c r="S20" s="73"/>
      <c r="T20" s="73"/>
      <c r="U20" s="73"/>
      <c r="V20" s="73"/>
      <c r="W20" s="73"/>
      <c r="X20" s="135">
        <f t="shared" si="5"/>
        <v>0</v>
      </c>
      <c r="Y20" s="137" t="str">
        <f t="shared" si="2"/>
        <v>0</v>
      </c>
      <c r="Z20" s="74">
        <f t="shared" si="3"/>
        <v>0</v>
      </c>
      <c r="AA20" s="245">
        <f t="shared" si="1"/>
        <v>0</v>
      </c>
      <c r="AB20" s="139">
        <f t="shared" si="6"/>
        <v>0</v>
      </c>
      <c r="AC20" s="64"/>
      <c r="AD20" s="74"/>
      <c r="AE20" s="74"/>
      <c r="AF20" s="74"/>
      <c r="AG20" s="74"/>
      <c r="AH20" s="54"/>
      <c r="AI20" s="69"/>
      <c r="AJ20" s="75"/>
      <c r="AK20" s="76"/>
      <c r="AL20" s="63"/>
      <c r="AM20" s="74"/>
      <c r="AN20" s="68">
        <f t="shared" si="7"/>
        <v>0</v>
      </c>
    </row>
    <row r="21" spans="2:40" s="236" customFormat="1" x14ac:dyDescent="0.3">
      <c r="B21" s="220" t="s">
        <v>126</v>
      </c>
      <c r="C21" s="221"/>
      <c r="D21" s="286"/>
      <c r="E21" s="222"/>
      <c r="F21" s="223"/>
      <c r="G21" s="220"/>
      <c r="H21" s="224"/>
      <c r="I21" s="225"/>
      <c r="J21" s="226"/>
      <c r="K21" s="273"/>
      <c r="L21" s="244"/>
      <c r="M21" s="277">
        <f t="shared" si="4"/>
        <v>0</v>
      </c>
      <c r="N21" s="225"/>
      <c r="O21" s="222"/>
      <c r="P21" s="223"/>
      <c r="Q21" s="227"/>
      <c r="R21" s="228"/>
      <c r="S21" s="228"/>
      <c r="T21" s="228"/>
      <c r="U21" s="228"/>
      <c r="V21" s="228"/>
      <c r="W21" s="228"/>
      <c r="X21" s="229">
        <f t="shared" si="5"/>
        <v>0</v>
      </c>
      <c r="Y21" s="230" t="str">
        <f t="shared" si="2"/>
        <v>0</v>
      </c>
      <c r="Z21" s="231">
        <f>K21</f>
        <v>0</v>
      </c>
      <c r="AA21" s="246">
        <f t="shared" si="1"/>
        <v>0</v>
      </c>
      <c r="AB21" s="232">
        <f t="shared" si="6"/>
        <v>0</v>
      </c>
      <c r="AC21" s="220"/>
      <c r="AD21" s="231"/>
      <c r="AE21" s="231"/>
      <c r="AF21" s="231"/>
      <c r="AG21" s="231"/>
      <c r="AH21" s="221"/>
      <c r="AI21" s="225"/>
      <c r="AJ21" s="233"/>
      <c r="AK21" s="234"/>
      <c r="AL21" s="235"/>
      <c r="AM21" s="231"/>
      <c r="AN21" s="224">
        <f t="shared" si="7"/>
        <v>0</v>
      </c>
    </row>
    <row r="22" spans="2:40" s="236" customFormat="1" x14ac:dyDescent="0.3">
      <c r="B22" s="220" t="s">
        <v>128</v>
      </c>
      <c r="C22" s="221"/>
      <c r="D22" s="286"/>
      <c r="E22" s="222"/>
      <c r="F22" s="223"/>
      <c r="G22" s="220"/>
      <c r="H22" s="224"/>
      <c r="I22" s="237"/>
      <c r="J22" s="226"/>
      <c r="K22" s="273"/>
      <c r="L22" s="244"/>
      <c r="M22" s="277">
        <f t="shared" si="4"/>
        <v>0</v>
      </c>
      <c r="N22" s="225"/>
      <c r="O22" s="222"/>
      <c r="P22" s="223"/>
      <c r="Q22" s="227"/>
      <c r="R22" s="228"/>
      <c r="S22" s="228"/>
      <c r="T22" s="228"/>
      <c r="U22" s="228"/>
      <c r="V22" s="228"/>
      <c r="W22" s="228"/>
      <c r="X22" s="229">
        <f t="shared" si="5"/>
        <v>0</v>
      </c>
      <c r="Y22" s="230" t="str">
        <f t="shared" si="2"/>
        <v>0</v>
      </c>
      <c r="Z22" s="231">
        <f t="shared" si="3"/>
        <v>0</v>
      </c>
      <c r="AA22" s="246">
        <f t="shared" si="1"/>
        <v>0</v>
      </c>
      <c r="AB22" s="232">
        <f t="shared" si="6"/>
        <v>0</v>
      </c>
      <c r="AC22" s="220"/>
      <c r="AD22" s="231"/>
      <c r="AE22" s="231"/>
      <c r="AF22" s="231"/>
      <c r="AG22" s="231"/>
      <c r="AH22" s="221"/>
      <c r="AI22" s="225"/>
      <c r="AJ22" s="233"/>
      <c r="AK22" s="234"/>
      <c r="AL22" s="235"/>
      <c r="AM22" s="231"/>
      <c r="AN22" s="266">
        <f t="shared" si="7"/>
        <v>0</v>
      </c>
    </row>
    <row r="23" spans="2:40" ht="17.25" thickBot="1" x14ac:dyDescent="0.35">
      <c r="B23" s="95"/>
      <c r="C23" s="96"/>
      <c r="D23" s="287"/>
      <c r="E23" s="98"/>
      <c r="F23" s="99"/>
      <c r="G23" s="95"/>
      <c r="H23" s="100"/>
      <c r="I23" s="101"/>
      <c r="J23" s="102"/>
      <c r="K23" s="274"/>
      <c r="L23" s="205"/>
      <c r="M23" s="278">
        <f t="shared" si="4"/>
        <v>0</v>
      </c>
      <c r="N23" s="101"/>
      <c r="O23" s="98"/>
      <c r="P23" s="99"/>
      <c r="Q23" s="238"/>
      <c r="R23" s="108"/>
      <c r="S23" s="108"/>
      <c r="T23" s="108"/>
      <c r="U23" s="108"/>
      <c r="V23" s="108"/>
      <c r="W23" s="108"/>
      <c r="X23" s="136">
        <f t="shared" si="5"/>
        <v>0</v>
      </c>
      <c r="Y23" s="138" t="str">
        <f t="shared" si="2"/>
        <v>0</v>
      </c>
      <c r="Z23" s="109">
        <f t="shared" si="3"/>
        <v>0</v>
      </c>
      <c r="AA23" s="247">
        <f t="shared" si="1"/>
        <v>0</v>
      </c>
      <c r="AB23" s="140">
        <f t="shared" si="6"/>
        <v>0</v>
      </c>
      <c r="AC23" s="95"/>
      <c r="AD23" s="109"/>
      <c r="AE23" s="109"/>
      <c r="AF23" s="109"/>
      <c r="AG23" s="109"/>
      <c r="AH23" s="96"/>
      <c r="AI23" s="101"/>
      <c r="AJ23" s="111"/>
      <c r="AK23" s="112"/>
      <c r="AL23" s="113"/>
      <c r="AM23" s="109"/>
      <c r="AN23" s="100">
        <f t="shared" si="7"/>
        <v>0</v>
      </c>
    </row>
    <row r="27" spans="2:40" x14ac:dyDescent="0.3">
      <c r="E27" s="114"/>
    </row>
  </sheetData>
  <mergeCells count="15">
    <mergeCell ref="B2:E3"/>
    <mergeCell ref="F2:AJ3"/>
    <mergeCell ref="AL2:AN2"/>
    <mergeCell ref="AL3:AN3"/>
    <mergeCell ref="C6:F6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</mergeCells>
  <conditionalFormatting sqref="M8:M23">
    <cfRule type="cellIs" dxfId="15" priority="5" operator="between">
      <formula>12</formula>
      <formula>16</formula>
    </cfRule>
    <cfRule type="cellIs" dxfId="14" priority="6" operator="between">
      <formula>4</formula>
      <formula>6</formula>
    </cfRule>
    <cfRule type="cellIs" dxfId="13" priority="7" operator="between">
      <formula>8</formula>
      <formula>9</formula>
    </cfRule>
    <cfRule type="cellIs" dxfId="12" priority="8" operator="between">
      <formula>1</formula>
      <formula>3</formula>
    </cfRule>
  </conditionalFormatting>
  <conditionalFormatting sqref="AB8:AH23 AN8:AN23">
    <cfRule type="cellIs" dxfId="11" priority="1" operator="between">
      <formula>12</formula>
      <formula>16</formula>
    </cfRule>
    <cfRule type="cellIs" dxfId="10" priority="2" operator="between">
      <formula>8</formula>
      <formula>9</formula>
    </cfRule>
    <cfRule type="cellIs" dxfId="9" priority="3" operator="between">
      <formula>4</formula>
      <formula>6</formula>
    </cfRule>
    <cfRule type="cellIs" dxfId="8" priority="4" operator="between">
      <formula>1</formula>
      <formula>3</formula>
    </cfRule>
  </conditionalFormatting>
  <pageMargins left="0.7" right="0.7" top="0.75" bottom="0.75" header="0.3" footer="0.3"/>
  <pageSetup orientation="portrait" r:id="rId1"/>
  <ignoredErrors>
    <ignoredError sqref="M8:M23 AA8 AA9:AA23 Z9:Z23" unlockedFormula="1"/>
    <ignoredError sqref="X10:X1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200-000000000000}">
          <x14:formula1>
            <xm:f>'D:\Mtto\Clinica Bahia\PM3 Urgencia\[Caracterizacion y Matriz de Riesgo - copia.xlsx]Hoja3'!#REF!</xm:f>
          </x14:formula1>
          <xm:sqref>W21:W23</xm:sqref>
        </x14:dataValidation>
        <x14:dataValidation type="list" allowBlank="1" showInputMessage="1" showErrorMessage="1" xr:uid="{00000000-0002-0000-0200-000001000000}">
          <x14:formula1>
            <xm:f>'D:\Mtto\Clinica Bahia\PM3 Urgencia\[Caracterizacion y Matriz de Riesgo - copia.xlsx]Hoja3'!#REF!</xm:f>
          </x14:formula1>
          <xm:sqref>G21:H53 AL21:AM23 Q21:V23</xm:sqref>
        </x14:dataValidation>
        <x14:dataValidation type="list" allowBlank="1" showInputMessage="1" showErrorMessage="1" xr:uid="{00000000-0002-0000-0200-000002000000}">
          <x14:formula1>
            <xm:f>Hoja4!$D$15:$D$17</xm:f>
          </x14:formula1>
          <xm:sqref>H8:H20</xm:sqref>
        </x14:dataValidation>
        <x14:dataValidation type="list" allowBlank="1" showInputMessage="1" showErrorMessage="1" xr:uid="{00000000-0002-0000-0200-000003000000}">
          <x14:formula1>
            <xm:f>Hoja4!$C$13:$C$17</xm:f>
          </x14:formula1>
          <xm:sqref>G8:G20</xm:sqref>
        </x14:dataValidation>
        <x14:dataValidation type="list" allowBlank="1" showInputMessage="1" showErrorMessage="1" xr:uid="{00000000-0002-0000-0200-000004000000}">
          <x14:formula1>
            <xm:f>'Calificación y Semaforización'!$A$2:$A$5</xm:f>
          </x14:formula1>
          <xm:sqref>Z8:Z23 K8:L23</xm:sqref>
        </x14:dataValidation>
        <x14:dataValidation type="list" allowBlank="1" showInputMessage="1" showErrorMessage="1" xr:uid="{00000000-0002-0000-0200-000005000000}">
          <x14:formula1>
            <xm:f>'Calificación y Semaforización'!$B$33:$B$37</xm:f>
          </x14:formula1>
          <xm:sqref>AC8:AC20</xm:sqref>
        </x14:dataValidation>
        <x14:dataValidation type="list" allowBlank="1" showInputMessage="1" showErrorMessage="1" xr:uid="{00000000-0002-0000-0200-000006000000}">
          <x14:formula1>
            <xm:f>Hoja4!$H$6:$H$7</xm:f>
          </x14:formula1>
          <xm:sqref>Q8:Q20 S8:S20 U8:U20</xm:sqref>
        </x14:dataValidation>
        <x14:dataValidation type="list" allowBlank="1" showInputMessage="1" showErrorMessage="1" xr:uid="{00000000-0002-0000-0200-000007000000}">
          <x14:formula1>
            <xm:f>Hoja4!$F$6:$F$7</xm:f>
          </x14:formula1>
          <xm:sqref>R8:R20</xm:sqref>
        </x14:dataValidation>
        <x14:dataValidation type="list" allowBlank="1" showInputMessage="1" showErrorMessage="1" xr:uid="{00000000-0002-0000-0200-000008000000}">
          <x14:formula1>
            <xm:f>Hoja4!$G$6:$G$7</xm:f>
          </x14:formula1>
          <xm:sqref>T8:T20 V8:V20</xm:sqref>
        </x14:dataValidation>
        <x14:dataValidation type="list" allowBlank="1" showInputMessage="1" showErrorMessage="1" xr:uid="{00000000-0002-0000-0200-000009000000}">
          <x14:formula1>
            <xm:f>Hoja4!$I$6:$I$7</xm:f>
          </x14:formula1>
          <xm:sqref>W8:W20</xm:sqref>
        </x14:dataValidation>
        <x14:dataValidation type="list" allowBlank="1" showInputMessage="1" showErrorMessage="1" xr:uid="{00000000-0002-0000-0200-00000A000000}">
          <x14:formula1>
            <xm:f>Hoja4!$C$6:$C$9</xm:f>
          </x14:formula1>
          <xm:sqref>AL8:AL20 AM8:AM20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27"/>
  <sheetViews>
    <sheetView showGridLines="0" zoomScale="64" zoomScaleNormal="64"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baseColWidth="10" defaultRowHeight="16.5" x14ac:dyDescent="0.3"/>
  <cols>
    <col min="1" max="1" width="1.140625" style="51" customWidth="1"/>
    <col min="2" max="2" width="8.7109375" style="51" customWidth="1"/>
    <col min="3" max="3" width="17.28515625" style="51" customWidth="1"/>
    <col min="4" max="4" width="32.85546875" style="51" customWidth="1"/>
    <col min="5" max="5" width="40.5703125" style="51" customWidth="1"/>
    <col min="6" max="6" width="38.5703125" style="51" customWidth="1"/>
    <col min="7" max="7" width="12.7109375" style="51" bestFit="1" customWidth="1"/>
    <col min="8" max="8" width="19" style="51" customWidth="1"/>
    <col min="9" max="10" width="33.7109375" style="51" customWidth="1"/>
    <col min="11" max="12" width="4.42578125" style="51" customWidth="1"/>
    <col min="13" max="13" width="11.42578125" style="51" customWidth="1"/>
    <col min="14" max="14" width="24" style="51" customWidth="1"/>
    <col min="15" max="15" width="17" style="51" customWidth="1"/>
    <col min="16" max="16" width="18.85546875" style="51" customWidth="1"/>
    <col min="17" max="22" width="17" style="51" customWidth="1"/>
    <col min="23" max="23" width="15.28515625" style="51" customWidth="1"/>
    <col min="24" max="25" width="4.42578125" style="51" customWidth="1"/>
    <col min="26" max="26" width="16.5703125" style="51" customWidth="1"/>
    <col min="27" max="27" width="22" style="51" bestFit="1" customWidth="1"/>
    <col min="28" max="28" width="18.28515625" style="51" customWidth="1"/>
    <col min="29" max="29" width="22" style="51" customWidth="1"/>
    <col min="30" max="31" width="4.42578125" style="51" customWidth="1"/>
    <col min="32" max="16384" width="11.42578125" style="51"/>
  </cols>
  <sheetData>
    <row r="1" spans="2:32" ht="17.25" thickBot="1" x14ac:dyDescent="0.35"/>
    <row r="2" spans="2:32" ht="24.95" customHeight="1" thickBot="1" x14ac:dyDescent="0.35">
      <c r="B2" s="301"/>
      <c r="C2" s="302"/>
      <c r="D2" s="302"/>
      <c r="E2" s="302"/>
      <c r="F2" s="302" t="s">
        <v>89</v>
      </c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32"/>
      <c r="AC2" s="115" t="s">
        <v>41</v>
      </c>
      <c r="AD2" s="329">
        <v>43360</v>
      </c>
      <c r="AE2" s="330"/>
      <c r="AF2" s="331"/>
    </row>
    <row r="3" spans="2:32" ht="24.95" customHeight="1" thickBot="1" x14ac:dyDescent="0.35">
      <c r="B3" s="303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33"/>
      <c r="AC3" s="115" t="s">
        <v>42</v>
      </c>
      <c r="AD3" s="326" t="s">
        <v>43</v>
      </c>
      <c r="AE3" s="327"/>
      <c r="AF3" s="328"/>
    </row>
    <row r="5" spans="2:32" ht="17.25" thickBot="1" x14ac:dyDescent="0.35">
      <c r="B5" s="116" t="s">
        <v>90</v>
      </c>
      <c r="C5" s="1"/>
      <c r="D5" s="52">
        <v>43466</v>
      </c>
    </row>
    <row r="6" spans="2:32" ht="30" customHeight="1" thickBot="1" x14ac:dyDescent="0.35">
      <c r="B6" s="196"/>
      <c r="C6" s="309" t="s">
        <v>55</v>
      </c>
      <c r="D6" s="312"/>
      <c r="E6" s="312"/>
      <c r="F6" s="310"/>
      <c r="G6" s="309" t="s">
        <v>8</v>
      </c>
      <c r="H6" s="310"/>
      <c r="I6" s="311" t="s">
        <v>18</v>
      </c>
      <c r="J6" s="312"/>
      <c r="K6" s="312"/>
      <c r="L6" s="312"/>
      <c r="M6" s="316"/>
      <c r="N6" s="313" t="s">
        <v>40</v>
      </c>
      <c r="O6" s="311" t="s">
        <v>51</v>
      </c>
      <c r="P6" s="312"/>
      <c r="Q6" s="312"/>
      <c r="R6" s="312"/>
      <c r="S6" s="312"/>
      <c r="T6" s="312"/>
      <c r="U6" s="312"/>
      <c r="V6" s="316"/>
      <c r="W6" s="311" t="s">
        <v>36</v>
      </c>
      <c r="X6" s="312"/>
      <c r="Y6" s="312"/>
      <c r="Z6" s="316"/>
      <c r="AA6" s="334" t="s">
        <v>22</v>
      </c>
      <c r="AB6" s="322"/>
      <c r="AC6" s="310"/>
      <c r="AD6" s="309" t="s">
        <v>54</v>
      </c>
      <c r="AE6" s="322"/>
      <c r="AF6" s="310"/>
    </row>
    <row r="7" spans="2:32" ht="84.75" customHeight="1" thickBot="1" x14ac:dyDescent="0.35">
      <c r="B7" s="117" t="s">
        <v>7</v>
      </c>
      <c r="C7" s="118" t="s">
        <v>29</v>
      </c>
      <c r="D7" s="118" t="s">
        <v>57</v>
      </c>
      <c r="E7" s="184" t="s">
        <v>56</v>
      </c>
      <c r="F7" s="119" t="s">
        <v>5</v>
      </c>
      <c r="G7" s="120" t="s">
        <v>9</v>
      </c>
      <c r="H7" s="119" t="s">
        <v>13</v>
      </c>
      <c r="I7" s="121" t="s">
        <v>20</v>
      </c>
      <c r="J7" s="122" t="s">
        <v>17</v>
      </c>
      <c r="K7" s="123" t="s">
        <v>35</v>
      </c>
      <c r="L7" s="124" t="s">
        <v>38</v>
      </c>
      <c r="M7" s="125" t="s">
        <v>19</v>
      </c>
      <c r="N7" s="315"/>
      <c r="O7" s="117" t="s">
        <v>44</v>
      </c>
      <c r="P7" s="126" t="s">
        <v>45</v>
      </c>
      <c r="Q7" s="117" t="s">
        <v>46</v>
      </c>
      <c r="R7" s="117" t="s">
        <v>47</v>
      </c>
      <c r="S7" s="117" t="s">
        <v>58</v>
      </c>
      <c r="T7" s="117" t="s">
        <v>48</v>
      </c>
      <c r="U7" s="117" t="s">
        <v>49</v>
      </c>
      <c r="V7" s="117" t="s">
        <v>50</v>
      </c>
      <c r="W7" s="123" t="s">
        <v>52</v>
      </c>
      <c r="X7" s="127" t="s">
        <v>35</v>
      </c>
      <c r="Y7" s="124" t="s">
        <v>38</v>
      </c>
      <c r="Z7" s="128" t="s">
        <v>53</v>
      </c>
      <c r="AA7" s="121" t="s">
        <v>21</v>
      </c>
      <c r="AB7" s="129" t="s">
        <v>23</v>
      </c>
      <c r="AC7" s="119" t="s">
        <v>0</v>
      </c>
      <c r="AD7" s="130" t="s">
        <v>35</v>
      </c>
      <c r="AE7" s="124" t="s">
        <v>38</v>
      </c>
      <c r="AF7" s="128" t="s">
        <v>37</v>
      </c>
    </row>
    <row r="8" spans="2:32" ht="66" x14ac:dyDescent="0.3">
      <c r="B8" s="53" t="s">
        <v>91</v>
      </c>
      <c r="C8" s="323" t="s">
        <v>151</v>
      </c>
      <c r="D8" s="55" t="s">
        <v>93</v>
      </c>
      <c r="E8" s="141" t="s">
        <v>108</v>
      </c>
      <c r="F8" s="142" t="s">
        <v>132</v>
      </c>
      <c r="G8" s="145" t="s">
        <v>30</v>
      </c>
      <c r="H8" s="146" t="s">
        <v>14</v>
      </c>
      <c r="I8" s="147" t="s">
        <v>133</v>
      </c>
      <c r="J8" s="148" t="s">
        <v>115</v>
      </c>
      <c r="K8" s="149">
        <v>2</v>
      </c>
      <c r="L8" s="150">
        <v>3</v>
      </c>
      <c r="M8" s="59">
        <f>K8*L8</f>
        <v>6</v>
      </c>
      <c r="N8" s="197" t="s">
        <v>95</v>
      </c>
      <c r="O8" s="155">
        <v>15</v>
      </c>
      <c r="P8" s="150">
        <v>5</v>
      </c>
      <c r="Q8" s="150">
        <v>0</v>
      </c>
      <c r="R8" s="150">
        <v>10</v>
      </c>
      <c r="S8" s="150">
        <v>15</v>
      </c>
      <c r="T8" s="150">
        <v>10</v>
      </c>
      <c r="U8" s="150">
        <v>30</v>
      </c>
      <c r="V8" s="135">
        <f t="shared" ref="V8:V9" si="0">SUM(O8:U8)</f>
        <v>85</v>
      </c>
      <c r="W8" s="137">
        <f>IF(V8&lt;51,"0",IF(V8&lt;76,1,2))</f>
        <v>2</v>
      </c>
      <c r="X8" s="60">
        <v>1</v>
      </c>
      <c r="Y8" s="60">
        <f>L8</f>
        <v>3</v>
      </c>
      <c r="Z8" s="139">
        <f>X8*Y8</f>
        <v>3</v>
      </c>
      <c r="AA8" s="56"/>
      <c r="AB8" s="61"/>
      <c r="AC8" s="62"/>
      <c r="AD8" s="63"/>
      <c r="AE8" s="60"/>
      <c r="AF8" s="131">
        <f>AD8*AE8</f>
        <v>0</v>
      </c>
    </row>
    <row r="9" spans="2:32" ht="66" x14ac:dyDescent="0.3">
      <c r="B9" s="158" t="s">
        <v>92</v>
      </c>
      <c r="C9" s="324"/>
      <c r="D9" s="65" t="s">
        <v>94</v>
      </c>
      <c r="E9" s="143" t="s">
        <v>107</v>
      </c>
      <c r="F9" s="144" t="s">
        <v>109</v>
      </c>
      <c r="G9" s="151" t="s">
        <v>30</v>
      </c>
      <c r="H9" s="132" t="s">
        <v>16</v>
      </c>
      <c r="I9" s="152" t="s">
        <v>111</v>
      </c>
      <c r="J9" s="153" t="s">
        <v>116</v>
      </c>
      <c r="K9" s="149">
        <v>4</v>
      </c>
      <c r="L9" s="150">
        <v>3</v>
      </c>
      <c r="M9" s="59">
        <f>K9*L9</f>
        <v>12</v>
      </c>
      <c r="N9" s="198" t="s">
        <v>134</v>
      </c>
      <c r="O9" s="156">
        <v>15</v>
      </c>
      <c r="P9" s="20">
        <v>5</v>
      </c>
      <c r="Q9" s="20">
        <v>0</v>
      </c>
      <c r="R9" s="20">
        <v>10</v>
      </c>
      <c r="S9" s="20">
        <v>15</v>
      </c>
      <c r="T9" s="20">
        <v>10</v>
      </c>
      <c r="U9" s="20">
        <v>30</v>
      </c>
      <c r="V9" s="135">
        <f t="shared" si="0"/>
        <v>85</v>
      </c>
      <c r="W9" s="137">
        <f t="shared" ref="W9:W23" si="1">IF(V9&lt;51,"0",IF(V9&lt;76,1,2))</f>
        <v>2</v>
      </c>
      <c r="X9" s="74">
        <f t="shared" ref="X9:X23" si="2">K9-W9</f>
        <v>2</v>
      </c>
      <c r="Y9" s="60">
        <f t="shared" ref="Y9:Y23" si="3">L9</f>
        <v>3</v>
      </c>
      <c r="Z9" s="139">
        <f>X9*Y9</f>
        <v>6</v>
      </c>
      <c r="AA9" s="69" t="s">
        <v>122</v>
      </c>
      <c r="AB9" s="75"/>
      <c r="AC9" s="76"/>
      <c r="AD9" s="63"/>
      <c r="AE9" s="74"/>
      <c r="AF9" s="132">
        <f>AD9*AE9</f>
        <v>0</v>
      </c>
    </row>
    <row r="10" spans="2:32" ht="82.5" x14ac:dyDescent="0.3">
      <c r="B10" s="64" t="s">
        <v>97</v>
      </c>
      <c r="C10" s="324"/>
      <c r="D10" s="187" t="s">
        <v>101</v>
      </c>
      <c r="E10" s="157" t="s">
        <v>106</v>
      </c>
      <c r="F10" s="144" t="s">
        <v>135</v>
      </c>
      <c r="G10" s="151" t="s">
        <v>12</v>
      </c>
      <c r="H10" s="132" t="s">
        <v>14</v>
      </c>
      <c r="I10" s="152" t="s">
        <v>112</v>
      </c>
      <c r="J10" s="153" t="s">
        <v>117</v>
      </c>
      <c r="K10" s="149">
        <v>3</v>
      </c>
      <c r="L10" s="150">
        <v>2</v>
      </c>
      <c r="M10" s="59">
        <f t="shared" ref="M10:M23" si="4">K10*L10</f>
        <v>6</v>
      </c>
      <c r="N10" s="198" t="s">
        <v>121</v>
      </c>
      <c r="O10" s="156">
        <v>0</v>
      </c>
      <c r="P10" s="20">
        <v>5</v>
      </c>
      <c r="Q10" s="20">
        <v>0</v>
      </c>
      <c r="R10" s="20">
        <v>10</v>
      </c>
      <c r="S10" s="20">
        <v>15</v>
      </c>
      <c r="T10" s="20">
        <v>10</v>
      </c>
      <c r="U10" s="20">
        <v>30</v>
      </c>
      <c r="V10" s="135">
        <f t="shared" ref="V10:V23" si="5">SUM(O10:U10)</f>
        <v>70</v>
      </c>
      <c r="W10" s="137">
        <f t="shared" si="1"/>
        <v>1</v>
      </c>
      <c r="X10" s="74">
        <f t="shared" si="2"/>
        <v>2</v>
      </c>
      <c r="Y10" s="60">
        <f t="shared" si="3"/>
        <v>2</v>
      </c>
      <c r="Z10" s="139">
        <f t="shared" ref="Z10:Z23" si="6">X10*Y10</f>
        <v>4</v>
      </c>
      <c r="AA10" s="143" t="s">
        <v>123</v>
      </c>
      <c r="AB10" s="75"/>
      <c r="AC10" s="76"/>
      <c r="AD10" s="63"/>
      <c r="AE10" s="74"/>
      <c r="AF10" s="132">
        <f t="shared" ref="AF10:AF23" si="7">AD10*AE10</f>
        <v>0</v>
      </c>
    </row>
    <row r="11" spans="2:32" ht="50.25" thickBot="1" x14ac:dyDescent="0.35">
      <c r="B11" s="95" t="s">
        <v>98</v>
      </c>
      <c r="C11" s="324"/>
      <c r="D11" s="7" t="s">
        <v>96</v>
      </c>
      <c r="E11" s="199" t="s">
        <v>136</v>
      </c>
      <c r="F11" s="200" t="s">
        <v>135</v>
      </c>
      <c r="G11" s="201" t="s">
        <v>11</v>
      </c>
      <c r="H11" s="134" t="s">
        <v>14</v>
      </c>
      <c r="I11" s="202" t="s">
        <v>113</v>
      </c>
      <c r="J11" s="203" t="s">
        <v>118</v>
      </c>
      <c r="K11" s="204">
        <v>3</v>
      </c>
      <c r="L11" s="205">
        <v>3</v>
      </c>
      <c r="M11" s="105">
        <f t="shared" si="4"/>
        <v>9</v>
      </c>
      <c r="N11" s="206"/>
      <c r="O11" s="209">
        <v>0</v>
      </c>
      <c r="P11" s="210">
        <v>5</v>
      </c>
      <c r="Q11" s="210">
        <v>0</v>
      </c>
      <c r="R11" s="210">
        <v>10</v>
      </c>
      <c r="S11" s="210">
        <v>0</v>
      </c>
      <c r="T11" s="210">
        <v>10</v>
      </c>
      <c r="U11" s="210">
        <v>0</v>
      </c>
      <c r="V11" s="136">
        <f t="shared" ref="V11" si="8">SUM(O11:U11)</f>
        <v>25</v>
      </c>
      <c r="W11" s="138" t="str">
        <f t="shared" ref="W11" si="9">IF(V11&lt;51,"0",IF(V11&lt;76,1,2))</f>
        <v>0</v>
      </c>
      <c r="X11" s="109">
        <f t="shared" ref="X11" si="10">K11-W11</f>
        <v>3</v>
      </c>
      <c r="Y11" s="110">
        <f t="shared" ref="Y11" si="11">L11</f>
        <v>3</v>
      </c>
      <c r="Z11" s="140">
        <f t="shared" ref="Z11" si="12">X11*Y11</f>
        <v>9</v>
      </c>
      <c r="AA11" s="199" t="s">
        <v>124</v>
      </c>
      <c r="AB11" s="111"/>
      <c r="AC11" s="211" t="s">
        <v>137</v>
      </c>
      <c r="AD11" s="113"/>
      <c r="AE11" s="109"/>
      <c r="AF11" s="134">
        <f t="shared" si="7"/>
        <v>0</v>
      </c>
    </row>
    <row r="12" spans="2:32" ht="66" x14ac:dyDescent="0.3">
      <c r="B12" s="188" t="s">
        <v>99</v>
      </c>
      <c r="C12" s="324"/>
      <c r="D12" s="189" t="s">
        <v>102</v>
      </c>
      <c r="E12" s="190" t="s">
        <v>105</v>
      </c>
      <c r="F12" s="191" t="s">
        <v>110</v>
      </c>
      <c r="G12" s="192" t="s">
        <v>31</v>
      </c>
      <c r="H12" s="131" t="s">
        <v>16</v>
      </c>
      <c r="I12" s="193" t="s">
        <v>114</v>
      </c>
      <c r="J12" s="194" t="s">
        <v>119</v>
      </c>
      <c r="K12" s="149">
        <v>2</v>
      </c>
      <c r="L12" s="150">
        <v>4</v>
      </c>
      <c r="M12" s="195">
        <f t="shared" si="4"/>
        <v>8</v>
      </c>
      <c r="N12" s="154" t="s">
        <v>120</v>
      </c>
      <c r="O12" s="155">
        <v>0</v>
      </c>
      <c r="P12" s="150">
        <v>5</v>
      </c>
      <c r="Q12" s="150">
        <v>0</v>
      </c>
      <c r="R12" s="150">
        <v>10</v>
      </c>
      <c r="S12" s="150">
        <v>15</v>
      </c>
      <c r="T12" s="150">
        <v>10</v>
      </c>
      <c r="U12" s="150">
        <v>30</v>
      </c>
      <c r="V12" s="135">
        <f t="shared" ref="V12:V16" si="13">SUM(O12:U12)</f>
        <v>70</v>
      </c>
      <c r="W12" s="137">
        <f t="shared" si="1"/>
        <v>1</v>
      </c>
      <c r="X12" s="60">
        <f t="shared" ref="X12:X16" si="14">K12-W12</f>
        <v>1</v>
      </c>
      <c r="Y12" s="60">
        <f t="shared" ref="Y12:Y16" si="15">L12</f>
        <v>4</v>
      </c>
      <c r="Z12" s="207">
        <f t="shared" ref="Z12:Z16" si="16">X12*Y12</f>
        <v>4</v>
      </c>
      <c r="AA12" s="190" t="s">
        <v>125</v>
      </c>
      <c r="AB12" s="208"/>
      <c r="AC12" s="135" t="s">
        <v>139</v>
      </c>
      <c r="AD12" s="63"/>
      <c r="AE12" s="60"/>
      <c r="AF12" s="131">
        <f t="shared" si="7"/>
        <v>0</v>
      </c>
    </row>
    <row r="13" spans="2:32" ht="132" x14ac:dyDescent="0.3">
      <c r="B13" s="158" t="s">
        <v>100</v>
      </c>
      <c r="C13" s="324"/>
      <c r="D13" s="157" t="s">
        <v>103</v>
      </c>
      <c r="E13" s="143" t="s">
        <v>104</v>
      </c>
      <c r="F13" s="144" t="s">
        <v>140</v>
      </c>
      <c r="G13" s="151" t="s">
        <v>30</v>
      </c>
      <c r="H13" s="132" t="s">
        <v>14</v>
      </c>
      <c r="I13" s="152" t="s">
        <v>141</v>
      </c>
      <c r="J13" s="153" t="s">
        <v>142</v>
      </c>
      <c r="K13" s="149">
        <v>3</v>
      </c>
      <c r="L13" s="150">
        <v>3</v>
      </c>
      <c r="M13" s="59">
        <f t="shared" si="4"/>
        <v>9</v>
      </c>
      <c r="N13" s="71" t="s">
        <v>143</v>
      </c>
      <c r="O13" s="156">
        <v>15</v>
      </c>
      <c r="P13" s="20">
        <v>5</v>
      </c>
      <c r="Q13" s="20">
        <v>0</v>
      </c>
      <c r="R13" s="20">
        <v>10</v>
      </c>
      <c r="S13" s="20">
        <v>15</v>
      </c>
      <c r="T13" s="20">
        <v>10</v>
      </c>
      <c r="U13" s="20">
        <v>30</v>
      </c>
      <c r="V13" s="135">
        <f t="shared" si="13"/>
        <v>85</v>
      </c>
      <c r="W13" s="137">
        <f t="shared" si="1"/>
        <v>2</v>
      </c>
      <c r="X13" s="74">
        <f t="shared" si="14"/>
        <v>1</v>
      </c>
      <c r="Y13" s="60">
        <f t="shared" si="15"/>
        <v>3</v>
      </c>
      <c r="Z13" s="139">
        <f t="shared" si="16"/>
        <v>3</v>
      </c>
      <c r="AA13" s="143" t="s">
        <v>144</v>
      </c>
      <c r="AB13" s="75"/>
      <c r="AC13" s="76" t="s">
        <v>145</v>
      </c>
      <c r="AD13" s="63"/>
      <c r="AE13" s="74"/>
      <c r="AF13" s="132">
        <f t="shared" si="7"/>
        <v>0</v>
      </c>
    </row>
    <row r="14" spans="2:32" s="94" customFormat="1" ht="66" x14ac:dyDescent="0.3">
      <c r="B14" s="64" t="s">
        <v>127</v>
      </c>
      <c r="C14" s="325"/>
      <c r="D14" s="186" t="s">
        <v>129</v>
      </c>
      <c r="E14" s="66" t="s">
        <v>146</v>
      </c>
      <c r="F14" s="67" t="s">
        <v>135</v>
      </c>
      <c r="G14" s="151" t="s">
        <v>30</v>
      </c>
      <c r="H14" s="132" t="s">
        <v>14</v>
      </c>
      <c r="I14" s="69" t="s">
        <v>147</v>
      </c>
      <c r="J14" s="70" t="s">
        <v>148</v>
      </c>
      <c r="K14" s="57">
        <v>3</v>
      </c>
      <c r="L14" s="58">
        <v>3</v>
      </c>
      <c r="M14" s="59">
        <f t="shared" si="4"/>
        <v>9</v>
      </c>
      <c r="N14" s="71" t="s">
        <v>138</v>
      </c>
      <c r="O14" s="156">
        <v>0</v>
      </c>
      <c r="P14" s="20">
        <v>5</v>
      </c>
      <c r="Q14" s="20">
        <v>0</v>
      </c>
      <c r="R14" s="20">
        <v>10</v>
      </c>
      <c r="S14" s="20">
        <v>0</v>
      </c>
      <c r="T14" s="20">
        <v>10</v>
      </c>
      <c r="U14" s="20">
        <v>0</v>
      </c>
      <c r="V14" s="135">
        <f t="shared" ref="V14" si="17">SUM(O14:U14)</f>
        <v>25</v>
      </c>
      <c r="W14" s="137" t="str">
        <f t="shared" ref="W14" si="18">IF(V14&lt;51,"0",IF(V14&lt;76,1,2))</f>
        <v>0</v>
      </c>
      <c r="X14" s="74">
        <f t="shared" ref="X14" si="19">K14-W14</f>
        <v>3</v>
      </c>
      <c r="Y14" s="60">
        <f t="shared" ref="Y14" si="20">L14</f>
        <v>3</v>
      </c>
      <c r="Z14" s="139">
        <f t="shared" ref="Z14" si="21">X14*Y14</f>
        <v>9</v>
      </c>
      <c r="AA14" s="69" t="s">
        <v>149</v>
      </c>
      <c r="AB14" s="90"/>
      <c r="AC14" s="76" t="s">
        <v>150</v>
      </c>
      <c r="AD14" s="92"/>
      <c r="AE14" s="93"/>
      <c r="AF14" s="132">
        <f t="shared" si="7"/>
        <v>0</v>
      </c>
    </row>
    <row r="15" spans="2:32" s="94" customFormat="1" x14ac:dyDescent="0.3">
      <c r="B15" s="78"/>
      <c r="C15" s="79"/>
      <c r="D15" s="80"/>
      <c r="E15" s="81"/>
      <c r="F15" s="77"/>
      <c r="G15" s="78"/>
      <c r="H15" s="82"/>
      <c r="I15" s="83"/>
      <c r="J15" s="84"/>
      <c r="K15" s="85"/>
      <c r="L15" s="86"/>
      <c r="M15" s="59"/>
      <c r="N15" s="87"/>
      <c r="O15" s="88"/>
      <c r="P15" s="89"/>
      <c r="Q15" s="89"/>
      <c r="R15" s="89"/>
      <c r="S15" s="89"/>
      <c r="T15" s="89"/>
      <c r="U15" s="89"/>
      <c r="V15" s="135"/>
      <c r="W15" s="137"/>
      <c r="X15" s="74"/>
      <c r="Y15" s="60"/>
      <c r="Z15" s="139"/>
      <c r="AA15" s="81"/>
      <c r="AB15" s="90"/>
      <c r="AC15" s="91"/>
      <c r="AD15" s="92"/>
      <c r="AE15" s="93"/>
      <c r="AF15" s="132"/>
    </row>
    <row r="16" spans="2:32" s="183" customFormat="1" x14ac:dyDescent="0.3">
      <c r="B16" s="159" t="s">
        <v>126</v>
      </c>
      <c r="C16" s="160"/>
      <c r="D16" s="161"/>
      <c r="E16" s="162"/>
      <c r="F16" s="163"/>
      <c r="G16" s="159"/>
      <c r="H16" s="164"/>
      <c r="I16" s="165"/>
      <c r="J16" s="166"/>
      <c r="K16" s="167"/>
      <c r="L16" s="168"/>
      <c r="M16" s="169">
        <f t="shared" si="4"/>
        <v>0</v>
      </c>
      <c r="N16" s="170"/>
      <c r="O16" s="171"/>
      <c r="P16" s="172"/>
      <c r="Q16" s="172"/>
      <c r="R16" s="172"/>
      <c r="S16" s="172"/>
      <c r="T16" s="172"/>
      <c r="U16" s="172"/>
      <c r="V16" s="173">
        <f t="shared" si="13"/>
        <v>0</v>
      </c>
      <c r="W16" s="174" t="str">
        <f t="shared" si="1"/>
        <v>0</v>
      </c>
      <c r="X16" s="175">
        <f t="shared" si="14"/>
        <v>0</v>
      </c>
      <c r="Y16" s="176">
        <f t="shared" si="15"/>
        <v>0</v>
      </c>
      <c r="Z16" s="177">
        <f t="shared" si="16"/>
        <v>0</v>
      </c>
      <c r="AA16" s="178"/>
      <c r="AB16" s="179" t="s">
        <v>131</v>
      </c>
      <c r="AC16" s="180" t="s">
        <v>130</v>
      </c>
      <c r="AD16" s="181"/>
      <c r="AE16" s="175"/>
      <c r="AF16" s="182">
        <f t="shared" si="7"/>
        <v>0</v>
      </c>
    </row>
    <row r="17" spans="2:32" s="183" customFormat="1" x14ac:dyDescent="0.3">
      <c r="B17" s="159" t="s">
        <v>128</v>
      </c>
      <c r="C17" s="160"/>
      <c r="D17" s="161"/>
      <c r="E17" s="162"/>
      <c r="F17" s="163"/>
      <c r="G17" s="159"/>
      <c r="H17" s="164"/>
      <c r="I17" s="165"/>
      <c r="J17" s="166"/>
      <c r="K17" s="167"/>
      <c r="L17" s="168"/>
      <c r="M17" s="169">
        <f t="shared" si="4"/>
        <v>0</v>
      </c>
      <c r="N17" s="170"/>
      <c r="O17" s="171"/>
      <c r="P17" s="172"/>
      <c r="Q17" s="172"/>
      <c r="R17" s="172"/>
      <c r="S17" s="172"/>
      <c r="T17" s="172"/>
      <c r="U17" s="172"/>
      <c r="V17" s="173">
        <f t="shared" ref="V17:V19" si="22">SUM(O17:U17)</f>
        <v>0</v>
      </c>
      <c r="W17" s="174" t="str">
        <f t="shared" ref="W17:W19" si="23">IF(V17&lt;51,"0",IF(V17&lt;76,1,2))</f>
        <v>0</v>
      </c>
      <c r="X17" s="175">
        <f t="shared" ref="X17:X19" si="24">K17-W17</f>
        <v>0</v>
      </c>
      <c r="Y17" s="176">
        <f t="shared" ref="Y17:Y19" si="25">L17</f>
        <v>0</v>
      </c>
      <c r="Z17" s="177">
        <f t="shared" ref="Z17:Z19" si="26">X17*Y17</f>
        <v>0</v>
      </c>
      <c r="AA17" s="165"/>
      <c r="AB17" s="179" t="s">
        <v>131</v>
      </c>
      <c r="AC17" s="185" t="s">
        <v>130</v>
      </c>
      <c r="AD17" s="181"/>
      <c r="AE17" s="175"/>
      <c r="AF17" s="182">
        <f t="shared" si="7"/>
        <v>0</v>
      </c>
    </row>
    <row r="18" spans="2:32" x14ac:dyDescent="0.3">
      <c r="B18" s="64"/>
      <c r="C18" s="54"/>
      <c r="D18" s="65"/>
      <c r="E18" s="66"/>
      <c r="F18" s="67"/>
      <c r="G18" s="64"/>
      <c r="H18" s="68"/>
      <c r="I18" s="69"/>
      <c r="J18" s="70"/>
      <c r="K18" s="57"/>
      <c r="L18" s="58"/>
      <c r="M18" s="59">
        <f t="shared" si="4"/>
        <v>0</v>
      </c>
      <c r="N18" s="71"/>
      <c r="O18" s="72"/>
      <c r="P18" s="73"/>
      <c r="Q18" s="73"/>
      <c r="R18" s="73"/>
      <c r="S18" s="73"/>
      <c r="T18" s="73"/>
      <c r="U18" s="73"/>
      <c r="V18" s="135">
        <f t="shared" si="22"/>
        <v>0</v>
      </c>
      <c r="W18" s="137" t="str">
        <f t="shared" si="23"/>
        <v>0</v>
      </c>
      <c r="X18" s="74">
        <f t="shared" si="24"/>
        <v>0</v>
      </c>
      <c r="Y18" s="60">
        <f t="shared" si="25"/>
        <v>0</v>
      </c>
      <c r="Z18" s="139">
        <f t="shared" si="26"/>
        <v>0</v>
      </c>
      <c r="AA18" s="69"/>
      <c r="AB18" s="75"/>
      <c r="AC18" s="76"/>
      <c r="AD18" s="63"/>
      <c r="AE18" s="74"/>
      <c r="AF18" s="132">
        <f t="shared" si="7"/>
        <v>0</v>
      </c>
    </row>
    <row r="19" spans="2:32" x14ac:dyDescent="0.3">
      <c r="B19" s="64"/>
      <c r="C19" s="54"/>
      <c r="D19" s="65"/>
      <c r="E19" s="66"/>
      <c r="F19" s="67"/>
      <c r="G19" s="64"/>
      <c r="H19" s="68"/>
      <c r="I19" s="69"/>
      <c r="J19" s="70"/>
      <c r="K19" s="57"/>
      <c r="L19" s="58"/>
      <c r="M19" s="59">
        <f t="shared" si="4"/>
        <v>0</v>
      </c>
      <c r="N19" s="71"/>
      <c r="O19" s="72"/>
      <c r="P19" s="73"/>
      <c r="Q19" s="73"/>
      <c r="R19" s="73"/>
      <c r="S19" s="73"/>
      <c r="T19" s="73"/>
      <c r="U19" s="73"/>
      <c r="V19" s="135">
        <f t="shared" si="22"/>
        <v>0</v>
      </c>
      <c r="W19" s="137" t="str">
        <f t="shared" si="23"/>
        <v>0</v>
      </c>
      <c r="X19" s="74">
        <f t="shared" si="24"/>
        <v>0</v>
      </c>
      <c r="Y19" s="60">
        <f t="shared" si="25"/>
        <v>0</v>
      </c>
      <c r="Z19" s="139">
        <f t="shared" si="26"/>
        <v>0</v>
      </c>
      <c r="AA19" s="69"/>
      <c r="AB19" s="75"/>
      <c r="AC19" s="76"/>
      <c r="AD19" s="63"/>
      <c r="AE19" s="74"/>
      <c r="AF19" s="132">
        <f t="shared" si="7"/>
        <v>0</v>
      </c>
    </row>
    <row r="20" spans="2:32" x14ac:dyDescent="0.3">
      <c r="B20" s="64"/>
      <c r="C20" s="54"/>
      <c r="D20" s="65"/>
      <c r="E20" s="66"/>
      <c r="F20" s="67"/>
      <c r="G20" s="64"/>
      <c r="H20" s="68"/>
      <c r="I20" s="69"/>
      <c r="J20" s="70"/>
      <c r="K20" s="57"/>
      <c r="L20" s="58"/>
      <c r="M20" s="59">
        <f t="shared" si="4"/>
        <v>0</v>
      </c>
      <c r="N20" s="71"/>
      <c r="O20" s="72"/>
      <c r="P20" s="73"/>
      <c r="Q20" s="73"/>
      <c r="R20" s="73"/>
      <c r="S20" s="73"/>
      <c r="T20" s="73"/>
      <c r="U20" s="73"/>
      <c r="V20" s="135">
        <f t="shared" si="5"/>
        <v>0</v>
      </c>
      <c r="W20" s="137" t="str">
        <f t="shared" si="1"/>
        <v>0</v>
      </c>
      <c r="X20" s="74">
        <f t="shared" si="2"/>
        <v>0</v>
      </c>
      <c r="Y20" s="60">
        <f t="shared" si="3"/>
        <v>0</v>
      </c>
      <c r="Z20" s="139">
        <f t="shared" si="6"/>
        <v>0</v>
      </c>
      <c r="AA20" s="69"/>
      <c r="AB20" s="75"/>
      <c r="AC20" s="76"/>
      <c r="AD20" s="63"/>
      <c r="AE20" s="74"/>
      <c r="AF20" s="132">
        <f t="shared" si="7"/>
        <v>0</v>
      </c>
    </row>
    <row r="21" spans="2:32" x14ac:dyDescent="0.3">
      <c r="B21" s="64"/>
      <c r="C21" s="54"/>
      <c r="D21" s="65"/>
      <c r="E21" s="66"/>
      <c r="F21" s="67"/>
      <c r="G21" s="64"/>
      <c r="H21" s="68"/>
      <c r="I21" s="69"/>
      <c r="J21" s="70"/>
      <c r="K21" s="57"/>
      <c r="L21" s="58"/>
      <c r="M21" s="59">
        <f t="shared" si="4"/>
        <v>0</v>
      </c>
      <c r="N21" s="71"/>
      <c r="O21" s="72"/>
      <c r="P21" s="73"/>
      <c r="Q21" s="73"/>
      <c r="R21" s="73"/>
      <c r="S21" s="73"/>
      <c r="T21" s="73"/>
      <c r="U21" s="73"/>
      <c r="V21" s="135">
        <f t="shared" si="5"/>
        <v>0</v>
      </c>
      <c r="W21" s="137" t="str">
        <f t="shared" si="1"/>
        <v>0</v>
      </c>
      <c r="X21" s="74">
        <f>K21</f>
        <v>0</v>
      </c>
      <c r="Y21" s="60">
        <f t="shared" si="3"/>
        <v>0</v>
      </c>
      <c r="Z21" s="139">
        <f t="shared" si="6"/>
        <v>0</v>
      </c>
      <c r="AA21" s="69"/>
      <c r="AB21" s="75"/>
      <c r="AC21" s="76"/>
      <c r="AD21" s="63"/>
      <c r="AE21" s="74"/>
      <c r="AF21" s="132">
        <f t="shared" si="7"/>
        <v>0</v>
      </c>
    </row>
    <row r="22" spans="2:32" x14ac:dyDescent="0.3">
      <c r="B22" s="64"/>
      <c r="C22" s="54"/>
      <c r="D22" s="65"/>
      <c r="E22" s="66"/>
      <c r="F22" s="67"/>
      <c r="G22" s="64"/>
      <c r="H22" s="68"/>
      <c r="I22" s="72"/>
      <c r="J22" s="70"/>
      <c r="K22" s="57"/>
      <c r="L22" s="58"/>
      <c r="M22" s="59">
        <f t="shared" si="4"/>
        <v>0</v>
      </c>
      <c r="N22" s="71"/>
      <c r="O22" s="72"/>
      <c r="P22" s="73"/>
      <c r="Q22" s="73"/>
      <c r="R22" s="73"/>
      <c r="S22" s="73"/>
      <c r="T22" s="73"/>
      <c r="U22" s="73"/>
      <c r="V22" s="135">
        <f t="shared" si="5"/>
        <v>0</v>
      </c>
      <c r="W22" s="137" t="str">
        <f t="shared" si="1"/>
        <v>0</v>
      </c>
      <c r="X22" s="74">
        <f t="shared" si="2"/>
        <v>0</v>
      </c>
      <c r="Y22" s="60">
        <f t="shared" si="3"/>
        <v>0</v>
      </c>
      <c r="Z22" s="139">
        <f t="shared" si="6"/>
        <v>0</v>
      </c>
      <c r="AA22" s="69"/>
      <c r="AB22" s="75"/>
      <c r="AC22" s="76"/>
      <c r="AD22" s="63"/>
      <c r="AE22" s="74"/>
      <c r="AF22" s="133">
        <f t="shared" si="7"/>
        <v>0</v>
      </c>
    </row>
    <row r="23" spans="2:32" ht="17.25" thickBot="1" x14ac:dyDescent="0.35">
      <c r="B23" s="95"/>
      <c r="C23" s="96"/>
      <c r="D23" s="97"/>
      <c r="E23" s="98"/>
      <c r="F23" s="99"/>
      <c r="G23" s="95"/>
      <c r="H23" s="100"/>
      <c r="I23" s="101"/>
      <c r="J23" s="102"/>
      <c r="K23" s="103"/>
      <c r="L23" s="104"/>
      <c r="M23" s="105">
        <f t="shared" si="4"/>
        <v>0</v>
      </c>
      <c r="N23" s="106"/>
      <c r="O23" s="107"/>
      <c r="P23" s="108"/>
      <c r="Q23" s="108"/>
      <c r="R23" s="108"/>
      <c r="S23" s="108"/>
      <c r="T23" s="108"/>
      <c r="U23" s="108"/>
      <c r="V23" s="136">
        <f t="shared" si="5"/>
        <v>0</v>
      </c>
      <c r="W23" s="138" t="str">
        <f t="shared" si="1"/>
        <v>0</v>
      </c>
      <c r="X23" s="109">
        <f t="shared" si="2"/>
        <v>0</v>
      </c>
      <c r="Y23" s="110">
        <f t="shared" si="3"/>
        <v>0</v>
      </c>
      <c r="Z23" s="140">
        <f t="shared" si="6"/>
        <v>0</v>
      </c>
      <c r="AA23" s="101"/>
      <c r="AB23" s="111"/>
      <c r="AC23" s="112"/>
      <c r="AD23" s="113"/>
      <c r="AE23" s="109"/>
      <c r="AF23" s="134">
        <f t="shared" si="7"/>
        <v>0</v>
      </c>
    </row>
    <row r="27" spans="2:32" x14ac:dyDescent="0.3">
      <c r="E27" s="114"/>
    </row>
  </sheetData>
  <mergeCells count="13">
    <mergeCell ref="C8:C14"/>
    <mergeCell ref="AD3:AF3"/>
    <mergeCell ref="AD2:AF2"/>
    <mergeCell ref="B2:E3"/>
    <mergeCell ref="F2:AB3"/>
    <mergeCell ref="O6:V6"/>
    <mergeCell ref="AD6:AF6"/>
    <mergeCell ref="C6:F6"/>
    <mergeCell ref="G6:H6"/>
    <mergeCell ref="AA6:AC6"/>
    <mergeCell ref="I6:M6"/>
    <mergeCell ref="N6:N7"/>
    <mergeCell ref="W6:Z6"/>
  </mergeCells>
  <conditionalFormatting sqref="M8:M23">
    <cfRule type="cellIs" dxfId="7" priority="5" operator="between">
      <formula>12</formula>
      <formula>16</formula>
    </cfRule>
    <cfRule type="cellIs" dxfId="6" priority="6" operator="between">
      <formula>4</formula>
      <formula>6</formula>
    </cfRule>
    <cfRule type="cellIs" dxfId="5" priority="7" operator="between">
      <formula>8</formula>
      <formula>9</formula>
    </cfRule>
    <cfRule type="cellIs" dxfId="4" priority="8" operator="between">
      <formula>1</formula>
      <formula>3</formula>
    </cfRule>
  </conditionalFormatting>
  <conditionalFormatting sqref="Z8:Z23 AF8:AF23">
    <cfRule type="cellIs" dxfId="3" priority="1" operator="between">
      <formula>12</formula>
      <formula>16</formula>
    </cfRule>
    <cfRule type="cellIs" dxfId="2" priority="2" operator="between">
      <formula>8</formula>
      <formula>9</formula>
    </cfRule>
    <cfRule type="cellIs" dxfId="1" priority="3" operator="between">
      <formula>4</formula>
      <formula>6</formula>
    </cfRule>
    <cfRule type="cellIs" dxfId="0" priority="4" operator="between">
      <formula>1</formula>
      <formula>3</formula>
    </cfRule>
  </conditionalFormatting>
  <pageMargins left="0.7" right="0.7" top="0.75" bottom="0.75" header="0.3" footer="0.3"/>
  <pageSetup paperSize="9" orientation="portrait" r:id="rId1"/>
  <ignoredErrors>
    <ignoredError sqref="X16:Y20 X22:Y23 Y21 M16:M23 M8:M14 X9:Y14 Y8" unlockedFormula="1"/>
    <ignoredError sqref="X21" formula="1" unlockedFormula="1"/>
    <ignoredError sqref="V1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300-000000000000}">
          <x14:formula1>
            <xm:f>Hoja3!$F$11:$F$12</xm:f>
          </x14:formula1>
          <xm:sqref>Q15:Q23 S15:S23 O15:O23</xm:sqref>
        </x14:dataValidation>
        <x14:dataValidation type="list" allowBlank="1" showInputMessage="1" showErrorMessage="1" xr:uid="{00000000-0002-0000-0300-000001000000}">
          <x14:formula1>
            <xm:f>Hoja3!$C$5:$C$9</xm:f>
          </x14:formula1>
          <xm:sqref>G15:G53</xm:sqref>
        </x14:dataValidation>
        <x14:dataValidation type="list" allowBlank="1" showInputMessage="1" showErrorMessage="1" xr:uid="{00000000-0002-0000-0300-000002000000}">
          <x14:formula1>
            <xm:f>Hoja3!$D$7:$D$9</xm:f>
          </x14:formula1>
          <xm:sqref>H16:H53</xm:sqref>
        </x14:dataValidation>
        <x14:dataValidation type="list" allowBlank="1" showInputMessage="1" showErrorMessage="1" xr:uid="{00000000-0002-0000-0300-000003000000}">
          <x14:formula1>
            <xm:f>Hoja3!$H$5:$H$8</xm:f>
          </x14:formula1>
          <xm:sqref>AD8:AE23 L15:L23 K16:K23</xm:sqref>
        </x14:dataValidation>
        <x14:dataValidation type="list" allowBlank="1" showInputMessage="1" showErrorMessage="1" xr:uid="{00000000-0002-0000-0300-000004000000}">
          <x14:formula1>
            <xm:f>Hoja3!$G$11:$G$12</xm:f>
          </x14:formula1>
          <xm:sqref>P15:P23</xm:sqref>
        </x14:dataValidation>
        <x14:dataValidation type="list" allowBlank="1" showInputMessage="1" showErrorMessage="1" xr:uid="{00000000-0002-0000-0300-000005000000}">
          <x14:formula1>
            <xm:f>Hoja3!$I$11:$I$12</xm:f>
          </x14:formula1>
          <xm:sqref>R15:R23</xm:sqref>
        </x14:dataValidation>
        <x14:dataValidation type="list" allowBlank="1" showInputMessage="1" showErrorMessage="1" xr:uid="{00000000-0002-0000-0300-000006000000}">
          <x14:formula1>
            <xm:f>Hoja3!$K$11:$K$12</xm:f>
          </x14:formula1>
          <xm:sqref>T15:T23</xm:sqref>
        </x14:dataValidation>
        <x14:dataValidation type="list" allowBlank="1" showInputMessage="1" showErrorMessage="1" xr:uid="{00000000-0002-0000-0300-000007000000}">
          <x14:formula1>
            <xm:f>Hoja3!$L$11:$L$12</xm:f>
          </x14:formula1>
          <xm:sqref>U15:U23</xm:sqref>
        </x14:dataValidation>
        <x14:dataValidation type="list" allowBlank="1" showInputMessage="1" showErrorMessage="1" xr:uid="{00000000-0002-0000-0300-000008000000}">
          <x14:formula1>
            <xm:f>'[Matriz de Riesgo y Oportunidad (1) uci.xlsx]Hoja3'!#REF!</xm:f>
          </x14:formula1>
          <xm:sqref>O8:U9 O11:U11 O13:U13</xm:sqref>
        </x14:dataValidation>
        <x14:dataValidation type="list" allowBlank="1" showInputMessage="1" showErrorMessage="1" xr:uid="{00000000-0002-0000-0300-000009000000}">
          <x14:formula1>
            <xm:f>'[Matriz de Riesgo y Oportunidad urgencia.xlsx]Hoja3'!#REF!</xm:f>
          </x14:formula1>
          <xm:sqref>H8 O10:U10 O12:U12 O14:U14 G12:H14</xm:sqref>
        </x14:dataValidation>
        <x14:dataValidation type="list" allowBlank="1" showInputMessage="1" showErrorMessage="1" xr:uid="{00000000-0002-0000-0300-00000A000000}">
          <x14:formula1>
            <xm:f>Hoja4!$C$6:$C$9</xm:f>
          </x14:formula1>
          <xm:sqref>K8</xm:sqref>
        </x14:dataValidation>
        <x14:dataValidation type="list" allowBlank="1" showInputMessage="1" showErrorMessage="1" xr:uid="{00000000-0002-0000-0300-00000B000000}">
          <x14:formula1>
            <xm:f>Hoja4!$D$6:$D$9</xm:f>
          </x14:formula1>
          <xm:sqref>L8:L14 K9:K15</xm:sqref>
        </x14:dataValidation>
        <x14:dataValidation type="list" allowBlank="1" showInputMessage="1" showErrorMessage="1" xr:uid="{00000000-0002-0000-0300-00000C000000}">
          <x14:formula1>
            <xm:f>Hoja4!$C$13:$C$17</xm:f>
          </x14:formula1>
          <xm:sqref>G8:G11</xm:sqref>
        </x14:dataValidation>
        <x14:dataValidation type="list" allowBlank="1" showInputMessage="1" showErrorMessage="1" xr:uid="{00000000-0002-0000-0300-00000D000000}">
          <x14:formula1>
            <xm:f>Hoja4!$D$15:$D$17</xm:f>
          </x14:formula1>
          <xm:sqref>H9:H11 H15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37"/>
  <sheetViews>
    <sheetView showGridLines="0" tabSelected="1" topLeftCell="A24" zoomScale="84" zoomScaleNormal="84" workbookViewId="0">
      <selection activeCell="D34" sqref="D34"/>
    </sheetView>
  </sheetViews>
  <sheetFormatPr baseColWidth="10" defaultRowHeight="15" x14ac:dyDescent="0.25"/>
  <cols>
    <col min="1" max="1" width="10.140625" bestFit="1" customWidth="1"/>
    <col min="2" max="2" width="23.42578125" customWidth="1"/>
    <col min="3" max="3" width="39.85546875" customWidth="1"/>
    <col min="4" max="4" width="72.140625" customWidth="1"/>
    <col min="13" max="13" width="26.140625" bestFit="1" customWidth="1"/>
    <col min="14" max="14" width="18" bestFit="1" customWidth="1"/>
  </cols>
  <sheetData>
    <row r="2" spans="1:4" ht="48.75" customHeight="1" x14ac:dyDescent="0.25">
      <c r="A2" s="240">
        <v>1</v>
      </c>
    </row>
    <row r="3" spans="1:4" ht="32.25" customHeight="1" x14ac:dyDescent="0.25">
      <c r="A3" s="240">
        <v>2</v>
      </c>
    </row>
    <row r="4" spans="1:4" x14ac:dyDescent="0.25">
      <c r="A4" s="240">
        <v>3</v>
      </c>
    </row>
    <row r="5" spans="1:4" x14ac:dyDescent="0.25">
      <c r="A5" s="240">
        <v>4</v>
      </c>
    </row>
    <row r="6" spans="1:4" ht="16.5" x14ac:dyDescent="0.3">
      <c r="D6" s="15"/>
    </row>
    <row r="7" spans="1:4" ht="16.5" x14ac:dyDescent="0.3">
      <c r="D7" s="15"/>
    </row>
    <row r="8" spans="1:4" ht="16.5" x14ac:dyDescent="0.3">
      <c r="D8" s="15"/>
    </row>
    <row r="9" spans="1:4" ht="16.5" x14ac:dyDescent="0.3">
      <c r="D9" s="15"/>
    </row>
    <row r="10" spans="1:4" ht="16.5" x14ac:dyDescent="0.3">
      <c r="D10" s="15"/>
    </row>
    <row r="11" spans="1:4" ht="16.5" x14ac:dyDescent="0.3">
      <c r="D11" s="15"/>
    </row>
    <row r="12" spans="1:4" ht="16.5" x14ac:dyDescent="0.3">
      <c r="D12" s="15"/>
    </row>
    <row r="13" spans="1:4" ht="16.5" x14ac:dyDescent="0.3">
      <c r="D13" s="15"/>
    </row>
    <row r="14" spans="1:4" ht="16.5" x14ac:dyDescent="0.3">
      <c r="D14" s="15"/>
    </row>
    <row r="15" spans="1:4" ht="16.5" x14ac:dyDescent="0.3">
      <c r="D15" s="15"/>
    </row>
    <row r="16" spans="1:4" ht="16.5" x14ac:dyDescent="0.3">
      <c r="D16" s="15"/>
    </row>
    <row r="17" spans="2:14" ht="16.5" x14ac:dyDescent="0.3">
      <c r="D17" s="15"/>
    </row>
    <row r="19" spans="2:14" ht="15.75" thickBot="1" x14ac:dyDescent="0.3"/>
    <row r="20" spans="2:14" ht="17.25" thickBot="1" x14ac:dyDescent="0.35">
      <c r="B20" s="14" t="s">
        <v>26</v>
      </c>
      <c r="C20" s="14" t="s">
        <v>25</v>
      </c>
      <c r="D20" s="36" t="s">
        <v>39</v>
      </c>
      <c r="E20" s="1"/>
      <c r="F20" s="1"/>
      <c r="G20" s="1"/>
      <c r="H20" s="1"/>
      <c r="I20" s="1"/>
      <c r="J20" s="1"/>
      <c r="K20" s="1"/>
    </row>
    <row r="21" spans="2:14" ht="49.5" customHeight="1" thickBot="1" x14ac:dyDescent="0.3">
      <c r="B21" s="4" t="s">
        <v>24</v>
      </c>
      <c r="C21" s="42" t="s">
        <v>75</v>
      </c>
      <c r="D21" s="43" t="s">
        <v>79</v>
      </c>
    </row>
    <row r="22" spans="2:14" ht="78" customHeight="1" x14ac:dyDescent="0.25">
      <c r="B22" s="21" t="s">
        <v>61</v>
      </c>
      <c r="C22" s="19" t="s">
        <v>76</v>
      </c>
      <c r="D22" s="44" t="s">
        <v>80</v>
      </c>
    </row>
    <row r="23" spans="2:14" ht="103.5" customHeight="1" x14ac:dyDescent="0.25">
      <c r="B23" s="5" t="s">
        <v>59</v>
      </c>
      <c r="C23" s="3" t="s">
        <v>77</v>
      </c>
      <c r="D23" s="44" t="s">
        <v>81</v>
      </c>
    </row>
    <row r="24" spans="2:14" ht="84.75" customHeight="1" thickBot="1" x14ac:dyDescent="0.3">
      <c r="B24" s="6" t="s">
        <v>60</v>
      </c>
      <c r="C24" s="7" t="s">
        <v>78</v>
      </c>
      <c r="D24" s="45" t="s">
        <v>82</v>
      </c>
    </row>
    <row r="25" spans="2:14" ht="15.75" thickBot="1" x14ac:dyDescent="0.3"/>
    <row r="26" spans="2:14" ht="17.25" thickBot="1" x14ac:dyDescent="0.3">
      <c r="M26" s="36" t="s">
        <v>83</v>
      </c>
      <c r="N26" s="36" t="s">
        <v>84</v>
      </c>
    </row>
    <row r="27" spans="2:14" x14ac:dyDescent="0.25">
      <c r="M27" s="47" t="s">
        <v>85</v>
      </c>
      <c r="N27" s="48">
        <v>0</v>
      </c>
    </row>
    <row r="28" spans="2:14" x14ac:dyDescent="0.25">
      <c r="M28" s="47" t="s">
        <v>86</v>
      </c>
      <c r="N28" s="48">
        <v>1</v>
      </c>
    </row>
    <row r="29" spans="2:14" ht="15.75" thickBot="1" x14ac:dyDescent="0.3">
      <c r="M29" s="49" t="s">
        <v>87</v>
      </c>
      <c r="N29" s="50">
        <v>2</v>
      </c>
    </row>
    <row r="31" spans="2:14" ht="15.75" thickBot="1" x14ac:dyDescent="0.3"/>
    <row r="32" spans="2:14" ht="17.25" thickBot="1" x14ac:dyDescent="0.3">
      <c r="B32" s="335" t="s">
        <v>155</v>
      </c>
      <c r="C32" s="336"/>
    </row>
    <row r="33" spans="2:3" ht="82.5" x14ac:dyDescent="0.25">
      <c r="B33" s="137" t="s">
        <v>178</v>
      </c>
      <c r="C33" s="279" t="s">
        <v>179</v>
      </c>
    </row>
    <row r="34" spans="2:3" ht="82.5" x14ac:dyDescent="0.25">
      <c r="B34" s="151" t="s">
        <v>180</v>
      </c>
      <c r="C34" s="280" t="s">
        <v>181</v>
      </c>
    </row>
    <row r="35" spans="2:3" ht="214.5" x14ac:dyDescent="0.25">
      <c r="B35" s="151" t="s">
        <v>182</v>
      </c>
      <c r="C35" s="280" t="s">
        <v>183</v>
      </c>
    </row>
    <row r="36" spans="2:3" ht="148.5" x14ac:dyDescent="0.25">
      <c r="B36" s="151" t="s">
        <v>184</v>
      </c>
      <c r="C36" s="280" t="s">
        <v>185</v>
      </c>
    </row>
    <row r="37" spans="2:3" ht="99.75" thickBot="1" x14ac:dyDescent="0.3">
      <c r="B37" s="281" t="s">
        <v>186</v>
      </c>
      <c r="C37" s="282" t="s">
        <v>187</v>
      </c>
    </row>
  </sheetData>
  <mergeCells count="1">
    <mergeCell ref="B32:C32"/>
  </mergeCells>
  <pageMargins left="0.7" right="0.7" top="0.75" bottom="0.75" header="0.3" footer="0.3"/>
  <pageSetup paperSize="9" scale="7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FA28-B7B1-4F33-A9E1-AEEA923FFAC1}">
  <dimension ref="C1:E6"/>
  <sheetViews>
    <sheetView workbookViewId="0">
      <selection activeCell="C5" sqref="C5"/>
    </sheetView>
  </sheetViews>
  <sheetFormatPr baseColWidth="10" defaultRowHeight="15" x14ac:dyDescent="0.25"/>
  <cols>
    <col min="3" max="3" width="28.28515625" customWidth="1"/>
    <col min="4" max="4" width="23.140625" customWidth="1"/>
    <col min="5" max="5" width="29.5703125" customWidth="1"/>
  </cols>
  <sheetData>
    <row r="1" spans="3:5" ht="15.75" thickBot="1" x14ac:dyDescent="0.3"/>
    <row r="2" spans="3:5" ht="33.75" thickBot="1" x14ac:dyDescent="0.3">
      <c r="C2" s="14" t="s">
        <v>26</v>
      </c>
      <c r="D2" s="14" t="s">
        <v>25</v>
      </c>
      <c r="E2" s="36" t="s">
        <v>39</v>
      </c>
    </row>
    <row r="3" spans="3:5" ht="149.25" thickBot="1" x14ac:dyDescent="0.3">
      <c r="C3" s="4" t="s">
        <v>24</v>
      </c>
      <c r="D3" s="42" t="s">
        <v>75</v>
      </c>
      <c r="E3" s="43" t="s">
        <v>79</v>
      </c>
    </row>
    <row r="4" spans="3:5" ht="126" customHeight="1" x14ac:dyDescent="0.25">
      <c r="C4" s="21" t="s">
        <v>61</v>
      </c>
      <c r="D4" s="19" t="s">
        <v>76</v>
      </c>
      <c r="E4" s="44" t="s">
        <v>80</v>
      </c>
    </row>
    <row r="5" spans="3:5" ht="216.75" x14ac:dyDescent="0.25">
      <c r="C5" s="5" t="s">
        <v>59</v>
      </c>
      <c r="D5" s="3" t="s">
        <v>77</v>
      </c>
      <c r="E5" s="44" t="s">
        <v>81</v>
      </c>
    </row>
    <row r="6" spans="3:5" ht="179.25" thickBot="1" x14ac:dyDescent="0.3">
      <c r="C6" s="6" t="s">
        <v>60</v>
      </c>
      <c r="D6" s="7" t="s">
        <v>78</v>
      </c>
      <c r="E6" s="45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6:I17"/>
  <sheetViews>
    <sheetView workbookViewId="0">
      <selection activeCell="G15" sqref="G15"/>
    </sheetView>
  </sheetViews>
  <sheetFormatPr baseColWidth="10" defaultRowHeight="15" x14ac:dyDescent="0.25"/>
  <sheetData>
    <row r="6" spans="3:9" x14ac:dyDescent="0.25">
      <c r="C6" s="285">
        <v>1</v>
      </c>
      <c r="D6" s="285">
        <v>1</v>
      </c>
      <c r="F6" s="283">
        <v>5</v>
      </c>
      <c r="G6" s="283">
        <v>10</v>
      </c>
      <c r="H6" s="283">
        <v>15</v>
      </c>
      <c r="I6" s="283">
        <v>30</v>
      </c>
    </row>
    <row r="7" spans="3:9" x14ac:dyDescent="0.25">
      <c r="C7" s="285">
        <v>2</v>
      </c>
      <c r="D7" s="285">
        <v>2</v>
      </c>
      <c r="F7" s="283">
        <v>0</v>
      </c>
      <c r="G7" s="283">
        <v>0</v>
      </c>
      <c r="H7" s="283">
        <v>0</v>
      </c>
      <c r="I7" s="283">
        <v>0</v>
      </c>
    </row>
    <row r="8" spans="3:9" x14ac:dyDescent="0.25">
      <c r="C8" s="285">
        <v>3</v>
      </c>
      <c r="D8" s="285">
        <v>3</v>
      </c>
    </row>
    <row r="9" spans="3:9" x14ac:dyDescent="0.25">
      <c r="C9" s="285">
        <v>4</v>
      </c>
      <c r="D9" s="285">
        <v>4</v>
      </c>
    </row>
    <row r="13" spans="3:9" ht="16.5" x14ac:dyDescent="0.3">
      <c r="C13" s="1" t="s">
        <v>31</v>
      </c>
    </row>
    <row r="14" spans="3:9" ht="16.5" x14ac:dyDescent="0.3">
      <c r="C14" s="1" t="s">
        <v>10</v>
      </c>
    </row>
    <row r="15" spans="3:9" ht="16.5" x14ac:dyDescent="0.3">
      <c r="C15" s="1" t="s">
        <v>30</v>
      </c>
      <c r="D15" s="1" t="s">
        <v>14</v>
      </c>
    </row>
    <row r="16" spans="3:9" ht="16.5" x14ac:dyDescent="0.3">
      <c r="C16" s="1" t="s">
        <v>11</v>
      </c>
      <c r="D16" s="1" t="s">
        <v>15</v>
      </c>
    </row>
    <row r="17" spans="3:4" ht="16.5" x14ac:dyDescent="0.3">
      <c r="C17" s="1" t="s">
        <v>197</v>
      </c>
      <c r="D17" s="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5:L12"/>
  <sheetViews>
    <sheetView workbookViewId="0">
      <selection activeCell="G16" sqref="G16"/>
    </sheetView>
  </sheetViews>
  <sheetFormatPr baseColWidth="10" defaultRowHeight="15" x14ac:dyDescent="0.25"/>
  <cols>
    <col min="2" max="2" width="11.42578125" customWidth="1"/>
    <col min="3" max="3" width="17.42578125" customWidth="1"/>
    <col min="4" max="4" width="14.140625" customWidth="1"/>
    <col min="5" max="5" width="11.42578125" customWidth="1"/>
    <col min="6" max="6" width="17" customWidth="1"/>
  </cols>
  <sheetData>
    <row r="5" spans="3:12" ht="16.5" x14ac:dyDescent="0.3">
      <c r="C5" s="1" t="s">
        <v>31</v>
      </c>
      <c r="F5">
        <v>0</v>
      </c>
      <c r="H5" s="46">
        <v>1</v>
      </c>
    </row>
    <row r="6" spans="3:12" ht="16.5" x14ac:dyDescent="0.3">
      <c r="C6" s="1" t="s">
        <v>10</v>
      </c>
      <c r="F6">
        <v>1</v>
      </c>
      <c r="H6" s="46">
        <v>2</v>
      </c>
    </row>
    <row r="7" spans="3:12" ht="16.5" x14ac:dyDescent="0.3">
      <c r="C7" s="1" t="s">
        <v>30</v>
      </c>
      <c r="D7" s="1" t="s">
        <v>14</v>
      </c>
      <c r="F7">
        <v>2</v>
      </c>
      <c r="H7" s="46">
        <v>3</v>
      </c>
    </row>
    <row r="8" spans="3:12" ht="16.5" x14ac:dyDescent="0.3">
      <c r="C8" s="1" t="s">
        <v>11</v>
      </c>
      <c r="D8" s="1" t="s">
        <v>15</v>
      </c>
      <c r="H8" s="46">
        <v>4</v>
      </c>
    </row>
    <row r="9" spans="3:12" ht="16.5" x14ac:dyDescent="0.3">
      <c r="C9" s="1" t="s">
        <v>12</v>
      </c>
      <c r="D9" s="1" t="s">
        <v>16</v>
      </c>
    </row>
    <row r="10" spans="3:12" ht="16.5" x14ac:dyDescent="0.3">
      <c r="C10" s="1"/>
    </row>
    <row r="11" spans="3:12" x14ac:dyDescent="0.25"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</row>
    <row r="12" spans="3:12" ht="16.5" x14ac:dyDescent="0.25">
      <c r="F12" s="20">
        <v>15</v>
      </c>
      <c r="G12" s="20">
        <v>5</v>
      </c>
      <c r="H12" s="20">
        <v>0</v>
      </c>
      <c r="I12" s="20">
        <v>10</v>
      </c>
      <c r="J12" s="20">
        <v>15</v>
      </c>
      <c r="K12" s="20">
        <v>10</v>
      </c>
      <c r="L12" s="20">
        <v>30</v>
      </c>
    </row>
  </sheetData>
  <dataValidations disablePrompts="1" count="1">
    <dataValidation type="custom" allowBlank="1" showInputMessage="1" showErrorMessage="1" sqref="F12" xr:uid="{00000000-0002-0000-0600-000000000000}">
      <formula1>15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23"/>
  <sheetViews>
    <sheetView workbookViewId="0">
      <selection activeCell="B3" sqref="B3:F9"/>
    </sheetView>
  </sheetViews>
  <sheetFormatPr baseColWidth="10" defaultRowHeight="15" x14ac:dyDescent="0.25"/>
  <cols>
    <col min="2" max="6" width="15.42578125" customWidth="1"/>
    <col min="7" max="7" width="11.42578125" customWidth="1"/>
    <col min="8" max="8" width="25.28515625" customWidth="1"/>
    <col min="10" max="10" width="10.140625" bestFit="1" customWidth="1"/>
    <col min="11" max="11" width="27.7109375" customWidth="1"/>
    <col min="12" max="12" width="52.5703125" customWidth="1"/>
  </cols>
  <sheetData>
    <row r="2" spans="2:8" ht="15.75" thickBot="1" x14ac:dyDescent="0.3"/>
    <row r="3" spans="2:8" ht="17.25" thickBot="1" x14ac:dyDescent="0.3">
      <c r="B3" s="340" t="s">
        <v>188</v>
      </c>
      <c r="C3" s="341"/>
      <c r="D3" s="341"/>
      <c r="E3" s="341"/>
      <c r="F3" s="342"/>
    </row>
    <row r="4" spans="2:8" ht="16.5" x14ac:dyDescent="0.25">
      <c r="B4" s="343" t="s">
        <v>32</v>
      </c>
      <c r="C4" s="345" t="s">
        <v>39</v>
      </c>
      <c r="D4" s="346"/>
      <c r="E4" s="346"/>
      <c r="F4" s="347"/>
    </row>
    <row r="5" spans="2:8" ht="15.75" thickBot="1" x14ac:dyDescent="0.3">
      <c r="B5" s="344"/>
      <c r="C5" s="32" t="s">
        <v>27</v>
      </c>
      <c r="D5" s="11" t="s">
        <v>28</v>
      </c>
      <c r="E5" s="11" t="s">
        <v>62</v>
      </c>
      <c r="F5" s="10" t="s">
        <v>63</v>
      </c>
    </row>
    <row r="6" spans="2:8" ht="16.5" x14ac:dyDescent="0.3">
      <c r="B6" s="13" t="s">
        <v>63</v>
      </c>
      <c r="C6" s="28">
        <v>4</v>
      </c>
      <c r="D6" s="29">
        <v>8</v>
      </c>
      <c r="E6" s="30">
        <v>12</v>
      </c>
      <c r="F6" s="31">
        <v>16</v>
      </c>
    </row>
    <row r="7" spans="2:8" ht="16.5" x14ac:dyDescent="0.3">
      <c r="B7" s="12" t="s">
        <v>62</v>
      </c>
      <c r="C7" s="25">
        <v>3</v>
      </c>
      <c r="D7" s="22">
        <v>6</v>
      </c>
      <c r="E7" s="8">
        <v>9</v>
      </c>
      <c r="F7" s="9">
        <v>12</v>
      </c>
    </row>
    <row r="8" spans="2:8" ht="16.5" x14ac:dyDescent="0.3">
      <c r="B8" s="13" t="s">
        <v>28</v>
      </c>
      <c r="C8" s="25">
        <v>2</v>
      </c>
      <c r="D8" s="22">
        <v>4</v>
      </c>
      <c r="E8" s="22">
        <v>6</v>
      </c>
      <c r="F8" s="23">
        <v>8</v>
      </c>
    </row>
    <row r="9" spans="2:8" ht="17.25" thickBot="1" x14ac:dyDescent="0.35">
      <c r="B9" s="27" t="s">
        <v>27</v>
      </c>
      <c r="C9" s="26">
        <v>1</v>
      </c>
      <c r="D9" s="24">
        <v>2</v>
      </c>
      <c r="E9" s="24">
        <v>3</v>
      </c>
      <c r="F9" s="284">
        <v>4</v>
      </c>
    </row>
    <row r="12" spans="2:8" ht="15.75" thickBot="1" x14ac:dyDescent="0.3"/>
    <row r="13" spans="2:8" ht="19.5" customHeight="1" thickBot="1" x14ac:dyDescent="0.35">
      <c r="B13" s="348" t="s">
        <v>2</v>
      </c>
      <c r="C13" s="349"/>
      <c r="D13" s="349"/>
      <c r="E13" s="349"/>
      <c r="F13" s="350"/>
      <c r="H13" s="2" t="s">
        <v>1</v>
      </c>
    </row>
    <row r="14" spans="2:8" ht="24" customHeight="1" x14ac:dyDescent="0.25">
      <c r="B14" s="351" t="s">
        <v>4</v>
      </c>
      <c r="C14" s="352"/>
      <c r="D14" s="352"/>
      <c r="E14" s="352"/>
      <c r="F14" s="353"/>
      <c r="H14" s="18" t="s">
        <v>33</v>
      </c>
    </row>
    <row r="15" spans="2:8" ht="26.25" customHeight="1" x14ac:dyDescent="0.25">
      <c r="B15" s="351" t="s">
        <v>3</v>
      </c>
      <c r="C15" s="352"/>
      <c r="D15" s="352"/>
      <c r="E15" s="352"/>
      <c r="F15" s="353"/>
      <c r="H15" s="16" t="s">
        <v>33</v>
      </c>
    </row>
    <row r="16" spans="2:8" ht="27.75" customHeight="1" thickBot="1" x14ac:dyDescent="0.3">
      <c r="B16" s="337" t="s">
        <v>6</v>
      </c>
      <c r="C16" s="338"/>
      <c r="D16" s="338"/>
      <c r="E16" s="338"/>
      <c r="F16" s="339"/>
      <c r="H16" s="17" t="s">
        <v>34</v>
      </c>
    </row>
    <row r="18" spans="10:12" ht="15.75" thickBot="1" x14ac:dyDescent="0.3"/>
    <row r="19" spans="10:12" ht="17.25" thickBot="1" x14ac:dyDescent="0.3">
      <c r="J19" s="14" t="s">
        <v>70</v>
      </c>
      <c r="K19" s="14" t="s">
        <v>68</v>
      </c>
      <c r="L19" s="36" t="s">
        <v>69</v>
      </c>
    </row>
    <row r="20" spans="10:12" ht="38.25" x14ac:dyDescent="0.25">
      <c r="J20" s="37" t="s">
        <v>72</v>
      </c>
      <c r="K20" s="33" t="s">
        <v>71</v>
      </c>
      <c r="L20" s="38" t="s">
        <v>64</v>
      </c>
    </row>
    <row r="21" spans="10:12" ht="51" x14ac:dyDescent="0.25">
      <c r="J21" s="37" t="s">
        <v>88</v>
      </c>
      <c r="K21" s="34" t="s">
        <v>61</v>
      </c>
      <c r="L21" s="38" t="s">
        <v>65</v>
      </c>
    </row>
    <row r="22" spans="10:12" ht="38.25" x14ac:dyDescent="0.25">
      <c r="J22" s="37" t="s">
        <v>73</v>
      </c>
      <c r="K22" s="35" t="s">
        <v>59</v>
      </c>
      <c r="L22" s="38" t="s">
        <v>66</v>
      </c>
    </row>
    <row r="23" spans="10:12" ht="64.5" thickBot="1" x14ac:dyDescent="0.3">
      <c r="J23" s="39" t="s">
        <v>74</v>
      </c>
      <c r="K23" s="40" t="s">
        <v>60</v>
      </c>
      <c r="L23" s="41" t="s">
        <v>67</v>
      </c>
    </row>
  </sheetData>
  <mergeCells count="7">
    <mergeCell ref="B16:F16"/>
    <mergeCell ref="B3:F3"/>
    <mergeCell ref="B4:B5"/>
    <mergeCell ref="C4:F4"/>
    <mergeCell ref="B13:F13"/>
    <mergeCell ref="B14:F14"/>
    <mergeCell ref="B15:F15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B43A60-9981-4C75-A42F-CA8C5AF4C5D3}"/>
</file>

<file path=customXml/itemProps2.xml><?xml version="1.0" encoding="utf-8"?>
<ds:datastoreItem xmlns:ds="http://schemas.openxmlformats.org/officeDocument/2006/customXml" ds:itemID="{07EE44D6-5FD9-4B78-AD12-04CCF19C53DF}"/>
</file>

<file path=customXml/itemProps3.xml><?xml version="1.0" encoding="utf-8"?>
<ds:datastoreItem xmlns:ds="http://schemas.openxmlformats.org/officeDocument/2006/customXml" ds:itemID="{C8DA2CDD-751A-495D-9A83-D5964D9EA4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Gerencia Administrativa</vt:lpstr>
      <vt:lpstr>Matriz de Riesgo..</vt:lpstr>
      <vt:lpstr>Matriz de Riesgo</vt:lpstr>
      <vt:lpstr>Calificación y Semaforización</vt:lpstr>
      <vt:lpstr>Hoja2</vt:lpstr>
      <vt:lpstr>Hoja4</vt:lpstr>
      <vt:lpstr>Hoja3</vt:lpstr>
      <vt:lpstr>Hoja1</vt:lpstr>
      <vt:lpstr>'Calificación y Semaforización'!Área_de_impresión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ARCH04</dc:creator>
  <cp:lastModifiedBy>Heisa Buelvas</cp:lastModifiedBy>
  <cp:lastPrinted>2020-09-09T15:43:19Z</cp:lastPrinted>
  <dcterms:created xsi:type="dcterms:W3CDTF">2018-04-25T22:43:19Z</dcterms:created>
  <dcterms:modified xsi:type="dcterms:W3CDTF">2023-10-03T16:54:26Z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75400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