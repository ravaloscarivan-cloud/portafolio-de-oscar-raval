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10.10.50.91\calidad biosteel\SISTEMA DE GESTION DE CALIDAD\1. CALIDAD\17.MATRIZ DE RIESGO\"/>
    </mc:Choice>
  </mc:AlternateContent>
  <xr:revisionPtr revIDLastSave="0" documentId="13_ncr:1_{7CA09E5E-5622-4D85-8ECB-E2B4798789F2}" xr6:coauthVersionLast="47" xr6:coauthVersionMax="47" xr10:uidLastSave="{00000000-0000-0000-0000-000000000000}"/>
  <bookViews>
    <workbookView xWindow="-108" yWindow="-108" windowWidth="23256" windowHeight="13896" xr2:uid="{00000000-000D-0000-FFFF-FFFF00000000}"/>
  </bookViews>
  <sheets>
    <sheet name="Gerencia Administrativa" sheetId="11" r:id="rId1"/>
    <sheet name="Matriz de Riesgo.." sheetId="10" state="hidden" r:id="rId2"/>
    <sheet name="Matriz de Riesgo" sheetId="4" state="hidden" r:id="rId3"/>
    <sheet name="Calificación y Semaforización" sheetId="2" r:id="rId4"/>
    <sheet name="CALIFICACION CONTROL" sheetId="12" r:id="rId5"/>
    <sheet name="Hoja4" sheetId="9" state="hidden" r:id="rId6"/>
    <sheet name="Hoja3" sheetId="5" state="hidden" r:id="rId7"/>
    <sheet name="Hoja1" sheetId="6" state="hidden" r:id="rId8"/>
  </sheets>
  <externalReferences>
    <externalReference r:id="rId9"/>
    <externalReference r:id="rId10"/>
    <externalReference r:id="rId11"/>
  </externalReferences>
  <definedNames>
    <definedName name="_xlnm.Print_Area" localSheetId="3">'Calificación y Semaforización'!$B$1:$D$37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2" l="1"/>
  <c r="O9" i="11"/>
  <c r="J9" i="11"/>
  <c r="J5" i="12"/>
  <c r="O8" i="11"/>
  <c r="J4" i="12"/>
  <c r="I3" i="12"/>
  <c r="J8" i="11" l="1"/>
  <c r="M8" i="10" l="1"/>
  <c r="AN23" i="10" l="1"/>
  <c r="AA23" i="10"/>
  <c r="X23" i="10"/>
  <c r="Y23" i="10" s="1"/>
  <c r="Z23" i="10" s="1"/>
  <c r="M23" i="10"/>
  <c r="AN22" i="10"/>
  <c r="AA22" i="10"/>
  <c r="X22" i="10"/>
  <c r="Y22" i="10" s="1"/>
  <c r="Z22" i="10" s="1"/>
  <c r="AB22" i="10" s="1"/>
  <c r="M22" i="10"/>
  <c r="AN21" i="10"/>
  <c r="AA21" i="10"/>
  <c r="Z21" i="10"/>
  <c r="X21" i="10"/>
  <c r="Y21" i="10" s="1"/>
  <c r="M21" i="10"/>
  <c r="AN20" i="10"/>
  <c r="AA20" i="10"/>
  <c r="X20" i="10"/>
  <c r="Y20" i="10" s="1"/>
  <c r="Z20" i="10" s="1"/>
  <c r="AB20" i="10" s="1"/>
  <c r="M20" i="10"/>
  <c r="AN19" i="10"/>
  <c r="AA19" i="10"/>
  <c r="Y19" i="10"/>
  <c r="Z19" i="10" s="1"/>
  <c r="AB19" i="10" s="1"/>
  <c r="X19" i="10"/>
  <c r="M19" i="10"/>
  <c r="AN18" i="10"/>
  <c r="AA18" i="10"/>
  <c r="X18" i="10"/>
  <c r="Y18" i="10" s="1"/>
  <c r="Z18" i="10" s="1"/>
  <c r="M18" i="10"/>
  <c r="AN17" i="10"/>
  <c r="AA17" i="10"/>
  <c r="X17" i="10"/>
  <c r="Y17" i="10" s="1"/>
  <c r="Z17" i="10" s="1"/>
  <c r="M17" i="10"/>
  <c r="AN16" i="10"/>
  <c r="AA16" i="10"/>
  <c r="X16" i="10"/>
  <c r="Y16" i="10" s="1"/>
  <c r="Z16" i="10" s="1"/>
  <c r="AB16" i="10" s="1"/>
  <c r="M16" i="10"/>
  <c r="AN15" i="10"/>
  <c r="AA15" i="10"/>
  <c r="X15" i="10"/>
  <c r="Y15" i="10" s="1"/>
  <c r="Z15" i="10" s="1"/>
  <c r="M15" i="10"/>
  <c r="AN14" i="10"/>
  <c r="AA14" i="10"/>
  <c r="X14" i="10"/>
  <c r="Y14" i="10" s="1"/>
  <c r="Z14" i="10" s="1"/>
  <c r="AB14" i="10" s="1"/>
  <c r="M14" i="10"/>
  <c r="AN13" i="10"/>
  <c r="AA13" i="10"/>
  <c r="X13" i="10"/>
  <c r="Y13" i="10" s="1"/>
  <c r="Z13" i="10" s="1"/>
  <c r="AB13" i="10" s="1"/>
  <c r="M13" i="10"/>
  <c r="AN12" i="10"/>
  <c r="AA12" i="10"/>
  <c r="X12" i="10"/>
  <c r="Y12" i="10" s="1"/>
  <c r="Z12" i="10" s="1"/>
  <c r="AB12" i="10" s="1"/>
  <c r="M12" i="10"/>
  <c r="AN11" i="10"/>
  <c r="AA11" i="10"/>
  <c r="X11" i="10"/>
  <c r="Y11" i="10" s="1"/>
  <c r="Z11" i="10" s="1"/>
  <c r="AB11" i="10" s="1"/>
  <c r="M11" i="10"/>
  <c r="AN10" i="10"/>
  <c r="AA10" i="10"/>
  <c r="X10" i="10"/>
  <c r="Y10" i="10" s="1"/>
  <c r="Z10" i="10" s="1"/>
  <c r="AB10" i="10" s="1"/>
  <c r="M10" i="10"/>
  <c r="AN9" i="10"/>
  <c r="AA9" i="10"/>
  <c r="Y9" i="10"/>
  <c r="Z9" i="10" s="1"/>
  <c r="AB9" i="10" s="1"/>
  <c r="X9" i="10"/>
  <c r="M9" i="10"/>
  <c r="AN8" i="10"/>
  <c r="AA8" i="10"/>
  <c r="X8" i="10"/>
  <c r="Y8" i="10" s="1"/>
  <c r="AB17" i="10" l="1"/>
  <c r="AB21" i="10"/>
  <c r="AB23" i="10"/>
  <c r="AB18" i="10"/>
  <c r="AB15" i="10"/>
  <c r="AB8" i="10"/>
  <c r="V9" i="4" l="1"/>
  <c r="V8" i="4"/>
  <c r="M17" i="4" l="1"/>
  <c r="M18" i="4"/>
  <c r="M19" i="4"/>
  <c r="M14" i="4"/>
  <c r="M11" i="4"/>
  <c r="Y21" i="4"/>
  <c r="AF19" i="4"/>
  <c r="AF18" i="4"/>
  <c r="AF17" i="4"/>
  <c r="AF14" i="4"/>
  <c r="AF11" i="4"/>
  <c r="V11" i="4"/>
  <c r="W11" i="4" s="1"/>
  <c r="X11" i="4" s="1"/>
  <c r="Y11" i="4"/>
  <c r="V17" i="4"/>
  <c r="W17" i="4" s="1"/>
  <c r="X17" i="4" s="1"/>
  <c r="Z17" i="4" s="1"/>
  <c r="Y17" i="4"/>
  <c r="V18" i="4"/>
  <c r="W18" i="4" s="1"/>
  <c r="X18" i="4" s="1"/>
  <c r="Z18" i="4" s="1"/>
  <c r="Y18" i="4"/>
  <c r="V19" i="4"/>
  <c r="W19" i="4" s="1"/>
  <c r="X19" i="4" s="1"/>
  <c r="Z19" i="4" s="1"/>
  <c r="Y19" i="4"/>
  <c r="V14" i="4"/>
  <c r="W14" i="4" s="1"/>
  <c r="X14" i="4" s="1"/>
  <c r="Y14" i="4"/>
  <c r="Y10" i="4"/>
  <c r="Z14" i="4" l="1"/>
  <c r="Z11" i="4"/>
  <c r="X21" i="4" l="1"/>
  <c r="M12" i="4" l="1"/>
  <c r="M13" i="4"/>
  <c r="M16" i="4"/>
  <c r="V12" i="4"/>
  <c r="W12" i="4" s="1"/>
  <c r="X12" i="4" s="1"/>
  <c r="Y12" i="4"/>
  <c r="V13" i="4"/>
  <c r="W13" i="4" s="1"/>
  <c r="X13" i="4" s="1"/>
  <c r="Y13" i="4"/>
  <c r="V16" i="4"/>
  <c r="W16" i="4" s="1"/>
  <c r="X16" i="4" s="1"/>
  <c r="Y16" i="4"/>
  <c r="AF12" i="4"/>
  <c r="AF13" i="4"/>
  <c r="AF16" i="4"/>
  <c r="W8" i="4"/>
  <c r="Z12" i="4" l="1"/>
  <c r="Z16" i="4"/>
  <c r="Z13" i="4"/>
  <c r="M23" i="4" l="1"/>
  <c r="M22" i="4"/>
  <c r="M21" i="4"/>
  <c r="M20" i="4"/>
  <c r="M10" i="4"/>
  <c r="M9" i="4"/>
  <c r="M8" i="4"/>
  <c r="Y9" i="4" l="1"/>
  <c r="Y20" i="4"/>
  <c r="Y22" i="4"/>
  <c r="Y23" i="4"/>
  <c r="Y8" i="4"/>
  <c r="Z8" i="4" l="1"/>
  <c r="W9" i="4"/>
  <c r="V10" i="4"/>
  <c r="W10" i="4" s="1"/>
  <c r="X10" i="4" s="1"/>
  <c r="V20" i="4"/>
  <c r="W20" i="4" s="1"/>
  <c r="X20" i="4" s="1"/>
  <c r="Z20" i="4" s="1"/>
  <c r="V21" i="4"/>
  <c r="W21" i="4" s="1"/>
  <c r="Z21" i="4" s="1"/>
  <c r="V22" i="4"/>
  <c r="W22" i="4" s="1"/>
  <c r="X22" i="4" s="1"/>
  <c r="Z22" i="4" s="1"/>
  <c r="V23" i="4"/>
  <c r="W23" i="4" s="1"/>
  <c r="X23" i="4" s="1"/>
  <c r="Z23" i="4" s="1"/>
  <c r="X9" i="4" l="1"/>
  <c r="Z9" i="4" s="1"/>
  <c r="Z10" i="4"/>
  <c r="AF20" i="4"/>
  <c r="AF21" i="4"/>
  <c r="AF10" i="4" l="1"/>
  <c r="AF22" i="4"/>
  <c r="AF23" i="4"/>
  <c r="AF9" i="4"/>
  <c r="AF8" i="4"/>
</calcChain>
</file>

<file path=xl/sharedStrings.xml><?xml version="1.0" encoding="utf-8"?>
<sst xmlns="http://schemas.openxmlformats.org/spreadsheetml/2006/main" count="420" uniqueCount="243">
  <si>
    <t>RESPONSABLE</t>
  </si>
  <si>
    <t>Transferir Riesgo</t>
  </si>
  <si>
    <r>
      <rPr>
        <b/>
        <sz val="10"/>
        <color theme="1"/>
        <rFont val="Arial Narrow"/>
        <family val="2"/>
      </rPr>
      <t>Trasferir el Riesgo</t>
    </r>
    <r>
      <rPr>
        <sz val="10"/>
        <color theme="1"/>
        <rFont val="Arial Narrow"/>
        <family val="2"/>
      </rPr>
      <t>: Cuando se transfiere a terceras persona. Como seguros, subcontratistas entre otros.</t>
    </r>
  </si>
  <si>
    <r>
      <rPr>
        <b/>
        <sz val="10"/>
        <color theme="1"/>
        <rFont val="Arial Narrow"/>
        <family val="2"/>
      </rPr>
      <t>Reducir el Riesgo:</t>
    </r>
    <r>
      <rPr>
        <sz val="10"/>
        <color theme="1"/>
        <rFont val="Arial Narrow"/>
        <family val="2"/>
      </rPr>
      <t xml:space="preserve"> Cuando la direccion decide reducir el riesgo, se ejercen controles a traves de acciones preventivas (Riesgo Medio), planes de continuidad del negocio, de incidentes o recuperacion  del negocio para el caso, en el caso de la gestion para la continuidad del sercicio u otros planes de accion o mejoramiento.</t>
    </r>
  </si>
  <si>
    <r>
      <rPr>
        <b/>
        <sz val="10"/>
        <color theme="1"/>
        <rFont val="Arial Narrow"/>
        <family val="2"/>
      </rPr>
      <t>Aceptar el Riesgo:</t>
    </r>
    <r>
      <rPr>
        <sz val="10"/>
        <color theme="1"/>
        <rFont val="Arial Narrow"/>
        <family val="2"/>
      </rPr>
      <t xml:space="preserve"> Este riesgo se lleva a comité Directivo y este desde alli determina las estrategias a tomar frente al riesgo detectado.</t>
    </r>
  </si>
  <si>
    <t>PROCEDIMIENTO</t>
  </si>
  <si>
    <r>
      <rPr>
        <b/>
        <sz val="10"/>
        <color theme="1"/>
        <rFont val="Arial Narrow"/>
        <family val="2"/>
      </rPr>
      <t xml:space="preserve">Tratar de Eliminar el Riesgo: </t>
    </r>
    <r>
      <rPr>
        <sz val="10"/>
        <color theme="1"/>
        <rFont val="Arial Narrow"/>
        <family val="2"/>
      </rPr>
      <t>Cuando la institucion decide eliminar el riesgo, se ejercen controles a traves de acciones correctivas (Riesgo Alto)</t>
    </r>
  </si>
  <si>
    <t>N° RIESGO</t>
  </si>
  <si>
    <t>TIPO DE RIESGO</t>
  </si>
  <si>
    <t>CATEGORIA</t>
  </si>
  <si>
    <t>Legales</t>
  </si>
  <si>
    <t>Operativo</t>
  </si>
  <si>
    <t>Tecnologico</t>
  </si>
  <si>
    <t>INTERNO / EXTERNO</t>
  </si>
  <si>
    <t>Interno</t>
  </si>
  <si>
    <t>Externo</t>
  </si>
  <si>
    <t>Interno  / Externo</t>
  </si>
  <si>
    <t>EFECTOS DEL FALLO (consecuencias)</t>
  </si>
  <si>
    <t>ANÁLISIS DEL RIESGO</t>
  </si>
  <si>
    <t xml:space="preserve"> RIESGO INICIAL</t>
  </si>
  <si>
    <t>CAUSAS DEL FALLO (Causa raiz por el cual podria ocurrir?)</t>
  </si>
  <si>
    <t>CONTROL PROPUESTO</t>
  </si>
  <si>
    <t>PLAN DE ACCION</t>
  </si>
  <si>
    <t>FECHA DE IMPLEMENTACION</t>
  </si>
  <si>
    <r>
      <rPr>
        <b/>
        <sz val="11"/>
        <color theme="1"/>
        <rFont val="Arial Narrow"/>
        <family val="2"/>
      </rPr>
      <t>1</t>
    </r>
    <r>
      <rPr>
        <sz val="11"/>
        <color theme="1"/>
        <rFont val="Arial Narrow"/>
        <family val="2"/>
      </rPr>
      <t xml:space="preserve">
</t>
    </r>
    <r>
      <rPr>
        <b/>
        <sz val="11"/>
        <color theme="1"/>
        <rFont val="Arial Narrow"/>
        <family val="2"/>
      </rPr>
      <t>(BAJA)</t>
    </r>
  </si>
  <si>
    <t xml:space="preserve">PROBABILIDAD / ESCALA </t>
  </si>
  <si>
    <t>NIVELES DEL RIESGO</t>
  </si>
  <si>
    <t>B(1)</t>
  </si>
  <si>
    <t>M(2)</t>
  </si>
  <si>
    <t xml:space="preserve">PROCESO  </t>
  </si>
  <si>
    <t>Asistenciales</t>
  </si>
  <si>
    <t>Financieros / Admon</t>
  </si>
  <si>
    <t>PROBABILIDAD</t>
  </si>
  <si>
    <t>Aceptable</t>
  </si>
  <si>
    <t>No aceptable</t>
  </si>
  <si>
    <t>P</t>
  </si>
  <si>
    <t>EVALUACION DEL RIESGO</t>
  </si>
  <si>
    <t xml:space="preserve"> RIESGO FINAL</t>
  </si>
  <si>
    <t>G</t>
  </si>
  <si>
    <t>GRAVEDAD</t>
  </si>
  <si>
    <t>CONTROLES EXISTENTES</t>
  </si>
  <si>
    <t>FECHA</t>
  </si>
  <si>
    <t>VERSION</t>
  </si>
  <si>
    <r>
      <rPr>
        <sz val="10"/>
        <color theme="0"/>
        <rFont val="Arial"/>
        <family val="2"/>
      </rPr>
      <t>"</t>
    </r>
    <r>
      <rPr>
        <sz val="10"/>
        <rFont val="Arial"/>
        <family val="2"/>
      </rPr>
      <t>01</t>
    </r>
  </si>
  <si>
    <t>¿Existen manuales, instructivos o procedimientos
para el manejo del control?
15</t>
  </si>
  <si>
    <t>¿Está(n) definido(s) el(los) responsable(s) de la ejecución del control y del seguimiento?
5</t>
  </si>
  <si>
    <t>¿El control es automático?
15</t>
  </si>
  <si>
    <t>¿El control es manual?
10</t>
  </si>
  <si>
    <t>¿Se cuenta con evidencias de la ejecución y
seguimiento del control?
10</t>
  </si>
  <si>
    <t>En el tiempo que lleva la herramienta ha demostrado ser efectiva?
30</t>
  </si>
  <si>
    <t>Total criterios de evaluación
Max (100)</t>
  </si>
  <si>
    <t>ANALISIS Y EVALUACION DE LOS CONTROLES</t>
  </si>
  <si>
    <t>REDUCCION DEL RIESGO CON LOS CONTROLES EXISTENTES</t>
  </si>
  <si>
    <t>EVALUACION DEL RIESGO CON CONTROLES EXIXTENTES</t>
  </si>
  <si>
    <t>EVALUACION DE LA EFICACIA</t>
  </si>
  <si>
    <t>IDENTIFICACION DEL RIESGO Y/O OPORTUNIDAD</t>
  </si>
  <si>
    <r>
      <t xml:space="preserve">RIESGO O MODO DE FALLO  / </t>
    </r>
    <r>
      <rPr>
        <b/>
        <sz val="9"/>
        <color rgb="FFFFFFFF"/>
        <rFont val="Arial Narrow"/>
        <family val="2"/>
      </rPr>
      <t>OPORTUNIDAD GENERADA</t>
    </r>
  </si>
  <si>
    <t>ACTIVIDADES</t>
  </si>
  <si>
    <t xml:space="preserve">¿La frecuencia de ejecución del control y seguimiento es adecuada?                                        15                          </t>
  </si>
  <si>
    <t>3
(MEDIA)</t>
  </si>
  <si>
    <t>4
(ALTA)</t>
  </si>
  <si>
    <t>2
(MODERADA)</t>
  </si>
  <si>
    <t>M(3)</t>
  </si>
  <si>
    <t>A(4)</t>
  </si>
  <si>
    <t>Se debe asumir el riesgo y asumir las consecuencias. Los riesgos de las zonas baja se encuentran en un nivel que puede eliminarse o reducirse fácilmente con los controles establecidos en la entidad.</t>
  </si>
  <si>
    <t>Asumir el riesgo / reducir el riesgo. Deben tomarse las medidas necesarias para llevar los riesgos a la Zona de Riesgo Baja o eliminarlo, actuando bien sea sobre la probabilidad de ocurrencia o sobre la consecuencia, según sea el caso y tenga las posibilidades de acción.</t>
  </si>
  <si>
    <t>Deben tomarse las medidas necesarias para llevar los riesgos a la Zona de Riesgo Moderada, Baja o eliminarlo. Reducir el riesgo, evitar, compartir o transferir.</t>
  </si>
  <si>
    <t>Los riesgos de la Zona de Riesgo Extrema requieren de un tratamiento prioritario. Se deben implementar los controles orientados a reducir la posibilidad de ocurrencia del riesgo o disminuir el impacto de sus efectos y tomar las medidas de protección. Reducir el riesgo, evitar, compartir o transferir</t>
  </si>
  <si>
    <t>CLASIFICACION</t>
  </si>
  <si>
    <t>TRATAMIENTO</t>
  </si>
  <si>
    <t>PUNTAJE</t>
  </si>
  <si>
    <t>1
(BAJA)</t>
  </si>
  <si>
    <t>Entre 1 y 3</t>
  </si>
  <si>
    <t>Entre 8 y 9</t>
  </si>
  <si>
    <t>Entre 12 y 16</t>
  </si>
  <si>
    <r>
      <t xml:space="preserve">Poco problable que ocurra, existen controles efectivos, ningun caso ocurrido hasta la actualidad.
</t>
    </r>
    <r>
      <rPr>
        <b/>
        <u/>
        <sz val="9"/>
        <color theme="1"/>
        <rFont val="Arial Narrow"/>
        <family val="2"/>
      </rPr>
      <t>FRECUENCIA</t>
    </r>
    <r>
      <rPr>
        <sz val="9"/>
        <color theme="1"/>
        <rFont val="Arial Narrow"/>
        <family val="2"/>
      </rPr>
      <t xml:space="preserve">: </t>
    </r>
    <r>
      <rPr>
        <sz val="11"/>
        <color theme="1"/>
        <rFont val="Arial Narrow"/>
        <family val="2"/>
      </rPr>
      <t>No se ha presentado en los ultimos</t>
    </r>
    <r>
      <rPr>
        <sz val="9"/>
        <color theme="1"/>
        <rFont val="Arial Narrow"/>
        <family val="2"/>
      </rPr>
      <t xml:space="preserve"> </t>
    </r>
    <r>
      <rPr>
        <sz val="11"/>
        <color theme="1"/>
        <rFont val="Arial Narrow"/>
        <family val="2"/>
      </rPr>
      <t xml:space="preserve">5 años.
</t>
    </r>
    <r>
      <rPr>
        <sz val="11"/>
        <color theme="1"/>
        <rFont val="Arial Narrow"/>
        <family val="2"/>
      </rPr>
      <t xml:space="preserve">
</t>
    </r>
  </si>
  <si>
    <r>
      <t xml:space="preserve">Podria ocurrir en algun momento                                                                              </t>
    </r>
    <r>
      <rPr>
        <b/>
        <u/>
        <sz val="10"/>
        <color theme="1"/>
        <rFont val="Arial Narrow"/>
        <family val="2"/>
      </rPr>
      <t>FRECUENCIAS</t>
    </r>
    <r>
      <rPr>
        <sz val="11"/>
        <color theme="1"/>
        <rFont val="Arial Narrow"/>
        <family val="2"/>
      </rPr>
      <t xml:space="preserve">: Al menos 1 vez en los ultimos 2 años.                                                                                                                                                        </t>
    </r>
  </si>
  <si>
    <r>
      <t xml:space="preserve">Podria probablemente ocurrir, existen parcialmente controles efectivos
</t>
    </r>
    <r>
      <rPr>
        <b/>
        <u/>
        <sz val="9"/>
        <color theme="1"/>
        <rFont val="Arial Narrow"/>
        <family val="2"/>
      </rPr>
      <t>FRECUENCIA</t>
    </r>
    <r>
      <rPr>
        <sz val="11"/>
        <color theme="1"/>
        <rFont val="Arial Narrow"/>
        <family val="2"/>
      </rPr>
      <t xml:space="preserve">: Al menos 1 vez en el ultimo año.                                                                                                                                                </t>
    </r>
  </si>
  <si>
    <r>
      <t xml:space="preserve">Alta probabilidad que ocurra
</t>
    </r>
    <r>
      <rPr>
        <b/>
        <u/>
        <sz val="9"/>
        <color theme="1"/>
        <rFont val="Arial Narrow"/>
        <family val="2"/>
      </rPr>
      <t>FRECUENCIA</t>
    </r>
    <r>
      <rPr>
        <sz val="11"/>
        <color theme="1"/>
        <rFont val="Arial Narrow"/>
        <family val="2"/>
      </rPr>
      <t xml:space="preserve">: Mas de 2 veces al año.
</t>
    </r>
  </si>
  <si>
    <t>Calificación de los controles</t>
  </si>
  <si>
    <t>Puntaje a disminuir</t>
  </si>
  <si>
    <t>De 0 a 50</t>
  </si>
  <si>
    <t>De 51 a 75</t>
  </si>
  <si>
    <t>De 76 a 100</t>
  </si>
  <si>
    <t>Entre 4 y 6</t>
  </si>
  <si>
    <t>MATRIZ DE RIESGO Y OPORTUNIDAD</t>
  </si>
  <si>
    <t>FECHA ACTUALIZACION:</t>
  </si>
  <si>
    <t>R1</t>
  </si>
  <si>
    <t>R2</t>
  </si>
  <si>
    <t xml:space="preserve">Identificacion de paciente </t>
  </si>
  <si>
    <t>Prevencion del evento adverso</t>
  </si>
  <si>
    <t>Manilla de identificacion , tablero de identificacion de paciente, programa de seguridad del paciente</t>
  </si>
  <si>
    <t xml:space="preserve">Disponibilidad de equipos biomedicos </t>
  </si>
  <si>
    <t>R3</t>
  </si>
  <si>
    <t>R4</t>
  </si>
  <si>
    <t>R5</t>
  </si>
  <si>
    <t>R6</t>
  </si>
  <si>
    <t>Plataforma de historia clínicas  (Esculapio)</t>
  </si>
  <si>
    <t>Plan terapeutico</t>
  </si>
  <si>
    <t xml:space="preserve">Diligenciamiento de historias clinicas </t>
  </si>
  <si>
    <t>Inadecuado diligenciamiento de historias clinicas</t>
  </si>
  <si>
    <t>Agotamiento de medicamentos e insumos para completar tratamiento o  diagnostico</t>
  </si>
  <si>
    <t xml:space="preserve">Fallas en la plataforma de historia clinica </t>
  </si>
  <si>
    <t>Presencia de evento adverso</t>
  </si>
  <si>
    <t>Inadecuada identificacion de pacientes</t>
  </si>
  <si>
    <t xml:space="preserve">Protocolo de reporte de evento adverso </t>
  </si>
  <si>
    <t xml:space="preserve">Evaluacion de provedores </t>
  </si>
  <si>
    <t xml:space="preserve">No adherencia al programa de seguridad del paciente </t>
  </si>
  <si>
    <t>Colapso del servidor, desconexion automatica de la red</t>
  </si>
  <si>
    <t>Falta mantenimiento preventivo, falta de capacitaciones externas de los provedores</t>
  </si>
  <si>
    <t xml:space="preserve">Demora en provedores de insumos </t>
  </si>
  <si>
    <t xml:space="preserve">Error en la administracion tratamiento </t>
  </si>
  <si>
    <t xml:space="preserve">Lesiones y daños al paciente </t>
  </si>
  <si>
    <t xml:space="preserve">Atraso en el digenciaminto de la historia clinica sistematizada </t>
  </si>
  <si>
    <t xml:space="preserve">Deterioro final del equipo, evento adverso, incidente, alto costo mantenimiento </t>
  </si>
  <si>
    <t>Estancias prolongadas , retraso en el inicio de tratamiento , tratamiento inadecuado, glosas y disminucion de la calidad</t>
  </si>
  <si>
    <t xml:space="preserve">Base de datos de provedores </t>
  </si>
  <si>
    <t xml:space="preserve">Actualizaciones  periodicas del esculapio según necesidad </t>
  </si>
  <si>
    <t>Socializacion y seguimiento mensual del programa de seguridad del paciente</t>
  </si>
  <si>
    <t>Creacion de procemiento de que describa que hacer en caso de presentarse fallas en el esculapio</t>
  </si>
  <si>
    <t xml:space="preserve">Programar mantenimiento preventivo periodicamente </t>
  </si>
  <si>
    <t>Seguimiento a formato de evaluacion de provedores</t>
  </si>
  <si>
    <t>O1</t>
  </si>
  <si>
    <t>R7</t>
  </si>
  <si>
    <t>O2</t>
  </si>
  <si>
    <t>Prevencion  de las agresiones de pacientes al personal asistencial</t>
  </si>
  <si>
    <t>Direccion administrativa</t>
  </si>
  <si>
    <t>Junio/Julio</t>
  </si>
  <si>
    <t>Protocolo, correcta identificacion de pacientes</t>
  </si>
  <si>
    <t xml:space="preserve">Documentacion incorrecta, ingreso paciente NN </t>
  </si>
  <si>
    <t xml:space="preserve">Formato de reoprte de evento adverso, programa de seguridad del paciente </t>
  </si>
  <si>
    <t>No existe</t>
  </si>
  <si>
    <t>Daños o fallos en los equipos biomedicos</t>
  </si>
  <si>
    <t xml:space="preserve">Lider de servicio / Biomedico </t>
  </si>
  <si>
    <t>Sensibilizar a usuarios sobre derechos y deberes</t>
  </si>
  <si>
    <t>Departamento de compras /  Lider de servicio</t>
  </si>
  <si>
    <t>Guias de manejo</t>
  </si>
  <si>
    <t>No adherencia a protocolos institucionales</t>
  </si>
  <si>
    <t>Retraso en la facturacion, glosas y evento adverso</t>
  </si>
  <si>
    <t>Socializacion de glosas trimestrales</t>
  </si>
  <si>
    <t>Identificacion de principales causas de glosas , seguimiento de estas mediante auditoria aleatoria, mensuak, y aplicación de listas de chequeo de historias clinicas</t>
  </si>
  <si>
    <t>Lider de servicio / Dto de auditoria</t>
  </si>
  <si>
    <t xml:space="preserve">Agresiones del paciente al personal asistencial </t>
  </si>
  <si>
    <t xml:space="preserve">Continuamente estamos expuestos a pacientes inconformes, en estado de embriaguez o bajo efectos de sustancias alucinogenas </t>
  </si>
  <si>
    <t xml:space="preserve">Lesiones y daños al personal asistencial </t>
  </si>
  <si>
    <t>Afianzar las charlas de derechos y deberes a pacientes y familiares</t>
  </si>
  <si>
    <t>Trabajo social / Lider de Urgencia</t>
  </si>
  <si>
    <t>Hospitalizacion</t>
  </si>
  <si>
    <r>
      <rPr>
        <sz val="10"/>
        <color theme="0"/>
        <rFont val="Arial"/>
        <family val="2"/>
      </rPr>
      <t>"</t>
    </r>
    <r>
      <rPr>
        <sz val="10"/>
        <rFont val="Arial"/>
        <family val="2"/>
      </rPr>
      <t>02</t>
    </r>
  </si>
  <si>
    <t>TIPO DE CONTROL REALIZADO</t>
  </si>
  <si>
    <t>PERIODICIDAD DEL CONTROL REALIZADO</t>
  </si>
  <si>
    <t>TRATAMIENTO DEL RIESGO</t>
  </si>
  <si>
    <t>FRECUENCIA DEL SEGUIMIENTO</t>
  </si>
  <si>
    <t>FECHA DE INICIO</t>
  </si>
  <si>
    <t>FECHA DE TERMINACIÓN</t>
  </si>
  <si>
    <t>REGISTRO / EVIDENCIA</t>
  </si>
  <si>
    <t>Hospitalización</t>
  </si>
  <si>
    <r>
      <t xml:space="preserve">FECHA ACTUALIZACION: </t>
    </r>
    <r>
      <rPr>
        <sz val="11"/>
        <color theme="1"/>
        <rFont val="Arial Narrow"/>
        <family val="2"/>
      </rPr>
      <t>01/02/2020</t>
    </r>
  </si>
  <si>
    <t xml:space="preserve">Manilla de identificacion , tablero de identificacion de paciente, programa de seguridad del paciente, ronda diaria de identificación de pacientes de admisión </t>
  </si>
  <si>
    <t>Mantenimientos preventivos y calibraciones según programación</t>
  </si>
  <si>
    <t>Socialización de glosas trimestrales.
Entrenamiento en diligenciamiento de HC.
Socialización de guias de manejo.</t>
  </si>
  <si>
    <t xml:space="preserve">PREVENTIVO </t>
  </si>
  <si>
    <t>Semestrales</t>
  </si>
  <si>
    <t>Según programación</t>
  </si>
  <si>
    <t>Semanal</t>
  </si>
  <si>
    <t>Trimestral</t>
  </si>
  <si>
    <t>Diario / Cada paciente</t>
  </si>
  <si>
    <t>Diaria / registro diario</t>
  </si>
  <si>
    <t xml:space="preserve">R8 </t>
  </si>
  <si>
    <t>Manejo de normas de bioseguridad</t>
  </si>
  <si>
    <t>Incumplimiento de procedimientos de bioseguridad</t>
  </si>
  <si>
    <t>Manual de bioseguridad</t>
  </si>
  <si>
    <t>No lavado de manos, falta de insumos, no uso de elementos de proteccion, procesos de limpieza y desinfección deficientes.</t>
  </si>
  <si>
    <t>Lesion y daño a pacientes y/o personal sanitario</t>
  </si>
  <si>
    <t>Aceptación del riesgo</t>
  </si>
  <si>
    <t>La empresa asume el riesgo y reduce su impacto a través de estrategias de minimización. Deberá plantearse un plan de contingencia, que intentará paliar los efectos negativos del riesgo, una vez este ya se ha producido.</t>
  </si>
  <si>
    <t>Transferencia</t>
  </si>
  <si>
    <t>Representa el conjunto de procedimientos cuyo objetivo es eliminar el riesgo transfiriéndolo de un lugar a otro. Consiste, por ejemplo, en vender un activo dudoso, asegurar una actividad con importantes riesgos, etc.</t>
  </si>
  <si>
    <t>Reducción</t>
  </si>
  <si>
    <t>Esta estrategia busca, bien reducir la probabilidad de ocurrencia de un riesgo, bien reducir sus consecuencias, o bien lograr ambos objetivos a la vez. La probabilidad de ocurrencia de un riesgo puede reducirse a través de controles de gestión, arreglos organizacionales, y procedimientos encaminados a reducir la frecuencia o la oportunidad de que ocurra un error. Las consecuencias pueden reducirse asegurando o garantizando que todos los controles se encuentren en el lugar apropiado para minimizar cualquier consecuencia adversa.</t>
  </si>
  <si>
    <t>Elusión</t>
  </si>
  <si>
    <t>existen dos opciones para intentar eludir un riesgo: no proceder con el proyecto o la actividad que incorporaría el riesgo, o escoger medios alternativos para la actividad, que logren el mismo resultado y no incorporen el riesgo detectado. El problema de eludir riesgos es que podemos perder oportunidades de negocio, y, además, otros riesgos no identificados inicialmente, pueden volverse más significativos.</t>
  </si>
  <si>
    <t>Diversificación</t>
  </si>
  <si>
    <t>: consiste en intentar extender el riesgo de un área en concreto, a diferentes secciones, con el fin de impedir la pérdida de todo el negocio. Son ejemplos de diversificación orientarse a nuevos mercados y proveedores, diversificar la lista de productos y servicios, etc.</t>
  </si>
  <si>
    <t>DETERMINACIÓN ZONA DE RIESGO</t>
  </si>
  <si>
    <t>IDENTIFICACIÓN DEL RIESGO Y/O OPORTUNIDAD</t>
  </si>
  <si>
    <t>ANALISIS Y EVALUACIÓN DE LOS CONTROLES</t>
  </si>
  <si>
    <t>EVALUACIÓN DEL RIESGO</t>
  </si>
  <si>
    <t>REDUCCIÓN DEL RIESGO CON LOS CONTROLES EXISTENTES</t>
  </si>
  <si>
    <t>EVALUACIÓN DEL RIESGO CON CONTROLES EXIXTENTES</t>
  </si>
  <si>
    <t>PLAN DE ACCIÓN</t>
  </si>
  <si>
    <t>FECHA DE IMPLEMENTACIÓN</t>
  </si>
  <si>
    <t>EVALUACIÓN DE LA EFICACIA</t>
  </si>
  <si>
    <t>Tecnológico</t>
  </si>
  <si>
    <t>Auditoría de lavado manos/ inspecciones de uso EPI/registro de verficación de limpieza y desinfeccion/ salida farmacia consumo para el servicio</t>
  </si>
  <si>
    <t>CODIGO</t>
  </si>
  <si>
    <t>RIESGO</t>
  </si>
  <si>
    <t>CAUSAS (Causa raiz por el cual podria ocurrir?)</t>
  </si>
  <si>
    <t>IMPACTO (consecuencias)</t>
  </si>
  <si>
    <t>IMPACTO</t>
  </si>
  <si>
    <t xml:space="preserve"> RIESGO INICIAL/ ABSOLUTO</t>
  </si>
  <si>
    <t>IDENTIFICACIÓN DEL RIESGO</t>
  </si>
  <si>
    <t>VALORACIÓN DEL RIESGO</t>
  </si>
  <si>
    <t>RIESGO RESIDUAL</t>
  </si>
  <si>
    <t xml:space="preserve">IMPACTO
</t>
  </si>
  <si>
    <t>EVALUACIÓN DEL RIESGO CON CONTROLES</t>
  </si>
  <si>
    <t>MITIGACIÓN</t>
  </si>
  <si>
    <t>PREVENCIÓN</t>
  </si>
  <si>
    <t>RESULTADO DE LA EFICACIA</t>
  </si>
  <si>
    <t>MEDICIÓN DE LA EFICACIA</t>
  </si>
  <si>
    <t>INTERVENCIÓN</t>
  </si>
  <si>
    <t>Cuando se materialice el riesgo</t>
  </si>
  <si>
    <t>CAUSACION DE FACTURAS DE COMPRA</t>
  </si>
  <si>
    <t>PUNTUACIÓN CRITERIOS DE EVALUACIÓN</t>
  </si>
  <si>
    <t>¿EXISTEN MANUALES, INSTRUCTIVOS O PROCEDIMIENTOS
PARA EL MANEJO DEL CONTROL?
SI: 15
NO: 0</t>
  </si>
  <si>
    <t>¿ESTÁ(N) DEFINIDO(S) EL(LOS) RESPONSABLE(S) DE LA EJECUCIÓN DEL CONTROL Y DEL SEGUIMIENTO?
SI: 5
NO:0</t>
  </si>
  <si>
    <t>¿EL CONTROL ES AUTOMÁTICO?
SI: 15 
NO: 0</t>
  </si>
  <si>
    <t>¿EL CONTROL ES MANUAL?
SI: 10
NO: 0</t>
  </si>
  <si>
    <t>¿LA FRECUENCIA DE EJECUCIÓN DEL CONTROL Y SEGUIMIENTO ES ADECUADA?
SI:15
NO: 0</t>
  </si>
  <si>
    <t>¿SE CUENTA CON EVIDENCIAS DE LA EJECUCIÓN Y
SEGUIMIENTO DEL CONTROL?
SI: 10
NO: 0</t>
  </si>
  <si>
    <t>EN EL TIEMPO QUE LLEVA LA HERRAMIENTA HA DEMOSTRADO SER EFECTIVA?
SI: 30
NO: 0</t>
  </si>
  <si>
    <t>DESCUADRE DE CAJA</t>
  </si>
  <si>
    <t>RIESGOS</t>
  </si>
  <si>
    <t>REDUCCIÓN DEL RIESGO</t>
  </si>
  <si>
    <t>PROGRAMACION PAGOS</t>
  </si>
  <si>
    <t>COMPRAS</t>
  </si>
  <si>
    <t>Evaluación, selección, seguimiento y reevaluación del proveedor</t>
  </si>
  <si>
    <t>Ordenes de compra</t>
  </si>
  <si>
    <t>Interno : Errores en las ordenes de compra.</t>
  </si>
  <si>
    <t xml:space="preserve">
1.Quejas por inoportunidad en la suministro de Dispositivos médicos.                                            2.Perdidas economicas.                                        3.Demoras en la entrega del insumo
4.Demoras en los tiempos establecidos de la facturacion. 
</t>
  </si>
  <si>
    <t>4. PREVENIR Y MITIGAR</t>
  </si>
  <si>
    <t>1. No se tienen estandarizados criterios en la elaboracion de ordenes de  compras.(I)
2. Informacion errada en el cargue del gasto quirurgico.(I)
3. Informacion desactualizada de referencias de inventario por no aderencia al procedimiento de inventario. (I)                                                                                                                                                                                                4.Falta de informacion en la solicitud de bien o servicios. (I)
5.Error de digitacion al momento de realizar la orden de compra (I)</t>
  </si>
  <si>
    <t xml:space="preserve">1. Estandarizacion y socializacion de los criterios en la elaboracion de ordenes de compra y procedimientos de compra (P)                                                                                                                                                                                                                                                                                                                             2.Entrenamiento al personal.  (P)                   3. Inspeccion de adherencias al procedimiento.(D)                                                   4.Validacion y aprobacion de los pedidos(P) </t>
  </si>
  <si>
    <t>1. Interrupción de las operaciones de la Entidad por algunas horas
2. Reclamaciones o quejas de los usuarios que implican investifaciónes internas disciplinarias
3. Imagen institucional afectada localmente por retrasos en la prestación del servicio a los usuarios o ciudadanos</t>
  </si>
  <si>
    <t>1. Interrupción de las operaciones de la Entidad por más de un (1) día
2. Reclamaciones o quejas de los usuarios que podrían implicar una denuncia ante los entes reguladores o una demanda de largo alcance para la entidad
3. Inoportunidad en la información ocasionando retrasos en la atención a los usuarios
4.Reproceso de actividades y aumento de carga operativa
5. Imagen institucional afectada en el orden nacional o regional por retrasos en la prestación del servicio a los usuarios o ciudadanos
6.Investigaciones penales, fiscales o disciplinarias</t>
  </si>
  <si>
    <t>1. Interrupción de las operaciones de la Entidad por más de dos (2) días
2. Pérdida de información critica que puede ser recuperada de forma parcial o incompleta
3.Sanción por parte del ente de control y otro ente regulador
4. Incumplimiento en las metas y objetivos institucionales afectando el cumplimiento en las metas de gobierno
5. Imagen institucional afectada en el orden nacional o regional por incumplimiento en la prestación del servicio a los usuarios o ciudadanos</t>
  </si>
  <si>
    <t>Indicador por error de gasto quirurgico</t>
  </si>
  <si>
    <t xml:space="preserve"> 
 Proveedor no calificado</t>
  </si>
  <si>
    <t xml:space="preserve">1. No aderencia al  procedimiento
2. No calificacion de criterios por necesidad o urgencia de la compra.                                                                           </t>
  </si>
  <si>
    <t xml:space="preserve">1. No tener productos / servicios con garantía.
2. Daños reputacionales y sanciones legales.
3. Quejas por parte de clientes por la mala calidad en los Dispositivos Médicos.            4. Perdida economica.
</t>
  </si>
  <si>
    <t>1. PREVENIR(Reducción)</t>
  </si>
  <si>
    <t>1. Validacion de vinculacion.                      2. Consulta de listas restrictivas.                 3.Evaluaciones frecuentes por proveedores.                                                  4. Contar con politicas de SAGRILAFT    5. Verificacion del cumplimiento o aderencia del procedimiento.</t>
  </si>
  <si>
    <t>Indicador de seguimiento evaluacion a proveedores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</si>
</sst>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7" x14ac:knownFonts="1">
    <font>
      <sz val="11"/>
      <color theme="1"/>
      <name val="Calibri"/>
      <family val="2"/>
      <scheme val="minor"/>
    </font>
    <font>
      <sz val="11"/>
      <color theme="1"/>
      <name val="Arial Narrow"/>
      <family val="2"/>
    </font>
    <font>
      <sz val="10"/>
      <color theme="1"/>
      <name val="Arial Narrow"/>
      <family val="2"/>
    </font>
    <font>
      <b/>
      <sz val="10"/>
      <color theme="1"/>
      <name val="Arial Narrow"/>
      <family val="2"/>
    </font>
    <font>
      <b/>
      <sz val="9"/>
      <color rgb="FFFFFFFF"/>
      <name val="Arial Narrow"/>
      <family val="2"/>
    </font>
    <font>
      <sz val="9"/>
      <color rgb="FFFFFFFF"/>
      <name val="Arial Narrow"/>
      <family val="2"/>
    </font>
    <font>
      <b/>
      <sz val="11"/>
      <color theme="1"/>
      <name val="Arial Narrow"/>
      <family val="2"/>
    </font>
    <font>
      <sz val="11"/>
      <color rgb="FFFFFFFF"/>
      <name val="Arial Narrow"/>
      <family val="2"/>
    </font>
    <font>
      <b/>
      <sz val="11"/>
      <color rgb="FFFFFFFF"/>
      <name val="Arial Narrow"/>
      <family val="2"/>
    </font>
    <font>
      <b/>
      <sz val="22"/>
      <color theme="1"/>
      <name val="Arial Narrow"/>
      <family val="2"/>
    </font>
    <font>
      <b/>
      <sz val="12"/>
      <color theme="1"/>
      <name val="Arial"/>
      <family val="2"/>
    </font>
    <font>
      <sz val="10"/>
      <name val="Arial"/>
      <family val="2"/>
    </font>
    <font>
      <sz val="10"/>
      <color theme="1"/>
      <name val="Arial"/>
      <family val="2"/>
    </font>
    <font>
      <sz val="10"/>
      <color theme="0"/>
      <name val="Arial"/>
      <family val="2"/>
    </font>
    <font>
      <sz val="9"/>
      <color theme="1"/>
      <name val="Arial Narrow"/>
      <family val="2"/>
    </font>
    <font>
      <b/>
      <u/>
      <sz val="9"/>
      <color theme="1"/>
      <name val="Arial Narrow"/>
      <family val="2"/>
    </font>
    <font>
      <b/>
      <u/>
      <sz val="10"/>
      <color theme="1"/>
      <name val="Arial Narrow"/>
      <family val="2"/>
    </font>
    <font>
      <sz val="10"/>
      <name val="Arial Narrow"/>
      <family val="2"/>
    </font>
    <font>
      <sz val="12"/>
      <color theme="1"/>
      <name val="Arial Narrow"/>
      <family val="2"/>
    </font>
    <font>
      <sz val="11"/>
      <color rgb="FFFF0000"/>
      <name val="Arial Narrow"/>
      <family val="2"/>
    </font>
    <font>
      <sz val="12"/>
      <color theme="1"/>
      <name val="Arial"/>
      <family val="2"/>
    </font>
    <font>
      <sz val="11"/>
      <color theme="0"/>
      <name val="Calibri"/>
      <family val="2"/>
      <scheme val="minor"/>
    </font>
    <font>
      <sz val="7"/>
      <color rgb="FFFFFFFF"/>
      <name val="Arial Narrow"/>
      <family val="2"/>
    </font>
    <font>
      <sz val="6"/>
      <color rgb="FFFFFFFF"/>
      <name val="Arial Narrow"/>
      <family val="2"/>
    </font>
    <font>
      <b/>
      <sz val="11"/>
      <color theme="1"/>
      <name val="Calibri"/>
      <family val="2"/>
      <scheme val="minor"/>
    </font>
    <font>
      <b/>
      <sz val="10"/>
      <color theme="1"/>
      <name val="Arial"/>
      <family val="2"/>
    </font>
    <font>
      <sz val="12"/>
      <name val="Arial"/>
      <family val="2"/>
    </font>
  </fonts>
  <fills count="15">
    <fill>
      <patternFill patternType="none"/>
    </fill>
    <fill>
      <patternFill patternType="gray125"/>
    </fill>
    <fill>
      <patternFill patternType="solid">
        <fgColor theme="9" tint="-0.499984740745262"/>
        <bgColor indexed="64"/>
      </patternFill>
    </fill>
    <fill>
      <patternFill patternType="solid">
        <fgColor rgb="FFC00000"/>
        <bgColor indexed="64"/>
      </patternFill>
    </fill>
    <fill>
      <patternFill patternType="solid">
        <fgColor rgb="FFFFFF00"/>
        <bgColor indexed="64"/>
      </patternFill>
    </fill>
    <fill>
      <patternFill patternType="solid">
        <fgColor rgb="FF1F4E79"/>
        <bgColor rgb="FF003366"/>
      </patternFill>
    </fill>
    <fill>
      <patternFill patternType="solid">
        <fgColor rgb="FF0070C0"/>
        <bgColor indexed="64"/>
      </patternFill>
    </fill>
    <fill>
      <patternFill patternType="solid">
        <fgColor theme="9" tint="0.39997558519241921"/>
        <bgColor indexed="64"/>
      </patternFill>
    </fill>
    <fill>
      <patternFill patternType="solid">
        <fgColor theme="0"/>
        <bgColor indexed="64"/>
      </patternFill>
    </fill>
    <fill>
      <patternFill patternType="solid">
        <fgColor theme="9"/>
        <bgColor indexed="64"/>
      </patternFill>
    </fill>
    <fill>
      <patternFill patternType="solid">
        <fgColor rgb="FF92D050"/>
        <bgColor indexed="64"/>
      </patternFill>
    </fill>
    <fill>
      <patternFill patternType="solid">
        <fgColor theme="4" tint="0.39997558519241921"/>
        <bgColor rgb="FF003366"/>
      </patternFill>
    </fill>
    <fill>
      <patternFill patternType="solid">
        <fgColor theme="3" tint="0.59999389629810485"/>
        <bgColor rgb="FF003366"/>
      </patternFill>
    </fill>
    <fill>
      <patternFill patternType="solid">
        <fgColor theme="3" tint="0.79998168889431442"/>
        <bgColor rgb="FF003366"/>
      </patternFill>
    </fill>
    <fill>
      <patternFill patternType="solid">
        <fgColor rgb="FFFFFFFF"/>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auto="1"/>
      </left>
      <right style="thin">
        <color indexed="64"/>
      </right>
      <top style="thin">
        <color auto="1"/>
      </top>
      <bottom/>
      <diagonal/>
    </border>
    <border>
      <left style="thin">
        <color auto="1"/>
      </left>
      <right style="thin">
        <color indexed="64"/>
      </right>
      <top/>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369">
    <xf numFmtId="0" fontId="0" fillId="0" borderId="0" xfId="0"/>
    <xf numFmtId="0" fontId="1" fillId="0" borderId="0" xfId="0" applyFont="1"/>
    <xf numFmtId="0" fontId="1" fillId="6" borderId="6" xfId="0" applyFont="1" applyFill="1" applyBorder="1" applyAlignment="1">
      <alignment horizontal="left"/>
    </xf>
    <xf numFmtId="0" fontId="1" fillId="0" borderId="1" xfId="0" applyFont="1" applyBorder="1" applyAlignment="1">
      <alignment vertical="center" wrapText="1"/>
    </xf>
    <xf numFmtId="0" fontId="1" fillId="2" borderId="24"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1" fillId="0" borderId="14" xfId="0" applyFont="1" applyBorder="1" applyAlignment="1">
      <alignment horizontal="left" vertical="center" wrapText="1"/>
    </xf>
    <xf numFmtId="0" fontId="1" fillId="4" borderId="1" xfId="0" applyFont="1" applyFill="1" applyBorder="1" applyAlignment="1">
      <alignment horizontal="center"/>
    </xf>
    <xf numFmtId="0" fontId="1" fillId="3" borderId="12" xfId="0" applyFont="1" applyFill="1" applyBorder="1" applyAlignment="1">
      <alignment horizontal="center"/>
    </xf>
    <xf numFmtId="0" fontId="3" fillId="0" borderId="15" xfId="0" applyFont="1" applyBorder="1" applyAlignment="1">
      <alignment horizontal="center"/>
    </xf>
    <xf numFmtId="0" fontId="3" fillId="0" borderId="14" xfId="0" applyFont="1" applyBorder="1" applyAlignment="1">
      <alignment horizontal="center"/>
    </xf>
    <xf numFmtId="0" fontId="3" fillId="0" borderId="40" xfId="0" applyFont="1" applyBorder="1" applyAlignment="1">
      <alignment horizontal="center"/>
    </xf>
    <xf numFmtId="0" fontId="3" fillId="0" borderId="7" xfId="0" applyFont="1" applyBorder="1" applyAlignment="1">
      <alignment horizontal="center"/>
    </xf>
    <xf numFmtId="0" fontId="8" fillId="5" borderId="4" xfId="0" applyFont="1" applyFill="1" applyBorder="1" applyAlignment="1">
      <alignment horizontal="center" vertical="center" wrapText="1"/>
    </xf>
    <xf numFmtId="0" fontId="6" fillId="0" borderId="0" xfId="0" applyFont="1" applyAlignment="1">
      <alignment wrapText="1"/>
    </xf>
    <xf numFmtId="0" fontId="1" fillId="4"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2" borderId="37" xfId="0" applyFont="1" applyFill="1" applyBorder="1" applyAlignment="1">
      <alignment horizontal="center" vertical="center"/>
    </xf>
    <xf numFmtId="0" fontId="1" fillId="0" borderId="50" xfId="0" applyFont="1" applyBorder="1" applyAlignment="1">
      <alignment horizontal="left" vertical="center" wrapText="1"/>
    </xf>
    <xf numFmtId="0" fontId="1" fillId="0" borderId="1" xfId="0" applyFont="1" applyBorder="1" applyAlignment="1">
      <alignment horizontal="center" vertical="center" wrapText="1"/>
    </xf>
    <xf numFmtId="0" fontId="6" fillId="7" borderId="24" xfId="0" applyFont="1" applyFill="1" applyBorder="1" applyAlignment="1">
      <alignment horizontal="center" vertical="center" wrapText="1"/>
    </xf>
    <xf numFmtId="0" fontId="1" fillId="7" borderId="1" xfId="0" applyFont="1" applyFill="1" applyBorder="1" applyAlignment="1">
      <alignment horizontal="center"/>
    </xf>
    <xf numFmtId="0" fontId="1" fillId="4" borderId="12" xfId="0" applyFont="1" applyFill="1" applyBorder="1" applyAlignment="1">
      <alignment horizontal="center"/>
    </xf>
    <xf numFmtId="0" fontId="1" fillId="2" borderId="14" xfId="0" applyFont="1" applyFill="1" applyBorder="1" applyAlignment="1">
      <alignment horizontal="center"/>
    </xf>
    <xf numFmtId="0" fontId="1" fillId="2" borderId="2" xfId="0" applyFont="1" applyFill="1" applyBorder="1" applyAlignment="1">
      <alignment horizontal="center"/>
    </xf>
    <xf numFmtId="0" fontId="1" fillId="2" borderId="39" xfId="0" applyFont="1" applyFill="1" applyBorder="1" applyAlignment="1">
      <alignment horizontal="center"/>
    </xf>
    <xf numFmtId="0" fontId="3" fillId="0" borderId="38" xfId="0" applyFont="1" applyBorder="1" applyAlignment="1">
      <alignment horizontal="center"/>
    </xf>
    <xf numFmtId="0" fontId="1" fillId="7" borderId="55" xfId="0" applyFont="1" applyFill="1" applyBorder="1" applyAlignment="1">
      <alignment horizontal="center"/>
    </xf>
    <xf numFmtId="0" fontId="1" fillId="4" borderId="50" xfId="0" applyFont="1" applyFill="1" applyBorder="1" applyAlignment="1">
      <alignment horizontal="center"/>
    </xf>
    <xf numFmtId="0" fontId="1" fillId="3" borderId="50" xfId="0" applyFont="1" applyFill="1" applyBorder="1" applyAlignment="1">
      <alignment horizontal="center"/>
    </xf>
    <xf numFmtId="0" fontId="1" fillId="3" borderId="10" xfId="0" applyFont="1" applyFill="1" applyBorder="1" applyAlignment="1">
      <alignment horizontal="center"/>
    </xf>
    <xf numFmtId="0" fontId="3" fillId="0" borderId="13" xfId="0" applyFont="1" applyBorder="1" applyAlignment="1">
      <alignment horizontal="center"/>
    </xf>
    <xf numFmtId="0" fontId="1" fillId="2"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2" fillId="0" borderId="11" xfId="0" applyFont="1" applyBorder="1" applyAlignment="1">
      <alignment horizontal="center" vertical="center"/>
    </xf>
    <xf numFmtId="0" fontId="17" fillId="0" borderId="12" xfId="0" applyFont="1" applyBorder="1" applyAlignment="1">
      <alignment vertical="center" wrapText="1"/>
    </xf>
    <xf numFmtId="0" fontId="2" fillId="0" borderId="13" xfId="0" applyFont="1" applyBorder="1" applyAlignment="1">
      <alignment horizontal="center" vertical="center"/>
    </xf>
    <xf numFmtId="0" fontId="1" fillId="3" borderId="14" xfId="0" applyFont="1" applyFill="1" applyBorder="1" applyAlignment="1">
      <alignment horizontal="center" vertical="center" wrapText="1"/>
    </xf>
    <xf numFmtId="0" fontId="17" fillId="0" borderId="15" xfId="0" applyFont="1" applyBorder="1" applyAlignment="1">
      <alignment vertical="center" wrapText="1"/>
    </xf>
    <xf numFmtId="0" fontId="1" fillId="0" borderId="25" xfId="0" applyFont="1" applyBorder="1" applyAlignment="1">
      <alignment horizontal="left" vertical="top" wrapText="1"/>
    </xf>
    <xf numFmtId="0" fontId="2" fillId="0" borderId="43" xfId="0" applyFont="1" applyBorder="1" applyAlignment="1">
      <alignment horizontal="left" vertical="top" wrapText="1"/>
    </xf>
    <xf numFmtId="0" fontId="2" fillId="0" borderId="12" xfId="0" applyFont="1" applyBorder="1" applyAlignment="1">
      <alignment horizontal="left" vertical="top" wrapText="1"/>
    </xf>
    <xf numFmtId="0" fontId="2" fillId="0" borderId="15" xfId="0" applyFont="1" applyBorder="1" applyAlignment="1">
      <alignment horizontal="left" vertical="top" wrapText="1"/>
    </xf>
    <xf numFmtId="0" fontId="0" fillId="0" borderId="1" xfId="0" applyBorder="1" applyAlignment="1">
      <alignment horizontal="center"/>
    </xf>
    <xf numFmtId="0" fontId="11" fillId="8" borderId="11" xfId="0" applyFont="1" applyFill="1" applyBorder="1" applyAlignment="1">
      <alignment horizontal="center" vertical="center"/>
    </xf>
    <xf numFmtId="0" fontId="11" fillId="8" borderId="12" xfId="0" applyFont="1" applyFill="1" applyBorder="1" applyAlignment="1">
      <alignment horizontal="center" vertical="center"/>
    </xf>
    <xf numFmtId="0" fontId="11" fillId="8" borderId="13" xfId="0" applyFont="1" applyFill="1" applyBorder="1" applyAlignment="1">
      <alignment horizontal="center" vertical="center"/>
    </xf>
    <xf numFmtId="0" fontId="11" fillId="8" borderId="15" xfId="0" applyFont="1" applyFill="1" applyBorder="1" applyAlignment="1">
      <alignment horizontal="center" vertical="center"/>
    </xf>
    <xf numFmtId="0" fontId="1" fillId="0" borderId="0" xfId="0" applyFont="1" applyProtection="1">
      <protection locked="0"/>
    </xf>
    <xf numFmtId="14" fontId="18" fillId="0" borderId="0" xfId="0" applyNumberFormat="1" applyFont="1" applyAlignment="1" applyProtection="1">
      <alignment horizontal="left"/>
      <protection locked="0"/>
    </xf>
    <xf numFmtId="0" fontId="1" fillId="0" borderId="24"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1" fillId="0" borderId="41" xfId="0" applyFont="1" applyBorder="1" applyAlignment="1" applyProtection="1">
      <alignment horizontal="left" vertical="center" wrapText="1"/>
      <protection locked="0"/>
    </xf>
    <xf numFmtId="0" fontId="1" fillId="0" borderId="24" xfId="0" applyFont="1" applyBorder="1" applyAlignment="1" applyProtection="1">
      <alignment horizontal="left" vertical="center" wrapText="1"/>
      <protection locked="0"/>
    </xf>
    <xf numFmtId="0" fontId="1" fillId="0" borderId="51" xfId="0" applyFont="1" applyBorder="1" applyAlignment="1" applyProtection="1">
      <alignment horizontal="center" vertical="center" wrapText="1"/>
      <protection locked="0"/>
    </xf>
    <xf numFmtId="0" fontId="1" fillId="0" borderId="50" xfId="0" applyFont="1" applyBorder="1" applyAlignment="1" applyProtection="1">
      <alignment horizontal="center" vertical="center" wrapText="1"/>
      <protection locked="0"/>
    </xf>
    <xf numFmtId="0" fontId="1" fillId="0" borderId="20" xfId="0" applyFont="1" applyBorder="1" applyAlignment="1" applyProtection="1">
      <alignment horizontal="center" vertical="center" wrapText="1"/>
      <protection locked="0"/>
    </xf>
    <xf numFmtId="0" fontId="1" fillId="0" borderId="50" xfId="0" applyFont="1" applyBorder="1" applyAlignment="1" applyProtection="1">
      <alignment horizontal="center" vertical="center"/>
      <protection locked="0"/>
    </xf>
    <xf numFmtId="164" fontId="1" fillId="0" borderId="41" xfId="0" applyNumberFormat="1" applyFont="1" applyBorder="1" applyAlignment="1" applyProtection="1">
      <alignment horizontal="center" vertical="center"/>
      <protection locked="0"/>
    </xf>
    <xf numFmtId="0" fontId="1" fillId="0" borderId="43" xfId="0" applyFont="1" applyBorder="1" applyAlignment="1" applyProtection="1">
      <alignment horizontal="center" vertical="center" wrapText="1"/>
      <protection locked="0"/>
    </xf>
    <xf numFmtId="0" fontId="1" fillId="0" borderId="55" xfId="0" applyFont="1" applyBorder="1" applyAlignment="1" applyProtection="1">
      <alignment horizontal="center" vertical="center"/>
      <protection locked="0"/>
    </xf>
    <xf numFmtId="0" fontId="1" fillId="0" borderId="11" xfId="0" applyFont="1" applyBorder="1" applyAlignment="1" applyProtection="1">
      <alignment horizontal="center" vertical="center"/>
      <protection locked="0"/>
    </xf>
    <xf numFmtId="0" fontId="1" fillId="0" borderId="1" xfId="0" applyFont="1" applyBorder="1" applyAlignment="1" applyProtection="1">
      <alignment horizontal="left" vertical="center"/>
      <protection locked="0"/>
    </xf>
    <xf numFmtId="0" fontId="1" fillId="0" borderId="2" xfId="0" applyFont="1" applyBorder="1" applyAlignment="1" applyProtection="1">
      <alignment horizontal="left" vertical="center" wrapText="1"/>
      <protection locked="0"/>
    </xf>
    <xf numFmtId="0" fontId="1" fillId="0" borderId="12" xfId="0" applyFont="1" applyBorder="1" applyAlignment="1" applyProtection="1">
      <alignment horizontal="left" vertical="center" wrapText="1"/>
      <protection locked="0"/>
    </xf>
    <xf numFmtId="0" fontId="1" fillId="0" borderId="12" xfId="0" applyFont="1" applyBorder="1" applyAlignment="1" applyProtection="1">
      <alignment horizontal="center" vertical="center"/>
      <protection locked="0"/>
    </xf>
    <xf numFmtId="0" fontId="1" fillId="0" borderId="11" xfId="0" applyFont="1" applyBorder="1" applyAlignment="1" applyProtection="1">
      <alignment horizontal="left" vertical="center" wrapText="1"/>
      <protection locked="0"/>
    </xf>
    <xf numFmtId="0" fontId="1" fillId="0" borderId="33" xfId="0" applyFont="1" applyBorder="1" applyAlignment="1" applyProtection="1">
      <alignment horizontal="left" vertical="center" wrapText="1"/>
      <protection locked="0"/>
    </xf>
    <xf numFmtId="0" fontId="1" fillId="0" borderId="9" xfId="0" applyFont="1" applyBorder="1" applyAlignment="1" applyProtection="1">
      <alignment horizontal="left" vertical="center" wrapText="1"/>
      <protection locked="0"/>
    </xf>
    <xf numFmtId="0" fontId="1" fillId="0" borderId="1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164" fontId="1" fillId="0" borderId="1" xfId="0" applyNumberFormat="1" applyFont="1" applyBorder="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9" fillId="0" borderId="12" xfId="0" applyFont="1" applyBorder="1" applyAlignment="1" applyProtection="1">
      <alignment horizontal="left" vertical="center" wrapText="1"/>
      <protection locked="0"/>
    </xf>
    <xf numFmtId="0" fontId="19" fillId="0" borderId="11" xfId="0" applyFont="1" applyBorder="1" applyAlignment="1" applyProtection="1">
      <alignment horizontal="center" vertical="center"/>
      <protection locked="0"/>
    </xf>
    <xf numFmtId="0" fontId="19" fillId="0" borderId="33" xfId="0" applyFont="1" applyBorder="1" applyAlignment="1" applyProtection="1">
      <alignment horizontal="center" vertical="center"/>
      <protection locked="0"/>
    </xf>
    <xf numFmtId="0" fontId="19" fillId="0" borderId="1" xfId="0" applyFont="1" applyBorder="1" applyAlignment="1" applyProtection="1">
      <alignment horizontal="left" vertical="center"/>
      <protection locked="0"/>
    </xf>
    <xf numFmtId="0" fontId="19" fillId="0" borderId="2" xfId="0" applyFont="1" applyBorder="1" applyAlignment="1" applyProtection="1">
      <alignment horizontal="left" vertical="center" wrapText="1"/>
      <protection locked="0"/>
    </xf>
    <xf numFmtId="0" fontId="19" fillId="0" borderId="12" xfId="0" applyFont="1" applyBorder="1" applyAlignment="1" applyProtection="1">
      <alignment horizontal="center" vertical="center"/>
      <protection locked="0"/>
    </xf>
    <xf numFmtId="0" fontId="19" fillId="0" borderId="11" xfId="0" applyFont="1" applyBorder="1" applyAlignment="1" applyProtection="1">
      <alignment horizontal="left" vertical="center" wrapText="1"/>
      <protection locked="0"/>
    </xf>
    <xf numFmtId="0" fontId="19" fillId="0" borderId="33" xfId="0" applyFont="1" applyBorder="1" applyAlignment="1" applyProtection="1">
      <alignment horizontal="left" vertical="center" wrapText="1"/>
      <protection locked="0"/>
    </xf>
    <xf numFmtId="0" fontId="19" fillId="0" borderId="51" xfId="0" applyFont="1" applyBorder="1" applyAlignment="1" applyProtection="1">
      <alignment horizontal="center" vertical="center" wrapText="1"/>
      <protection locked="0"/>
    </xf>
    <xf numFmtId="0" fontId="19" fillId="0" borderId="50" xfId="0" applyFont="1" applyBorder="1" applyAlignment="1" applyProtection="1">
      <alignment horizontal="center" vertical="center" wrapText="1"/>
      <protection locked="0"/>
    </xf>
    <xf numFmtId="0" fontId="19" fillId="0" borderId="9" xfId="0" applyFont="1" applyBorder="1" applyAlignment="1" applyProtection="1">
      <alignment horizontal="left" vertical="center" wrapText="1"/>
      <protection locked="0"/>
    </xf>
    <xf numFmtId="0" fontId="19" fillId="0" borderId="11"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164" fontId="19" fillId="0" borderId="1" xfId="0" applyNumberFormat="1" applyFont="1" applyBorder="1" applyAlignment="1" applyProtection="1">
      <alignment horizontal="center" vertical="center"/>
      <protection locked="0"/>
    </xf>
    <xf numFmtId="0" fontId="19" fillId="0" borderId="12" xfId="0" applyFont="1" applyBorder="1" applyAlignment="1" applyProtection="1">
      <alignment horizontal="center" vertical="center" wrapText="1"/>
      <protection locked="0"/>
    </xf>
    <xf numFmtId="0" fontId="19" fillId="0" borderId="55"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9" fillId="0" borderId="0" xfId="0" applyFont="1" applyProtection="1">
      <protection locked="0"/>
    </xf>
    <xf numFmtId="0" fontId="1" fillId="0" borderId="13" xfId="0" applyFont="1" applyBorder="1" applyAlignment="1" applyProtection="1">
      <alignment horizontal="center" vertical="center"/>
      <protection locked="0"/>
    </xf>
    <xf numFmtId="0" fontId="1" fillId="0" borderId="45" xfId="0" applyFont="1" applyBorder="1" applyAlignment="1" applyProtection="1">
      <alignment horizontal="center" vertical="center"/>
      <protection locked="0"/>
    </xf>
    <xf numFmtId="0" fontId="1" fillId="0" borderId="14" xfId="0" applyFont="1" applyBorder="1" applyAlignment="1" applyProtection="1">
      <alignment horizontal="left" vertical="center"/>
      <protection locked="0"/>
    </xf>
    <xf numFmtId="0" fontId="1" fillId="0" borderId="39" xfId="0" applyFont="1" applyBorder="1" applyAlignment="1" applyProtection="1">
      <alignment horizontal="left" vertical="center" wrapText="1"/>
      <protection locked="0"/>
    </xf>
    <xf numFmtId="0" fontId="1" fillId="0" borderId="15" xfId="0" applyFont="1" applyBorder="1" applyAlignment="1" applyProtection="1">
      <alignment horizontal="left" vertical="center" wrapText="1"/>
      <protection locked="0"/>
    </xf>
    <xf numFmtId="0" fontId="1" fillId="0" borderId="15"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1" fillId="0" borderId="45" xfId="0" applyFont="1" applyBorder="1" applyAlignment="1" applyProtection="1">
      <alignment horizontal="left" vertical="center" wrapText="1"/>
      <protection locked="0"/>
    </xf>
    <xf numFmtId="0" fontId="1" fillId="0" borderId="30" xfId="0" applyFont="1" applyBorder="1" applyAlignment="1" applyProtection="1">
      <alignment horizontal="center" vertical="center" wrapText="1"/>
      <protection locked="0"/>
    </xf>
    <xf numFmtId="0" fontId="1" fillId="0" borderId="56" xfId="0" applyFont="1" applyBorder="1" applyAlignment="1" applyProtection="1">
      <alignment horizontal="center" vertical="center" wrapText="1"/>
      <protection locked="0"/>
    </xf>
    <xf numFmtId="0" fontId="1" fillId="0" borderId="23" xfId="0" applyFont="1" applyBorder="1" applyAlignment="1" applyProtection="1">
      <alignment horizontal="center" vertical="center" wrapText="1"/>
      <protection locked="0"/>
    </xf>
    <xf numFmtId="0" fontId="1" fillId="0" borderId="22" xfId="0" applyFont="1" applyBorder="1" applyAlignment="1" applyProtection="1">
      <alignment horizontal="left" vertical="center" wrapText="1"/>
      <protection locked="0"/>
    </xf>
    <xf numFmtId="0" fontId="1" fillId="0" borderId="13"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protection locked="0"/>
    </xf>
    <xf numFmtId="0" fontId="1" fillId="0" borderId="56" xfId="0" applyFont="1" applyBorder="1" applyAlignment="1" applyProtection="1">
      <alignment horizontal="center" vertical="center"/>
      <protection locked="0"/>
    </xf>
    <xf numFmtId="164" fontId="1" fillId="0" borderId="14" xfId="0" applyNumberFormat="1" applyFont="1" applyBorder="1" applyAlignment="1" applyProtection="1">
      <alignment horizontal="center" vertical="center"/>
      <protection locked="0"/>
    </xf>
    <xf numFmtId="0" fontId="1" fillId="0" borderId="15" xfId="0" applyFont="1" applyBorder="1" applyAlignment="1" applyProtection="1">
      <alignment horizontal="center" vertical="center" wrapText="1"/>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0" fillId="0" borderId="3" xfId="0" applyFont="1" applyBorder="1" applyAlignment="1">
      <alignment horizontal="center" vertical="center"/>
    </xf>
    <xf numFmtId="0" fontId="6" fillId="0" borderId="0" xfId="0" applyFont="1"/>
    <xf numFmtId="0" fontId="5" fillId="5" borderId="3" xfId="0" applyFont="1" applyFill="1" applyBorder="1" applyAlignment="1">
      <alignment horizontal="center" vertical="center" wrapText="1"/>
    </xf>
    <xf numFmtId="0" fontId="5" fillId="5" borderId="27" xfId="0" applyFont="1" applyFill="1" applyBorder="1" applyAlignment="1">
      <alignment horizontal="center" vertical="center" wrapText="1"/>
    </xf>
    <xf numFmtId="0" fontId="5" fillId="5" borderId="43" xfId="0" applyFont="1" applyFill="1" applyBorder="1" applyAlignment="1">
      <alignment horizontal="center" vertical="center" wrapText="1"/>
    </xf>
    <xf numFmtId="0" fontId="5" fillId="5" borderId="46" xfId="0" applyFont="1" applyFill="1" applyBorder="1" applyAlignment="1">
      <alignment horizontal="center" vertical="center" wrapText="1"/>
    </xf>
    <xf numFmtId="0" fontId="5" fillId="5" borderId="42" xfId="0" applyFont="1" applyFill="1" applyBorder="1" applyAlignment="1">
      <alignment horizontal="center" vertical="center" wrapText="1"/>
    </xf>
    <xf numFmtId="0" fontId="5" fillId="5" borderId="48"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36" xfId="0" applyFont="1" applyFill="1" applyBorder="1" applyAlignment="1">
      <alignment horizontal="center" vertical="center" wrapText="1"/>
    </xf>
    <xf numFmtId="0" fontId="5" fillId="5" borderId="47"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54" xfId="0" applyFont="1" applyFill="1" applyBorder="1" applyAlignment="1">
      <alignment horizontal="center" vertical="center" wrapText="1"/>
    </xf>
    <xf numFmtId="0" fontId="5" fillId="5" borderId="35" xfId="0" applyFont="1" applyFill="1" applyBorder="1" applyAlignment="1">
      <alignment horizontal="center" vertical="center" wrapText="1"/>
    </xf>
    <xf numFmtId="0" fontId="5" fillId="5" borderId="41" xfId="0" applyFont="1" applyFill="1" applyBorder="1" applyAlignment="1">
      <alignment horizontal="center" vertical="center" wrapText="1"/>
    </xf>
    <xf numFmtId="0" fontId="5" fillId="5" borderId="57"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12" xfId="0" applyFont="1" applyBorder="1" applyAlignment="1">
      <alignment horizontal="center" vertical="center"/>
    </xf>
    <xf numFmtId="0" fontId="1" fillId="0" borderId="12" xfId="0" applyFont="1" applyBorder="1" applyAlignment="1">
      <alignment horizontal="center"/>
    </xf>
    <xf numFmtId="0" fontId="1" fillId="0" borderId="15" xfId="0" applyFont="1" applyBorder="1" applyAlignment="1">
      <alignment horizontal="center" vertical="center"/>
    </xf>
    <xf numFmtId="0" fontId="1" fillId="0" borderId="10"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49" xfId="0" applyFont="1" applyBorder="1" applyAlignment="1">
      <alignment horizontal="center" vertical="center"/>
    </xf>
    <xf numFmtId="0" fontId="1" fillId="0" borderId="59" xfId="0" applyFont="1" applyBorder="1" applyAlignment="1">
      <alignment horizontal="center" vertical="center"/>
    </xf>
    <xf numFmtId="0" fontId="1" fillId="0" borderId="20" xfId="0" applyFont="1" applyBorder="1" applyAlignment="1">
      <alignment horizontal="center" vertical="center"/>
    </xf>
    <xf numFmtId="0" fontId="1" fillId="0" borderId="23" xfId="0" applyFont="1" applyBorder="1" applyAlignment="1">
      <alignment horizontal="center" vertical="center"/>
    </xf>
    <xf numFmtId="0" fontId="1" fillId="0" borderId="46" xfId="0" applyFont="1" applyBorder="1" applyAlignment="1">
      <alignment horizontal="left" vertical="center" wrapText="1"/>
    </xf>
    <xf numFmtId="0" fontId="18" fillId="0" borderId="43" xfId="0" applyFont="1" applyBorder="1" applyAlignment="1">
      <alignment horizontal="left" vertical="center" wrapText="1"/>
    </xf>
    <xf numFmtId="0" fontId="1" fillId="0" borderId="2" xfId="0" applyFont="1" applyBorder="1" applyAlignment="1">
      <alignment horizontal="left" vertical="center" wrapText="1"/>
    </xf>
    <xf numFmtId="0" fontId="1" fillId="0" borderId="12" xfId="0" applyFont="1" applyBorder="1" applyAlignment="1">
      <alignment horizontal="left" vertical="center" wrapText="1"/>
    </xf>
    <xf numFmtId="0" fontId="1" fillId="0" borderId="24" xfId="0" applyFont="1" applyBorder="1" applyAlignment="1">
      <alignment horizontal="center" vertical="center"/>
    </xf>
    <xf numFmtId="0" fontId="1" fillId="0" borderId="26" xfId="0" applyFont="1" applyBorder="1" applyAlignment="1">
      <alignment horizontal="center" vertical="center"/>
    </xf>
    <xf numFmtId="0" fontId="1" fillId="0" borderId="24" xfId="0" applyFont="1" applyBorder="1" applyAlignment="1">
      <alignment horizontal="left" vertical="center" wrapText="1"/>
    </xf>
    <xf numFmtId="0" fontId="1" fillId="0" borderId="44" xfId="0" applyFont="1" applyBorder="1" applyAlignment="1">
      <alignment horizontal="left" vertical="center" wrapText="1"/>
    </xf>
    <xf numFmtId="0" fontId="1" fillId="0" borderId="51"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11" xfId="0" applyFont="1" applyBorder="1" applyAlignment="1">
      <alignment horizontal="center" vertical="center"/>
    </xf>
    <xf numFmtId="0" fontId="1" fillId="0" borderId="11" xfId="0" applyFont="1" applyBorder="1" applyAlignment="1">
      <alignment horizontal="left" vertical="center" wrapText="1"/>
    </xf>
    <xf numFmtId="0" fontId="1" fillId="0" borderId="33" xfId="0" applyFont="1" applyBorder="1" applyAlignment="1">
      <alignment horizontal="left" vertical="center" wrapText="1"/>
    </xf>
    <xf numFmtId="0" fontId="1" fillId="0" borderId="53" xfId="0" applyFont="1" applyBorder="1" applyAlignment="1">
      <alignment horizontal="left" vertical="center" wrapText="1"/>
    </xf>
    <xf numFmtId="0" fontId="1" fillId="0" borderId="4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 xfId="0" applyFont="1" applyBorder="1" applyAlignment="1">
      <alignment horizontal="left" vertical="center"/>
    </xf>
    <xf numFmtId="0" fontId="1" fillId="0" borderId="65" xfId="0" applyFont="1" applyBorder="1" applyAlignment="1" applyProtection="1">
      <alignment horizontal="center" vertical="center"/>
      <protection locked="0"/>
    </xf>
    <xf numFmtId="0" fontId="1" fillId="9" borderId="11" xfId="0" applyFont="1" applyFill="1" applyBorder="1" applyAlignment="1" applyProtection="1">
      <alignment horizontal="center" vertical="center"/>
      <protection locked="0"/>
    </xf>
    <xf numFmtId="0" fontId="1" fillId="9" borderId="33" xfId="0" applyFont="1" applyFill="1" applyBorder="1" applyAlignment="1" applyProtection="1">
      <alignment horizontal="center" vertical="center"/>
      <protection locked="0"/>
    </xf>
    <xf numFmtId="0" fontId="1" fillId="9" borderId="1" xfId="0" applyFont="1" applyFill="1" applyBorder="1" applyAlignment="1" applyProtection="1">
      <alignment horizontal="left" vertical="center"/>
      <protection locked="0"/>
    </xf>
    <xf numFmtId="0" fontId="1" fillId="9" borderId="2" xfId="0" applyFont="1" applyFill="1" applyBorder="1" applyAlignment="1" applyProtection="1">
      <alignment horizontal="left" vertical="center" wrapText="1"/>
      <protection locked="0"/>
    </xf>
    <xf numFmtId="0" fontId="1" fillId="9" borderId="12" xfId="0" applyFont="1" applyFill="1" applyBorder="1" applyAlignment="1" applyProtection="1">
      <alignment horizontal="left" vertical="center" wrapText="1"/>
      <protection locked="0"/>
    </xf>
    <xf numFmtId="0" fontId="1" fillId="9" borderId="12" xfId="0" applyFont="1" applyFill="1" applyBorder="1" applyAlignment="1" applyProtection="1">
      <alignment horizontal="center" vertical="center"/>
      <protection locked="0"/>
    </xf>
    <xf numFmtId="0" fontId="1" fillId="9" borderId="11" xfId="0" applyFont="1" applyFill="1" applyBorder="1" applyAlignment="1" applyProtection="1">
      <alignment horizontal="left" vertical="center" wrapText="1"/>
      <protection locked="0"/>
    </xf>
    <xf numFmtId="0" fontId="1" fillId="9" borderId="33" xfId="0" applyFont="1" applyFill="1" applyBorder="1" applyAlignment="1" applyProtection="1">
      <alignment horizontal="left" vertical="center" wrapText="1"/>
      <protection locked="0"/>
    </xf>
    <xf numFmtId="0" fontId="1" fillId="9" borderId="51" xfId="0" applyFont="1" applyFill="1" applyBorder="1" applyAlignment="1" applyProtection="1">
      <alignment horizontal="center" vertical="center" wrapText="1"/>
      <protection locked="0"/>
    </xf>
    <xf numFmtId="0" fontId="1" fillId="9" borderId="50" xfId="0" applyFont="1" applyFill="1" applyBorder="1" applyAlignment="1" applyProtection="1">
      <alignment horizontal="center" vertical="center" wrapText="1"/>
      <protection locked="0"/>
    </xf>
    <xf numFmtId="0" fontId="1" fillId="9" borderId="20" xfId="0" applyFont="1" applyFill="1" applyBorder="1" applyAlignment="1" applyProtection="1">
      <alignment horizontal="center" vertical="center" wrapText="1"/>
      <protection locked="0"/>
    </xf>
    <xf numFmtId="0" fontId="1" fillId="9" borderId="9" xfId="0" applyFont="1" applyFill="1" applyBorder="1" applyAlignment="1" applyProtection="1">
      <alignment horizontal="left" vertical="center" wrapText="1"/>
      <protection locked="0"/>
    </xf>
    <xf numFmtId="0" fontId="1" fillId="9" borderId="11" xfId="0" applyFont="1" applyFill="1" applyBorder="1" applyAlignment="1" applyProtection="1">
      <alignment horizontal="center" vertical="center" wrapText="1"/>
      <protection locked="0"/>
    </xf>
    <xf numFmtId="0" fontId="1" fillId="9" borderId="1" xfId="0" applyFont="1" applyFill="1" applyBorder="1" applyAlignment="1" applyProtection="1">
      <alignment horizontal="center" vertical="center" wrapText="1"/>
      <protection locked="0"/>
    </xf>
    <xf numFmtId="0" fontId="1" fillId="9" borderId="10" xfId="0" applyFont="1" applyFill="1" applyBorder="1" applyAlignment="1">
      <alignment horizontal="center" vertical="center" wrapText="1"/>
    </xf>
    <xf numFmtId="0" fontId="1" fillId="9" borderId="49" xfId="0" applyFont="1" applyFill="1" applyBorder="1" applyAlignment="1">
      <alignment horizontal="center" vertical="center"/>
    </xf>
    <xf numFmtId="0" fontId="1" fillId="9" borderId="1" xfId="0" applyFont="1" applyFill="1" applyBorder="1" applyAlignment="1" applyProtection="1">
      <alignment horizontal="center" vertical="center"/>
      <protection locked="0"/>
    </xf>
    <xf numFmtId="0" fontId="1" fillId="9" borderId="50" xfId="0" applyFont="1" applyFill="1" applyBorder="1" applyAlignment="1" applyProtection="1">
      <alignment horizontal="center" vertical="center"/>
      <protection locked="0"/>
    </xf>
    <xf numFmtId="0" fontId="1" fillId="9" borderId="20" xfId="0" applyFont="1" applyFill="1" applyBorder="1" applyAlignment="1">
      <alignment horizontal="center" vertical="center"/>
    </xf>
    <xf numFmtId="0" fontId="1" fillId="9" borderId="2" xfId="0" applyFont="1" applyFill="1" applyBorder="1" applyAlignment="1">
      <alignment horizontal="left" vertical="center" wrapText="1"/>
    </xf>
    <xf numFmtId="164" fontId="1" fillId="9" borderId="1" xfId="0" applyNumberFormat="1" applyFont="1" applyFill="1" applyBorder="1" applyAlignment="1">
      <alignment horizontal="center" vertical="center"/>
    </xf>
    <xf numFmtId="0" fontId="1" fillId="9" borderId="12" xfId="0" applyFont="1" applyFill="1" applyBorder="1" applyAlignment="1">
      <alignment horizontal="center" vertical="center" wrapText="1"/>
    </xf>
    <xf numFmtId="0" fontId="1" fillId="9" borderId="55" xfId="0" applyFont="1" applyFill="1" applyBorder="1" applyAlignment="1" applyProtection="1">
      <alignment horizontal="center" vertical="center"/>
      <protection locked="0"/>
    </xf>
    <xf numFmtId="0" fontId="1" fillId="9" borderId="12" xfId="0" applyFont="1" applyFill="1" applyBorder="1" applyAlignment="1">
      <alignment horizontal="center" vertical="center"/>
    </xf>
    <xf numFmtId="0" fontId="1" fillId="9" borderId="0" xfId="0" applyFont="1" applyFill="1" applyProtection="1">
      <protection locked="0"/>
    </xf>
    <xf numFmtId="0" fontId="5" fillId="5" borderId="6" xfId="0" applyFont="1" applyFill="1" applyBorder="1" applyAlignment="1">
      <alignment horizontal="center" vertical="center" wrapText="1"/>
    </xf>
    <xf numFmtId="0" fontId="1" fillId="9" borderId="12" xfId="0" applyFont="1" applyFill="1" applyBorder="1" applyAlignment="1" applyProtection="1">
      <alignment horizontal="center" vertical="center" wrapText="1"/>
      <protection locked="0"/>
    </xf>
    <xf numFmtId="0" fontId="1" fillId="0" borderId="1" xfId="0" applyFont="1" applyBorder="1" applyAlignment="1" applyProtection="1">
      <alignment horizontal="left" vertical="center" wrapText="1"/>
      <protection locked="0"/>
    </xf>
    <xf numFmtId="0" fontId="1" fillId="0" borderId="1" xfId="0" applyFont="1" applyBorder="1" applyAlignment="1">
      <alignment horizontal="left" vertical="center" wrapText="1"/>
    </xf>
    <xf numFmtId="0" fontId="1" fillId="0" borderId="49" xfId="0" applyFont="1" applyBorder="1" applyAlignment="1" applyProtection="1">
      <alignment horizontal="center" vertical="center"/>
      <protection locked="0"/>
    </xf>
    <xf numFmtId="0" fontId="1" fillId="0" borderId="50" xfId="0" applyFont="1" applyBorder="1" applyAlignment="1">
      <alignment horizontal="left" vertical="center"/>
    </xf>
    <xf numFmtId="0" fontId="1" fillId="0" borderId="55" xfId="0" applyFont="1" applyBorder="1" applyAlignment="1">
      <alignment horizontal="left" vertical="center" wrapText="1"/>
    </xf>
    <xf numFmtId="0" fontId="1" fillId="8" borderId="10" xfId="0" applyFont="1" applyFill="1" applyBorder="1" applyAlignment="1">
      <alignment horizontal="left" vertical="center" wrapText="1"/>
    </xf>
    <xf numFmtId="0" fontId="1" fillId="8" borderId="49" xfId="0" applyFont="1" applyFill="1" applyBorder="1" applyAlignment="1">
      <alignment horizontal="center" vertical="center" wrapText="1"/>
    </xf>
    <xf numFmtId="0" fontId="1" fillId="0" borderId="49" xfId="0" applyFont="1" applyBorder="1" applyAlignment="1">
      <alignment horizontal="left" vertical="center" wrapText="1"/>
    </xf>
    <xf numFmtId="0" fontId="1" fillId="0" borderId="64" xfId="0" applyFont="1" applyBorder="1" applyAlignment="1">
      <alignment horizontal="left" vertical="center" wrapText="1"/>
    </xf>
    <xf numFmtId="0" fontId="1" fillId="0" borderId="68" xfId="0" applyFont="1" applyBorder="1" applyAlignment="1" applyProtection="1">
      <alignment horizontal="center" vertical="center" wrapText="1"/>
      <protection locked="0"/>
    </xf>
    <xf numFmtId="0" fontId="1" fillId="0" borderId="27" xfId="0" applyFont="1" applyBorder="1"/>
    <xf numFmtId="0" fontId="1" fillId="0" borderId="68" xfId="0" applyFont="1" applyBorder="1" applyAlignment="1">
      <alignment horizontal="left" vertical="center" wrapText="1"/>
    </xf>
    <xf numFmtId="0" fontId="1" fillId="0" borderId="20" xfId="0" applyFont="1" applyBorder="1" applyAlignment="1">
      <alignment horizontal="left" vertical="center" wrapText="1"/>
    </xf>
    <xf numFmtId="0" fontId="1" fillId="0" borderId="39" xfId="0" applyFont="1" applyBorder="1" applyAlignment="1">
      <alignment horizontal="left" vertical="center" wrapText="1"/>
    </xf>
    <xf numFmtId="0" fontId="1" fillId="0" borderId="15" xfId="0" applyFont="1" applyBorder="1" applyAlignment="1">
      <alignment horizontal="left" vertical="center" wrapText="1"/>
    </xf>
    <xf numFmtId="0" fontId="1" fillId="0" borderId="13" xfId="0" applyFont="1" applyBorder="1" applyAlignment="1">
      <alignment horizontal="center" vertical="center"/>
    </xf>
    <xf numFmtId="0" fontId="1" fillId="0" borderId="13" xfId="0" applyFont="1" applyBorder="1" applyAlignment="1">
      <alignment horizontal="left" vertical="center" wrapText="1"/>
    </xf>
    <xf numFmtId="0" fontId="1" fillId="0" borderId="45" xfId="0" applyFont="1" applyBorder="1" applyAlignment="1">
      <alignment horizontal="left" vertical="center" wrapText="1"/>
    </xf>
    <xf numFmtId="0" fontId="1" fillId="0" borderId="30"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23" xfId="0" applyFont="1" applyBorder="1" applyAlignment="1">
      <alignment horizontal="left" vertical="center" wrapText="1"/>
    </xf>
    <xf numFmtId="0" fontId="1" fillId="0" borderId="68" xfId="0" applyFont="1" applyBorder="1" applyAlignment="1">
      <alignment horizontal="center" vertical="center"/>
    </xf>
    <xf numFmtId="164" fontId="1" fillId="0" borderId="50" xfId="0" applyNumberFormat="1" applyFont="1" applyBorder="1" applyAlignment="1" applyProtection="1">
      <alignment horizontal="center" vertical="center"/>
      <protection locked="0"/>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20" fillId="0" borderId="24" xfId="0" applyFont="1" applyBorder="1" applyAlignment="1">
      <alignment horizontal="center" vertical="center"/>
    </xf>
    <xf numFmtId="0" fontId="20" fillId="0" borderId="13" xfId="0" applyFont="1" applyBorder="1" applyAlignment="1">
      <alignment horizontal="center" vertical="center"/>
    </xf>
    <xf numFmtId="0" fontId="5" fillId="5" borderId="34" xfId="0" applyFont="1" applyFill="1" applyBorder="1" applyAlignment="1">
      <alignment horizontal="center" vertical="center" wrapText="1"/>
    </xf>
    <xf numFmtId="0" fontId="1" fillId="0" borderId="1" xfId="0" applyFont="1" applyBorder="1" applyAlignment="1" applyProtection="1">
      <alignment vertical="center"/>
      <protection locked="0"/>
    </xf>
    <xf numFmtId="164" fontId="1" fillId="0" borderId="67" xfId="0" applyNumberFormat="1" applyFont="1" applyBorder="1" applyAlignment="1" applyProtection="1">
      <alignment horizontal="center" vertical="center"/>
      <protection locked="0"/>
    </xf>
    <xf numFmtId="0" fontId="1" fillId="0" borderId="69"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10" borderId="11" xfId="0" applyFont="1" applyFill="1" applyBorder="1" applyAlignment="1" applyProtection="1">
      <alignment horizontal="center" vertical="center"/>
      <protection locked="0"/>
    </xf>
    <xf numFmtId="0" fontId="1" fillId="10" borderId="33" xfId="0" applyFont="1" applyFill="1" applyBorder="1" applyAlignment="1" applyProtection="1">
      <alignment horizontal="center" vertical="center"/>
      <protection locked="0"/>
    </xf>
    <xf numFmtId="0" fontId="1" fillId="10" borderId="2" xfId="0" applyFont="1" applyFill="1" applyBorder="1" applyAlignment="1" applyProtection="1">
      <alignment horizontal="left" vertical="center" wrapText="1"/>
      <protection locked="0"/>
    </xf>
    <xf numFmtId="0" fontId="1" fillId="10" borderId="12" xfId="0" applyFont="1" applyFill="1" applyBorder="1" applyAlignment="1" applyProtection="1">
      <alignment horizontal="left" vertical="center" wrapText="1"/>
      <protection locked="0"/>
    </xf>
    <xf numFmtId="0" fontId="1" fillId="10" borderId="12" xfId="0" applyFont="1" applyFill="1" applyBorder="1" applyAlignment="1" applyProtection="1">
      <alignment horizontal="center" vertical="center"/>
      <protection locked="0"/>
    </xf>
    <xf numFmtId="0" fontId="1" fillId="10" borderId="11" xfId="0" applyFont="1" applyFill="1" applyBorder="1" applyAlignment="1" applyProtection="1">
      <alignment horizontal="left" vertical="center" wrapText="1"/>
      <protection locked="0"/>
    </xf>
    <xf numFmtId="0" fontId="1" fillId="10" borderId="33" xfId="0" applyFont="1" applyFill="1" applyBorder="1" applyAlignment="1" applyProtection="1">
      <alignment horizontal="left" vertical="center" wrapText="1"/>
      <protection locked="0"/>
    </xf>
    <xf numFmtId="0" fontId="1" fillId="10" borderId="2" xfId="0" applyFont="1" applyFill="1" applyBorder="1" applyAlignment="1" applyProtection="1">
      <alignment horizontal="center" vertical="center" wrapText="1"/>
      <protection locked="0"/>
    </xf>
    <xf numFmtId="0" fontId="1" fillId="10" borderId="1" xfId="0" applyFont="1" applyFill="1" applyBorder="1" applyAlignment="1" applyProtection="1">
      <alignment horizontal="center" vertical="center" wrapText="1"/>
      <protection locked="0"/>
    </xf>
    <xf numFmtId="0" fontId="1" fillId="10" borderId="10" xfId="0" applyFont="1" applyFill="1" applyBorder="1" applyAlignment="1">
      <alignment horizontal="center" vertical="center" wrapText="1"/>
    </xf>
    <xf numFmtId="0" fontId="1" fillId="10" borderId="49" xfId="0" applyFont="1" applyFill="1" applyBorder="1" applyAlignment="1">
      <alignment horizontal="center" vertical="center"/>
    </xf>
    <xf numFmtId="0" fontId="1" fillId="10" borderId="1" xfId="0" applyFont="1" applyFill="1" applyBorder="1" applyAlignment="1" applyProtection="1">
      <alignment horizontal="center" vertical="center"/>
      <protection locked="0"/>
    </xf>
    <xf numFmtId="0" fontId="1" fillId="10" borderId="20" xfId="0" applyFont="1" applyFill="1" applyBorder="1" applyAlignment="1">
      <alignment horizontal="center" vertical="center"/>
    </xf>
    <xf numFmtId="164" fontId="1" fillId="10" borderId="1" xfId="0" applyNumberFormat="1" applyFont="1" applyFill="1" applyBorder="1" applyAlignment="1" applyProtection="1">
      <alignment horizontal="center" vertical="center"/>
      <protection locked="0"/>
    </xf>
    <xf numFmtId="0" fontId="1" fillId="10" borderId="12" xfId="0" applyFont="1" applyFill="1" applyBorder="1" applyAlignment="1" applyProtection="1">
      <alignment horizontal="center" vertical="center" wrapText="1"/>
      <protection locked="0"/>
    </xf>
    <xf numFmtId="0" fontId="1" fillId="10" borderId="55" xfId="0" applyFont="1" applyFill="1" applyBorder="1" applyAlignment="1" applyProtection="1">
      <alignment horizontal="center" vertical="center"/>
      <protection locked="0"/>
    </xf>
    <xf numFmtId="0" fontId="1" fillId="10" borderId="0" xfId="0" applyFont="1" applyFill="1" applyProtection="1">
      <protection locked="0"/>
    </xf>
    <xf numFmtId="0" fontId="1" fillId="10" borderId="11" xfId="0" applyFont="1" applyFill="1" applyBorder="1" applyAlignment="1" applyProtection="1">
      <alignment horizontal="center" vertical="center" wrapText="1"/>
      <protection locked="0"/>
    </xf>
    <xf numFmtId="0" fontId="1" fillId="0" borderId="39" xfId="0" applyFont="1" applyBorder="1" applyAlignment="1" applyProtection="1">
      <alignment horizontal="center" vertical="center" wrapText="1"/>
      <protection locked="0"/>
    </xf>
    <xf numFmtId="0" fontId="1" fillId="0" borderId="49" xfId="0" applyFont="1" applyBorder="1" applyAlignment="1" applyProtection="1">
      <alignment horizontal="left" vertical="center" wrapText="1"/>
      <protection locked="0"/>
    </xf>
    <xf numFmtId="0" fontId="21" fillId="0" borderId="0" xfId="0" applyFont="1"/>
    <xf numFmtId="14" fontId="18" fillId="0" borderId="0" xfId="0" applyNumberFormat="1" applyFont="1" applyAlignment="1">
      <alignment horizontal="left"/>
    </xf>
    <xf numFmtId="0" fontId="1" fillId="0" borderId="25" xfId="0" applyFont="1" applyBorder="1" applyAlignment="1">
      <alignment horizontal="center" vertical="center" wrapText="1"/>
    </xf>
    <xf numFmtId="0" fontId="1" fillId="0" borderId="67" xfId="0" applyFont="1" applyBorder="1" applyAlignment="1">
      <alignment horizontal="center" vertical="center" wrapText="1"/>
    </xf>
    <xf numFmtId="0" fontId="1" fillId="10" borderId="50" xfId="0" applyFont="1" applyFill="1" applyBorder="1" applyAlignment="1">
      <alignment horizontal="center" vertical="center" wrapText="1"/>
    </xf>
    <xf numFmtId="0" fontId="1" fillId="0" borderId="50" xfId="0" applyFont="1" applyBorder="1" applyAlignment="1">
      <alignment horizontal="center" vertical="center"/>
    </xf>
    <xf numFmtId="0" fontId="1" fillId="10" borderId="50" xfId="0" applyFont="1" applyFill="1" applyBorder="1" applyAlignment="1">
      <alignment horizontal="center" vertical="center"/>
    </xf>
    <xf numFmtId="0" fontId="1" fillId="0" borderId="56" xfId="0" applyFont="1" applyBorder="1" applyAlignment="1">
      <alignment horizontal="center" vertical="center"/>
    </xf>
    <xf numFmtId="0" fontId="1" fillId="0" borderId="46" xfId="0" applyFont="1" applyBorder="1" applyAlignment="1" applyProtection="1">
      <alignment horizontal="left" vertical="center" wrapText="1"/>
      <protection locked="0"/>
    </xf>
    <xf numFmtId="0" fontId="1" fillId="0" borderId="26" xfId="0" applyFont="1" applyBorder="1" applyAlignment="1" applyProtection="1">
      <alignment horizontal="center" vertical="center"/>
      <protection locked="0"/>
    </xf>
    <xf numFmtId="0" fontId="1" fillId="0" borderId="44" xfId="0" applyFont="1" applyBorder="1" applyAlignment="1" applyProtection="1">
      <alignment horizontal="left" vertical="center" wrapText="1"/>
      <protection locked="0"/>
    </xf>
    <xf numFmtId="0" fontId="1" fillId="0" borderId="49"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64"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66" xfId="0" applyFont="1" applyBorder="1" applyAlignment="1" applyProtection="1">
      <alignment horizontal="left" vertical="center" wrapText="1"/>
      <protection locked="0"/>
    </xf>
    <xf numFmtId="0" fontId="1" fillId="0" borderId="63" xfId="0" applyFont="1" applyBorder="1" applyAlignment="1" applyProtection="1">
      <alignment horizontal="left" vertical="center" wrapText="1"/>
      <protection locked="0"/>
    </xf>
    <xf numFmtId="0" fontId="1" fillId="0" borderId="70" xfId="0" applyFont="1" applyBorder="1" applyAlignment="1" applyProtection="1">
      <alignment horizontal="left" vertical="center" wrapText="1"/>
      <protection locked="0"/>
    </xf>
    <xf numFmtId="0" fontId="1" fillId="0" borderId="70" xfId="0" applyFont="1" applyBorder="1" applyAlignment="1" applyProtection="1">
      <alignment horizontal="center" vertical="center"/>
      <protection locked="0"/>
    </xf>
    <xf numFmtId="0" fontId="1" fillId="0" borderId="65" xfId="0" applyFont="1" applyBorder="1" applyAlignment="1" applyProtection="1">
      <alignment horizontal="left" vertical="center" wrapText="1"/>
      <protection locked="0"/>
    </xf>
    <xf numFmtId="0" fontId="1" fillId="0" borderId="62" xfId="0" applyFont="1" applyBorder="1" applyAlignment="1" applyProtection="1">
      <alignment horizontal="left" vertical="center" wrapText="1"/>
      <protection locked="0"/>
    </xf>
    <xf numFmtId="0" fontId="1" fillId="0" borderId="65" xfId="0" applyFont="1" applyBorder="1" applyAlignment="1" applyProtection="1">
      <alignment horizontal="center" vertical="center" wrapText="1"/>
      <protection locked="0"/>
    </xf>
    <xf numFmtId="0" fontId="1" fillId="0" borderId="66" xfId="0" applyFont="1" applyBorder="1" applyAlignment="1" applyProtection="1">
      <alignment horizontal="center" vertical="center" wrapText="1"/>
      <protection locked="0"/>
    </xf>
    <xf numFmtId="0" fontId="1" fillId="8" borderId="12" xfId="0" applyFont="1" applyFill="1" applyBorder="1" applyAlignment="1" applyProtection="1">
      <alignment horizontal="left" vertical="center" wrapText="1"/>
      <protection locked="0"/>
    </xf>
    <xf numFmtId="0" fontId="1" fillId="8" borderId="11" xfId="0" applyFont="1" applyFill="1" applyBorder="1" applyAlignment="1" applyProtection="1">
      <alignment horizontal="center" vertical="center" wrapText="1"/>
      <protection locked="0"/>
    </xf>
    <xf numFmtId="0" fontId="1" fillId="10" borderId="12" xfId="0" applyFont="1" applyFill="1" applyBorder="1" applyAlignment="1" applyProtection="1">
      <alignment horizontal="center"/>
      <protection locked="0"/>
    </xf>
    <xf numFmtId="0" fontId="1" fillId="0" borderId="53" xfId="0" applyFont="1" applyBorder="1" applyAlignment="1" applyProtection="1">
      <alignment horizontal="center" vertical="center" wrapText="1"/>
      <protection locked="0"/>
    </xf>
    <xf numFmtId="0" fontId="1" fillId="0" borderId="26" xfId="0" applyFont="1" applyBorder="1" applyAlignment="1" applyProtection="1">
      <alignment horizontal="center" vertical="center" wrapText="1"/>
      <protection locked="0"/>
    </xf>
    <xf numFmtId="0" fontId="1" fillId="0" borderId="44" xfId="0" applyFont="1" applyBorder="1" applyAlignment="1">
      <alignment horizontal="center" vertical="center" wrapText="1"/>
    </xf>
    <xf numFmtId="0" fontId="1" fillId="0" borderId="64"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33" xfId="0" applyFont="1" applyBorder="1" applyAlignment="1">
      <alignment horizontal="center" vertical="center" wrapText="1"/>
    </xf>
    <xf numFmtId="0" fontId="1" fillId="10" borderId="64" xfId="0" applyFont="1" applyFill="1" applyBorder="1" applyAlignment="1">
      <alignment horizontal="center" vertical="center" wrapText="1"/>
    </xf>
    <xf numFmtId="0" fontId="1" fillId="0" borderId="71"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0" xfId="0" applyFont="1" applyBorder="1" applyAlignment="1">
      <alignment horizontal="center" vertical="center" wrapText="1"/>
    </xf>
    <xf numFmtId="0" fontId="1" fillId="10" borderId="20" xfId="0" applyFont="1" applyFill="1" applyBorder="1" applyAlignment="1">
      <alignment horizontal="center" vertical="center" wrapText="1"/>
    </xf>
    <xf numFmtId="0" fontId="1" fillId="0" borderId="23" xfId="0" applyFont="1" applyBorder="1" applyAlignment="1">
      <alignment horizontal="center" vertical="center" wrapText="1"/>
    </xf>
    <xf numFmtId="0" fontId="1" fillId="0" borderId="10" xfId="0" applyFont="1" applyBorder="1" applyAlignment="1">
      <alignment vertical="center" wrapText="1"/>
    </xf>
    <xf numFmtId="0" fontId="1" fillId="0" borderId="12" xfId="0" applyFont="1" applyBorder="1" applyAlignment="1">
      <alignment vertical="center" wrapText="1"/>
    </xf>
    <xf numFmtId="0" fontId="0" fillId="0" borderId="13" xfId="0" applyBorder="1" applyAlignment="1">
      <alignment horizontal="center" vertical="center"/>
    </xf>
    <xf numFmtId="0" fontId="1" fillId="0" borderId="15" xfId="0" applyFont="1" applyBorder="1" applyAlignment="1">
      <alignment vertical="center" wrapText="1"/>
    </xf>
    <xf numFmtId="0" fontId="0" fillId="0" borderId="0" xfId="0" applyAlignment="1">
      <alignment horizontal="center"/>
    </xf>
    <xf numFmtId="0" fontId="1" fillId="7" borderId="15" xfId="0" applyFont="1" applyFill="1" applyBorder="1" applyAlignment="1">
      <alignment horizontal="center"/>
    </xf>
    <xf numFmtId="0" fontId="0" fillId="0" borderId="0" xfId="0" applyAlignment="1">
      <alignment horizontal="center" vertical="center"/>
    </xf>
    <xf numFmtId="0" fontId="1" fillId="10" borderId="1" xfId="0" applyFont="1" applyFill="1" applyBorder="1" applyAlignment="1" applyProtection="1">
      <alignment horizontal="left" vertical="center" wrapText="1"/>
      <protection locked="0"/>
    </xf>
    <xf numFmtId="0" fontId="1" fillId="0" borderId="14" xfId="0" applyFont="1" applyBorder="1" applyAlignment="1" applyProtection="1">
      <alignment horizontal="left" vertical="center" wrapText="1"/>
      <protection locked="0"/>
    </xf>
    <xf numFmtId="0" fontId="1" fillId="0" borderId="43" xfId="0" applyFont="1" applyBorder="1" applyAlignment="1" applyProtection="1">
      <alignment horizontal="left" vertical="center" wrapText="1"/>
      <protection locked="0"/>
    </xf>
    <xf numFmtId="0" fontId="5" fillId="5" borderId="6" xfId="0" applyFont="1" applyFill="1" applyBorder="1" applyAlignment="1">
      <alignment vertical="center" wrapText="1"/>
    </xf>
    <xf numFmtId="0" fontId="22" fillId="5" borderId="29" xfId="0" applyFont="1" applyFill="1" applyBorder="1" applyAlignment="1">
      <alignment horizontal="center" vertical="center" wrapText="1"/>
    </xf>
    <xf numFmtId="0" fontId="9" fillId="0" borderId="0" xfId="0" applyFont="1" applyAlignment="1">
      <alignment vertical="center"/>
    </xf>
    <xf numFmtId="0" fontId="9" fillId="0" borderId="31" xfId="0" applyFont="1" applyBorder="1" applyAlignment="1">
      <alignment vertical="center"/>
    </xf>
    <xf numFmtId="0" fontId="0" fillId="0" borderId="1" xfId="0" applyBorder="1"/>
    <xf numFmtId="0" fontId="24" fillId="0" borderId="1" xfId="0" applyFont="1" applyBorder="1"/>
    <xf numFmtId="0" fontId="25" fillId="14" borderId="1" xfId="0" applyFont="1" applyFill="1" applyBorder="1" applyAlignment="1">
      <alignment horizontal="center" vertical="center" wrapText="1"/>
    </xf>
    <xf numFmtId="0" fontId="26" fillId="0" borderId="1" xfId="0" applyFont="1" applyBorder="1" applyAlignment="1">
      <alignment vertical="center" wrapText="1"/>
    </xf>
    <xf numFmtId="0" fontId="22" fillId="5" borderId="48" xfId="0" applyFont="1" applyFill="1" applyBorder="1" applyAlignment="1">
      <alignment horizontal="center" vertical="center" wrapText="1"/>
    </xf>
    <xf numFmtId="0" fontId="22" fillId="5" borderId="41" xfId="0" applyFont="1" applyFill="1" applyBorder="1" applyAlignment="1">
      <alignment horizontal="center" vertical="center" wrapText="1"/>
    </xf>
    <xf numFmtId="0" fontId="23" fillId="5" borderId="48" xfId="0" applyFont="1" applyFill="1" applyBorder="1" applyAlignment="1">
      <alignment horizontal="center" vertical="center" wrapText="1"/>
    </xf>
    <xf numFmtId="0" fontId="23" fillId="5" borderId="41" xfId="0" applyFont="1" applyFill="1" applyBorder="1" applyAlignment="1">
      <alignment horizontal="center" vertical="center" wrapText="1"/>
    </xf>
    <xf numFmtId="0" fontId="23" fillId="5" borderId="43" xfId="0" applyFont="1" applyFill="1" applyBorder="1" applyAlignment="1">
      <alignment horizontal="center" vertical="center" wrapText="1"/>
    </xf>
    <xf numFmtId="0" fontId="1" fillId="0" borderId="1" xfId="0" applyFont="1" applyBorder="1" applyAlignment="1">
      <alignment horizontal="center" vertical="center"/>
    </xf>
    <xf numFmtId="0" fontId="4" fillId="5" borderId="5" xfId="0" applyFont="1" applyFill="1" applyBorder="1" applyAlignment="1">
      <alignment horizontal="center" vertical="center" wrapText="1"/>
    </xf>
    <xf numFmtId="0" fontId="4" fillId="5" borderId="47" xfId="0" applyFont="1" applyFill="1" applyBorder="1" applyAlignment="1">
      <alignment horizontal="center" vertical="center" wrapText="1"/>
    </xf>
    <xf numFmtId="0" fontId="1" fillId="0" borderId="1" xfId="0" applyFont="1" applyBorder="1" applyAlignment="1" applyProtection="1">
      <alignment horizontal="center" vertical="center"/>
      <protection locked="0"/>
    </xf>
    <xf numFmtId="0" fontId="4" fillId="12" borderId="5" xfId="0" applyFont="1" applyFill="1" applyBorder="1" applyAlignment="1">
      <alignment horizontal="center" vertical="center" wrapText="1"/>
    </xf>
    <xf numFmtId="0" fontId="4" fillId="13" borderId="5" xfId="0" applyFont="1" applyFill="1" applyBorder="1" applyAlignment="1">
      <alignment horizontal="center" vertical="center" wrapText="1"/>
    </xf>
    <xf numFmtId="0" fontId="4" fillId="13" borderId="47"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9" fillId="0" borderId="27" xfId="0" applyFont="1" applyBorder="1" applyAlignment="1">
      <alignment horizontal="center" vertical="center"/>
    </xf>
    <xf numFmtId="0" fontId="9" fillId="0" borderId="28"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4" fillId="5" borderId="27" xfId="0" applyFont="1" applyFill="1" applyBorder="1" applyAlignment="1">
      <alignment horizontal="center" vertical="center" wrapText="1"/>
    </xf>
    <xf numFmtId="0" fontId="4" fillId="5" borderId="72" xfId="0" applyFont="1" applyFill="1" applyBorder="1" applyAlignment="1">
      <alignment horizontal="center" vertical="center" wrapText="1"/>
    </xf>
    <xf numFmtId="0" fontId="1" fillId="0" borderId="72" xfId="0" applyFont="1" applyBorder="1" applyAlignment="1" applyProtection="1">
      <alignment horizontal="center" vertical="center"/>
      <protection locked="0"/>
    </xf>
    <xf numFmtId="0" fontId="1" fillId="0" borderId="73" xfId="0" applyFont="1" applyBorder="1" applyAlignment="1" applyProtection="1">
      <alignment horizontal="center" vertical="center"/>
      <protection locked="0"/>
    </xf>
    <xf numFmtId="14" fontId="12" fillId="0" borderId="25" xfId="0" applyNumberFormat="1" applyFont="1" applyBorder="1" applyAlignment="1">
      <alignment horizontal="center" vertical="center"/>
    </xf>
    <xf numFmtId="14" fontId="12" fillId="0" borderId="26"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4" fillId="5" borderId="34" xfId="0" applyFont="1" applyFill="1" applyBorder="1" applyAlignment="1">
      <alignment horizontal="center" vertical="center" wrapText="1"/>
    </xf>
    <xf numFmtId="0" fontId="4" fillId="5" borderId="35"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5" fillId="5" borderId="38" xfId="0"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42" xfId="0" applyFont="1" applyFill="1" applyBorder="1" applyAlignment="1">
      <alignment horizontal="center" vertical="center" wrapText="1"/>
    </xf>
    <xf numFmtId="0" fontId="4" fillId="5" borderId="4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1" fillId="0" borderId="66" xfId="0" applyFont="1" applyBorder="1" applyAlignment="1" applyProtection="1">
      <alignment horizontal="center" vertical="center"/>
      <protection locked="0"/>
    </xf>
    <xf numFmtId="0" fontId="1" fillId="0" borderId="67" xfId="0" applyFont="1" applyBorder="1" applyAlignment="1" applyProtection="1">
      <alignment horizontal="center" vertical="center"/>
      <protection locked="0"/>
    </xf>
    <xf numFmtId="0" fontId="1" fillId="0" borderId="50" xfId="0" applyFont="1" applyBorder="1" applyAlignment="1" applyProtection="1">
      <alignment horizontal="center" vertical="center"/>
      <protection locked="0"/>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47" xfId="0" applyFont="1" applyBorder="1" applyAlignment="1">
      <alignment horizontal="center" vertical="center"/>
    </xf>
    <xf numFmtId="14" fontId="12" fillId="0" borderId="4" xfId="0" applyNumberFormat="1" applyFont="1" applyBorder="1" applyAlignment="1">
      <alignment horizontal="center" vertical="center"/>
    </xf>
    <xf numFmtId="14" fontId="12" fillId="0" borderId="5" xfId="0" applyNumberFormat="1" applyFont="1" applyBorder="1" applyAlignment="1">
      <alignment horizontal="center" vertical="center"/>
    </xf>
    <xf numFmtId="14" fontId="12" fillId="0" borderId="47" xfId="0" applyNumberFormat="1" applyFont="1" applyBorder="1" applyAlignment="1">
      <alignment horizontal="center" vertical="center"/>
    </xf>
    <xf numFmtId="0" fontId="9" fillId="0" borderId="29" xfId="0" applyFont="1" applyBorder="1" applyAlignment="1">
      <alignment horizontal="center" vertical="center"/>
    </xf>
    <xf numFmtId="0" fontId="9" fillId="0" borderId="32" xfId="0" applyFont="1" applyBorder="1" applyAlignment="1">
      <alignment horizontal="center" vertical="center"/>
    </xf>
    <xf numFmtId="0" fontId="4" fillId="5" borderId="57"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6" fillId="0" borderId="53" xfId="0" applyFont="1" applyBorder="1" applyAlignment="1">
      <alignment horizontal="center" vertical="center" wrapText="1"/>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2" fillId="0" borderId="23" xfId="0" applyFont="1" applyBorder="1" applyAlignment="1">
      <alignment horizontal="left" vertical="center" wrapText="1"/>
    </xf>
    <xf numFmtId="0" fontId="8" fillId="5" borderId="27" xfId="0" applyFont="1" applyFill="1" applyBorder="1" applyAlignment="1">
      <alignment horizontal="center" vertical="center" wrapText="1"/>
    </xf>
    <xf numFmtId="0" fontId="8" fillId="5" borderId="28" xfId="0" applyFont="1" applyFill="1" applyBorder="1" applyAlignment="1">
      <alignment horizontal="center" vertical="center" wrapText="1"/>
    </xf>
    <xf numFmtId="0" fontId="8" fillId="5" borderId="29"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5" borderId="58"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9" xfId="0" applyFont="1" applyBorder="1" applyAlignment="1">
      <alignment horizontal="left" vertical="center" wrapText="1"/>
    </xf>
    <xf numFmtId="0" fontId="2" fillId="0" borderId="20" xfId="0" applyFont="1" applyBorder="1" applyAlignment="1">
      <alignment horizontal="left" vertical="center" wrapText="1"/>
    </xf>
    <xf numFmtId="0" fontId="5" fillId="5" borderId="58" xfId="0" applyFont="1" applyFill="1" applyBorder="1" applyAlignment="1">
      <alignment horizontal="center" vertical="center" wrapText="1"/>
    </xf>
    <xf numFmtId="0" fontId="5" fillId="5" borderId="72" xfId="0" applyFont="1" applyFill="1" applyBorder="1" applyAlignment="1">
      <alignment horizontal="center" vertical="center" wrapText="1"/>
    </xf>
    <xf numFmtId="0" fontId="4" fillId="11" borderId="1" xfId="0" applyFont="1" applyFill="1" applyBorder="1" applyAlignment="1">
      <alignment horizontal="center" vertical="center" wrapText="1"/>
    </xf>
  </cellXfs>
  <cellStyles count="1">
    <cellStyle name="Normal" xfId="0" builtinId="0"/>
  </cellStyles>
  <dxfs count="24">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1</xdr:col>
      <xdr:colOff>247650</xdr:colOff>
      <xdr:row>1</xdr:row>
      <xdr:rowOff>32385</xdr:rowOff>
    </xdr:from>
    <xdr:to>
      <xdr:col>2</xdr:col>
      <xdr:colOff>762000</xdr:colOff>
      <xdr:row>2</xdr:row>
      <xdr:rowOff>237772</xdr:rowOff>
    </xdr:to>
    <xdr:pic>
      <xdr:nvPicPr>
        <xdr:cNvPr id="3" name="Imagen 2">
          <a:extLst>
            <a:ext uri="{FF2B5EF4-FFF2-40B4-BE49-F238E27FC236}">
              <a16:creationId xmlns:a16="http://schemas.microsoft.com/office/drawing/2014/main" id="{18EBB632-7445-49AE-8480-738F98C692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384810"/>
          <a:ext cx="1095375" cy="5197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279400</xdr:colOff>
      <xdr:row>1</xdr:row>
      <xdr:rowOff>38100</xdr:rowOff>
    </xdr:from>
    <xdr:to>
      <xdr:col>3</xdr:col>
      <xdr:colOff>1727200</xdr:colOff>
      <xdr:row>2</xdr:row>
      <xdr:rowOff>279400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425" y="257175"/>
          <a:ext cx="3181350" cy="55562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279400</xdr:colOff>
      <xdr:row>1</xdr:row>
      <xdr:rowOff>38100</xdr:rowOff>
    </xdr:from>
    <xdr:to>
      <xdr:col>3</xdr:col>
      <xdr:colOff>1727200</xdr:colOff>
      <xdr:row>2</xdr:row>
      <xdr:rowOff>279400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600" y="254000"/>
          <a:ext cx="3187700" cy="5588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161925</xdr:rowOff>
        </xdr:from>
        <xdr:to>
          <xdr:col>3</xdr:col>
          <xdr:colOff>673942</xdr:colOff>
          <xdr:row>18</xdr:row>
          <xdr:rowOff>59094</xdr:rowOff>
        </xdr:to>
        <xdr:pic>
          <xdr:nvPicPr>
            <xdr:cNvPr id="5" name="Imagen 4">
              <a:extLst>
                <a:ext uri="{FF2B5EF4-FFF2-40B4-BE49-F238E27FC236}">
                  <a16:creationId xmlns:a16="http://schemas.microsoft.com/office/drawing/2014/main" id="{00000000-0008-0000-0300-000005000000}"/>
                </a:ext>
              </a:extLst>
            </xdr:cNvPr>
            <xdr:cNvPicPr>
              <a:picLocks noChangeAspect="1" noChangeArrowheads="1"/>
              <a:extLst>
                <a:ext uri="{84589F7E-364E-4C9E-8A38-B11213B215E9}">
                  <a14:cameraTool cellRange="Hoja1!$J$19:$L$23" spid="_x0000_s9695"/>
                </a:ext>
              </a:extLst>
            </xdr:cNvPicPr>
          </xdr:nvPicPr>
          <xdr:blipFill>
            <a:blip xmlns:r="http://schemas.openxmlformats.org/officeDocument/2006/relationships" r:embed="rId1"/>
            <a:srcRect/>
            <a:stretch>
              <a:fillRect/>
            </a:stretch>
          </xdr:blipFill>
          <xdr:spPr bwMode="auto">
            <a:xfrm>
              <a:off x="680357" y="1775343"/>
              <a:ext cx="6029325" cy="26574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29158</xdr:colOff>
          <xdr:row>25</xdr:row>
          <xdr:rowOff>0</xdr:rowOff>
        </xdr:from>
        <xdr:to>
          <xdr:col>2</xdr:col>
          <xdr:colOff>1117729</xdr:colOff>
          <xdr:row>29</xdr:row>
          <xdr:rowOff>1</xdr:rowOff>
        </xdr:to>
        <xdr:pic>
          <xdr:nvPicPr>
            <xdr:cNvPr id="7" name="Imagen 6">
              <a:extLst>
                <a:ext uri="{FF2B5EF4-FFF2-40B4-BE49-F238E27FC236}">
                  <a16:creationId xmlns:a16="http://schemas.microsoft.com/office/drawing/2014/main" id="{00000000-0008-0000-0300-000007000000}"/>
                </a:ext>
              </a:extLst>
            </xdr:cNvPr>
            <xdr:cNvPicPr>
              <a:picLocks noChangeAspect="1" noChangeArrowheads="1"/>
              <a:extLst>
                <a:ext uri="{84589F7E-364E-4C9E-8A38-B11213B215E9}">
                  <a14:cameraTool cellRange="$M$26:$N$29" spid="_x0000_s9696"/>
                </a:ext>
              </a:extLst>
            </xdr:cNvPicPr>
          </xdr:nvPicPr>
          <xdr:blipFill>
            <a:blip xmlns:r="http://schemas.openxmlformats.org/officeDocument/2006/relationships" r:embed="rId2"/>
            <a:srcRect/>
            <a:stretch>
              <a:fillRect/>
            </a:stretch>
          </xdr:blipFill>
          <xdr:spPr bwMode="auto">
            <a:xfrm>
              <a:off x="709515" y="9184821"/>
              <a:ext cx="2935255" cy="81642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0</xdr:row>
          <xdr:rowOff>126353</xdr:rowOff>
        </xdr:from>
        <xdr:to>
          <xdr:col>2</xdr:col>
          <xdr:colOff>3304980</xdr:colOff>
          <xdr:row>5</xdr:row>
          <xdr:rowOff>8165</xdr:rowOff>
        </xdr:to>
        <xdr:pic>
          <xdr:nvPicPr>
            <xdr:cNvPr id="9" name="Imagen 8">
              <a:extLst>
                <a:ext uri="{FF2B5EF4-FFF2-40B4-BE49-F238E27FC236}">
                  <a16:creationId xmlns:a16="http://schemas.microsoft.com/office/drawing/2014/main" id="{00000000-0008-0000-0300-000009000000}"/>
                </a:ext>
              </a:extLst>
            </xdr:cNvPr>
            <xdr:cNvPicPr>
              <a:picLocks noChangeAspect="1" noChangeArrowheads="1"/>
              <a:extLst>
                <a:ext uri="{84589F7E-364E-4C9E-8A38-B11213B215E9}">
                  <a14:cameraTool cellRange="Hoja1!$B$3:$F$9" spid="_x0000_s9697"/>
                </a:ext>
              </a:extLst>
            </xdr:cNvPicPr>
          </xdr:nvPicPr>
          <xdr:blipFill>
            <a:blip xmlns:r="http://schemas.openxmlformats.org/officeDocument/2006/relationships" r:embed="rId3"/>
            <a:srcRect/>
            <a:stretch>
              <a:fillRect/>
            </a:stretch>
          </xdr:blipFill>
          <xdr:spPr bwMode="auto">
            <a:xfrm>
              <a:off x="680357" y="126353"/>
              <a:ext cx="5151664" cy="149523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Mtto\Clinica%20Bahia\PM3%20Urgencia\Caracterizacion%20y%20Matriz%20de%20Riesgo%20-%20copia.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atriz%20de%20Riesgo%20y%20Oportunidad%20(1)%20uci.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triz%20de%20Riesgo%20y%20Oportunidad%20urgenc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cterizacion"/>
      <sheetName val="Matriz de Riesgo"/>
      <sheetName val="Calificación y Semaforización"/>
      <sheetName val="Hoja4"/>
      <sheetName val="Hoja3"/>
      <sheetName val="Hoja1"/>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11"/>
  <sheetViews>
    <sheetView showGridLines="0" tabSelected="1" zoomScale="81" zoomScaleNormal="81" workbookViewId="0">
      <pane xSplit="1" ySplit="7" topLeftCell="D8" activePane="bottomRight" state="frozen"/>
      <selection pane="topRight" activeCell="B1" sqref="B1"/>
      <selection pane="bottomLeft" activeCell="A8" sqref="A8"/>
      <selection pane="bottomRight" activeCell="Q8" sqref="Q8"/>
    </sheetView>
  </sheetViews>
  <sheetFormatPr baseColWidth="10" defaultColWidth="11.44140625" defaultRowHeight="13.8" x14ac:dyDescent="0.25"/>
  <cols>
    <col min="1" max="1" width="3" style="51" customWidth="1"/>
    <col min="2" max="2" width="8.6640625" style="51" customWidth="1"/>
    <col min="3" max="3" width="27.109375" style="51" customWidth="1"/>
    <col min="4" max="4" width="49.44140625" style="51" customWidth="1"/>
    <col min="5" max="5" width="40.5546875" style="51" customWidth="1"/>
    <col min="6" max="6" width="81.6640625" style="51" bestFit="1" customWidth="1"/>
    <col min="7" max="7" width="33.6640625" style="51" customWidth="1"/>
    <col min="8" max="8" width="11.5546875" style="51" customWidth="1"/>
    <col min="9" max="9" width="7.88671875" style="51" customWidth="1"/>
    <col min="10" max="10" width="13.6640625" style="51" customWidth="1"/>
    <col min="11" max="11" width="19.109375" style="51" customWidth="1"/>
    <col min="12" max="12" width="31.44140625" style="51" customWidth="1"/>
    <col min="13" max="13" width="10.33203125" style="51" customWidth="1"/>
    <col min="14" max="14" width="12.44140625" style="51" customWidth="1"/>
    <col min="15" max="15" width="16.5546875" style="51" customWidth="1"/>
    <col min="16" max="16" width="17.109375" style="51" customWidth="1"/>
    <col min="17" max="17" width="22" style="51" customWidth="1"/>
    <col min="18" max="18" width="18.5546875" style="51" customWidth="1"/>
    <col min="19" max="16384" width="11.44140625" style="51"/>
  </cols>
  <sheetData>
    <row r="1" spans="2:18" ht="27.75" customHeight="1" thickBot="1" x14ac:dyDescent="0.3">
      <c r="F1" s="291"/>
      <c r="G1" s="291"/>
      <c r="H1" s="291"/>
      <c r="I1" s="291"/>
      <c r="J1" s="291"/>
      <c r="K1" s="291"/>
      <c r="L1" s="291"/>
      <c r="M1" s="291"/>
      <c r="Q1" s="317" t="s">
        <v>42</v>
      </c>
      <c r="R1" s="318"/>
    </row>
    <row r="2" spans="2:18" ht="24.9" customHeight="1" x14ac:dyDescent="0.25">
      <c r="B2" s="311"/>
      <c r="C2" s="312"/>
      <c r="D2" s="312"/>
      <c r="E2" s="312"/>
      <c r="F2" s="291"/>
      <c r="G2" s="291"/>
      <c r="H2" s="291"/>
      <c r="I2" s="291"/>
      <c r="J2" s="291"/>
      <c r="K2" s="291"/>
      <c r="L2" s="291"/>
      <c r="M2" s="291"/>
      <c r="Q2" s="317" t="s">
        <v>195</v>
      </c>
      <c r="R2" s="318"/>
    </row>
    <row r="3" spans="2:18" ht="24.9" customHeight="1" thickBot="1" x14ac:dyDescent="0.3">
      <c r="B3" s="313"/>
      <c r="C3" s="314"/>
      <c r="D3" s="314"/>
      <c r="E3" s="314"/>
      <c r="F3" s="292"/>
      <c r="G3" s="292"/>
      <c r="H3" s="292"/>
      <c r="I3" s="292"/>
      <c r="J3" s="292"/>
      <c r="K3" s="292"/>
      <c r="L3" s="292"/>
      <c r="M3" s="292"/>
      <c r="Q3" s="317" t="s">
        <v>41</v>
      </c>
      <c r="R3" s="318"/>
    </row>
    <row r="4" spans="2:18" x14ac:dyDescent="0.25">
      <c r="B4" s="1"/>
      <c r="C4" s="1"/>
      <c r="D4" s="1"/>
      <c r="E4" s="1"/>
      <c r="F4" s="1"/>
      <c r="G4" s="1"/>
      <c r="H4" s="1"/>
      <c r="I4" s="1"/>
      <c r="J4" s="1"/>
      <c r="K4" s="1"/>
      <c r="L4" s="1"/>
      <c r="M4" s="1"/>
      <c r="N4" s="1"/>
      <c r="O4" s="1"/>
      <c r="P4" s="1"/>
      <c r="Q4" s="1"/>
      <c r="R4" s="1"/>
    </row>
    <row r="5" spans="2:18" ht="16.2" thickBot="1" x14ac:dyDescent="0.35">
      <c r="B5" s="116"/>
      <c r="C5" s="1"/>
      <c r="D5" s="241"/>
      <c r="E5" s="1"/>
      <c r="F5" s="1"/>
      <c r="G5" s="1"/>
      <c r="H5" s="1"/>
      <c r="I5" s="1"/>
      <c r="J5" s="1"/>
      <c r="K5" s="1"/>
      <c r="L5" s="1"/>
      <c r="M5" s="1"/>
      <c r="N5" s="1"/>
      <c r="O5" s="1"/>
      <c r="P5" s="1"/>
      <c r="Q5" s="1"/>
      <c r="R5" s="1"/>
    </row>
    <row r="6" spans="2:18" ht="30" customHeight="1" thickBot="1" x14ac:dyDescent="0.3">
      <c r="B6" s="368" t="s">
        <v>201</v>
      </c>
      <c r="C6" s="368"/>
      <c r="D6" s="368"/>
      <c r="E6" s="368"/>
      <c r="F6" s="306" t="s">
        <v>18</v>
      </c>
      <c r="G6" s="306"/>
      <c r="H6" s="307" t="s">
        <v>202</v>
      </c>
      <c r="I6" s="307"/>
      <c r="J6" s="308"/>
      <c r="K6" s="309" t="s">
        <v>151</v>
      </c>
      <c r="L6" s="310"/>
      <c r="M6" s="303" t="s">
        <v>205</v>
      </c>
      <c r="N6" s="303"/>
      <c r="O6" s="304"/>
      <c r="P6" s="315" t="s">
        <v>151</v>
      </c>
      <c r="Q6" s="315" t="s">
        <v>209</v>
      </c>
      <c r="R6" s="315" t="s">
        <v>208</v>
      </c>
    </row>
    <row r="7" spans="2:18" ht="21.6" x14ac:dyDescent="0.25">
      <c r="B7" s="366" t="s">
        <v>7</v>
      </c>
      <c r="C7" s="367" t="s">
        <v>29</v>
      </c>
      <c r="D7" s="367" t="s">
        <v>57</v>
      </c>
      <c r="E7" s="366" t="s">
        <v>196</v>
      </c>
      <c r="F7" s="121" t="s">
        <v>197</v>
      </c>
      <c r="G7" s="122" t="s">
        <v>198</v>
      </c>
      <c r="H7" s="297" t="s">
        <v>32</v>
      </c>
      <c r="I7" s="298" t="s">
        <v>199</v>
      </c>
      <c r="J7" s="290" t="s">
        <v>200</v>
      </c>
      <c r="K7" s="290" t="s">
        <v>151</v>
      </c>
      <c r="L7" s="289" t="s">
        <v>40</v>
      </c>
      <c r="M7" s="299" t="s">
        <v>32</v>
      </c>
      <c r="N7" s="300" t="s">
        <v>199</v>
      </c>
      <c r="O7" s="301" t="s">
        <v>203</v>
      </c>
      <c r="P7" s="316"/>
      <c r="Q7" s="316"/>
      <c r="R7" s="316"/>
    </row>
    <row r="8" spans="2:18" ht="179.4" x14ac:dyDescent="0.25">
      <c r="B8" s="74" t="s">
        <v>87</v>
      </c>
      <c r="C8" s="305" t="s">
        <v>225</v>
      </c>
      <c r="D8" s="296" t="s">
        <v>227</v>
      </c>
      <c r="E8" s="186" t="s">
        <v>228</v>
      </c>
      <c r="F8" s="186" t="s">
        <v>231</v>
      </c>
      <c r="G8" s="186" t="s">
        <v>229</v>
      </c>
      <c r="H8" s="20">
        <v>4</v>
      </c>
      <c r="I8" s="20">
        <v>4</v>
      </c>
      <c r="J8" s="20">
        <f>H8*I8</f>
        <v>16</v>
      </c>
      <c r="K8" s="20" t="s">
        <v>230</v>
      </c>
      <c r="L8" s="186" t="s">
        <v>232</v>
      </c>
      <c r="M8" s="74">
        <v>1</v>
      </c>
      <c r="N8" s="302">
        <v>4</v>
      </c>
      <c r="O8" s="302">
        <f>M8*N8</f>
        <v>4</v>
      </c>
      <c r="P8" s="73" t="s">
        <v>174</v>
      </c>
      <c r="Q8" s="89" t="s">
        <v>236</v>
      </c>
      <c r="R8" s="74"/>
    </row>
    <row r="9" spans="2:18" ht="111.6" customHeight="1" x14ac:dyDescent="0.25">
      <c r="B9" s="74" t="s">
        <v>88</v>
      </c>
      <c r="C9" s="305"/>
      <c r="D9" s="296" t="s">
        <v>226</v>
      </c>
      <c r="E9" s="186" t="s">
        <v>237</v>
      </c>
      <c r="F9" s="186" t="s">
        <v>238</v>
      </c>
      <c r="G9" s="186" t="s">
        <v>239</v>
      </c>
      <c r="H9" s="20">
        <v>4</v>
      </c>
      <c r="I9" s="20">
        <v>4</v>
      </c>
      <c r="J9" s="20">
        <f t="shared" ref="J9" si="0">H9*I9</f>
        <v>16</v>
      </c>
      <c r="K9" s="20" t="s">
        <v>240</v>
      </c>
      <c r="L9" s="186" t="s">
        <v>241</v>
      </c>
      <c r="M9" s="74">
        <v>1</v>
      </c>
      <c r="N9" s="302">
        <v>4</v>
      </c>
      <c r="O9" s="302">
        <f t="shared" ref="O9" si="1">M9*N9</f>
        <v>4</v>
      </c>
      <c r="P9" s="73" t="s">
        <v>174</v>
      </c>
      <c r="Q9" s="73" t="s">
        <v>242</v>
      </c>
      <c r="R9" s="74"/>
    </row>
    <row r="11" spans="2:18" x14ac:dyDescent="0.25">
      <c r="E11" s="114"/>
    </row>
  </sheetData>
  <protectedRanges>
    <protectedRange algorithmName="SHA-512" hashValue="U4wc1Axg1IQ7QSI/RbJ+fcKgLwpFgHmqXoi21+BAwdwmbSF2fRZN+98HF2oi1ZQkp7nGfH5m+WWfLUrrutouzg==" saltValue="tX3/SDe0T6AekOfOifPEaw==" spinCount="100000" sqref="D8:D9" name="Rango1"/>
  </protectedRanges>
  <mergeCells count="13">
    <mergeCell ref="B2:E3"/>
    <mergeCell ref="R6:R7"/>
    <mergeCell ref="Q1:R1"/>
    <mergeCell ref="Q2:R2"/>
    <mergeCell ref="Q3:R3"/>
    <mergeCell ref="P6:P7"/>
    <mergeCell ref="Q6:Q7"/>
    <mergeCell ref="M6:O6"/>
    <mergeCell ref="C8:C9"/>
    <mergeCell ref="F6:G6"/>
    <mergeCell ref="H6:J6"/>
    <mergeCell ref="K6:L6"/>
    <mergeCell ref="B6:E6"/>
  </mergeCells>
  <conditionalFormatting sqref="J8:K9">
    <cfRule type="cellIs" dxfId="23" priority="13" operator="between">
      <formula>12</formula>
      <formula>16</formula>
    </cfRule>
    <cfRule type="cellIs" dxfId="22" priority="14" operator="between">
      <formula>4</formula>
      <formula>6</formula>
    </cfRule>
    <cfRule type="cellIs" dxfId="21" priority="15" operator="between">
      <formula>8</formula>
      <formula>9</formula>
    </cfRule>
    <cfRule type="cellIs" dxfId="20" priority="16" operator="between">
      <formula>1</formula>
      <formula>3</formula>
    </cfRule>
  </conditionalFormatting>
  <conditionalFormatting sqref="R8:R9 O8:P9">
    <cfRule type="cellIs" dxfId="19" priority="9" operator="between">
      <formula>12</formula>
      <formula>16</formula>
    </cfRule>
    <cfRule type="cellIs" dxfId="18" priority="10" operator="between">
      <formula>8</formula>
      <formula>9</formula>
    </cfRule>
    <cfRule type="cellIs" dxfId="17" priority="11" operator="between">
      <formula>4</formula>
      <formula>6</formula>
    </cfRule>
    <cfRule type="cellIs" dxfId="16" priority="12" operator="between">
      <formula>1</formula>
      <formula>3</formula>
    </cfRule>
  </conditionalFormatting>
  <dataValidations count="1">
    <dataValidation type="list" allowBlank="1" showInputMessage="1" showErrorMessage="1" sqref="K8:K1048576" xr:uid="{40CB554A-1152-474C-8342-EA98C3FF8BFC}">
      <formula1>"1. PREVENIR(Reducción),2. MITIGAR(Reducción),3 ACEPTACIÓN,4. PREVENIR Y MITIGAR,5.DIVERSIFICAR,6.ELUDIR"</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6000000}">
          <x14:formula1>
            <xm:f>'Calificación y Semaforización'!$B$33:$B$37</xm:f>
          </x14:formula1>
          <xm:sqref>P8:P9</xm:sqref>
        </x14:dataValidation>
        <x14:dataValidation type="list" allowBlank="1" showInputMessage="1" showErrorMessage="1" xr:uid="{00000000-0002-0000-0000-000007000000}">
          <x14:formula1>
            <xm:f>'Calificación y Semaforización'!$A$2:$A$5</xm:f>
          </x14:formula1>
          <xm:sqref>H8:I9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N27"/>
  <sheetViews>
    <sheetView showGridLines="0" zoomScale="80" zoomScaleNormal="80" workbookViewId="0">
      <pane xSplit="1" ySplit="7" topLeftCell="B8" activePane="bottomRight" state="frozen"/>
      <selection pane="topRight" activeCell="B1" sqref="B1"/>
      <selection pane="bottomLeft" activeCell="A8" sqref="A8"/>
      <selection pane="bottomRight" activeCell="D8" sqref="D8"/>
    </sheetView>
  </sheetViews>
  <sheetFormatPr baseColWidth="10" defaultColWidth="11.44140625" defaultRowHeight="13.8" x14ac:dyDescent="0.25"/>
  <cols>
    <col min="1" max="1" width="3" style="51" customWidth="1"/>
    <col min="2" max="2" width="8.6640625" style="51" customWidth="1"/>
    <col min="3" max="3" width="17.33203125" style="51" customWidth="1"/>
    <col min="4" max="4" width="32.88671875" style="51" customWidth="1"/>
    <col min="5" max="5" width="40.5546875" style="51" customWidth="1"/>
    <col min="6" max="6" width="38.5546875" style="51" customWidth="1"/>
    <col min="7" max="7" width="14.33203125" style="51" customWidth="1"/>
    <col min="8" max="8" width="19" style="51" customWidth="1"/>
    <col min="9" max="9" width="38.88671875" style="51" customWidth="1"/>
    <col min="10" max="10" width="33.6640625" style="51" customWidth="1"/>
    <col min="11" max="12" width="4.44140625" style="51" customWidth="1"/>
    <col min="13" max="13" width="9" style="51" customWidth="1"/>
    <col min="14" max="14" width="28.109375" style="51" customWidth="1"/>
    <col min="15" max="16" width="24" style="51" customWidth="1"/>
    <col min="17" max="17" width="17" style="51" customWidth="1"/>
    <col min="18" max="18" width="18.88671875" style="51" customWidth="1"/>
    <col min="19" max="24" width="17" style="51" customWidth="1"/>
    <col min="25" max="25" width="15.33203125" style="51" customWidth="1"/>
    <col min="26" max="27" width="4.44140625" style="51" customWidth="1"/>
    <col min="28" max="34" width="16.5546875" style="51" customWidth="1"/>
    <col min="35" max="35" width="27.6640625" style="51" customWidth="1"/>
    <col min="36" max="36" width="18.33203125" style="51" customWidth="1"/>
    <col min="37" max="37" width="22" style="51" customWidth="1"/>
    <col min="38" max="39" width="4.44140625" style="51" customWidth="1"/>
    <col min="40" max="16384" width="11.44140625" style="51"/>
  </cols>
  <sheetData>
    <row r="1" spans="2:40" ht="14.4" thickBot="1" x14ac:dyDescent="0.3"/>
    <row r="2" spans="2:40" ht="24.9" customHeight="1" x14ac:dyDescent="0.25">
      <c r="B2" s="311"/>
      <c r="C2" s="312"/>
      <c r="D2" s="312"/>
      <c r="E2" s="312"/>
      <c r="F2" s="312" t="s">
        <v>85</v>
      </c>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212" t="s">
        <v>41</v>
      </c>
      <c r="AL2" s="319">
        <v>43979</v>
      </c>
      <c r="AM2" s="319"/>
      <c r="AN2" s="320"/>
    </row>
    <row r="3" spans="2:40" ht="24.9" customHeight="1" thickBot="1" x14ac:dyDescent="0.3">
      <c r="B3" s="313"/>
      <c r="C3" s="314"/>
      <c r="D3" s="314"/>
      <c r="E3" s="314"/>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213" t="s">
        <v>42</v>
      </c>
      <c r="AL3" s="321" t="s">
        <v>148</v>
      </c>
      <c r="AM3" s="321"/>
      <c r="AN3" s="322"/>
    </row>
    <row r="4" spans="2:40" x14ac:dyDescent="0.2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2:40" ht="16.2" thickBot="1" x14ac:dyDescent="0.35">
      <c r="B5" s="116" t="s">
        <v>157</v>
      </c>
      <c r="C5" s="1"/>
      <c r="D5" s="24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2:40" ht="30" customHeight="1" thickBot="1" x14ac:dyDescent="0.3">
      <c r="B6" s="1"/>
      <c r="C6" s="323" t="s">
        <v>185</v>
      </c>
      <c r="D6" s="303"/>
      <c r="E6" s="303"/>
      <c r="F6" s="324"/>
      <c r="G6" s="323" t="s">
        <v>8</v>
      </c>
      <c r="H6" s="324"/>
      <c r="I6" s="325" t="s">
        <v>18</v>
      </c>
      <c r="J6" s="303"/>
      <c r="K6" s="303"/>
      <c r="L6" s="303"/>
      <c r="M6" s="303"/>
      <c r="N6" s="326" t="s">
        <v>40</v>
      </c>
      <c r="O6" s="326" t="s">
        <v>149</v>
      </c>
      <c r="P6" s="326" t="s">
        <v>150</v>
      </c>
      <c r="Q6" s="303" t="s">
        <v>186</v>
      </c>
      <c r="R6" s="303"/>
      <c r="S6" s="303"/>
      <c r="T6" s="303"/>
      <c r="U6" s="303"/>
      <c r="V6" s="303"/>
      <c r="W6" s="303"/>
      <c r="X6" s="304"/>
      <c r="Y6" s="325" t="s">
        <v>187</v>
      </c>
      <c r="Z6" s="303"/>
      <c r="AA6" s="303"/>
      <c r="AB6" s="304"/>
      <c r="AC6" s="315" t="s">
        <v>151</v>
      </c>
      <c r="AD6" s="329"/>
      <c r="AE6" s="329"/>
      <c r="AF6" s="329"/>
      <c r="AG6" s="329"/>
      <c r="AH6" s="329"/>
      <c r="AI6" s="330" t="s">
        <v>190</v>
      </c>
      <c r="AJ6" s="331"/>
      <c r="AK6" s="332"/>
      <c r="AL6" s="323" t="s">
        <v>192</v>
      </c>
      <c r="AM6" s="333"/>
      <c r="AN6" s="324"/>
    </row>
    <row r="7" spans="2:40" ht="79.8" thickBot="1" x14ac:dyDescent="0.3">
      <c r="B7" s="117" t="s">
        <v>7</v>
      </c>
      <c r="C7" s="118" t="s">
        <v>29</v>
      </c>
      <c r="D7" s="118" t="s">
        <v>57</v>
      </c>
      <c r="E7" s="184" t="s">
        <v>56</v>
      </c>
      <c r="F7" s="119" t="s">
        <v>5</v>
      </c>
      <c r="G7" s="120" t="s">
        <v>9</v>
      </c>
      <c r="H7" s="119" t="s">
        <v>13</v>
      </c>
      <c r="I7" s="121" t="s">
        <v>20</v>
      </c>
      <c r="J7" s="122" t="s">
        <v>17</v>
      </c>
      <c r="K7" s="127" t="s">
        <v>35</v>
      </c>
      <c r="L7" s="124" t="s">
        <v>38</v>
      </c>
      <c r="M7" s="125" t="s">
        <v>19</v>
      </c>
      <c r="N7" s="327"/>
      <c r="O7" s="328"/>
      <c r="P7" s="328"/>
      <c r="Q7" s="125" t="s">
        <v>44</v>
      </c>
      <c r="R7" s="126" t="s">
        <v>45</v>
      </c>
      <c r="S7" s="117" t="s">
        <v>46</v>
      </c>
      <c r="T7" s="117" t="s">
        <v>47</v>
      </c>
      <c r="U7" s="117" t="s">
        <v>58</v>
      </c>
      <c r="V7" s="117" t="s">
        <v>48</v>
      </c>
      <c r="W7" s="117" t="s">
        <v>49</v>
      </c>
      <c r="X7" s="117" t="s">
        <v>50</v>
      </c>
      <c r="Y7" s="123" t="s">
        <v>188</v>
      </c>
      <c r="Z7" s="127" t="s">
        <v>35</v>
      </c>
      <c r="AA7" s="124" t="s">
        <v>38</v>
      </c>
      <c r="AB7" s="128" t="s">
        <v>189</v>
      </c>
      <c r="AC7" s="214" t="s">
        <v>151</v>
      </c>
      <c r="AD7" s="130" t="s">
        <v>0</v>
      </c>
      <c r="AE7" s="130" t="s">
        <v>152</v>
      </c>
      <c r="AF7" s="130" t="s">
        <v>153</v>
      </c>
      <c r="AG7" s="130" t="s">
        <v>154</v>
      </c>
      <c r="AH7" s="127" t="s">
        <v>155</v>
      </c>
      <c r="AI7" s="214" t="s">
        <v>21</v>
      </c>
      <c r="AJ7" s="124" t="s">
        <v>191</v>
      </c>
      <c r="AK7" s="128" t="s">
        <v>0</v>
      </c>
      <c r="AL7" s="130" t="s">
        <v>35</v>
      </c>
      <c r="AM7" s="124" t="s">
        <v>38</v>
      </c>
      <c r="AN7" s="128" t="s">
        <v>37</v>
      </c>
    </row>
    <row r="8" spans="2:40" ht="69" x14ac:dyDescent="0.25">
      <c r="B8" s="53" t="s">
        <v>87</v>
      </c>
      <c r="C8" s="215" t="s">
        <v>156</v>
      </c>
      <c r="D8" s="55" t="s">
        <v>89</v>
      </c>
      <c r="E8" s="248" t="s">
        <v>104</v>
      </c>
      <c r="F8" s="288" t="s">
        <v>128</v>
      </c>
      <c r="G8" s="53" t="s">
        <v>30</v>
      </c>
      <c r="H8" s="249" t="s">
        <v>14</v>
      </c>
      <c r="I8" s="56" t="s">
        <v>129</v>
      </c>
      <c r="J8" s="250" t="s">
        <v>111</v>
      </c>
      <c r="K8" s="269">
        <v>2</v>
      </c>
      <c r="L8" s="242">
        <v>3</v>
      </c>
      <c r="M8" s="275">
        <f>K8*L8</f>
        <v>6</v>
      </c>
      <c r="N8" s="56" t="s">
        <v>158</v>
      </c>
      <c r="O8" s="267" t="s">
        <v>161</v>
      </c>
      <c r="P8" s="268" t="s">
        <v>166</v>
      </c>
      <c r="Q8" s="251">
        <v>15</v>
      </c>
      <c r="R8" s="58">
        <v>5</v>
      </c>
      <c r="S8" s="58">
        <v>0</v>
      </c>
      <c r="T8" s="58">
        <v>10</v>
      </c>
      <c r="U8" s="58">
        <v>15</v>
      </c>
      <c r="V8" s="58">
        <v>10</v>
      </c>
      <c r="W8" s="58">
        <v>30</v>
      </c>
      <c r="X8" s="135">
        <f t="shared" ref="X8:X9" si="0">SUM(Q8:W8)</f>
        <v>85</v>
      </c>
      <c r="Y8" s="137">
        <f>IF(X8&lt;51,"0",IF(X8&lt;76,1,2))</f>
        <v>2</v>
      </c>
      <c r="Z8" s="74">
        <v>1</v>
      </c>
      <c r="AA8" s="245">
        <f t="shared" ref="AA8:AA23" si="1">L8</f>
        <v>3</v>
      </c>
      <c r="AB8" s="139">
        <f>Z8*AA8</f>
        <v>3</v>
      </c>
      <c r="AC8" s="188"/>
      <c r="AD8" s="63"/>
      <c r="AE8" s="63"/>
      <c r="AF8" s="63"/>
      <c r="AG8" s="63"/>
      <c r="AH8" s="253"/>
      <c r="AI8" s="239"/>
      <c r="AJ8" s="216"/>
      <c r="AK8" s="217"/>
      <c r="AL8" s="63"/>
      <c r="AM8" s="60"/>
      <c r="AN8" s="254">
        <f>AL8*AM8</f>
        <v>0</v>
      </c>
    </row>
    <row r="9" spans="2:40" ht="41.4" x14ac:dyDescent="0.25">
      <c r="B9" s="158" t="s">
        <v>88</v>
      </c>
      <c r="C9" s="215" t="s">
        <v>156</v>
      </c>
      <c r="D9" s="186" t="s">
        <v>90</v>
      </c>
      <c r="E9" s="66" t="s">
        <v>103</v>
      </c>
      <c r="F9" s="67" t="s">
        <v>105</v>
      </c>
      <c r="G9" s="64" t="s">
        <v>30</v>
      </c>
      <c r="H9" s="68" t="s">
        <v>16</v>
      </c>
      <c r="I9" s="69" t="s">
        <v>107</v>
      </c>
      <c r="J9" s="70" t="s">
        <v>112</v>
      </c>
      <c r="K9" s="270">
        <v>4</v>
      </c>
      <c r="L9" s="20">
        <v>3</v>
      </c>
      <c r="M9" s="276">
        <f>K9*L9</f>
        <v>12</v>
      </c>
      <c r="N9" s="69" t="s">
        <v>130</v>
      </c>
      <c r="O9" s="267" t="s">
        <v>161</v>
      </c>
      <c r="P9" s="76" t="s">
        <v>166</v>
      </c>
      <c r="Q9" s="72">
        <v>15</v>
      </c>
      <c r="R9" s="73">
        <v>5</v>
      </c>
      <c r="S9" s="73">
        <v>0</v>
      </c>
      <c r="T9" s="73">
        <v>10</v>
      </c>
      <c r="U9" s="73">
        <v>15</v>
      </c>
      <c r="V9" s="73">
        <v>10</v>
      </c>
      <c r="W9" s="73">
        <v>30</v>
      </c>
      <c r="X9" s="135">
        <f t="shared" si="0"/>
        <v>85</v>
      </c>
      <c r="Y9" s="137">
        <f t="shared" ref="Y9:Y23" si="2">IF(X9&lt;51,"0",IF(X9&lt;76,1,2))</f>
        <v>2</v>
      </c>
      <c r="Z9" s="74">
        <f t="shared" ref="Z9:Z23" si="3">K9-Y9</f>
        <v>2</v>
      </c>
      <c r="AA9" s="245">
        <f t="shared" si="1"/>
        <v>3</v>
      </c>
      <c r="AB9" s="139">
        <f>Z9*AA9</f>
        <v>6</v>
      </c>
      <c r="AC9" s="64"/>
      <c r="AD9" s="255"/>
      <c r="AE9" s="255"/>
      <c r="AF9" s="255"/>
      <c r="AG9" s="255"/>
      <c r="AH9" s="54"/>
      <c r="AI9" s="69" t="s">
        <v>118</v>
      </c>
      <c r="AJ9" s="75"/>
      <c r="AK9" s="76"/>
      <c r="AL9" s="63"/>
      <c r="AM9" s="74"/>
      <c r="AN9" s="68">
        <f>AL9*AM9</f>
        <v>0</v>
      </c>
    </row>
    <row r="10" spans="2:40" ht="41.4" x14ac:dyDescent="0.25">
      <c r="B10" s="64" t="s">
        <v>93</v>
      </c>
      <c r="C10" s="215" t="s">
        <v>156</v>
      </c>
      <c r="D10" s="186" t="s">
        <v>97</v>
      </c>
      <c r="E10" s="186" t="s">
        <v>102</v>
      </c>
      <c r="F10" s="67" t="s">
        <v>131</v>
      </c>
      <c r="G10" s="64" t="s">
        <v>12</v>
      </c>
      <c r="H10" s="68" t="s">
        <v>14</v>
      </c>
      <c r="I10" s="69" t="s">
        <v>108</v>
      </c>
      <c r="J10" s="70" t="s">
        <v>113</v>
      </c>
      <c r="K10" s="270">
        <v>3</v>
      </c>
      <c r="L10" s="150">
        <v>2</v>
      </c>
      <c r="M10" s="276">
        <f t="shared" ref="M10:M23" si="4">K10*L10</f>
        <v>6</v>
      </c>
      <c r="N10" s="69" t="s">
        <v>117</v>
      </c>
      <c r="O10" s="267" t="s">
        <v>161</v>
      </c>
      <c r="P10" s="76" t="s">
        <v>162</v>
      </c>
      <c r="Q10" s="72">
        <v>0</v>
      </c>
      <c r="R10" s="73">
        <v>5</v>
      </c>
      <c r="S10" s="73">
        <v>0</v>
      </c>
      <c r="T10" s="73">
        <v>10</v>
      </c>
      <c r="U10" s="73">
        <v>15</v>
      </c>
      <c r="V10" s="73">
        <v>10</v>
      </c>
      <c r="W10" s="73">
        <v>30</v>
      </c>
      <c r="X10" s="135">
        <f t="shared" ref="X10:X23" si="5">SUM(Q10:W10)</f>
        <v>70</v>
      </c>
      <c r="Y10" s="137">
        <f t="shared" si="2"/>
        <v>1</v>
      </c>
      <c r="Z10" s="74">
        <f t="shared" si="3"/>
        <v>2</v>
      </c>
      <c r="AA10" s="245">
        <f t="shared" si="1"/>
        <v>2</v>
      </c>
      <c r="AB10" s="139">
        <f t="shared" ref="AB10:AB23" si="6">Z10*AA10</f>
        <v>4</v>
      </c>
      <c r="AC10" s="64"/>
      <c r="AD10" s="255"/>
      <c r="AE10" s="255"/>
      <c r="AF10" s="255"/>
      <c r="AG10" s="255"/>
      <c r="AH10" s="54"/>
      <c r="AI10" s="69" t="s">
        <v>119</v>
      </c>
      <c r="AJ10" s="75"/>
      <c r="AK10" s="76"/>
      <c r="AL10" s="63"/>
      <c r="AM10" s="74"/>
      <c r="AN10" s="68">
        <f t="shared" ref="AN10:AN23" si="7">AL10*AM10</f>
        <v>0</v>
      </c>
    </row>
    <row r="11" spans="2:40" ht="27.6" x14ac:dyDescent="0.25">
      <c r="B11" s="158" t="s">
        <v>94</v>
      </c>
      <c r="C11" s="215" t="s">
        <v>156</v>
      </c>
      <c r="D11" s="256" t="s">
        <v>92</v>
      </c>
      <c r="E11" s="257" t="s">
        <v>132</v>
      </c>
      <c r="F11" s="258" t="s">
        <v>131</v>
      </c>
      <c r="G11" s="158" t="s">
        <v>11</v>
      </c>
      <c r="H11" s="259" t="s">
        <v>14</v>
      </c>
      <c r="I11" s="260" t="s">
        <v>109</v>
      </c>
      <c r="J11" s="261" t="s">
        <v>114</v>
      </c>
      <c r="K11" s="271">
        <v>3</v>
      </c>
      <c r="L11" s="243">
        <v>3</v>
      </c>
      <c r="M11" s="276">
        <f t="shared" si="4"/>
        <v>9</v>
      </c>
      <c r="N11" s="69" t="s">
        <v>159</v>
      </c>
      <c r="O11" s="267" t="s">
        <v>161</v>
      </c>
      <c r="P11" s="76" t="s">
        <v>163</v>
      </c>
      <c r="Q11" s="262">
        <v>0</v>
      </c>
      <c r="R11" s="263">
        <v>5</v>
      </c>
      <c r="S11" s="263">
        <v>0</v>
      </c>
      <c r="T11" s="263">
        <v>10</v>
      </c>
      <c r="U11" s="263">
        <v>0</v>
      </c>
      <c r="V11" s="263">
        <v>10</v>
      </c>
      <c r="W11" s="263">
        <v>0</v>
      </c>
      <c r="X11" s="135">
        <f t="shared" ref="X11" si="8">SUM(Q11:W11)</f>
        <v>25</v>
      </c>
      <c r="Y11" s="137" t="str">
        <f t="shared" si="2"/>
        <v>0</v>
      </c>
      <c r="Z11" s="74">
        <f t="shared" si="3"/>
        <v>3</v>
      </c>
      <c r="AA11" s="245">
        <f t="shared" si="1"/>
        <v>3</v>
      </c>
      <c r="AB11" s="139">
        <f t="shared" si="6"/>
        <v>9</v>
      </c>
      <c r="AC11" s="64"/>
      <c r="AD11" s="255"/>
      <c r="AE11" s="255"/>
      <c r="AF11" s="255"/>
      <c r="AG11" s="255"/>
      <c r="AH11" s="54"/>
      <c r="AI11" s="69" t="s">
        <v>120</v>
      </c>
      <c r="AJ11" s="75"/>
      <c r="AK11" s="76" t="s">
        <v>133</v>
      </c>
      <c r="AL11" s="63"/>
      <c r="AM11" s="74"/>
      <c r="AN11" s="68">
        <f t="shared" si="7"/>
        <v>0</v>
      </c>
    </row>
    <row r="12" spans="2:40" ht="41.4" x14ac:dyDescent="0.25">
      <c r="B12" s="64" t="s">
        <v>95</v>
      </c>
      <c r="C12" s="215" t="s">
        <v>156</v>
      </c>
      <c r="D12" s="186" t="s">
        <v>98</v>
      </c>
      <c r="E12" s="66" t="s">
        <v>101</v>
      </c>
      <c r="F12" s="264" t="s">
        <v>106</v>
      </c>
      <c r="G12" s="265" t="s">
        <v>31</v>
      </c>
      <c r="H12" s="68" t="s">
        <v>16</v>
      </c>
      <c r="I12" s="69" t="s">
        <v>110</v>
      </c>
      <c r="J12" s="70" t="s">
        <v>115</v>
      </c>
      <c r="K12" s="272">
        <v>2</v>
      </c>
      <c r="L12" s="20">
        <v>4</v>
      </c>
      <c r="M12" s="276">
        <f t="shared" si="4"/>
        <v>8</v>
      </c>
      <c r="N12" s="239" t="s">
        <v>116</v>
      </c>
      <c r="O12" s="267" t="s">
        <v>161</v>
      </c>
      <c r="P12" s="76" t="s">
        <v>164</v>
      </c>
      <c r="Q12" s="72">
        <v>0</v>
      </c>
      <c r="R12" s="73">
        <v>5</v>
      </c>
      <c r="S12" s="73">
        <v>0</v>
      </c>
      <c r="T12" s="73">
        <v>10</v>
      </c>
      <c r="U12" s="73">
        <v>15</v>
      </c>
      <c r="V12" s="73">
        <v>10</v>
      </c>
      <c r="W12" s="73">
        <v>30</v>
      </c>
      <c r="X12" s="135">
        <f t="shared" ref="X12:X19" si="9">SUM(Q12:W12)</f>
        <v>70</v>
      </c>
      <c r="Y12" s="137">
        <f t="shared" si="2"/>
        <v>1</v>
      </c>
      <c r="Z12" s="74">
        <f t="shared" si="3"/>
        <v>1</v>
      </c>
      <c r="AA12" s="245">
        <f t="shared" si="1"/>
        <v>4</v>
      </c>
      <c r="AB12" s="139">
        <f t="shared" si="6"/>
        <v>4</v>
      </c>
      <c r="AC12" s="64"/>
      <c r="AD12" s="255"/>
      <c r="AE12" s="255"/>
      <c r="AF12" s="255"/>
      <c r="AG12" s="255"/>
      <c r="AH12" s="54"/>
      <c r="AI12" s="239" t="s">
        <v>121</v>
      </c>
      <c r="AJ12" s="208"/>
      <c r="AK12" s="252" t="s">
        <v>135</v>
      </c>
      <c r="AL12" s="63"/>
      <c r="AM12" s="74"/>
      <c r="AN12" s="68">
        <f t="shared" si="7"/>
        <v>0</v>
      </c>
    </row>
    <row r="13" spans="2:40" ht="69" x14ac:dyDescent="0.25">
      <c r="B13" s="158" t="s">
        <v>96</v>
      </c>
      <c r="C13" s="215" t="s">
        <v>156</v>
      </c>
      <c r="D13" s="186" t="s">
        <v>99</v>
      </c>
      <c r="E13" s="66" t="s">
        <v>100</v>
      </c>
      <c r="F13" s="67" t="s">
        <v>136</v>
      </c>
      <c r="G13" s="64" t="s">
        <v>30</v>
      </c>
      <c r="H13" s="68" t="s">
        <v>14</v>
      </c>
      <c r="I13" s="69" t="s">
        <v>137</v>
      </c>
      <c r="J13" s="70" t="s">
        <v>138</v>
      </c>
      <c r="K13" s="270">
        <v>3</v>
      </c>
      <c r="L13" s="150">
        <v>3</v>
      </c>
      <c r="M13" s="276">
        <f t="shared" si="4"/>
        <v>9</v>
      </c>
      <c r="N13" s="69" t="s">
        <v>160</v>
      </c>
      <c r="O13" s="267" t="s">
        <v>161</v>
      </c>
      <c r="P13" s="76" t="s">
        <v>165</v>
      </c>
      <c r="Q13" s="72">
        <v>15</v>
      </c>
      <c r="R13" s="73">
        <v>5</v>
      </c>
      <c r="S13" s="73">
        <v>0</v>
      </c>
      <c r="T13" s="73">
        <v>10</v>
      </c>
      <c r="U13" s="73">
        <v>15</v>
      </c>
      <c r="V13" s="73">
        <v>10</v>
      </c>
      <c r="W13" s="73">
        <v>30</v>
      </c>
      <c r="X13" s="135">
        <f t="shared" si="9"/>
        <v>85</v>
      </c>
      <c r="Y13" s="137">
        <f t="shared" si="2"/>
        <v>2</v>
      </c>
      <c r="Z13" s="74">
        <f t="shared" si="3"/>
        <v>1</v>
      </c>
      <c r="AA13" s="245">
        <f t="shared" si="1"/>
        <v>3</v>
      </c>
      <c r="AB13" s="139">
        <f t="shared" si="6"/>
        <v>3</v>
      </c>
      <c r="AC13" s="64"/>
      <c r="AD13" s="255"/>
      <c r="AE13" s="255"/>
      <c r="AF13" s="255"/>
      <c r="AG13" s="255"/>
      <c r="AH13" s="54"/>
      <c r="AI13" s="69" t="s">
        <v>140</v>
      </c>
      <c r="AJ13" s="75"/>
      <c r="AK13" s="76" t="s">
        <v>141</v>
      </c>
      <c r="AL13" s="63"/>
      <c r="AM13" s="74"/>
      <c r="AN13" s="68">
        <f t="shared" si="7"/>
        <v>0</v>
      </c>
    </row>
    <row r="14" spans="2:40" s="94" customFormat="1" ht="41.4" x14ac:dyDescent="0.25">
      <c r="B14" s="64" t="s">
        <v>123</v>
      </c>
      <c r="C14" s="215" t="s">
        <v>156</v>
      </c>
      <c r="D14" s="186"/>
      <c r="E14" s="66" t="s">
        <v>142</v>
      </c>
      <c r="F14" s="67" t="s">
        <v>131</v>
      </c>
      <c r="G14" s="64" t="s">
        <v>30</v>
      </c>
      <c r="H14" s="68" t="s">
        <v>14</v>
      </c>
      <c r="I14" s="69" t="s">
        <v>143</v>
      </c>
      <c r="J14" s="70" t="s">
        <v>144</v>
      </c>
      <c r="K14" s="270">
        <v>3</v>
      </c>
      <c r="L14" s="150">
        <v>3</v>
      </c>
      <c r="M14" s="276">
        <f t="shared" si="4"/>
        <v>9</v>
      </c>
      <c r="N14" s="69" t="s">
        <v>134</v>
      </c>
      <c r="O14" s="71"/>
      <c r="P14" s="76"/>
      <c r="Q14" s="72">
        <v>0</v>
      </c>
      <c r="R14" s="73">
        <v>5</v>
      </c>
      <c r="S14" s="73">
        <v>0</v>
      </c>
      <c r="T14" s="73">
        <v>10</v>
      </c>
      <c r="U14" s="73">
        <v>0</v>
      </c>
      <c r="V14" s="73">
        <v>10</v>
      </c>
      <c r="W14" s="73">
        <v>0</v>
      </c>
      <c r="X14" s="135">
        <f t="shared" ref="X14:X15" si="10">SUM(Q14:W14)</f>
        <v>25</v>
      </c>
      <c r="Y14" s="137" t="str">
        <f t="shared" si="2"/>
        <v>0</v>
      </c>
      <c r="Z14" s="74">
        <f t="shared" si="3"/>
        <v>3</v>
      </c>
      <c r="AA14" s="245">
        <f t="shared" si="1"/>
        <v>3</v>
      </c>
      <c r="AB14" s="139">
        <f t="shared" si="6"/>
        <v>9</v>
      </c>
      <c r="AC14" s="64"/>
      <c r="AD14" s="255"/>
      <c r="AE14" s="255"/>
      <c r="AF14" s="255"/>
      <c r="AG14" s="255"/>
      <c r="AH14" s="54"/>
      <c r="AI14" s="69" t="s">
        <v>145</v>
      </c>
      <c r="AJ14" s="90"/>
      <c r="AK14" s="76" t="s">
        <v>146</v>
      </c>
      <c r="AL14" s="92"/>
      <c r="AM14" s="93"/>
      <c r="AN14" s="68">
        <f t="shared" si="7"/>
        <v>0</v>
      </c>
    </row>
    <row r="15" spans="2:40" s="94" customFormat="1" ht="69" x14ac:dyDescent="0.25">
      <c r="B15" s="64" t="s">
        <v>168</v>
      </c>
      <c r="C15" s="54" t="s">
        <v>156</v>
      </c>
      <c r="D15" s="186" t="s">
        <v>169</v>
      </c>
      <c r="E15" s="66" t="s">
        <v>170</v>
      </c>
      <c r="F15" s="67" t="s">
        <v>171</v>
      </c>
      <c r="G15" s="64" t="s">
        <v>30</v>
      </c>
      <c r="H15" s="68" t="s">
        <v>14</v>
      </c>
      <c r="I15" s="69" t="s">
        <v>172</v>
      </c>
      <c r="J15" s="70" t="s">
        <v>173</v>
      </c>
      <c r="K15" s="270">
        <v>4</v>
      </c>
      <c r="L15" s="150">
        <v>3</v>
      </c>
      <c r="M15" s="276">
        <f t="shared" si="4"/>
        <v>12</v>
      </c>
      <c r="N15" s="69" t="s">
        <v>194</v>
      </c>
      <c r="O15" s="66" t="s">
        <v>161</v>
      </c>
      <c r="P15" s="76" t="s">
        <v>167</v>
      </c>
      <c r="Q15" s="218">
        <v>15</v>
      </c>
      <c r="R15" s="89">
        <v>5</v>
      </c>
      <c r="S15" s="89">
        <v>0</v>
      </c>
      <c r="T15" s="89">
        <v>10</v>
      </c>
      <c r="U15" s="89">
        <v>15</v>
      </c>
      <c r="V15" s="89">
        <v>10</v>
      </c>
      <c r="W15" s="89">
        <v>30</v>
      </c>
      <c r="X15" s="135">
        <f t="shared" si="10"/>
        <v>85</v>
      </c>
      <c r="Y15" s="137">
        <f t="shared" si="2"/>
        <v>2</v>
      </c>
      <c r="Z15" s="74">
        <f t="shared" si="3"/>
        <v>2</v>
      </c>
      <c r="AA15" s="245">
        <f t="shared" si="1"/>
        <v>3</v>
      </c>
      <c r="AB15" s="139">
        <f t="shared" si="6"/>
        <v>6</v>
      </c>
      <c r="AC15" s="64"/>
      <c r="AD15" s="74"/>
      <c r="AE15" s="74"/>
      <c r="AF15" s="74"/>
      <c r="AG15" s="74"/>
      <c r="AH15" s="54"/>
      <c r="AI15" s="83"/>
      <c r="AJ15" s="90"/>
      <c r="AK15" s="91"/>
      <c r="AL15" s="92"/>
      <c r="AM15" s="93"/>
      <c r="AN15" s="68">
        <f t="shared" si="7"/>
        <v>0</v>
      </c>
    </row>
    <row r="16" spans="2:40" x14ac:dyDescent="0.25">
      <c r="B16" s="64"/>
      <c r="C16" s="54"/>
      <c r="D16" s="186"/>
      <c r="E16" s="66"/>
      <c r="F16" s="67"/>
      <c r="G16" s="64"/>
      <c r="H16" s="68"/>
      <c r="I16" s="69"/>
      <c r="J16" s="70"/>
      <c r="K16" s="270"/>
      <c r="L16" s="150"/>
      <c r="M16" s="276">
        <f t="shared" si="4"/>
        <v>0</v>
      </c>
      <c r="N16" s="69"/>
      <c r="O16" s="66"/>
      <c r="P16" s="67"/>
      <c r="Q16" s="219"/>
      <c r="R16" s="73"/>
      <c r="S16" s="73"/>
      <c r="T16" s="73"/>
      <c r="U16" s="73"/>
      <c r="V16" s="73"/>
      <c r="W16" s="73"/>
      <c r="X16" s="135">
        <f t="shared" si="9"/>
        <v>0</v>
      </c>
      <c r="Y16" s="137" t="str">
        <f t="shared" si="2"/>
        <v>0</v>
      </c>
      <c r="Z16" s="74">
        <f t="shared" si="3"/>
        <v>0</v>
      </c>
      <c r="AA16" s="245">
        <f t="shared" si="1"/>
        <v>0</v>
      </c>
      <c r="AB16" s="139">
        <f t="shared" si="6"/>
        <v>0</v>
      </c>
      <c r="AC16" s="64"/>
      <c r="AD16" s="74"/>
      <c r="AE16" s="74"/>
      <c r="AF16" s="74"/>
      <c r="AG16" s="74"/>
      <c r="AH16" s="54"/>
      <c r="AI16" s="69"/>
      <c r="AJ16" s="75"/>
      <c r="AK16" s="76"/>
      <c r="AL16" s="63"/>
      <c r="AM16" s="74"/>
      <c r="AN16" s="68">
        <f t="shared" si="7"/>
        <v>0</v>
      </c>
    </row>
    <row r="17" spans="2:40" x14ac:dyDescent="0.25">
      <c r="B17" s="64"/>
      <c r="C17" s="54"/>
      <c r="D17" s="186"/>
      <c r="E17" s="66"/>
      <c r="F17" s="67"/>
      <c r="G17" s="64"/>
      <c r="H17" s="68"/>
      <c r="I17" s="69"/>
      <c r="J17" s="70"/>
      <c r="K17" s="270"/>
      <c r="L17" s="150"/>
      <c r="M17" s="276">
        <f t="shared" si="4"/>
        <v>0</v>
      </c>
      <c r="N17" s="69"/>
      <c r="O17" s="66"/>
      <c r="P17" s="67"/>
      <c r="Q17" s="219"/>
      <c r="R17" s="73"/>
      <c r="S17" s="73"/>
      <c r="T17" s="73"/>
      <c r="U17" s="73"/>
      <c r="V17" s="73"/>
      <c r="W17" s="73"/>
      <c r="X17" s="135">
        <f t="shared" si="9"/>
        <v>0</v>
      </c>
      <c r="Y17" s="137" t="str">
        <f t="shared" si="2"/>
        <v>0</v>
      </c>
      <c r="Z17" s="74">
        <f t="shared" si="3"/>
        <v>0</v>
      </c>
      <c r="AA17" s="245">
        <f t="shared" si="1"/>
        <v>0</v>
      </c>
      <c r="AB17" s="139">
        <f t="shared" si="6"/>
        <v>0</v>
      </c>
      <c r="AC17" s="64"/>
      <c r="AD17" s="74"/>
      <c r="AE17" s="74"/>
      <c r="AF17" s="74"/>
      <c r="AG17" s="74"/>
      <c r="AH17" s="54"/>
      <c r="AI17" s="69"/>
      <c r="AJ17" s="75"/>
      <c r="AK17" s="76"/>
      <c r="AL17" s="63"/>
      <c r="AM17" s="74"/>
      <c r="AN17" s="68">
        <f t="shared" si="7"/>
        <v>0</v>
      </c>
    </row>
    <row r="18" spans="2:40" x14ac:dyDescent="0.25">
      <c r="B18" s="64"/>
      <c r="C18" s="54"/>
      <c r="D18" s="186"/>
      <c r="E18" s="66"/>
      <c r="F18" s="67"/>
      <c r="G18" s="64"/>
      <c r="H18" s="68"/>
      <c r="I18" s="69"/>
      <c r="J18" s="70"/>
      <c r="K18" s="270"/>
      <c r="L18" s="150"/>
      <c r="M18" s="276">
        <f t="shared" si="4"/>
        <v>0</v>
      </c>
      <c r="N18" s="69"/>
      <c r="O18" s="66"/>
      <c r="P18" s="67"/>
      <c r="Q18" s="219"/>
      <c r="R18" s="73"/>
      <c r="S18" s="73"/>
      <c r="T18" s="73"/>
      <c r="U18" s="73"/>
      <c r="V18" s="73"/>
      <c r="W18" s="73"/>
      <c r="X18" s="135">
        <f t="shared" si="9"/>
        <v>0</v>
      </c>
      <c r="Y18" s="137" t="str">
        <f t="shared" si="2"/>
        <v>0</v>
      </c>
      <c r="Z18" s="74">
        <f t="shared" si="3"/>
        <v>0</v>
      </c>
      <c r="AA18" s="245">
        <f t="shared" si="1"/>
        <v>0</v>
      </c>
      <c r="AB18" s="139">
        <f t="shared" si="6"/>
        <v>0</v>
      </c>
      <c r="AC18" s="64"/>
      <c r="AD18" s="74"/>
      <c r="AE18" s="74"/>
      <c r="AF18" s="74"/>
      <c r="AG18" s="74"/>
      <c r="AH18" s="54"/>
      <c r="AI18" s="69"/>
      <c r="AJ18" s="75"/>
      <c r="AK18" s="76"/>
      <c r="AL18" s="63"/>
      <c r="AM18" s="74"/>
      <c r="AN18" s="68">
        <f t="shared" si="7"/>
        <v>0</v>
      </c>
    </row>
    <row r="19" spans="2:40" x14ac:dyDescent="0.25">
      <c r="B19" s="64"/>
      <c r="C19" s="54"/>
      <c r="D19" s="186"/>
      <c r="E19" s="66"/>
      <c r="F19" s="67"/>
      <c r="G19" s="64"/>
      <c r="H19" s="68"/>
      <c r="I19" s="69"/>
      <c r="J19" s="70"/>
      <c r="K19" s="270"/>
      <c r="L19" s="150"/>
      <c r="M19" s="276">
        <f t="shared" si="4"/>
        <v>0</v>
      </c>
      <c r="N19" s="69"/>
      <c r="O19" s="66"/>
      <c r="P19" s="67"/>
      <c r="Q19" s="219"/>
      <c r="R19" s="73"/>
      <c r="S19" s="73"/>
      <c r="T19" s="73"/>
      <c r="U19" s="73"/>
      <c r="V19" s="73"/>
      <c r="W19" s="73"/>
      <c r="X19" s="135">
        <f t="shared" si="9"/>
        <v>0</v>
      </c>
      <c r="Y19" s="137" t="str">
        <f t="shared" si="2"/>
        <v>0</v>
      </c>
      <c r="Z19" s="74">
        <f t="shared" si="3"/>
        <v>0</v>
      </c>
      <c r="AA19" s="245">
        <f t="shared" si="1"/>
        <v>0</v>
      </c>
      <c r="AB19" s="139">
        <f t="shared" si="6"/>
        <v>0</v>
      </c>
      <c r="AC19" s="64"/>
      <c r="AD19" s="74"/>
      <c r="AE19" s="74"/>
      <c r="AF19" s="74"/>
      <c r="AG19" s="74"/>
      <c r="AH19" s="54"/>
      <c r="AI19" s="69"/>
      <c r="AJ19" s="75"/>
      <c r="AK19" s="76"/>
      <c r="AL19" s="63"/>
      <c r="AM19" s="74"/>
      <c r="AN19" s="68">
        <f t="shared" si="7"/>
        <v>0</v>
      </c>
    </row>
    <row r="20" spans="2:40" x14ac:dyDescent="0.25">
      <c r="B20" s="64"/>
      <c r="C20" s="54"/>
      <c r="D20" s="186"/>
      <c r="E20" s="66"/>
      <c r="F20" s="67"/>
      <c r="G20" s="64"/>
      <c r="H20" s="68"/>
      <c r="I20" s="69"/>
      <c r="J20" s="70"/>
      <c r="K20" s="270"/>
      <c r="L20" s="150"/>
      <c r="M20" s="276">
        <f t="shared" si="4"/>
        <v>0</v>
      </c>
      <c r="N20" s="69"/>
      <c r="O20" s="66"/>
      <c r="P20" s="67"/>
      <c r="Q20" s="219"/>
      <c r="R20" s="73"/>
      <c r="S20" s="73"/>
      <c r="T20" s="73"/>
      <c r="U20" s="73"/>
      <c r="V20" s="73"/>
      <c r="W20" s="73"/>
      <c r="X20" s="135">
        <f t="shared" si="5"/>
        <v>0</v>
      </c>
      <c r="Y20" s="137" t="str">
        <f t="shared" si="2"/>
        <v>0</v>
      </c>
      <c r="Z20" s="74">
        <f t="shared" si="3"/>
        <v>0</v>
      </c>
      <c r="AA20" s="245">
        <f t="shared" si="1"/>
        <v>0</v>
      </c>
      <c r="AB20" s="139">
        <f t="shared" si="6"/>
        <v>0</v>
      </c>
      <c r="AC20" s="64"/>
      <c r="AD20" s="74"/>
      <c r="AE20" s="74"/>
      <c r="AF20" s="74"/>
      <c r="AG20" s="74"/>
      <c r="AH20" s="54"/>
      <c r="AI20" s="69"/>
      <c r="AJ20" s="75"/>
      <c r="AK20" s="76"/>
      <c r="AL20" s="63"/>
      <c r="AM20" s="74"/>
      <c r="AN20" s="68">
        <f t="shared" si="7"/>
        <v>0</v>
      </c>
    </row>
    <row r="21" spans="2:40" s="236" customFormat="1" x14ac:dyDescent="0.25">
      <c r="B21" s="220" t="s">
        <v>122</v>
      </c>
      <c r="C21" s="221"/>
      <c r="D21" s="286"/>
      <c r="E21" s="222"/>
      <c r="F21" s="223"/>
      <c r="G21" s="220"/>
      <c r="H21" s="224"/>
      <c r="I21" s="225"/>
      <c r="J21" s="226"/>
      <c r="K21" s="273"/>
      <c r="L21" s="244"/>
      <c r="M21" s="277">
        <f t="shared" si="4"/>
        <v>0</v>
      </c>
      <c r="N21" s="225"/>
      <c r="O21" s="222"/>
      <c r="P21" s="223"/>
      <c r="Q21" s="227"/>
      <c r="R21" s="228"/>
      <c r="S21" s="228"/>
      <c r="T21" s="228"/>
      <c r="U21" s="228"/>
      <c r="V21" s="228"/>
      <c r="W21" s="228"/>
      <c r="X21" s="229">
        <f t="shared" si="5"/>
        <v>0</v>
      </c>
      <c r="Y21" s="230" t="str">
        <f t="shared" si="2"/>
        <v>0</v>
      </c>
      <c r="Z21" s="231">
        <f>K21</f>
        <v>0</v>
      </c>
      <c r="AA21" s="246">
        <f t="shared" si="1"/>
        <v>0</v>
      </c>
      <c r="AB21" s="232">
        <f t="shared" si="6"/>
        <v>0</v>
      </c>
      <c r="AC21" s="220"/>
      <c r="AD21" s="231"/>
      <c r="AE21" s="231"/>
      <c r="AF21" s="231"/>
      <c r="AG21" s="231"/>
      <c r="AH21" s="221"/>
      <c r="AI21" s="225"/>
      <c r="AJ21" s="233"/>
      <c r="AK21" s="234"/>
      <c r="AL21" s="235"/>
      <c r="AM21" s="231"/>
      <c r="AN21" s="224">
        <f t="shared" si="7"/>
        <v>0</v>
      </c>
    </row>
    <row r="22" spans="2:40" s="236" customFormat="1" x14ac:dyDescent="0.25">
      <c r="B22" s="220" t="s">
        <v>124</v>
      </c>
      <c r="C22" s="221"/>
      <c r="D22" s="286"/>
      <c r="E22" s="222"/>
      <c r="F22" s="223"/>
      <c r="G22" s="220"/>
      <c r="H22" s="224"/>
      <c r="I22" s="237"/>
      <c r="J22" s="226"/>
      <c r="K22" s="273"/>
      <c r="L22" s="244"/>
      <c r="M22" s="277">
        <f t="shared" si="4"/>
        <v>0</v>
      </c>
      <c r="N22" s="225"/>
      <c r="O22" s="222"/>
      <c r="P22" s="223"/>
      <c r="Q22" s="227"/>
      <c r="R22" s="228"/>
      <c r="S22" s="228"/>
      <c r="T22" s="228"/>
      <c r="U22" s="228"/>
      <c r="V22" s="228"/>
      <c r="W22" s="228"/>
      <c r="X22" s="229">
        <f t="shared" si="5"/>
        <v>0</v>
      </c>
      <c r="Y22" s="230" t="str">
        <f t="shared" si="2"/>
        <v>0</v>
      </c>
      <c r="Z22" s="231">
        <f t="shared" si="3"/>
        <v>0</v>
      </c>
      <c r="AA22" s="246">
        <f t="shared" si="1"/>
        <v>0</v>
      </c>
      <c r="AB22" s="232">
        <f t="shared" si="6"/>
        <v>0</v>
      </c>
      <c r="AC22" s="220"/>
      <c r="AD22" s="231"/>
      <c r="AE22" s="231"/>
      <c r="AF22" s="231"/>
      <c r="AG22" s="231"/>
      <c r="AH22" s="221"/>
      <c r="AI22" s="225"/>
      <c r="AJ22" s="233"/>
      <c r="AK22" s="234"/>
      <c r="AL22" s="235"/>
      <c r="AM22" s="231"/>
      <c r="AN22" s="266">
        <f t="shared" si="7"/>
        <v>0</v>
      </c>
    </row>
    <row r="23" spans="2:40" ht="14.4" thickBot="1" x14ac:dyDescent="0.3">
      <c r="B23" s="95"/>
      <c r="C23" s="96"/>
      <c r="D23" s="287"/>
      <c r="E23" s="98"/>
      <c r="F23" s="99"/>
      <c r="G23" s="95"/>
      <c r="H23" s="100"/>
      <c r="I23" s="101"/>
      <c r="J23" s="102"/>
      <c r="K23" s="274"/>
      <c r="L23" s="205"/>
      <c r="M23" s="278">
        <f t="shared" si="4"/>
        <v>0</v>
      </c>
      <c r="N23" s="101"/>
      <c r="O23" s="98"/>
      <c r="P23" s="99"/>
      <c r="Q23" s="238"/>
      <c r="R23" s="108"/>
      <c r="S23" s="108"/>
      <c r="T23" s="108"/>
      <c r="U23" s="108"/>
      <c r="V23" s="108"/>
      <c r="W23" s="108"/>
      <c r="X23" s="136">
        <f t="shared" si="5"/>
        <v>0</v>
      </c>
      <c r="Y23" s="138" t="str">
        <f t="shared" si="2"/>
        <v>0</v>
      </c>
      <c r="Z23" s="109">
        <f t="shared" si="3"/>
        <v>0</v>
      </c>
      <c r="AA23" s="247">
        <f t="shared" si="1"/>
        <v>0</v>
      </c>
      <c r="AB23" s="140">
        <f t="shared" si="6"/>
        <v>0</v>
      </c>
      <c r="AC23" s="95"/>
      <c r="AD23" s="109"/>
      <c r="AE23" s="109"/>
      <c r="AF23" s="109"/>
      <c r="AG23" s="109"/>
      <c r="AH23" s="96"/>
      <c r="AI23" s="101"/>
      <c r="AJ23" s="111"/>
      <c r="AK23" s="112"/>
      <c r="AL23" s="113"/>
      <c r="AM23" s="109"/>
      <c r="AN23" s="100">
        <f t="shared" si="7"/>
        <v>0</v>
      </c>
    </row>
    <row r="27" spans="2:40" x14ac:dyDescent="0.25">
      <c r="E27" s="114"/>
    </row>
  </sheetData>
  <mergeCells count="15">
    <mergeCell ref="B2:E3"/>
    <mergeCell ref="F2:AJ3"/>
    <mergeCell ref="AL2:AN2"/>
    <mergeCell ref="AL3:AN3"/>
    <mergeCell ref="C6:F6"/>
    <mergeCell ref="G6:H6"/>
    <mergeCell ref="I6:M6"/>
    <mergeCell ref="N6:N7"/>
    <mergeCell ref="O6:O7"/>
    <mergeCell ref="P6:P7"/>
    <mergeCell ref="Q6:X6"/>
    <mergeCell ref="Y6:AB6"/>
    <mergeCell ref="AC6:AH6"/>
    <mergeCell ref="AI6:AK6"/>
    <mergeCell ref="AL6:AN6"/>
  </mergeCells>
  <conditionalFormatting sqref="M8:M23">
    <cfRule type="cellIs" dxfId="15" priority="5" operator="between">
      <formula>12</formula>
      <formula>16</formula>
    </cfRule>
    <cfRule type="cellIs" dxfId="14" priority="6" operator="between">
      <formula>4</formula>
      <formula>6</formula>
    </cfRule>
    <cfRule type="cellIs" dxfId="13" priority="7" operator="between">
      <formula>8</formula>
      <formula>9</formula>
    </cfRule>
    <cfRule type="cellIs" dxfId="12" priority="8" operator="between">
      <formula>1</formula>
      <formula>3</formula>
    </cfRule>
  </conditionalFormatting>
  <conditionalFormatting sqref="AB8:AH23 AN8:AN23">
    <cfRule type="cellIs" dxfId="11" priority="1" operator="between">
      <formula>12</formula>
      <formula>16</formula>
    </cfRule>
    <cfRule type="cellIs" dxfId="10" priority="2" operator="between">
      <formula>8</formula>
      <formula>9</formula>
    </cfRule>
    <cfRule type="cellIs" dxfId="9" priority="3" operator="between">
      <formula>4</formula>
      <formula>6</formula>
    </cfRule>
    <cfRule type="cellIs" dxfId="8" priority="4" operator="between">
      <formula>1</formula>
      <formula>3</formula>
    </cfRule>
  </conditionalFormatting>
  <pageMargins left="0.7" right="0.7" top="0.75" bottom="0.75" header="0.3" footer="0.3"/>
  <pageSetup orientation="portrait" r:id="rId1"/>
  <ignoredErrors>
    <ignoredError sqref="M8:M23 AA8 AA9:AA23 Z9:Z23" unlockedFormula="1"/>
    <ignoredError sqref="X10:X11" formula="1"/>
  </ignoredErrors>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0000000}">
          <x14:formula1>
            <xm:f>'D:\Mtto\Clinica Bahia\PM3 Urgencia\[Caracterizacion y Matriz de Riesgo - copia.xlsx]Hoja3'!#REF!</xm:f>
          </x14:formula1>
          <xm:sqref>G21:H53 AL21:AM23 Q21:W23</xm:sqref>
        </x14:dataValidation>
        <x14:dataValidation type="list" allowBlank="1" showInputMessage="1" showErrorMessage="1" xr:uid="{00000000-0002-0000-0200-000002000000}">
          <x14:formula1>
            <xm:f>Hoja4!$D$15:$D$17</xm:f>
          </x14:formula1>
          <xm:sqref>H8:H20</xm:sqref>
        </x14:dataValidation>
        <x14:dataValidation type="list" allowBlank="1" showInputMessage="1" showErrorMessage="1" xr:uid="{00000000-0002-0000-0200-000003000000}">
          <x14:formula1>
            <xm:f>Hoja4!$C$13:$C$17</xm:f>
          </x14:formula1>
          <xm:sqref>G8:G20</xm:sqref>
        </x14:dataValidation>
        <x14:dataValidation type="list" allowBlank="1" showInputMessage="1" showErrorMessage="1" xr:uid="{00000000-0002-0000-0200-000004000000}">
          <x14:formula1>
            <xm:f>'Calificación y Semaforización'!$A$2:$A$5</xm:f>
          </x14:formula1>
          <xm:sqref>Z8:Z23 K8:L23</xm:sqref>
        </x14:dataValidation>
        <x14:dataValidation type="list" allowBlank="1" showInputMessage="1" showErrorMessage="1" xr:uid="{00000000-0002-0000-0200-000005000000}">
          <x14:formula1>
            <xm:f>'Calificación y Semaforización'!$B$33:$B$37</xm:f>
          </x14:formula1>
          <xm:sqref>AC8:AC20</xm:sqref>
        </x14:dataValidation>
        <x14:dataValidation type="list" allowBlank="1" showInputMessage="1" showErrorMessage="1" xr:uid="{00000000-0002-0000-0200-000006000000}">
          <x14:formula1>
            <xm:f>Hoja4!$H$6:$H$7</xm:f>
          </x14:formula1>
          <xm:sqref>Q8:Q20 S8:S20 U8:U20</xm:sqref>
        </x14:dataValidation>
        <x14:dataValidation type="list" allowBlank="1" showInputMessage="1" showErrorMessage="1" xr:uid="{00000000-0002-0000-0200-000007000000}">
          <x14:formula1>
            <xm:f>Hoja4!$F$6:$F$7</xm:f>
          </x14:formula1>
          <xm:sqref>R8:R20</xm:sqref>
        </x14:dataValidation>
        <x14:dataValidation type="list" allowBlank="1" showInputMessage="1" showErrorMessage="1" xr:uid="{00000000-0002-0000-0200-000008000000}">
          <x14:formula1>
            <xm:f>Hoja4!$G$6:$G$7</xm:f>
          </x14:formula1>
          <xm:sqref>T8:T20 V8:V20</xm:sqref>
        </x14:dataValidation>
        <x14:dataValidation type="list" allowBlank="1" showInputMessage="1" showErrorMessage="1" xr:uid="{00000000-0002-0000-0200-000009000000}">
          <x14:formula1>
            <xm:f>Hoja4!$I$6:$I$7</xm:f>
          </x14:formula1>
          <xm:sqref>W8:W20</xm:sqref>
        </x14:dataValidation>
        <x14:dataValidation type="list" allowBlank="1" showInputMessage="1" showErrorMessage="1" xr:uid="{00000000-0002-0000-0200-00000A000000}">
          <x14:formula1>
            <xm:f>Hoja4!$C$6:$C$9</xm:f>
          </x14:formula1>
          <xm:sqref>AL8:AL20 AM8:AM20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F27"/>
  <sheetViews>
    <sheetView showGridLines="0" zoomScale="64" zoomScaleNormal="64" workbookViewId="0">
      <pane xSplit="1" ySplit="7" topLeftCell="B11" activePane="bottomRight" state="frozen"/>
      <selection pane="topRight" activeCell="B1" sqref="B1"/>
      <selection pane="bottomLeft" activeCell="A8" sqref="A8"/>
      <selection pane="bottomRight" activeCell="B8" sqref="B8"/>
    </sheetView>
  </sheetViews>
  <sheetFormatPr baseColWidth="10" defaultColWidth="11.44140625" defaultRowHeight="13.8" x14ac:dyDescent="0.25"/>
  <cols>
    <col min="1" max="1" width="1.109375" style="51" customWidth="1"/>
    <col min="2" max="2" width="8.6640625" style="51" customWidth="1"/>
    <col min="3" max="3" width="17.33203125" style="51" customWidth="1"/>
    <col min="4" max="4" width="32.88671875" style="51" customWidth="1"/>
    <col min="5" max="5" width="40.5546875" style="51" customWidth="1"/>
    <col min="6" max="6" width="38.5546875" style="51" customWidth="1"/>
    <col min="7" max="7" width="12.6640625" style="51" bestFit="1" customWidth="1"/>
    <col min="8" max="8" width="19" style="51" customWidth="1"/>
    <col min="9" max="10" width="33.6640625" style="51" customWidth="1"/>
    <col min="11" max="12" width="4.44140625" style="51" customWidth="1"/>
    <col min="13" max="13" width="11.44140625" style="51" customWidth="1"/>
    <col min="14" max="14" width="24" style="51" customWidth="1"/>
    <col min="15" max="15" width="17" style="51" customWidth="1"/>
    <col min="16" max="16" width="18.88671875" style="51" customWidth="1"/>
    <col min="17" max="22" width="17" style="51" customWidth="1"/>
    <col min="23" max="23" width="15.33203125" style="51" customWidth="1"/>
    <col min="24" max="25" width="4.44140625" style="51" customWidth="1"/>
    <col min="26" max="26" width="16.5546875" style="51" customWidth="1"/>
    <col min="27" max="27" width="22" style="51" bestFit="1" customWidth="1"/>
    <col min="28" max="28" width="18.33203125" style="51" customWidth="1"/>
    <col min="29" max="29" width="22" style="51" customWidth="1"/>
    <col min="30" max="31" width="4.44140625" style="51" customWidth="1"/>
    <col min="32" max="16384" width="11.44140625" style="51"/>
  </cols>
  <sheetData>
    <row r="1" spans="2:32" ht="14.4" thickBot="1" x14ac:dyDescent="0.3"/>
    <row r="2" spans="2:32" ht="24.9" customHeight="1" thickBot="1" x14ac:dyDescent="0.3">
      <c r="B2" s="311"/>
      <c r="C2" s="312"/>
      <c r="D2" s="312"/>
      <c r="E2" s="312"/>
      <c r="F2" s="312" t="s">
        <v>85</v>
      </c>
      <c r="G2" s="312"/>
      <c r="H2" s="312"/>
      <c r="I2" s="312"/>
      <c r="J2" s="312"/>
      <c r="K2" s="312"/>
      <c r="L2" s="312"/>
      <c r="M2" s="312"/>
      <c r="N2" s="312"/>
      <c r="O2" s="312"/>
      <c r="P2" s="312"/>
      <c r="Q2" s="312"/>
      <c r="R2" s="312"/>
      <c r="S2" s="312"/>
      <c r="T2" s="312"/>
      <c r="U2" s="312"/>
      <c r="V2" s="312"/>
      <c r="W2" s="312"/>
      <c r="X2" s="312"/>
      <c r="Y2" s="312"/>
      <c r="Z2" s="312"/>
      <c r="AA2" s="312"/>
      <c r="AB2" s="343"/>
      <c r="AC2" s="115" t="s">
        <v>41</v>
      </c>
      <c r="AD2" s="340">
        <v>43360</v>
      </c>
      <c r="AE2" s="341"/>
      <c r="AF2" s="342"/>
    </row>
    <row r="3" spans="2:32" ht="24.9" customHeight="1" thickBot="1" x14ac:dyDescent="0.3">
      <c r="B3" s="313"/>
      <c r="C3" s="314"/>
      <c r="D3" s="314"/>
      <c r="E3" s="314"/>
      <c r="F3" s="314"/>
      <c r="G3" s="314"/>
      <c r="H3" s="314"/>
      <c r="I3" s="314"/>
      <c r="J3" s="314"/>
      <c r="K3" s="314"/>
      <c r="L3" s="314"/>
      <c r="M3" s="314"/>
      <c r="N3" s="314"/>
      <c r="O3" s="314"/>
      <c r="P3" s="314"/>
      <c r="Q3" s="314"/>
      <c r="R3" s="314"/>
      <c r="S3" s="314"/>
      <c r="T3" s="314"/>
      <c r="U3" s="314"/>
      <c r="V3" s="314"/>
      <c r="W3" s="314"/>
      <c r="X3" s="314"/>
      <c r="Y3" s="314"/>
      <c r="Z3" s="314"/>
      <c r="AA3" s="314"/>
      <c r="AB3" s="344"/>
      <c r="AC3" s="115" t="s">
        <v>42</v>
      </c>
      <c r="AD3" s="337" t="s">
        <v>43</v>
      </c>
      <c r="AE3" s="338"/>
      <c r="AF3" s="339"/>
    </row>
    <row r="5" spans="2:32" ht="16.2" thickBot="1" x14ac:dyDescent="0.35">
      <c r="B5" s="116" t="s">
        <v>86</v>
      </c>
      <c r="C5" s="1"/>
      <c r="D5" s="52">
        <v>43466</v>
      </c>
    </row>
    <row r="6" spans="2:32" ht="30" customHeight="1" thickBot="1" x14ac:dyDescent="0.3">
      <c r="B6" s="196"/>
      <c r="C6" s="323" t="s">
        <v>55</v>
      </c>
      <c r="D6" s="303"/>
      <c r="E6" s="303"/>
      <c r="F6" s="324"/>
      <c r="G6" s="323" t="s">
        <v>8</v>
      </c>
      <c r="H6" s="324"/>
      <c r="I6" s="325" t="s">
        <v>18</v>
      </c>
      <c r="J6" s="303"/>
      <c r="K6" s="303"/>
      <c r="L6" s="303"/>
      <c r="M6" s="304"/>
      <c r="N6" s="326" t="s">
        <v>40</v>
      </c>
      <c r="O6" s="325" t="s">
        <v>51</v>
      </c>
      <c r="P6" s="303"/>
      <c r="Q6" s="303"/>
      <c r="R6" s="303"/>
      <c r="S6" s="303"/>
      <c r="T6" s="303"/>
      <c r="U6" s="303"/>
      <c r="V6" s="304"/>
      <c r="W6" s="325" t="s">
        <v>36</v>
      </c>
      <c r="X6" s="303"/>
      <c r="Y6" s="303"/>
      <c r="Z6" s="304"/>
      <c r="AA6" s="345" t="s">
        <v>22</v>
      </c>
      <c r="AB6" s="333"/>
      <c r="AC6" s="324"/>
      <c r="AD6" s="323" t="s">
        <v>54</v>
      </c>
      <c r="AE6" s="333"/>
      <c r="AF6" s="324"/>
    </row>
    <row r="7" spans="2:32" ht="84.75" customHeight="1" thickBot="1" x14ac:dyDescent="0.3">
      <c r="B7" s="117" t="s">
        <v>7</v>
      </c>
      <c r="C7" s="118" t="s">
        <v>29</v>
      </c>
      <c r="D7" s="118" t="s">
        <v>57</v>
      </c>
      <c r="E7" s="184" t="s">
        <v>56</v>
      </c>
      <c r="F7" s="119" t="s">
        <v>5</v>
      </c>
      <c r="G7" s="120" t="s">
        <v>9</v>
      </c>
      <c r="H7" s="119" t="s">
        <v>13</v>
      </c>
      <c r="I7" s="121" t="s">
        <v>20</v>
      </c>
      <c r="J7" s="122" t="s">
        <v>17</v>
      </c>
      <c r="K7" s="123" t="s">
        <v>35</v>
      </c>
      <c r="L7" s="124" t="s">
        <v>38</v>
      </c>
      <c r="M7" s="125" t="s">
        <v>19</v>
      </c>
      <c r="N7" s="328"/>
      <c r="O7" s="117" t="s">
        <v>44</v>
      </c>
      <c r="P7" s="126" t="s">
        <v>45</v>
      </c>
      <c r="Q7" s="117" t="s">
        <v>46</v>
      </c>
      <c r="R7" s="117" t="s">
        <v>47</v>
      </c>
      <c r="S7" s="117" t="s">
        <v>58</v>
      </c>
      <c r="T7" s="117" t="s">
        <v>48</v>
      </c>
      <c r="U7" s="117" t="s">
        <v>49</v>
      </c>
      <c r="V7" s="117" t="s">
        <v>50</v>
      </c>
      <c r="W7" s="123" t="s">
        <v>52</v>
      </c>
      <c r="X7" s="127" t="s">
        <v>35</v>
      </c>
      <c r="Y7" s="124" t="s">
        <v>38</v>
      </c>
      <c r="Z7" s="128" t="s">
        <v>53</v>
      </c>
      <c r="AA7" s="121" t="s">
        <v>21</v>
      </c>
      <c r="AB7" s="129" t="s">
        <v>23</v>
      </c>
      <c r="AC7" s="119" t="s">
        <v>0</v>
      </c>
      <c r="AD7" s="130" t="s">
        <v>35</v>
      </c>
      <c r="AE7" s="124" t="s">
        <v>38</v>
      </c>
      <c r="AF7" s="128" t="s">
        <v>37</v>
      </c>
    </row>
    <row r="8" spans="2:32" ht="55.2" x14ac:dyDescent="0.25">
      <c r="B8" s="53" t="s">
        <v>87</v>
      </c>
      <c r="C8" s="334" t="s">
        <v>147</v>
      </c>
      <c r="D8" s="55" t="s">
        <v>89</v>
      </c>
      <c r="E8" s="141" t="s">
        <v>104</v>
      </c>
      <c r="F8" s="142" t="s">
        <v>128</v>
      </c>
      <c r="G8" s="145" t="s">
        <v>30</v>
      </c>
      <c r="H8" s="146" t="s">
        <v>14</v>
      </c>
      <c r="I8" s="147" t="s">
        <v>129</v>
      </c>
      <c r="J8" s="148" t="s">
        <v>111</v>
      </c>
      <c r="K8" s="149">
        <v>2</v>
      </c>
      <c r="L8" s="150">
        <v>3</v>
      </c>
      <c r="M8" s="59">
        <f>K8*L8</f>
        <v>6</v>
      </c>
      <c r="N8" s="197" t="s">
        <v>91</v>
      </c>
      <c r="O8" s="155">
        <v>15</v>
      </c>
      <c r="P8" s="150">
        <v>5</v>
      </c>
      <c r="Q8" s="150">
        <v>0</v>
      </c>
      <c r="R8" s="150">
        <v>10</v>
      </c>
      <c r="S8" s="150">
        <v>15</v>
      </c>
      <c r="T8" s="150">
        <v>10</v>
      </c>
      <c r="U8" s="150">
        <v>30</v>
      </c>
      <c r="V8" s="135">
        <f t="shared" ref="V8:V9" si="0">SUM(O8:U8)</f>
        <v>85</v>
      </c>
      <c r="W8" s="137">
        <f>IF(V8&lt;51,"0",IF(V8&lt;76,1,2))</f>
        <v>2</v>
      </c>
      <c r="X8" s="60">
        <v>1</v>
      </c>
      <c r="Y8" s="60">
        <f>L8</f>
        <v>3</v>
      </c>
      <c r="Z8" s="139">
        <f>X8*Y8</f>
        <v>3</v>
      </c>
      <c r="AA8" s="56"/>
      <c r="AB8" s="61"/>
      <c r="AC8" s="62"/>
      <c r="AD8" s="63"/>
      <c r="AE8" s="60"/>
      <c r="AF8" s="131">
        <f>AD8*AE8</f>
        <v>0</v>
      </c>
    </row>
    <row r="9" spans="2:32" ht="41.4" x14ac:dyDescent="0.25">
      <c r="B9" s="158" t="s">
        <v>88</v>
      </c>
      <c r="C9" s="335"/>
      <c r="D9" s="65" t="s">
        <v>90</v>
      </c>
      <c r="E9" s="143" t="s">
        <v>103</v>
      </c>
      <c r="F9" s="144" t="s">
        <v>105</v>
      </c>
      <c r="G9" s="151" t="s">
        <v>30</v>
      </c>
      <c r="H9" s="132" t="s">
        <v>16</v>
      </c>
      <c r="I9" s="152" t="s">
        <v>107</v>
      </c>
      <c r="J9" s="153" t="s">
        <v>112</v>
      </c>
      <c r="K9" s="149">
        <v>4</v>
      </c>
      <c r="L9" s="150">
        <v>3</v>
      </c>
      <c r="M9" s="59">
        <f>K9*L9</f>
        <v>12</v>
      </c>
      <c r="N9" s="198" t="s">
        <v>130</v>
      </c>
      <c r="O9" s="156">
        <v>15</v>
      </c>
      <c r="P9" s="20">
        <v>5</v>
      </c>
      <c r="Q9" s="20">
        <v>0</v>
      </c>
      <c r="R9" s="20">
        <v>10</v>
      </c>
      <c r="S9" s="20">
        <v>15</v>
      </c>
      <c r="T9" s="20">
        <v>10</v>
      </c>
      <c r="U9" s="20">
        <v>30</v>
      </c>
      <c r="V9" s="135">
        <f t="shared" si="0"/>
        <v>85</v>
      </c>
      <c r="W9" s="137">
        <f t="shared" ref="W9:W23" si="1">IF(V9&lt;51,"0",IF(V9&lt;76,1,2))</f>
        <v>2</v>
      </c>
      <c r="X9" s="74">
        <f t="shared" ref="X9:X23" si="2">K9-W9</f>
        <v>2</v>
      </c>
      <c r="Y9" s="60">
        <f t="shared" ref="Y9:Y23" si="3">L9</f>
        <v>3</v>
      </c>
      <c r="Z9" s="139">
        <f>X9*Y9</f>
        <v>6</v>
      </c>
      <c r="AA9" s="69" t="s">
        <v>118</v>
      </c>
      <c r="AB9" s="75"/>
      <c r="AC9" s="76"/>
      <c r="AD9" s="63"/>
      <c r="AE9" s="74"/>
      <c r="AF9" s="132">
        <f>AD9*AE9</f>
        <v>0</v>
      </c>
    </row>
    <row r="10" spans="2:32" ht="55.2" x14ac:dyDescent="0.25">
      <c r="B10" s="64" t="s">
        <v>93</v>
      </c>
      <c r="C10" s="335"/>
      <c r="D10" s="187" t="s">
        <v>97</v>
      </c>
      <c r="E10" s="157" t="s">
        <v>102</v>
      </c>
      <c r="F10" s="144" t="s">
        <v>131</v>
      </c>
      <c r="G10" s="151" t="s">
        <v>12</v>
      </c>
      <c r="H10" s="132" t="s">
        <v>14</v>
      </c>
      <c r="I10" s="152" t="s">
        <v>108</v>
      </c>
      <c r="J10" s="153" t="s">
        <v>113</v>
      </c>
      <c r="K10" s="149">
        <v>3</v>
      </c>
      <c r="L10" s="150">
        <v>2</v>
      </c>
      <c r="M10" s="59">
        <f t="shared" ref="M10:M23" si="4">K10*L10</f>
        <v>6</v>
      </c>
      <c r="N10" s="198" t="s">
        <v>117</v>
      </c>
      <c r="O10" s="156">
        <v>0</v>
      </c>
      <c r="P10" s="20">
        <v>5</v>
      </c>
      <c r="Q10" s="20">
        <v>0</v>
      </c>
      <c r="R10" s="20">
        <v>10</v>
      </c>
      <c r="S10" s="20">
        <v>15</v>
      </c>
      <c r="T10" s="20">
        <v>10</v>
      </c>
      <c r="U10" s="20">
        <v>30</v>
      </c>
      <c r="V10" s="135">
        <f t="shared" ref="V10:V23" si="5">SUM(O10:U10)</f>
        <v>70</v>
      </c>
      <c r="W10" s="137">
        <f t="shared" si="1"/>
        <v>1</v>
      </c>
      <c r="X10" s="74">
        <f t="shared" si="2"/>
        <v>2</v>
      </c>
      <c r="Y10" s="60">
        <f t="shared" si="3"/>
        <v>2</v>
      </c>
      <c r="Z10" s="139">
        <f t="shared" ref="Z10:Z23" si="6">X10*Y10</f>
        <v>4</v>
      </c>
      <c r="AA10" s="143" t="s">
        <v>119</v>
      </c>
      <c r="AB10" s="75"/>
      <c r="AC10" s="76"/>
      <c r="AD10" s="63"/>
      <c r="AE10" s="74"/>
      <c r="AF10" s="132">
        <f t="shared" ref="AF10:AF23" si="7">AD10*AE10</f>
        <v>0</v>
      </c>
    </row>
    <row r="11" spans="2:32" ht="28.2" thickBot="1" x14ac:dyDescent="0.3">
      <c r="B11" s="95" t="s">
        <v>94</v>
      </c>
      <c r="C11" s="335"/>
      <c r="D11" s="7" t="s">
        <v>92</v>
      </c>
      <c r="E11" s="199" t="s">
        <v>132</v>
      </c>
      <c r="F11" s="200" t="s">
        <v>131</v>
      </c>
      <c r="G11" s="201" t="s">
        <v>11</v>
      </c>
      <c r="H11" s="134" t="s">
        <v>14</v>
      </c>
      <c r="I11" s="202" t="s">
        <v>109</v>
      </c>
      <c r="J11" s="203" t="s">
        <v>114</v>
      </c>
      <c r="K11" s="204">
        <v>3</v>
      </c>
      <c r="L11" s="205">
        <v>3</v>
      </c>
      <c r="M11" s="105">
        <f t="shared" si="4"/>
        <v>9</v>
      </c>
      <c r="N11" s="206"/>
      <c r="O11" s="209">
        <v>0</v>
      </c>
      <c r="P11" s="210">
        <v>5</v>
      </c>
      <c r="Q11" s="210">
        <v>0</v>
      </c>
      <c r="R11" s="210">
        <v>10</v>
      </c>
      <c r="S11" s="210">
        <v>0</v>
      </c>
      <c r="T11" s="210">
        <v>10</v>
      </c>
      <c r="U11" s="210">
        <v>0</v>
      </c>
      <c r="V11" s="136">
        <f t="shared" ref="V11" si="8">SUM(O11:U11)</f>
        <v>25</v>
      </c>
      <c r="W11" s="138" t="str">
        <f t="shared" ref="W11" si="9">IF(V11&lt;51,"0",IF(V11&lt;76,1,2))</f>
        <v>0</v>
      </c>
      <c r="X11" s="109">
        <f t="shared" ref="X11" si="10">K11-W11</f>
        <v>3</v>
      </c>
      <c r="Y11" s="110">
        <f t="shared" ref="Y11" si="11">L11</f>
        <v>3</v>
      </c>
      <c r="Z11" s="140">
        <f t="shared" ref="Z11" si="12">X11*Y11</f>
        <v>9</v>
      </c>
      <c r="AA11" s="199" t="s">
        <v>120</v>
      </c>
      <c r="AB11" s="111"/>
      <c r="AC11" s="211" t="s">
        <v>133</v>
      </c>
      <c r="AD11" s="113"/>
      <c r="AE11" s="109"/>
      <c r="AF11" s="134">
        <f t="shared" si="7"/>
        <v>0</v>
      </c>
    </row>
    <row r="12" spans="2:32" ht="41.4" x14ac:dyDescent="0.25">
      <c r="B12" s="188" t="s">
        <v>95</v>
      </c>
      <c r="C12" s="335"/>
      <c r="D12" s="189" t="s">
        <v>98</v>
      </c>
      <c r="E12" s="190" t="s">
        <v>101</v>
      </c>
      <c r="F12" s="191" t="s">
        <v>106</v>
      </c>
      <c r="G12" s="192" t="s">
        <v>31</v>
      </c>
      <c r="H12" s="131" t="s">
        <v>16</v>
      </c>
      <c r="I12" s="193" t="s">
        <v>110</v>
      </c>
      <c r="J12" s="194" t="s">
        <v>115</v>
      </c>
      <c r="K12" s="149">
        <v>2</v>
      </c>
      <c r="L12" s="150">
        <v>4</v>
      </c>
      <c r="M12" s="195">
        <f t="shared" si="4"/>
        <v>8</v>
      </c>
      <c r="N12" s="154" t="s">
        <v>116</v>
      </c>
      <c r="O12" s="155">
        <v>0</v>
      </c>
      <c r="P12" s="150">
        <v>5</v>
      </c>
      <c r="Q12" s="150">
        <v>0</v>
      </c>
      <c r="R12" s="150">
        <v>10</v>
      </c>
      <c r="S12" s="150">
        <v>15</v>
      </c>
      <c r="T12" s="150">
        <v>10</v>
      </c>
      <c r="U12" s="150">
        <v>30</v>
      </c>
      <c r="V12" s="135">
        <f t="shared" ref="V12:V16" si="13">SUM(O12:U12)</f>
        <v>70</v>
      </c>
      <c r="W12" s="137">
        <f t="shared" si="1"/>
        <v>1</v>
      </c>
      <c r="X12" s="60">
        <f t="shared" ref="X12:X16" si="14">K12-W12</f>
        <v>1</v>
      </c>
      <c r="Y12" s="60">
        <f t="shared" ref="Y12:Y16" si="15">L12</f>
        <v>4</v>
      </c>
      <c r="Z12" s="207">
        <f t="shared" ref="Z12:Z16" si="16">X12*Y12</f>
        <v>4</v>
      </c>
      <c r="AA12" s="190" t="s">
        <v>121</v>
      </c>
      <c r="AB12" s="208"/>
      <c r="AC12" s="135" t="s">
        <v>135</v>
      </c>
      <c r="AD12" s="63"/>
      <c r="AE12" s="60"/>
      <c r="AF12" s="131">
        <f t="shared" si="7"/>
        <v>0</v>
      </c>
    </row>
    <row r="13" spans="2:32" ht="96.6" x14ac:dyDescent="0.25">
      <c r="B13" s="158" t="s">
        <v>96</v>
      </c>
      <c r="C13" s="335"/>
      <c r="D13" s="157" t="s">
        <v>99</v>
      </c>
      <c r="E13" s="143" t="s">
        <v>100</v>
      </c>
      <c r="F13" s="144" t="s">
        <v>136</v>
      </c>
      <c r="G13" s="151" t="s">
        <v>30</v>
      </c>
      <c r="H13" s="132" t="s">
        <v>14</v>
      </c>
      <c r="I13" s="152" t="s">
        <v>137</v>
      </c>
      <c r="J13" s="153" t="s">
        <v>138</v>
      </c>
      <c r="K13" s="149">
        <v>3</v>
      </c>
      <c r="L13" s="150">
        <v>3</v>
      </c>
      <c r="M13" s="59">
        <f t="shared" si="4"/>
        <v>9</v>
      </c>
      <c r="N13" s="71" t="s">
        <v>139</v>
      </c>
      <c r="O13" s="156">
        <v>15</v>
      </c>
      <c r="P13" s="20">
        <v>5</v>
      </c>
      <c r="Q13" s="20">
        <v>0</v>
      </c>
      <c r="R13" s="20">
        <v>10</v>
      </c>
      <c r="S13" s="20">
        <v>15</v>
      </c>
      <c r="T13" s="20">
        <v>10</v>
      </c>
      <c r="U13" s="20">
        <v>30</v>
      </c>
      <c r="V13" s="135">
        <f t="shared" si="13"/>
        <v>85</v>
      </c>
      <c r="W13" s="137">
        <f t="shared" si="1"/>
        <v>2</v>
      </c>
      <c r="X13" s="74">
        <f t="shared" si="14"/>
        <v>1</v>
      </c>
      <c r="Y13" s="60">
        <f t="shared" si="15"/>
        <v>3</v>
      </c>
      <c r="Z13" s="139">
        <f t="shared" si="16"/>
        <v>3</v>
      </c>
      <c r="AA13" s="143" t="s">
        <v>140</v>
      </c>
      <c r="AB13" s="75"/>
      <c r="AC13" s="76" t="s">
        <v>141</v>
      </c>
      <c r="AD13" s="63"/>
      <c r="AE13" s="74"/>
      <c r="AF13" s="132">
        <f t="shared" si="7"/>
        <v>0</v>
      </c>
    </row>
    <row r="14" spans="2:32" s="94" customFormat="1" ht="55.2" x14ac:dyDescent="0.25">
      <c r="B14" s="64" t="s">
        <v>123</v>
      </c>
      <c r="C14" s="336"/>
      <c r="D14" s="186" t="s">
        <v>125</v>
      </c>
      <c r="E14" s="66" t="s">
        <v>142</v>
      </c>
      <c r="F14" s="67" t="s">
        <v>131</v>
      </c>
      <c r="G14" s="151" t="s">
        <v>30</v>
      </c>
      <c r="H14" s="132" t="s">
        <v>14</v>
      </c>
      <c r="I14" s="69" t="s">
        <v>143</v>
      </c>
      <c r="J14" s="70" t="s">
        <v>144</v>
      </c>
      <c r="K14" s="57">
        <v>3</v>
      </c>
      <c r="L14" s="58">
        <v>3</v>
      </c>
      <c r="M14" s="59">
        <f t="shared" si="4"/>
        <v>9</v>
      </c>
      <c r="N14" s="71" t="s">
        <v>134</v>
      </c>
      <c r="O14" s="156">
        <v>0</v>
      </c>
      <c r="P14" s="20">
        <v>5</v>
      </c>
      <c r="Q14" s="20">
        <v>0</v>
      </c>
      <c r="R14" s="20">
        <v>10</v>
      </c>
      <c r="S14" s="20">
        <v>0</v>
      </c>
      <c r="T14" s="20">
        <v>10</v>
      </c>
      <c r="U14" s="20">
        <v>0</v>
      </c>
      <c r="V14" s="135">
        <f t="shared" ref="V14" si="17">SUM(O14:U14)</f>
        <v>25</v>
      </c>
      <c r="W14" s="137" t="str">
        <f t="shared" ref="W14" si="18">IF(V14&lt;51,"0",IF(V14&lt;76,1,2))</f>
        <v>0</v>
      </c>
      <c r="X14" s="74">
        <f t="shared" ref="X14" si="19">K14-W14</f>
        <v>3</v>
      </c>
      <c r="Y14" s="60">
        <f t="shared" ref="Y14" si="20">L14</f>
        <v>3</v>
      </c>
      <c r="Z14" s="139">
        <f t="shared" ref="Z14" si="21">X14*Y14</f>
        <v>9</v>
      </c>
      <c r="AA14" s="69" t="s">
        <v>145</v>
      </c>
      <c r="AB14" s="90"/>
      <c r="AC14" s="76" t="s">
        <v>146</v>
      </c>
      <c r="AD14" s="92"/>
      <c r="AE14" s="93"/>
      <c r="AF14" s="132">
        <f t="shared" si="7"/>
        <v>0</v>
      </c>
    </row>
    <row r="15" spans="2:32" s="94" customFormat="1" x14ac:dyDescent="0.25">
      <c r="B15" s="78"/>
      <c r="C15" s="79"/>
      <c r="D15" s="80"/>
      <c r="E15" s="81"/>
      <c r="F15" s="77"/>
      <c r="G15" s="78"/>
      <c r="H15" s="82"/>
      <c r="I15" s="83"/>
      <c r="J15" s="84"/>
      <c r="K15" s="85"/>
      <c r="L15" s="86"/>
      <c r="M15" s="59"/>
      <c r="N15" s="87"/>
      <c r="O15" s="88"/>
      <c r="P15" s="89"/>
      <c r="Q15" s="89"/>
      <c r="R15" s="89"/>
      <c r="S15" s="89"/>
      <c r="T15" s="89"/>
      <c r="U15" s="89"/>
      <c r="V15" s="135"/>
      <c r="W15" s="137"/>
      <c r="X15" s="74"/>
      <c r="Y15" s="60"/>
      <c r="Z15" s="139"/>
      <c r="AA15" s="81"/>
      <c r="AB15" s="90"/>
      <c r="AC15" s="91"/>
      <c r="AD15" s="92"/>
      <c r="AE15" s="93"/>
      <c r="AF15" s="132"/>
    </row>
    <row r="16" spans="2:32" s="183" customFormat="1" x14ac:dyDescent="0.25">
      <c r="B16" s="159" t="s">
        <v>122</v>
      </c>
      <c r="C16" s="160"/>
      <c r="D16" s="161"/>
      <c r="E16" s="162"/>
      <c r="F16" s="163"/>
      <c r="G16" s="159"/>
      <c r="H16" s="164"/>
      <c r="I16" s="165"/>
      <c r="J16" s="166"/>
      <c r="K16" s="167"/>
      <c r="L16" s="168"/>
      <c r="M16" s="169">
        <f t="shared" si="4"/>
        <v>0</v>
      </c>
      <c r="N16" s="170"/>
      <c r="O16" s="171"/>
      <c r="P16" s="172"/>
      <c r="Q16" s="172"/>
      <c r="R16" s="172"/>
      <c r="S16" s="172"/>
      <c r="T16" s="172"/>
      <c r="U16" s="172"/>
      <c r="V16" s="173">
        <f t="shared" si="13"/>
        <v>0</v>
      </c>
      <c r="W16" s="174" t="str">
        <f t="shared" si="1"/>
        <v>0</v>
      </c>
      <c r="X16" s="175">
        <f t="shared" si="14"/>
        <v>0</v>
      </c>
      <c r="Y16" s="176">
        <f t="shared" si="15"/>
        <v>0</v>
      </c>
      <c r="Z16" s="177">
        <f t="shared" si="16"/>
        <v>0</v>
      </c>
      <c r="AA16" s="178"/>
      <c r="AB16" s="179" t="s">
        <v>127</v>
      </c>
      <c r="AC16" s="180" t="s">
        <v>126</v>
      </c>
      <c r="AD16" s="181"/>
      <c r="AE16" s="175"/>
      <c r="AF16" s="182">
        <f t="shared" si="7"/>
        <v>0</v>
      </c>
    </row>
    <row r="17" spans="2:32" s="183" customFormat="1" x14ac:dyDescent="0.25">
      <c r="B17" s="159" t="s">
        <v>124</v>
      </c>
      <c r="C17" s="160"/>
      <c r="D17" s="161"/>
      <c r="E17" s="162"/>
      <c r="F17" s="163"/>
      <c r="G17" s="159"/>
      <c r="H17" s="164"/>
      <c r="I17" s="165"/>
      <c r="J17" s="166"/>
      <c r="K17" s="167"/>
      <c r="L17" s="168"/>
      <c r="M17" s="169">
        <f t="shared" si="4"/>
        <v>0</v>
      </c>
      <c r="N17" s="170"/>
      <c r="O17" s="171"/>
      <c r="P17" s="172"/>
      <c r="Q17" s="172"/>
      <c r="R17" s="172"/>
      <c r="S17" s="172"/>
      <c r="T17" s="172"/>
      <c r="U17" s="172"/>
      <c r="V17" s="173">
        <f t="shared" ref="V17:V19" si="22">SUM(O17:U17)</f>
        <v>0</v>
      </c>
      <c r="W17" s="174" t="str">
        <f t="shared" ref="W17:W19" si="23">IF(V17&lt;51,"0",IF(V17&lt;76,1,2))</f>
        <v>0</v>
      </c>
      <c r="X17" s="175">
        <f t="shared" ref="X17:X19" si="24">K17-W17</f>
        <v>0</v>
      </c>
      <c r="Y17" s="176">
        <f t="shared" ref="Y17:Y19" si="25">L17</f>
        <v>0</v>
      </c>
      <c r="Z17" s="177">
        <f t="shared" ref="Z17:Z19" si="26">X17*Y17</f>
        <v>0</v>
      </c>
      <c r="AA17" s="165"/>
      <c r="AB17" s="179" t="s">
        <v>127</v>
      </c>
      <c r="AC17" s="185" t="s">
        <v>126</v>
      </c>
      <c r="AD17" s="181"/>
      <c r="AE17" s="175"/>
      <c r="AF17" s="182">
        <f t="shared" si="7"/>
        <v>0</v>
      </c>
    </row>
    <row r="18" spans="2:32" x14ac:dyDescent="0.25">
      <c r="B18" s="64"/>
      <c r="C18" s="54"/>
      <c r="D18" s="65"/>
      <c r="E18" s="66"/>
      <c r="F18" s="67"/>
      <c r="G18" s="64"/>
      <c r="H18" s="68"/>
      <c r="I18" s="69"/>
      <c r="J18" s="70"/>
      <c r="K18" s="57"/>
      <c r="L18" s="58"/>
      <c r="M18" s="59">
        <f t="shared" si="4"/>
        <v>0</v>
      </c>
      <c r="N18" s="71"/>
      <c r="O18" s="72"/>
      <c r="P18" s="73"/>
      <c r="Q18" s="73"/>
      <c r="R18" s="73"/>
      <c r="S18" s="73"/>
      <c r="T18" s="73"/>
      <c r="U18" s="73"/>
      <c r="V18" s="135">
        <f t="shared" si="22"/>
        <v>0</v>
      </c>
      <c r="W18" s="137" t="str">
        <f t="shared" si="23"/>
        <v>0</v>
      </c>
      <c r="X18" s="74">
        <f t="shared" si="24"/>
        <v>0</v>
      </c>
      <c r="Y18" s="60">
        <f t="shared" si="25"/>
        <v>0</v>
      </c>
      <c r="Z18" s="139">
        <f t="shared" si="26"/>
        <v>0</v>
      </c>
      <c r="AA18" s="69"/>
      <c r="AB18" s="75"/>
      <c r="AC18" s="76"/>
      <c r="AD18" s="63"/>
      <c r="AE18" s="74"/>
      <c r="AF18" s="132">
        <f t="shared" si="7"/>
        <v>0</v>
      </c>
    </row>
    <row r="19" spans="2:32" x14ac:dyDescent="0.25">
      <c r="B19" s="64"/>
      <c r="C19" s="54"/>
      <c r="D19" s="65"/>
      <c r="E19" s="66"/>
      <c r="F19" s="67"/>
      <c r="G19" s="64"/>
      <c r="H19" s="68"/>
      <c r="I19" s="69"/>
      <c r="J19" s="70"/>
      <c r="K19" s="57"/>
      <c r="L19" s="58"/>
      <c r="M19" s="59">
        <f t="shared" si="4"/>
        <v>0</v>
      </c>
      <c r="N19" s="71"/>
      <c r="O19" s="72"/>
      <c r="P19" s="73"/>
      <c r="Q19" s="73"/>
      <c r="R19" s="73"/>
      <c r="S19" s="73"/>
      <c r="T19" s="73"/>
      <c r="U19" s="73"/>
      <c r="V19" s="135">
        <f t="shared" si="22"/>
        <v>0</v>
      </c>
      <c r="W19" s="137" t="str">
        <f t="shared" si="23"/>
        <v>0</v>
      </c>
      <c r="X19" s="74">
        <f t="shared" si="24"/>
        <v>0</v>
      </c>
      <c r="Y19" s="60">
        <f t="shared" si="25"/>
        <v>0</v>
      </c>
      <c r="Z19" s="139">
        <f t="shared" si="26"/>
        <v>0</v>
      </c>
      <c r="AA19" s="69"/>
      <c r="AB19" s="75"/>
      <c r="AC19" s="76"/>
      <c r="AD19" s="63"/>
      <c r="AE19" s="74"/>
      <c r="AF19" s="132">
        <f t="shared" si="7"/>
        <v>0</v>
      </c>
    </row>
    <row r="20" spans="2:32" x14ac:dyDescent="0.25">
      <c r="B20" s="64"/>
      <c r="C20" s="54"/>
      <c r="D20" s="65"/>
      <c r="E20" s="66"/>
      <c r="F20" s="67"/>
      <c r="G20" s="64"/>
      <c r="H20" s="68"/>
      <c r="I20" s="69"/>
      <c r="J20" s="70"/>
      <c r="K20" s="57"/>
      <c r="L20" s="58"/>
      <c r="M20" s="59">
        <f t="shared" si="4"/>
        <v>0</v>
      </c>
      <c r="N20" s="71"/>
      <c r="O20" s="72"/>
      <c r="P20" s="73"/>
      <c r="Q20" s="73"/>
      <c r="R20" s="73"/>
      <c r="S20" s="73"/>
      <c r="T20" s="73"/>
      <c r="U20" s="73"/>
      <c r="V20" s="135">
        <f t="shared" si="5"/>
        <v>0</v>
      </c>
      <c r="W20" s="137" t="str">
        <f t="shared" si="1"/>
        <v>0</v>
      </c>
      <c r="X20" s="74">
        <f t="shared" si="2"/>
        <v>0</v>
      </c>
      <c r="Y20" s="60">
        <f t="shared" si="3"/>
        <v>0</v>
      </c>
      <c r="Z20" s="139">
        <f t="shared" si="6"/>
        <v>0</v>
      </c>
      <c r="AA20" s="69"/>
      <c r="AB20" s="75"/>
      <c r="AC20" s="76"/>
      <c r="AD20" s="63"/>
      <c r="AE20" s="74"/>
      <c r="AF20" s="132">
        <f t="shared" si="7"/>
        <v>0</v>
      </c>
    </row>
    <row r="21" spans="2:32" x14ac:dyDescent="0.25">
      <c r="B21" s="64"/>
      <c r="C21" s="54"/>
      <c r="D21" s="65"/>
      <c r="E21" s="66"/>
      <c r="F21" s="67"/>
      <c r="G21" s="64"/>
      <c r="H21" s="68"/>
      <c r="I21" s="69"/>
      <c r="J21" s="70"/>
      <c r="K21" s="57"/>
      <c r="L21" s="58"/>
      <c r="M21" s="59">
        <f t="shared" si="4"/>
        <v>0</v>
      </c>
      <c r="N21" s="71"/>
      <c r="O21" s="72"/>
      <c r="P21" s="73"/>
      <c r="Q21" s="73"/>
      <c r="R21" s="73"/>
      <c r="S21" s="73"/>
      <c r="T21" s="73"/>
      <c r="U21" s="73"/>
      <c r="V21" s="135">
        <f t="shared" si="5"/>
        <v>0</v>
      </c>
      <c r="W21" s="137" t="str">
        <f t="shared" si="1"/>
        <v>0</v>
      </c>
      <c r="X21" s="74">
        <f>K21</f>
        <v>0</v>
      </c>
      <c r="Y21" s="60">
        <f t="shared" si="3"/>
        <v>0</v>
      </c>
      <c r="Z21" s="139">
        <f t="shared" si="6"/>
        <v>0</v>
      </c>
      <c r="AA21" s="69"/>
      <c r="AB21" s="75"/>
      <c r="AC21" s="76"/>
      <c r="AD21" s="63"/>
      <c r="AE21" s="74"/>
      <c r="AF21" s="132">
        <f t="shared" si="7"/>
        <v>0</v>
      </c>
    </row>
    <row r="22" spans="2:32" x14ac:dyDescent="0.25">
      <c r="B22" s="64"/>
      <c r="C22" s="54"/>
      <c r="D22" s="65"/>
      <c r="E22" s="66"/>
      <c r="F22" s="67"/>
      <c r="G22" s="64"/>
      <c r="H22" s="68"/>
      <c r="I22" s="72"/>
      <c r="J22" s="70"/>
      <c r="K22" s="57"/>
      <c r="L22" s="58"/>
      <c r="M22" s="59">
        <f t="shared" si="4"/>
        <v>0</v>
      </c>
      <c r="N22" s="71"/>
      <c r="O22" s="72"/>
      <c r="P22" s="73"/>
      <c r="Q22" s="73"/>
      <c r="R22" s="73"/>
      <c r="S22" s="73"/>
      <c r="T22" s="73"/>
      <c r="U22" s="73"/>
      <c r="V22" s="135">
        <f t="shared" si="5"/>
        <v>0</v>
      </c>
      <c r="W22" s="137" t="str">
        <f t="shared" si="1"/>
        <v>0</v>
      </c>
      <c r="X22" s="74">
        <f t="shared" si="2"/>
        <v>0</v>
      </c>
      <c r="Y22" s="60">
        <f t="shared" si="3"/>
        <v>0</v>
      </c>
      <c r="Z22" s="139">
        <f t="shared" si="6"/>
        <v>0</v>
      </c>
      <c r="AA22" s="69"/>
      <c r="AB22" s="75"/>
      <c r="AC22" s="76"/>
      <c r="AD22" s="63"/>
      <c r="AE22" s="74"/>
      <c r="AF22" s="133">
        <f t="shared" si="7"/>
        <v>0</v>
      </c>
    </row>
    <row r="23" spans="2:32" ht="14.4" thickBot="1" x14ac:dyDescent="0.3">
      <c r="B23" s="95"/>
      <c r="C23" s="96"/>
      <c r="D23" s="97"/>
      <c r="E23" s="98"/>
      <c r="F23" s="99"/>
      <c r="G23" s="95"/>
      <c r="H23" s="100"/>
      <c r="I23" s="101"/>
      <c r="J23" s="102"/>
      <c r="K23" s="103"/>
      <c r="L23" s="104"/>
      <c r="M23" s="105">
        <f t="shared" si="4"/>
        <v>0</v>
      </c>
      <c r="N23" s="106"/>
      <c r="O23" s="107"/>
      <c r="P23" s="108"/>
      <c r="Q23" s="108"/>
      <c r="R23" s="108"/>
      <c r="S23" s="108"/>
      <c r="T23" s="108"/>
      <c r="U23" s="108"/>
      <c r="V23" s="136">
        <f t="shared" si="5"/>
        <v>0</v>
      </c>
      <c r="W23" s="138" t="str">
        <f t="shared" si="1"/>
        <v>0</v>
      </c>
      <c r="X23" s="109">
        <f t="shared" si="2"/>
        <v>0</v>
      </c>
      <c r="Y23" s="110">
        <f t="shared" si="3"/>
        <v>0</v>
      </c>
      <c r="Z23" s="140">
        <f t="shared" si="6"/>
        <v>0</v>
      </c>
      <c r="AA23" s="101"/>
      <c r="AB23" s="111"/>
      <c r="AC23" s="112"/>
      <c r="AD23" s="113"/>
      <c r="AE23" s="109"/>
      <c r="AF23" s="134">
        <f t="shared" si="7"/>
        <v>0</v>
      </c>
    </row>
    <row r="27" spans="2:32" x14ac:dyDescent="0.25">
      <c r="E27" s="114"/>
    </row>
  </sheetData>
  <mergeCells count="13">
    <mergeCell ref="C8:C14"/>
    <mergeCell ref="AD3:AF3"/>
    <mergeCell ref="AD2:AF2"/>
    <mergeCell ref="B2:E3"/>
    <mergeCell ref="F2:AB3"/>
    <mergeCell ref="O6:V6"/>
    <mergeCell ref="AD6:AF6"/>
    <mergeCell ref="C6:F6"/>
    <mergeCell ref="G6:H6"/>
    <mergeCell ref="AA6:AC6"/>
    <mergeCell ref="I6:M6"/>
    <mergeCell ref="N6:N7"/>
    <mergeCell ref="W6:Z6"/>
  </mergeCells>
  <conditionalFormatting sqref="M8:M23">
    <cfRule type="cellIs" dxfId="7" priority="5" operator="between">
      <formula>12</formula>
      <formula>16</formula>
    </cfRule>
    <cfRule type="cellIs" dxfId="6" priority="6" operator="between">
      <formula>4</formula>
      <formula>6</formula>
    </cfRule>
    <cfRule type="cellIs" dxfId="5" priority="7" operator="between">
      <formula>8</formula>
      <formula>9</formula>
    </cfRule>
    <cfRule type="cellIs" dxfId="4" priority="8" operator="between">
      <formula>1</formula>
      <formula>3</formula>
    </cfRule>
  </conditionalFormatting>
  <conditionalFormatting sqref="Z8:Z23 AF8:AF23">
    <cfRule type="cellIs" dxfId="3" priority="1" operator="between">
      <formula>12</formula>
      <formula>16</formula>
    </cfRule>
    <cfRule type="cellIs" dxfId="2" priority="2" operator="between">
      <formula>8</formula>
      <formula>9</formula>
    </cfRule>
    <cfRule type="cellIs" dxfId="1" priority="3" operator="between">
      <formula>4</formula>
      <formula>6</formula>
    </cfRule>
    <cfRule type="cellIs" dxfId="0" priority="4" operator="between">
      <formula>1</formula>
      <formula>3</formula>
    </cfRule>
  </conditionalFormatting>
  <pageMargins left="0.7" right="0.7" top="0.75" bottom="0.75" header="0.3" footer="0.3"/>
  <pageSetup paperSize="9" orientation="portrait" r:id="rId1"/>
  <ignoredErrors>
    <ignoredError sqref="X16:Y20 X22:Y23 Y21 M16:M23 M8:M14 X9:Y14 Y8" unlockedFormula="1"/>
    <ignoredError sqref="X21" formula="1" unlockedFormula="1"/>
    <ignoredError sqref="V14" formula="1"/>
  </ignoredErrors>
  <drawing r:id="rId2"/>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300-000000000000}">
          <x14:formula1>
            <xm:f>Hoja3!$F$11:$F$12</xm:f>
          </x14:formula1>
          <xm:sqref>Q15:Q23 S15:S23 O15:O23</xm:sqref>
        </x14:dataValidation>
        <x14:dataValidation type="list" allowBlank="1" showInputMessage="1" showErrorMessage="1" xr:uid="{00000000-0002-0000-0300-000001000000}">
          <x14:formula1>
            <xm:f>Hoja3!$C$5:$C$9</xm:f>
          </x14:formula1>
          <xm:sqref>G15:G53</xm:sqref>
        </x14:dataValidation>
        <x14:dataValidation type="list" allowBlank="1" showInputMessage="1" showErrorMessage="1" xr:uid="{00000000-0002-0000-0300-000002000000}">
          <x14:formula1>
            <xm:f>Hoja3!$D$7:$D$9</xm:f>
          </x14:formula1>
          <xm:sqref>H16:H53</xm:sqref>
        </x14:dataValidation>
        <x14:dataValidation type="list" allowBlank="1" showInputMessage="1" showErrorMessage="1" xr:uid="{00000000-0002-0000-0300-000003000000}">
          <x14:formula1>
            <xm:f>Hoja3!$H$5:$H$8</xm:f>
          </x14:formula1>
          <xm:sqref>AD8:AE23 L15:L23 K16:K23</xm:sqref>
        </x14:dataValidation>
        <x14:dataValidation type="list" allowBlank="1" showInputMessage="1" showErrorMessage="1" xr:uid="{00000000-0002-0000-0300-000004000000}">
          <x14:formula1>
            <xm:f>Hoja3!$G$11:$G$12</xm:f>
          </x14:formula1>
          <xm:sqref>P15:P23</xm:sqref>
        </x14:dataValidation>
        <x14:dataValidation type="list" allowBlank="1" showInputMessage="1" showErrorMessage="1" xr:uid="{00000000-0002-0000-0300-000005000000}">
          <x14:formula1>
            <xm:f>Hoja3!$I$11:$I$12</xm:f>
          </x14:formula1>
          <xm:sqref>R15:R23</xm:sqref>
        </x14:dataValidation>
        <x14:dataValidation type="list" allowBlank="1" showInputMessage="1" showErrorMessage="1" xr:uid="{00000000-0002-0000-0300-000006000000}">
          <x14:formula1>
            <xm:f>Hoja3!$K$11:$K$12</xm:f>
          </x14:formula1>
          <xm:sqref>T15:T23</xm:sqref>
        </x14:dataValidation>
        <x14:dataValidation type="list" allowBlank="1" showInputMessage="1" showErrorMessage="1" xr:uid="{00000000-0002-0000-0300-000007000000}">
          <x14:formula1>
            <xm:f>Hoja3!$L$11:$L$12</xm:f>
          </x14:formula1>
          <xm:sqref>U15:U23</xm:sqref>
        </x14:dataValidation>
        <x14:dataValidation type="list" allowBlank="1" showInputMessage="1" showErrorMessage="1" xr:uid="{00000000-0002-0000-0300-000008000000}">
          <x14:formula1>
            <xm:f>'[Matriz de Riesgo y Oportunidad (1) uci.xlsx]Hoja3'!#REF!</xm:f>
          </x14:formula1>
          <xm:sqref>O8:U9 O11:U11 O13:U13</xm:sqref>
        </x14:dataValidation>
        <x14:dataValidation type="list" allowBlank="1" showInputMessage="1" showErrorMessage="1" xr:uid="{00000000-0002-0000-0300-000009000000}">
          <x14:formula1>
            <xm:f>'[Matriz de Riesgo y Oportunidad urgencia.xlsx]Hoja3'!#REF!</xm:f>
          </x14:formula1>
          <xm:sqref>H8 O10:U10 O12:U12 O14:U14 G12:H14</xm:sqref>
        </x14:dataValidation>
        <x14:dataValidation type="list" allowBlank="1" showInputMessage="1" showErrorMessage="1" xr:uid="{00000000-0002-0000-0300-00000A000000}">
          <x14:formula1>
            <xm:f>Hoja4!$C$6:$C$9</xm:f>
          </x14:formula1>
          <xm:sqref>K8</xm:sqref>
        </x14:dataValidation>
        <x14:dataValidation type="list" allowBlank="1" showInputMessage="1" showErrorMessage="1" xr:uid="{00000000-0002-0000-0300-00000B000000}">
          <x14:formula1>
            <xm:f>Hoja4!$D$6:$D$9</xm:f>
          </x14:formula1>
          <xm:sqref>L8:L14 K9:K15</xm:sqref>
        </x14:dataValidation>
        <x14:dataValidation type="list" allowBlank="1" showInputMessage="1" showErrorMessage="1" xr:uid="{00000000-0002-0000-0300-00000C000000}">
          <x14:formula1>
            <xm:f>Hoja4!$C$13:$C$17</xm:f>
          </x14:formula1>
          <xm:sqref>G8:G11</xm:sqref>
        </x14:dataValidation>
        <x14:dataValidation type="list" allowBlank="1" showInputMessage="1" showErrorMessage="1" xr:uid="{00000000-0002-0000-0300-00000D000000}">
          <x14:formula1>
            <xm:f>Hoja4!$D$15:$D$17</xm:f>
          </x14:formula1>
          <xm:sqref>H9:H11 H15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41"/>
  <sheetViews>
    <sheetView showGridLines="0" zoomScale="124" zoomScaleNormal="124" workbookViewId="0">
      <selection activeCell="D24" sqref="D24"/>
    </sheetView>
  </sheetViews>
  <sheetFormatPr baseColWidth="10" defaultRowHeight="14.4" x14ac:dyDescent="0.3"/>
  <cols>
    <col min="1" max="1" width="10.109375" bestFit="1" customWidth="1"/>
    <col min="2" max="2" width="27.6640625" customWidth="1"/>
    <col min="3" max="3" width="52.5546875" customWidth="1"/>
    <col min="4" max="4" width="59" customWidth="1"/>
    <col min="13" max="13" width="26.109375" bestFit="1" customWidth="1"/>
    <col min="14" max="14" width="18" bestFit="1" customWidth="1"/>
  </cols>
  <sheetData>
    <row r="2" spans="1:4" ht="48.75" customHeight="1" x14ac:dyDescent="0.3">
      <c r="A2" s="240">
        <v>1</v>
      </c>
    </row>
    <row r="3" spans="1:4" ht="32.25" customHeight="1" x14ac:dyDescent="0.3">
      <c r="A3" s="240">
        <v>2</v>
      </c>
    </row>
    <row r="4" spans="1:4" x14ac:dyDescent="0.3">
      <c r="A4" s="240">
        <v>3</v>
      </c>
    </row>
    <row r="5" spans="1:4" x14ac:dyDescent="0.3">
      <c r="A5" s="240">
        <v>4</v>
      </c>
    </row>
    <row r="6" spans="1:4" x14ac:dyDescent="0.3">
      <c r="D6" s="15"/>
    </row>
    <row r="7" spans="1:4" x14ac:dyDescent="0.3">
      <c r="D7" s="15"/>
    </row>
    <row r="8" spans="1:4" x14ac:dyDescent="0.3">
      <c r="D8" s="15"/>
    </row>
    <row r="9" spans="1:4" x14ac:dyDescent="0.3">
      <c r="D9" s="15"/>
    </row>
    <row r="10" spans="1:4" x14ac:dyDescent="0.3">
      <c r="D10" s="15"/>
    </row>
    <row r="11" spans="1:4" x14ac:dyDescent="0.3">
      <c r="D11" s="15"/>
    </row>
    <row r="12" spans="1:4" x14ac:dyDescent="0.3">
      <c r="D12" s="15"/>
    </row>
    <row r="13" spans="1:4" x14ac:dyDescent="0.3">
      <c r="D13" s="15"/>
    </row>
    <row r="14" spans="1:4" x14ac:dyDescent="0.3">
      <c r="D14" s="15"/>
    </row>
    <row r="15" spans="1:4" x14ac:dyDescent="0.3">
      <c r="D15" s="15"/>
    </row>
    <row r="16" spans="1:4" x14ac:dyDescent="0.3">
      <c r="D16" s="15"/>
    </row>
    <row r="17" spans="2:14" x14ac:dyDescent="0.3">
      <c r="D17" s="15"/>
    </row>
    <row r="19" spans="2:14" ht="15" thickBot="1" x14ac:dyDescent="0.35"/>
    <row r="20" spans="2:14" ht="28.2" thickBot="1" x14ac:dyDescent="0.35">
      <c r="B20" s="14" t="s">
        <v>26</v>
      </c>
      <c r="C20" s="14" t="s">
        <v>25</v>
      </c>
      <c r="D20" s="36" t="s">
        <v>204</v>
      </c>
      <c r="E20" s="1"/>
      <c r="F20" s="1"/>
      <c r="G20" s="1"/>
      <c r="H20" s="1"/>
      <c r="I20" s="1"/>
      <c r="J20" s="1"/>
      <c r="K20" s="1"/>
    </row>
    <row r="21" spans="2:14" ht="49.5" customHeight="1" thickBot="1" x14ac:dyDescent="0.35">
      <c r="B21" s="4" t="s">
        <v>24</v>
      </c>
      <c r="C21" s="42" t="s">
        <v>75</v>
      </c>
      <c r="D21" s="43"/>
    </row>
    <row r="22" spans="2:14" ht="85.2" customHeight="1" x14ac:dyDescent="0.3">
      <c r="B22" s="21" t="s">
        <v>61</v>
      </c>
      <c r="C22" s="19" t="s">
        <v>76</v>
      </c>
      <c r="D22" s="44" t="s">
        <v>233</v>
      </c>
    </row>
    <row r="23" spans="2:14" ht="127.8" customHeight="1" x14ac:dyDescent="0.3">
      <c r="B23" s="5" t="s">
        <v>59</v>
      </c>
      <c r="C23" s="3" t="s">
        <v>77</v>
      </c>
      <c r="D23" s="44" t="s">
        <v>234</v>
      </c>
    </row>
    <row r="24" spans="2:14" ht="121.8" customHeight="1" thickBot="1" x14ac:dyDescent="0.35">
      <c r="B24" s="6" t="s">
        <v>60</v>
      </c>
      <c r="C24" s="7" t="s">
        <v>78</v>
      </c>
      <c r="D24" s="45" t="s">
        <v>235</v>
      </c>
    </row>
    <row r="25" spans="2:14" ht="15" thickBot="1" x14ac:dyDescent="0.35"/>
    <row r="26" spans="2:14" ht="15" thickBot="1" x14ac:dyDescent="0.35">
      <c r="M26" s="36" t="s">
        <v>79</v>
      </c>
      <c r="N26" s="36" t="s">
        <v>80</v>
      </c>
    </row>
    <row r="27" spans="2:14" x14ac:dyDescent="0.3">
      <c r="M27" s="47" t="s">
        <v>81</v>
      </c>
      <c r="N27" s="48">
        <v>0</v>
      </c>
    </row>
    <row r="28" spans="2:14" x14ac:dyDescent="0.3">
      <c r="M28" s="47" t="s">
        <v>82</v>
      </c>
      <c r="N28" s="48">
        <v>1</v>
      </c>
    </row>
    <row r="29" spans="2:14" ht="15" thickBot="1" x14ac:dyDescent="0.35">
      <c r="M29" s="49" t="s">
        <v>83</v>
      </c>
      <c r="N29" s="50">
        <v>2</v>
      </c>
    </row>
    <row r="31" spans="2:14" ht="15" thickBot="1" x14ac:dyDescent="0.35"/>
    <row r="32" spans="2:14" ht="15" thickBot="1" x14ac:dyDescent="0.35">
      <c r="B32" s="346" t="s">
        <v>151</v>
      </c>
      <c r="C32" s="347"/>
    </row>
    <row r="33" spans="2:3" ht="55.2" x14ac:dyDescent="0.3">
      <c r="B33" s="137" t="s">
        <v>174</v>
      </c>
      <c r="C33" s="279" t="s">
        <v>175</v>
      </c>
    </row>
    <row r="34" spans="2:3" ht="55.2" x14ac:dyDescent="0.3">
      <c r="B34" s="151" t="s">
        <v>176</v>
      </c>
      <c r="C34" s="280" t="s">
        <v>177</v>
      </c>
    </row>
    <row r="35" spans="2:3" ht="110.4" x14ac:dyDescent="0.3">
      <c r="B35" s="151" t="s">
        <v>178</v>
      </c>
      <c r="C35" s="280" t="s">
        <v>179</v>
      </c>
    </row>
    <row r="36" spans="2:3" ht="82.8" x14ac:dyDescent="0.3">
      <c r="B36" s="151" t="s">
        <v>180</v>
      </c>
      <c r="C36" s="280" t="s">
        <v>181</v>
      </c>
    </row>
    <row r="37" spans="2:3" ht="55.8" thickBot="1" x14ac:dyDescent="0.35">
      <c r="B37" s="281" t="s">
        <v>182</v>
      </c>
      <c r="C37" s="282" t="s">
        <v>183</v>
      </c>
    </row>
    <row r="39" spans="2:3" x14ac:dyDescent="0.3">
      <c r="B39" s="348" t="s">
        <v>210</v>
      </c>
      <c r="C39" s="348"/>
    </row>
    <row r="40" spans="2:3" x14ac:dyDescent="0.3">
      <c r="B40" s="294" t="s">
        <v>206</v>
      </c>
      <c r="C40" s="293" t="s">
        <v>211</v>
      </c>
    </row>
    <row r="41" spans="2:3" x14ac:dyDescent="0.3">
      <c r="B41" s="294" t="s">
        <v>207</v>
      </c>
      <c r="C41" s="293"/>
    </row>
  </sheetData>
  <mergeCells count="2">
    <mergeCell ref="B32:C32"/>
    <mergeCell ref="B39:C39"/>
  </mergeCells>
  <pageMargins left="0.7" right="0.7" top="0.75" bottom="0.75" header="0.3" footer="0.3"/>
  <pageSetup paperSize="9" scale="70"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7577-C4D2-44B9-B9BD-569B40D238CB}">
  <dimension ref="A2:J5"/>
  <sheetViews>
    <sheetView topLeftCell="E1" workbookViewId="0">
      <selection activeCell="J4" sqref="J4"/>
    </sheetView>
  </sheetViews>
  <sheetFormatPr baseColWidth="10" defaultColWidth="32.6640625" defaultRowHeight="14.4" x14ac:dyDescent="0.3"/>
  <sheetData>
    <row r="2" spans="1:10" ht="79.2" x14ac:dyDescent="0.3">
      <c r="A2" s="295" t="s">
        <v>222</v>
      </c>
      <c r="B2" s="295" t="s">
        <v>214</v>
      </c>
      <c r="C2" s="295" t="s">
        <v>215</v>
      </c>
      <c r="D2" s="295" t="s">
        <v>216</v>
      </c>
      <c r="E2" s="295" t="s">
        <v>217</v>
      </c>
      <c r="F2" s="295" t="s">
        <v>218</v>
      </c>
      <c r="G2" s="295" t="s">
        <v>219</v>
      </c>
      <c r="H2" s="295" t="s">
        <v>220</v>
      </c>
      <c r="I2" s="295" t="s">
        <v>213</v>
      </c>
      <c r="J2" s="295" t="s">
        <v>223</v>
      </c>
    </row>
    <row r="3" spans="1:10" x14ac:dyDescent="0.3">
      <c r="A3" s="293" t="s">
        <v>221</v>
      </c>
      <c r="B3" s="293">
        <v>15</v>
      </c>
      <c r="C3" s="293">
        <v>5</v>
      </c>
      <c r="D3" s="293">
        <v>0</v>
      </c>
      <c r="E3" s="293">
        <v>10</v>
      </c>
      <c r="F3" s="293">
        <v>15</v>
      </c>
      <c r="G3" s="293">
        <v>10</v>
      </c>
      <c r="H3" s="293">
        <v>30</v>
      </c>
      <c r="I3" s="293">
        <f>SUM(B3:H3)</f>
        <v>85</v>
      </c>
      <c r="J3" s="293">
        <f>IF(I3&lt;51,"0",IF(I3&gt;76,1,2))</f>
        <v>1</v>
      </c>
    </row>
    <row r="4" spans="1:10" ht="27.6" x14ac:dyDescent="0.3">
      <c r="A4" s="186" t="s">
        <v>212</v>
      </c>
      <c r="B4" s="293">
        <v>15</v>
      </c>
      <c r="C4" s="293">
        <v>5</v>
      </c>
      <c r="D4" s="293">
        <v>0</v>
      </c>
      <c r="E4" s="293">
        <v>10</v>
      </c>
      <c r="F4" s="293">
        <v>15</v>
      </c>
      <c r="G4" s="293">
        <v>10</v>
      </c>
      <c r="H4" s="293">
        <v>30</v>
      </c>
      <c r="I4" s="293">
        <v>85</v>
      </c>
      <c r="J4" s="293">
        <f>IF(I4&lt;51,"0",IF(I4&gt;76,1,2))</f>
        <v>1</v>
      </c>
    </row>
    <row r="5" spans="1:10" x14ac:dyDescent="0.3">
      <c r="A5" s="186" t="s">
        <v>224</v>
      </c>
      <c r="B5">
        <v>15</v>
      </c>
      <c r="C5">
        <v>5</v>
      </c>
      <c r="D5">
        <v>0</v>
      </c>
      <c r="E5">
        <v>10</v>
      </c>
      <c r="F5">
        <v>15</v>
      </c>
      <c r="G5">
        <v>10</v>
      </c>
      <c r="H5">
        <v>30</v>
      </c>
      <c r="I5" s="293">
        <v>85</v>
      </c>
      <c r="J5" s="293">
        <f>IF(I5&lt;51,"0",IF(I5&gt;76,1,2))</f>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6:I17"/>
  <sheetViews>
    <sheetView workbookViewId="0">
      <selection activeCell="G15" sqref="G15"/>
    </sheetView>
  </sheetViews>
  <sheetFormatPr baseColWidth="10" defaultRowHeight="14.4" x14ac:dyDescent="0.3"/>
  <sheetData>
    <row r="6" spans="3:9" x14ac:dyDescent="0.3">
      <c r="C6" s="285">
        <v>1</v>
      </c>
      <c r="D6" s="285">
        <v>1</v>
      </c>
      <c r="F6" s="283">
        <v>5</v>
      </c>
      <c r="G6" s="283">
        <v>10</v>
      </c>
      <c r="H6" s="283">
        <v>15</v>
      </c>
      <c r="I6" s="283">
        <v>30</v>
      </c>
    </row>
    <row r="7" spans="3:9" x14ac:dyDescent="0.3">
      <c r="C7" s="285">
        <v>2</v>
      </c>
      <c r="D7" s="285">
        <v>2</v>
      </c>
      <c r="F7" s="283">
        <v>0</v>
      </c>
      <c r="G7" s="283">
        <v>0</v>
      </c>
      <c r="H7" s="283">
        <v>0</v>
      </c>
      <c r="I7" s="283">
        <v>0</v>
      </c>
    </row>
    <row r="8" spans="3:9" x14ac:dyDescent="0.3">
      <c r="C8" s="285">
        <v>3</v>
      </c>
      <c r="D8" s="285">
        <v>3</v>
      </c>
    </row>
    <row r="9" spans="3:9" x14ac:dyDescent="0.3">
      <c r="C9" s="285">
        <v>4</v>
      </c>
      <c r="D9" s="285">
        <v>4</v>
      </c>
    </row>
    <row r="13" spans="3:9" x14ac:dyDescent="0.3">
      <c r="C13" s="1" t="s">
        <v>31</v>
      </c>
    </row>
    <row r="14" spans="3:9" x14ac:dyDescent="0.3">
      <c r="C14" s="1" t="s">
        <v>10</v>
      </c>
    </row>
    <row r="15" spans="3:9" x14ac:dyDescent="0.3">
      <c r="C15" s="1" t="s">
        <v>30</v>
      </c>
      <c r="D15" s="1" t="s">
        <v>14</v>
      </c>
    </row>
    <row r="16" spans="3:9" x14ac:dyDescent="0.3">
      <c r="C16" s="1" t="s">
        <v>11</v>
      </c>
      <c r="D16" s="1" t="s">
        <v>15</v>
      </c>
    </row>
    <row r="17" spans="3:4" x14ac:dyDescent="0.3">
      <c r="C17" s="1" t="s">
        <v>193</v>
      </c>
      <c r="D17" s="1" t="s">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5:L12"/>
  <sheetViews>
    <sheetView workbookViewId="0">
      <selection activeCell="G16" sqref="G16"/>
    </sheetView>
  </sheetViews>
  <sheetFormatPr baseColWidth="10" defaultColWidth="11.44140625" defaultRowHeight="14.4" x14ac:dyDescent="0.3"/>
  <cols>
    <col min="2" max="2" width="11.44140625" customWidth="1"/>
    <col min="3" max="3" width="17.44140625" customWidth="1"/>
    <col min="4" max="4" width="14.109375" customWidth="1"/>
    <col min="5" max="5" width="11.44140625" customWidth="1"/>
    <col min="6" max="6" width="17" customWidth="1"/>
  </cols>
  <sheetData>
    <row r="5" spans="3:12" x14ac:dyDescent="0.3">
      <c r="C5" s="1" t="s">
        <v>31</v>
      </c>
      <c r="F5">
        <v>0</v>
      </c>
      <c r="H5" s="46">
        <v>1</v>
      </c>
    </row>
    <row r="6" spans="3:12" x14ac:dyDescent="0.3">
      <c r="C6" s="1" t="s">
        <v>10</v>
      </c>
      <c r="F6">
        <v>1</v>
      </c>
      <c r="H6" s="46">
        <v>2</v>
      </c>
    </row>
    <row r="7" spans="3:12" x14ac:dyDescent="0.3">
      <c r="C7" s="1" t="s">
        <v>30</v>
      </c>
      <c r="D7" s="1" t="s">
        <v>14</v>
      </c>
      <c r="F7">
        <v>2</v>
      </c>
      <c r="H7" s="46">
        <v>3</v>
      </c>
    </row>
    <row r="8" spans="3:12" x14ac:dyDescent="0.3">
      <c r="C8" s="1" t="s">
        <v>11</v>
      </c>
      <c r="D8" s="1" t="s">
        <v>15</v>
      </c>
      <c r="H8" s="46">
        <v>4</v>
      </c>
    </row>
    <row r="9" spans="3:12" x14ac:dyDescent="0.3">
      <c r="C9" s="1" t="s">
        <v>12</v>
      </c>
      <c r="D9" s="1" t="s">
        <v>16</v>
      </c>
    </row>
    <row r="10" spans="3:12" x14ac:dyDescent="0.3">
      <c r="C10" s="1"/>
    </row>
    <row r="11" spans="3:12" x14ac:dyDescent="0.3">
      <c r="F11" s="46">
        <v>0</v>
      </c>
      <c r="G11" s="46">
        <v>0</v>
      </c>
      <c r="H11" s="46">
        <v>0</v>
      </c>
      <c r="I11" s="46">
        <v>0</v>
      </c>
      <c r="J11" s="46">
        <v>0</v>
      </c>
      <c r="K11" s="46">
        <v>0</v>
      </c>
      <c r="L11" s="46">
        <v>0</v>
      </c>
    </row>
    <row r="12" spans="3:12" x14ac:dyDescent="0.3">
      <c r="F12" s="20">
        <v>15</v>
      </c>
      <c r="G12" s="20">
        <v>5</v>
      </c>
      <c r="H12" s="20">
        <v>0</v>
      </c>
      <c r="I12" s="20">
        <v>10</v>
      </c>
      <c r="J12" s="20">
        <v>15</v>
      </c>
      <c r="K12" s="20">
        <v>10</v>
      </c>
      <c r="L12" s="20">
        <v>30</v>
      </c>
    </row>
  </sheetData>
  <dataValidations disablePrompts="1" count="1">
    <dataValidation type="custom" allowBlank="1" showInputMessage="1" showErrorMessage="1" sqref="F12" xr:uid="{00000000-0002-0000-0600-000000000000}">
      <formula1>15</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23"/>
  <sheetViews>
    <sheetView workbookViewId="0">
      <selection activeCell="B3" sqref="B3:F9"/>
    </sheetView>
  </sheetViews>
  <sheetFormatPr baseColWidth="10" defaultRowHeight="14.4" x14ac:dyDescent="0.3"/>
  <cols>
    <col min="2" max="6" width="15.44140625" customWidth="1"/>
    <col min="7" max="7" width="11.44140625" customWidth="1"/>
    <col min="8" max="8" width="25.33203125" customWidth="1"/>
    <col min="10" max="10" width="10.109375" bestFit="1" customWidth="1"/>
    <col min="11" max="11" width="27.6640625" customWidth="1"/>
    <col min="12" max="12" width="52.5546875" customWidth="1"/>
  </cols>
  <sheetData>
    <row r="2" spans="2:8" ht="15" thickBot="1" x14ac:dyDescent="0.35"/>
    <row r="3" spans="2:8" ht="15" thickBot="1" x14ac:dyDescent="0.35">
      <c r="B3" s="352" t="s">
        <v>184</v>
      </c>
      <c r="C3" s="353"/>
      <c r="D3" s="353"/>
      <c r="E3" s="353"/>
      <c r="F3" s="354"/>
    </row>
    <row r="4" spans="2:8" x14ac:dyDescent="0.3">
      <c r="B4" s="355" t="s">
        <v>32</v>
      </c>
      <c r="C4" s="357" t="s">
        <v>39</v>
      </c>
      <c r="D4" s="358"/>
      <c r="E4" s="358"/>
      <c r="F4" s="359"/>
    </row>
    <row r="5" spans="2:8" ht="15" thickBot="1" x14ac:dyDescent="0.35">
      <c r="B5" s="356"/>
      <c r="C5" s="32" t="s">
        <v>27</v>
      </c>
      <c r="D5" s="11" t="s">
        <v>28</v>
      </c>
      <c r="E5" s="11" t="s">
        <v>62</v>
      </c>
      <c r="F5" s="10" t="s">
        <v>63</v>
      </c>
    </row>
    <row r="6" spans="2:8" x14ac:dyDescent="0.3">
      <c r="B6" s="13" t="s">
        <v>63</v>
      </c>
      <c r="C6" s="28">
        <v>4</v>
      </c>
      <c r="D6" s="29">
        <v>8</v>
      </c>
      <c r="E6" s="30">
        <v>12</v>
      </c>
      <c r="F6" s="31">
        <v>16</v>
      </c>
    </row>
    <row r="7" spans="2:8" x14ac:dyDescent="0.3">
      <c r="B7" s="12" t="s">
        <v>62</v>
      </c>
      <c r="C7" s="25">
        <v>3</v>
      </c>
      <c r="D7" s="22">
        <v>6</v>
      </c>
      <c r="E7" s="8">
        <v>9</v>
      </c>
      <c r="F7" s="9">
        <v>12</v>
      </c>
    </row>
    <row r="8" spans="2:8" x14ac:dyDescent="0.3">
      <c r="B8" s="13" t="s">
        <v>28</v>
      </c>
      <c r="C8" s="25">
        <v>2</v>
      </c>
      <c r="D8" s="22">
        <v>4</v>
      </c>
      <c r="E8" s="22">
        <v>6</v>
      </c>
      <c r="F8" s="23">
        <v>8</v>
      </c>
    </row>
    <row r="9" spans="2:8" ht="15" thickBot="1" x14ac:dyDescent="0.35">
      <c r="B9" s="27" t="s">
        <v>27</v>
      </c>
      <c r="C9" s="26">
        <v>1</v>
      </c>
      <c r="D9" s="24">
        <v>2</v>
      </c>
      <c r="E9" s="24">
        <v>3</v>
      </c>
      <c r="F9" s="284">
        <v>4</v>
      </c>
    </row>
    <row r="12" spans="2:8" ht="15" thickBot="1" x14ac:dyDescent="0.35"/>
    <row r="13" spans="2:8" ht="19.5" customHeight="1" thickBot="1" x14ac:dyDescent="0.35">
      <c r="B13" s="360" t="s">
        <v>2</v>
      </c>
      <c r="C13" s="361"/>
      <c r="D13" s="361"/>
      <c r="E13" s="361"/>
      <c r="F13" s="362"/>
      <c r="H13" s="2" t="s">
        <v>1</v>
      </c>
    </row>
    <row r="14" spans="2:8" ht="24" customHeight="1" x14ac:dyDescent="0.3">
      <c r="B14" s="363" t="s">
        <v>4</v>
      </c>
      <c r="C14" s="364"/>
      <c r="D14" s="364"/>
      <c r="E14" s="364"/>
      <c r="F14" s="365"/>
      <c r="H14" s="18" t="s">
        <v>33</v>
      </c>
    </row>
    <row r="15" spans="2:8" ht="26.25" customHeight="1" x14ac:dyDescent="0.3">
      <c r="B15" s="363" t="s">
        <v>3</v>
      </c>
      <c r="C15" s="364"/>
      <c r="D15" s="364"/>
      <c r="E15" s="364"/>
      <c r="F15" s="365"/>
      <c r="H15" s="16" t="s">
        <v>33</v>
      </c>
    </row>
    <row r="16" spans="2:8" ht="27.75" customHeight="1" thickBot="1" x14ac:dyDescent="0.35">
      <c r="B16" s="349" t="s">
        <v>6</v>
      </c>
      <c r="C16" s="350"/>
      <c r="D16" s="350"/>
      <c r="E16" s="350"/>
      <c r="F16" s="351"/>
      <c r="H16" s="17" t="s">
        <v>34</v>
      </c>
    </row>
    <row r="18" spans="10:12" ht="15" thickBot="1" x14ac:dyDescent="0.35"/>
    <row r="19" spans="10:12" ht="15" thickBot="1" x14ac:dyDescent="0.35">
      <c r="J19" s="14" t="s">
        <v>70</v>
      </c>
      <c r="K19" s="14" t="s">
        <v>68</v>
      </c>
      <c r="L19" s="36" t="s">
        <v>69</v>
      </c>
    </row>
    <row r="20" spans="10:12" ht="41.4" x14ac:dyDescent="0.3">
      <c r="J20" s="37" t="s">
        <v>72</v>
      </c>
      <c r="K20" s="33" t="s">
        <v>71</v>
      </c>
      <c r="L20" s="38" t="s">
        <v>64</v>
      </c>
    </row>
    <row r="21" spans="10:12" ht="69" x14ac:dyDescent="0.3">
      <c r="J21" s="37" t="s">
        <v>84</v>
      </c>
      <c r="K21" s="34" t="s">
        <v>61</v>
      </c>
      <c r="L21" s="38" t="s">
        <v>65</v>
      </c>
    </row>
    <row r="22" spans="10:12" ht="41.4" x14ac:dyDescent="0.3">
      <c r="J22" s="37" t="s">
        <v>73</v>
      </c>
      <c r="K22" s="35" t="s">
        <v>59</v>
      </c>
      <c r="L22" s="38" t="s">
        <v>66</v>
      </c>
    </row>
    <row r="23" spans="10:12" ht="69.599999999999994" thickBot="1" x14ac:dyDescent="0.35">
      <c r="J23" s="39" t="s">
        <v>74</v>
      </c>
      <c r="K23" s="40" t="s">
        <v>60</v>
      </c>
      <c r="L23" s="41" t="s">
        <v>67</v>
      </c>
    </row>
  </sheetData>
  <mergeCells count="7">
    <mergeCell ref="B16:F16"/>
    <mergeCell ref="B3:F3"/>
    <mergeCell ref="B4:B5"/>
    <mergeCell ref="C4:F4"/>
    <mergeCell ref="B13:F13"/>
    <mergeCell ref="B14:F14"/>
    <mergeCell ref="B15:F15"/>
  </mergeCells>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7" ma:contentTypeDescription="Crear nuevo documento." ma:contentTypeScope="" ma:versionID="c72ee4814265a5f888a149c806f76055">
  <xsd:schema xmlns:xsd="http://www.w3.org/2001/XMLSchema" xmlns:xs="http://www.w3.org/2001/XMLSchema" xmlns:p="http://schemas.microsoft.com/office/2006/metadata/properties" xmlns:ns2="6d25fb09-3c3f-4221-b7db-31ec8f4c6990" targetNamespace="http://schemas.microsoft.com/office/2006/metadata/properties" ma:root="true" ma:fieldsID="f54fb06cd598391d5106d25d3ae255b1" ns2:_="">
    <xsd:import namespace="6d25fb09-3c3f-4221-b7db-31ec8f4c699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5fb09-3c3f-4221-b7db-31ec8f4c69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3290F5-2DA8-4862-B0F2-386C73D3254C}"/>
</file>

<file path=customXml/itemProps2.xml><?xml version="1.0" encoding="utf-8"?>
<ds:datastoreItem xmlns:ds="http://schemas.openxmlformats.org/officeDocument/2006/customXml" ds:itemID="{D81AA156-51FE-4DB8-BCFF-4433BD40FAEA}"/>
</file>

<file path=customXml/itemProps3.xml><?xml version="1.0" encoding="utf-8"?>
<ds:datastoreItem xmlns:ds="http://schemas.openxmlformats.org/officeDocument/2006/customXml" ds:itemID="{06E6E992-378A-4347-B76D-FE6A7920B2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Gerencia Administrativa</vt:lpstr>
      <vt:lpstr>Matriz de Riesgo..</vt:lpstr>
      <vt:lpstr>Matriz de Riesgo</vt:lpstr>
      <vt:lpstr>Calificación y Semaforización</vt:lpstr>
      <vt:lpstr>CALIFICACION CONTROL</vt:lpstr>
      <vt:lpstr>Hoja4</vt:lpstr>
      <vt:lpstr>Hoja3</vt:lpstr>
      <vt:lpstr>Hoja1</vt:lpstr>
      <vt:lpstr>'Calificación y Semaforización'!Área_de_impresión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ARCH04</dc:creator>
  <cp:lastModifiedBy>Heisa Buelvas</cp:lastModifiedBy>
  <cp:lastPrinted>2020-09-09T15:43:19Z</cp:lastPrinted>
  <dcterms:created xsi:type="dcterms:W3CDTF">2018-04-25T22:43:19Z</dcterms:created>
  <dcterms:modified xsi:type="dcterms:W3CDTF">2025-10-28T22:27:00Z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70800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