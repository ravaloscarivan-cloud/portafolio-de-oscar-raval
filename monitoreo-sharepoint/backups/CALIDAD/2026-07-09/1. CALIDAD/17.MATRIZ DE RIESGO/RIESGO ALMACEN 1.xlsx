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7.MATRIZ DE RIESGO\"/>
    </mc:Choice>
  </mc:AlternateContent>
  <xr:revisionPtr revIDLastSave="0" documentId="13_ncr:1_{4D4E562A-B576-4069-B3F8-D1DFFEC17E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1" l="1"/>
  <c r="AB11" i="11"/>
  <c r="M11" i="11"/>
  <c r="AN9" i="11"/>
  <c r="AN10" i="11"/>
  <c r="AB10" i="11"/>
  <c r="AB9" i="11"/>
  <c r="M10" i="11"/>
  <c r="M9" i="11"/>
  <c r="X8" i="11" l="1"/>
  <c r="Y8" i="11" l="1"/>
  <c r="AA8" i="11" l="1"/>
  <c r="AN8" i="11" l="1"/>
  <c r="M8" i="11"/>
  <c r="AB8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X19" i="10"/>
  <c r="Y19" i="10" s="1"/>
  <c r="Z19" i="10" s="1"/>
  <c r="AB19" i="10" s="1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X9" i="10"/>
  <c r="Y9" i="10" s="1"/>
  <c r="Z9" i="10" s="1"/>
  <c r="AB9" i="10" s="1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7" i="4" l="1"/>
  <c r="Z14" i="4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<sst xmlns="http://schemas.openxmlformats.org/spreadsheetml/2006/main" count="497" uniqueCount="245">
  <si>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</si>
  <si>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</si>
  <si>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</si>
  <si>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</si>
  <si>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</si>
  <si>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</si>
  <si>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</si>
  <si>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</si>
  <si>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</si>
  <si>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</si>
  <si>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</si>
  <si>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</si>
  <si>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</si>
  <si>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</si>
  <si>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</si>
  <si>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</si>
  <si>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</si>
  <si>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</si>
  <si>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</si>
  <si>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</si>
  <si>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</si>
  <si>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</si>
  <si>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</si>
  <si>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</si>
  <si>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</si>
  <si>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</si>
  <si>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</si>
  <si>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</si>
  <si>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</si>
  <si>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</si>
  <si>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</si>
  <si>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</si>
  <si>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</si>
  <si>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</si>
  <si>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</si>
  <si>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</si>
  <si>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</si>
  <si>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</si>
  <si>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</si>
  <si>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</si>
  <si>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</si>
  <si>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</si>
  <si>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</si>
  <si>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</si>
  <si>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</si>
  <si>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</si>
  <si>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</si>
  <si>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</si>
  <si>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</si>
  <si>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</si>
  <si>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</si>
  <si>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</si>
  <si>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</si>
  <si>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</si>
  <si>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</si>
  <si>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</si>
  <si>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</si>
  <si>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</si>
  <si>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</si>
  <si>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</si>
  <si>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</si>
  <si>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</si>
  <si>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</si>
  <si>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</si>
  <si>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</si>
  <si>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</si>
  <si>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</si>
  <si>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</si>
  <si>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</si>
  <si>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</si>
  <si>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</si>
  <si>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</si>
  <si>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</si>
  <si>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</si>
  <si>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</si>
  <si>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</si>
  <si>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</si>
  <si>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</si>
  <si>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</si>
  <si>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</si>
  <si>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</si>
  <si>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</si>
  <si>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</si>
  <si>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</si>
  <si>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</si>
  <si>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</si>
  <si>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</si>
  <si>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</si>
  <si>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</si>
  <si>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</si>
  <si>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</si>
  <si>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</si>
  <si>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</si>
  <si>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</si>
  <si>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</si>
  <si>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</si>
  <si>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</si>
  <si>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</si>
  <si>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</si>
  <si>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</si>
  <si>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</si>
  <si>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</si>
  <si>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</si>
  <si>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</si>
  <si>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</si>
  <si>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</si>
  <si>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</si>
  <si>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</si>
  <si>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</si>
  <si>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</si>
  <si>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</si>
  <si>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</si>
  <si>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</si>
  <si>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</si>
  <si>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</si>
  <si>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</si>
  <si>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</si>
  <si>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</si>
  <si>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</si>
  <si>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</si>
  <si>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</si>
  <si>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</si>
  <si>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</si>
  <si>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</si>
  <si>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</si>
  <si>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</si>
  <si>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</si>
  <si>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</si>
  <si>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</si>
  <si>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</si>
  <si>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</si>
  <si>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</si>
  <si>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</si>
  <si>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</si>
  <si>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</si>
  <si>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</si>
  <si>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</si>
  <si>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</si>
  <si>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</si>
  <si>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</si>
  <si>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</si>
  <si>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</si>
  <si>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</si>
  <si>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</si>
  <si>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</si>
  <si>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</si>
  <si>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</si>
  <si>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</si>
  <si>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</si>
  <si>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</si>
  <si>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</si>
  <si>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</si>
  <si>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</si>
  <si>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</si>
  <si>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</si>
  <si>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</si>
  <si>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</si>
  <si>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</si>
  <si>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</si>
  <si>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</si>
  <si>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</si>
  <si>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</si>
  <si>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</si>
  <si>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</si>
  <si>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</si>
  <si>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</si>
  <si>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</si>
  <si>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</si>
  <si>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</si>
  <si>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</si>
  <si>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</si>
  <si>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</si>
  <si>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</si>
  <si>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</si>
  <si>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</si>
  <si>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</si>
  <si>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</si>
  <si>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</si>
  <si>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</si>
  <si>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</si>
  <si>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</si>
  <si>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</si>
  <si>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</si>
  <si>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</si>
  <si>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</si>
  <si>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</si>
  <si>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</si>
  <si>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</si>
  <si>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</si>
  <si>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</si>
  <si>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</si>
  <si>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</si>
  <si>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</si>
  <si>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</si>
  <si>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</si>
  <si>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</si>
  <si>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</si>
  <si>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</si>
  <si>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</si>
  <si>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Preventivo</t>
  </si>
  <si>
    <t>N/A</t>
  </si>
  <si>
    <t>EVALUACIÓN DEL RIESGO CON CONTROLES EXISTENTES</t>
  </si>
  <si>
    <t>cuando aplique</t>
  </si>
  <si>
    <t>PROCEDIMIENTO/DOCUMENTO</t>
  </si>
  <si>
    <t>Cuando aplique.</t>
  </si>
  <si>
    <t>FECHA ACTUALIZACION: 09/06/2021</t>
  </si>
  <si>
    <t>1.Asistencia a capacitaciones. 2  Evidencia documentada.</t>
  </si>
  <si>
    <t>ALMACEN</t>
  </si>
  <si>
    <t>COMPRAS</t>
  </si>
  <si>
    <t>1.RECEPCION DE MATERIAL QUE NO CUMPLA  CON LOS REQUISITOS</t>
  </si>
  <si>
    <t>1.POSIBLE EVENTO ADVERSO EN EL USUARIO FINAL
2. QUEJAS POR CLIENTE O ESPECIALISTAS</t>
  </si>
  <si>
    <t>COORDINADOR DE LOGISTICA</t>
  </si>
  <si>
    <t>NA</t>
  </si>
  <si>
    <t>PROCEDIMIENTO DE RECEPCION DE MATERIAL</t>
  </si>
  <si>
    <t>1. NO REVISAR DM AL INGRESO</t>
  </si>
  <si>
    <t xml:space="preserve">1. NO REVISAR DM AL INGRESO (ERROR HUMANO)
</t>
  </si>
  <si>
    <t>DESPACHO QUE NO CUMPLA CON LAS ESPECIFICACIONES DEL CLIENTE</t>
  </si>
  <si>
    <t>PROCEDIMIENTO DE DESPACHO</t>
  </si>
  <si>
    <t>1. ERROR HUMANO</t>
  </si>
  <si>
    <t>1. PERSONAL ENTRENADO EN DM
2. REVISION POR ASESORES QUIRUGICOS</t>
  </si>
  <si>
    <t>PREVENTIVO</t>
  </si>
  <si>
    <t>DIARIO</t>
  </si>
  <si>
    <t>DIARIA</t>
  </si>
  <si>
    <t>CUANDO APLIQUE</t>
  </si>
  <si>
    <t>TRANSFERENCIA</t>
  </si>
  <si>
    <t>CODIGO</t>
  </si>
  <si>
    <t>FOR-GC-010</t>
  </si>
  <si>
    <t>1. PERSONAL ENTRENADO EN RECEPCION DE MATERIAL
2. RECEPCION ADECUACADA DE MATERIAL / DILIGICIAMINETO DE FORMATO DE RECIBO DE SATIFACION</t>
  </si>
  <si>
    <t xml:space="preserve">ENTREGA DE DISPOSITIVOS </t>
  </si>
  <si>
    <t xml:space="preserve">NO ENTREGA A TIEMPO DE DISPOSITIVOS POR PARTE DE LA TRANSPORTADORA </t>
  </si>
  <si>
    <t>PROCEDIMIENTO DE ALMACEN</t>
  </si>
  <si>
    <t xml:space="preserve">1. NO ENTREGA OPORTUNA DEL DESPACHO 2. PERDIDA DEL MATERIAL DE OSTEOSINTESIS.
</t>
  </si>
  <si>
    <t xml:space="preserve">1. POSIBLE CANCELACION DE CIRUGIA POR NO LLEGAR A TIEMPO  2. QUEJAS O SUGERENCIAS POR PARTE DEL CLIENTE O EPSECIALISTA. </t>
  </si>
  <si>
    <t>1. REMISION O ACTA DE ENTREGA A TRANSPORTADORA. 2. REVISION Y SEGUIMIENTO VIA TELEFONICA.</t>
  </si>
  <si>
    <t>REMISION</t>
  </si>
  <si>
    <t>1. REVISAR Y HACER SEGUIMIENTO A LA ENTREGA DEL DM POR PARTE DE LA TRANSPORTADORA.</t>
  </si>
  <si>
    <t>DISPOSICION FINAL DE DISPOSITIVO MEDICO</t>
  </si>
  <si>
    <t>1. ERROR EN DESPACHO DE DISTOSITIVO    MEDICO INADECUADO                                          2. NO VERIFICACION DE FECHA DEL PRODUCTOS</t>
  </si>
  <si>
    <t>1. CANCELACION DE PROCEDIMIENTO QUIRURGICO 2. EVENTO ADVERSO 3. QUEJA POR PARTE DE LA IPS</t>
  </si>
  <si>
    <t>1 OMISION O ERROR HUMANO 2. NO VERIFICACION DE STROK EN LA BODEGA</t>
  </si>
  <si>
    <t>1.INVENTARIO CICLICO O INVENTARIO DE PROVEEDOR 2. NOTIFICACION DEMATERIAL VENCIDO 3 SOLICITUD DE DESTRUCION DE MATERIAL VENCIDO</t>
  </si>
  <si>
    <t>CERTIFICADO DE DESTRUCION Y CORREO DE NOTIFICACION</t>
  </si>
  <si>
    <t xml:space="preserve">1 REVISAR Y VERIFICAR STOK SEMESTRAL 2 </t>
  </si>
  <si>
    <t>Semestral o cuando aplique</t>
  </si>
  <si>
    <t>cUANDO APLIQUE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</si>
</sst>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9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4" fillId="5" borderId="2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" xfId="0" applyFont="1" applyBorder="1" applyProtection="1"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452327</xdr:colOff>
      <xdr:row>1</xdr:row>
      <xdr:rowOff>216329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29158</xdr:colOff>
          <xdr:row>5</xdr:row>
          <xdr:rowOff>161925</xdr:rowOff>
        </xdr:from>
        <xdr:to>
          <xdr:col>3</xdr:col>
          <xdr:colOff>703100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6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9515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6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6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8"/>
  <sheetViews>
    <sheetView showGridLines="0" tabSelected="1" zoomScale="86" zoomScaleNormal="8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11" sqref="C11"/>
    </sheetView>
  </sheetViews>
  <sheetFormatPr baseColWidth="10" defaultColWidth="11.44140625" defaultRowHeight="13.8" x14ac:dyDescent="0.25"/>
  <cols>
    <col min="1" max="1" width="3" style="51" customWidth="1"/>
    <col min="2" max="2" width="8.44140625" style="51" customWidth="1"/>
    <col min="3" max="3" width="28.6640625" style="51" customWidth="1"/>
    <col min="4" max="4" width="49.44140625" style="51" customWidth="1"/>
    <col min="5" max="5" width="40.5546875" style="51" customWidth="1"/>
    <col min="6" max="6" width="38.5546875" style="51" customWidth="1"/>
    <col min="7" max="7" width="17.33203125" style="51" customWidth="1"/>
    <col min="8" max="8" width="19" style="51" customWidth="1"/>
    <col min="9" max="9" width="39.3320312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31.4414062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2" width="16.5546875" style="51" customWidth="1"/>
    <col min="33" max="33" width="15" style="51" customWidth="1"/>
    <col min="34" max="34" width="23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27.75" customHeight="1" thickBot="1" x14ac:dyDescent="0.3">
      <c r="B1" s="323" t="s">
        <v>89</v>
      </c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297" t="s">
        <v>42</v>
      </c>
      <c r="AL1" s="301">
        <v>1</v>
      </c>
      <c r="AM1" s="301"/>
      <c r="AN1" s="301"/>
    </row>
    <row r="2" spans="2:40" ht="24.9" customHeight="1" x14ac:dyDescent="0.25"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295" t="s">
        <v>225</v>
      </c>
      <c r="AL2" s="304" t="s">
        <v>226</v>
      </c>
      <c r="AM2" s="304"/>
      <c r="AN2" s="305"/>
    </row>
    <row r="3" spans="2:40" ht="24.9" customHeight="1" thickBot="1" x14ac:dyDescent="0.3"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296" t="s">
        <v>41</v>
      </c>
      <c r="AL3" s="306">
        <v>44284</v>
      </c>
      <c r="AM3" s="307"/>
      <c r="AN3" s="308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205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302" t="s">
        <v>189</v>
      </c>
      <c r="C6" s="302"/>
      <c r="D6" s="302"/>
      <c r="E6" s="302"/>
      <c r="F6" s="303"/>
      <c r="G6" s="309" t="s">
        <v>8</v>
      </c>
      <c r="H6" s="310"/>
      <c r="I6" s="311" t="s">
        <v>18</v>
      </c>
      <c r="J6" s="312"/>
      <c r="K6" s="312"/>
      <c r="L6" s="312"/>
      <c r="M6" s="312"/>
      <c r="N6" s="313" t="s">
        <v>40</v>
      </c>
      <c r="O6" s="313" t="s">
        <v>153</v>
      </c>
      <c r="P6" s="313" t="s">
        <v>154</v>
      </c>
      <c r="Q6" s="312" t="s">
        <v>190</v>
      </c>
      <c r="R6" s="312"/>
      <c r="S6" s="312"/>
      <c r="T6" s="312"/>
      <c r="U6" s="312"/>
      <c r="V6" s="312"/>
      <c r="W6" s="312"/>
      <c r="X6" s="316"/>
      <c r="Y6" s="311" t="s">
        <v>191</v>
      </c>
      <c r="Z6" s="312"/>
      <c r="AA6" s="312"/>
      <c r="AB6" s="316"/>
      <c r="AC6" s="317" t="s">
        <v>155</v>
      </c>
      <c r="AD6" s="318"/>
      <c r="AE6" s="318"/>
      <c r="AF6" s="318"/>
      <c r="AG6" s="318"/>
      <c r="AH6" s="318"/>
      <c r="AI6" s="319" t="s">
        <v>194</v>
      </c>
      <c r="AJ6" s="320"/>
      <c r="AK6" s="321"/>
      <c r="AL6" s="309" t="s">
        <v>196</v>
      </c>
      <c r="AM6" s="322"/>
      <c r="AN6" s="310"/>
    </row>
    <row r="7" spans="2:40" ht="79.5" customHeight="1" thickBot="1" x14ac:dyDescent="0.3">
      <c r="B7" s="294" t="s">
        <v>7</v>
      </c>
      <c r="C7" s="293" t="s">
        <v>29</v>
      </c>
      <c r="D7" s="293" t="s">
        <v>57</v>
      </c>
      <c r="E7" s="184" t="s">
        <v>56</v>
      </c>
      <c r="F7" s="119" t="s">
        <v>203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4"/>
      <c r="O7" s="315"/>
      <c r="P7" s="315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201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83.4" thickBot="1" x14ac:dyDescent="0.3">
      <c r="B8" s="158" t="s">
        <v>91</v>
      </c>
      <c r="C8" s="215" t="s">
        <v>207</v>
      </c>
      <c r="D8" s="55" t="s">
        <v>208</v>
      </c>
      <c r="E8" s="66" t="s">
        <v>209</v>
      </c>
      <c r="F8" s="67" t="s">
        <v>213</v>
      </c>
      <c r="G8" s="64" t="s">
        <v>11</v>
      </c>
      <c r="H8" s="68" t="s">
        <v>14</v>
      </c>
      <c r="I8" s="69" t="s">
        <v>215</v>
      </c>
      <c r="J8" s="250" t="s">
        <v>210</v>
      </c>
      <c r="K8" s="270">
        <v>3</v>
      </c>
      <c r="L8" s="20">
        <v>3</v>
      </c>
      <c r="M8" s="276">
        <f>K8*L8</f>
        <v>9</v>
      </c>
      <c r="N8" s="69" t="s">
        <v>227</v>
      </c>
      <c r="O8" s="267" t="s">
        <v>199</v>
      </c>
      <c r="P8" s="76" t="s">
        <v>221</v>
      </c>
      <c r="Q8" s="72">
        <v>15</v>
      </c>
      <c r="R8" s="73">
        <v>5</v>
      </c>
      <c r="S8" s="73">
        <v>0</v>
      </c>
      <c r="T8" s="73">
        <v>10</v>
      </c>
      <c r="U8" s="73">
        <v>15</v>
      </c>
      <c r="V8" s="73">
        <v>10</v>
      </c>
      <c r="W8" s="73">
        <v>30</v>
      </c>
      <c r="X8" s="135">
        <f>SUM(Q8:W8)</f>
        <v>85</v>
      </c>
      <c r="Y8" s="137">
        <f>IF(X8&lt;51,"0",IF(X8&lt;76,1,2))</f>
        <v>2</v>
      </c>
      <c r="Z8" s="74">
        <v>1</v>
      </c>
      <c r="AA8" s="245">
        <f>L8</f>
        <v>3</v>
      </c>
      <c r="AB8" s="139">
        <f t="shared" ref="AB8:AB11" si="0">Z8*AA8</f>
        <v>3</v>
      </c>
      <c r="AC8" s="251" t="s">
        <v>178</v>
      </c>
      <c r="AD8" s="289" t="s">
        <v>211</v>
      </c>
      <c r="AE8" s="63" t="s">
        <v>202</v>
      </c>
      <c r="AF8" s="290" t="s">
        <v>204</v>
      </c>
      <c r="AG8" s="255" t="s">
        <v>200</v>
      </c>
      <c r="AH8" s="291" t="s">
        <v>206</v>
      </c>
      <c r="AI8" s="239" t="s">
        <v>212</v>
      </c>
      <c r="AJ8" s="75" t="s">
        <v>212</v>
      </c>
      <c r="AK8" s="76" t="s">
        <v>212</v>
      </c>
      <c r="AL8" s="63">
        <v>1</v>
      </c>
      <c r="AM8" s="74">
        <v>1</v>
      </c>
      <c r="AN8" s="68">
        <f>AL8*AM8</f>
        <v>1</v>
      </c>
    </row>
    <row r="9" spans="2:40" ht="55.2" x14ac:dyDescent="0.25">
      <c r="B9" s="64" t="s">
        <v>92</v>
      </c>
      <c r="C9" s="215" t="s">
        <v>207</v>
      </c>
      <c r="D9" s="186" t="s">
        <v>208</v>
      </c>
      <c r="E9" s="186" t="s">
        <v>216</v>
      </c>
      <c r="F9" s="67" t="s">
        <v>217</v>
      </c>
      <c r="G9" s="64" t="s">
        <v>11</v>
      </c>
      <c r="H9" s="68" t="s">
        <v>14</v>
      </c>
      <c r="I9" s="69" t="s">
        <v>218</v>
      </c>
      <c r="J9" s="250" t="s">
        <v>210</v>
      </c>
      <c r="K9" s="270">
        <v>4</v>
      </c>
      <c r="L9" s="20">
        <v>3</v>
      </c>
      <c r="M9" s="276">
        <f t="shared" ref="M9" si="1">K9*L9</f>
        <v>12</v>
      </c>
      <c r="N9" s="69" t="s">
        <v>219</v>
      </c>
      <c r="O9" s="69" t="s">
        <v>220</v>
      </c>
      <c r="P9" s="69" t="s">
        <v>221</v>
      </c>
      <c r="Q9" s="69">
        <v>15</v>
      </c>
      <c r="R9" s="69">
        <v>5</v>
      </c>
      <c r="S9" s="69">
        <v>0</v>
      </c>
      <c r="T9" s="69">
        <v>10</v>
      </c>
      <c r="U9" s="69">
        <v>15</v>
      </c>
      <c r="V9" s="69">
        <v>10</v>
      </c>
      <c r="W9" s="69">
        <v>30</v>
      </c>
      <c r="X9" s="69">
        <v>80</v>
      </c>
      <c r="Y9" s="72">
        <v>2</v>
      </c>
      <c r="Z9" s="69">
        <v>2</v>
      </c>
      <c r="AA9" s="69">
        <v>3</v>
      </c>
      <c r="AB9" s="139">
        <f t="shared" si="0"/>
        <v>6</v>
      </c>
      <c r="AC9" s="69" t="s">
        <v>178</v>
      </c>
      <c r="AD9" s="69" t="s">
        <v>211</v>
      </c>
      <c r="AE9" s="69" t="s">
        <v>222</v>
      </c>
      <c r="AF9" s="69" t="s">
        <v>204</v>
      </c>
      <c r="AG9" s="69" t="s">
        <v>223</v>
      </c>
      <c r="AH9" s="69" t="s">
        <v>224</v>
      </c>
      <c r="AI9" s="69" t="s">
        <v>214</v>
      </c>
      <c r="AJ9" s="69" t="s">
        <v>223</v>
      </c>
      <c r="AK9" s="69" t="s">
        <v>200</v>
      </c>
      <c r="AL9" s="69">
        <v>0</v>
      </c>
      <c r="AM9" s="69">
        <v>0</v>
      </c>
      <c r="AN9" s="68">
        <f t="shared" ref="AN9" si="2">AL9*AM9</f>
        <v>0</v>
      </c>
    </row>
    <row r="10" spans="2:40" ht="55.2" x14ac:dyDescent="0.25">
      <c r="B10" s="64" t="s">
        <v>97</v>
      </c>
      <c r="C10" s="292" t="s">
        <v>207</v>
      </c>
      <c r="D10" s="186" t="s">
        <v>228</v>
      </c>
      <c r="E10" s="186" t="s">
        <v>229</v>
      </c>
      <c r="F10" s="300" t="s">
        <v>230</v>
      </c>
      <c r="G10" s="64" t="s">
        <v>11</v>
      </c>
      <c r="H10" s="68" t="s">
        <v>16</v>
      </c>
      <c r="I10" s="69" t="s">
        <v>231</v>
      </c>
      <c r="J10" s="69" t="s">
        <v>232</v>
      </c>
      <c r="K10" s="270">
        <v>4</v>
      </c>
      <c r="L10" s="20">
        <v>3</v>
      </c>
      <c r="M10" s="276">
        <f>K10*L10</f>
        <v>12</v>
      </c>
      <c r="N10" s="69" t="s">
        <v>233</v>
      </c>
      <c r="O10" s="69" t="s">
        <v>220</v>
      </c>
      <c r="P10" s="69" t="s">
        <v>221</v>
      </c>
      <c r="Q10" s="69">
        <v>15</v>
      </c>
      <c r="R10" s="69">
        <v>5</v>
      </c>
      <c r="S10" s="69">
        <v>0</v>
      </c>
      <c r="T10" s="69">
        <v>10</v>
      </c>
      <c r="U10" s="69">
        <v>15</v>
      </c>
      <c r="V10" s="69">
        <v>10</v>
      </c>
      <c r="W10" s="69">
        <v>30</v>
      </c>
      <c r="X10" s="69">
        <v>80</v>
      </c>
      <c r="Y10" s="69">
        <v>2</v>
      </c>
      <c r="Z10" s="69">
        <v>2</v>
      </c>
      <c r="AA10" s="69">
        <v>3</v>
      </c>
      <c r="AB10" s="139">
        <f t="shared" si="0"/>
        <v>6</v>
      </c>
      <c r="AC10" s="69" t="s">
        <v>178</v>
      </c>
      <c r="AD10" s="69" t="s">
        <v>211</v>
      </c>
      <c r="AE10" s="69" t="s">
        <v>222</v>
      </c>
      <c r="AF10" s="69" t="s">
        <v>204</v>
      </c>
      <c r="AG10" s="69" t="s">
        <v>223</v>
      </c>
      <c r="AH10" s="69" t="s">
        <v>234</v>
      </c>
      <c r="AI10" s="69" t="s">
        <v>235</v>
      </c>
      <c r="AJ10" s="69" t="s">
        <v>223</v>
      </c>
      <c r="AK10" s="69" t="s">
        <v>200</v>
      </c>
      <c r="AL10" s="69">
        <v>1</v>
      </c>
      <c r="AM10" s="69">
        <v>1</v>
      </c>
      <c r="AN10" s="68">
        <f>AL10*AM10</f>
        <v>1</v>
      </c>
    </row>
    <row r="11" spans="2:40" ht="69" customHeight="1" x14ac:dyDescent="0.25">
      <c r="B11" s="299" t="s">
        <v>98</v>
      </c>
      <c r="C11" s="299" t="s">
        <v>207</v>
      </c>
      <c r="D11" s="299" t="s">
        <v>236</v>
      </c>
      <c r="E11" s="298" t="s">
        <v>237</v>
      </c>
      <c r="F11" s="74" t="s">
        <v>16</v>
      </c>
      <c r="G11" s="74" t="s">
        <v>11</v>
      </c>
      <c r="H11" s="74" t="s">
        <v>16</v>
      </c>
      <c r="I11" s="298" t="s">
        <v>239</v>
      </c>
      <c r="J11" s="298" t="s">
        <v>238</v>
      </c>
      <c r="K11" s="270">
        <v>4</v>
      </c>
      <c r="L11" s="20">
        <v>3</v>
      </c>
      <c r="M11" s="276">
        <f>K11*L11</f>
        <v>12</v>
      </c>
      <c r="N11" s="298" t="s">
        <v>240</v>
      </c>
      <c r="O11" s="299" t="s">
        <v>220</v>
      </c>
      <c r="P11" s="299" t="s">
        <v>221</v>
      </c>
      <c r="Q11" s="299">
        <v>15</v>
      </c>
      <c r="R11" s="299">
        <v>5</v>
      </c>
      <c r="S11" s="299">
        <v>0</v>
      </c>
      <c r="T11" s="299">
        <v>10</v>
      </c>
      <c r="U11" s="299">
        <v>15</v>
      </c>
      <c r="V11" s="299">
        <v>10</v>
      </c>
      <c r="W11" s="299">
        <v>30</v>
      </c>
      <c r="X11" s="299"/>
      <c r="Y11" s="299">
        <v>2</v>
      </c>
      <c r="Z11" s="299">
        <v>2</v>
      </c>
      <c r="AA11" s="299">
        <v>1</v>
      </c>
      <c r="AB11" s="139">
        <f t="shared" si="0"/>
        <v>2</v>
      </c>
      <c r="AC11" s="299" t="s">
        <v>178</v>
      </c>
      <c r="AD11" s="298" t="s">
        <v>211</v>
      </c>
      <c r="AE11" s="298" t="s">
        <v>243</v>
      </c>
      <c r="AF11" s="299" t="s">
        <v>204</v>
      </c>
      <c r="AG11" s="298" t="s">
        <v>244</v>
      </c>
      <c r="AH11" s="298" t="s">
        <v>241</v>
      </c>
      <c r="AI11" s="298" t="s">
        <v>242</v>
      </c>
      <c r="AJ11" s="69" t="s">
        <v>223</v>
      </c>
      <c r="AK11" s="299" t="s">
        <v>200</v>
      </c>
      <c r="AL11" s="69">
        <v>1</v>
      </c>
      <c r="AM11" s="69">
        <v>1</v>
      </c>
      <c r="AN11" s="68">
        <f>AL11*AM11</f>
        <v>1</v>
      </c>
    </row>
    <row r="12" spans="2:40" s="94" customFormat="1" x14ac:dyDescent="0.25"/>
    <row r="13" spans="2:40" ht="66" customHeight="1" x14ac:dyDescent="0.25"/>
    <row r="14" spans="2:40" ht="50.25" customHeight="1" x14ac:dyDescent="0.25"/>
    <row r="18" spans="5:5" x14ac:dyDescent="0.25">
      <c r="E18" s="114"/>
    </row>
  </sheetData>
  <mergeCells count="15">
    <mergeCell ref="AL1:AN1"/>
    <mergeCell ref="B6:F6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  <mergeCell ref="B1:AJ3"/>
  </mergeCells>
  <conditionalFormatting sqref="M8:M11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B9:AB11 AB8:AH8 AN8:AN11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7000000}">
          <x14:formula1>
            <xm:f>'D:\Mtto\Clinica Bahia\PM3 Urgencia\[Caracterizacion y Matriz de Riesgo - copia.xlsx]Hoja3'!#REF!</xm:f>
          </x14:formula1>
          <xm:sqref>G15:H44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F11 H8:H11</xm:sqref>
        </x14:dataValidation>
        <x14:dataValidation type="list" allowBlank="1" showInputMessage="1" showErrorMessage="1" xr:uid="{00000000-0002-0000-0000-000000000000}">
          <x14:formula1>
            <xm:f>Hoja4!$C$6:$C$9</xm:f>
          </x14:formula1>
          <xm:sqref>AL8:AM8</xm:sqref>
        </x14:dataValidation>
        <x14:dataValidation type="list" allowBlank="1" showInputMessage="1" showErrorMessage="1" xr:uid="{00000000-0002-0000-0000-000001000000}">
          <x14:formula1>
            <xm:f>Hoja4!$I$6:$I$7</xm:f>
          </x14:formula1>
          <xm:sqref>W8</xm:sqref>
        </x14:dataValidation>
        <x14:dataValidation type="list" allowBlank="1" showInputMessage="1" showErrorMessage="1" xr:uid="{00000000-0002-0000-0000-000002000000}">
          <x14:formula1>
            <xm:f>Hoja4!$G$6:$G$7</xm:f>
          </x14:formula1>
          <xm:sqref>T8 V8</xm:sqref>
        </x14:dataValidation>
        <x14:dataValidation type="list" allowBlank="1" showInputMessage="1" showErrorMessage="1" xr:uid="{00000000-0002-0000-0000-000003000000}">
          <x14:formula1>
            <xm:f>Hoja4!$F$6:$F$7</xm:f>
          </x14:formula1>
          <xm:sqref>R8</xm:sqref>
        </x14:dataValidation>
        <x14:dataValidation type="list" allowBlank="1" showInputMessage="1" showErrorMessage="1" xr:uid="{00000000-0002-0000-0000-000004000000}">
          <x14:formula1>
            <xm:f>Hoja4!$H$6:$H$7</xm:f>
          </x14:formula1>
          <xm:sqref>Q8 U8 S8</xm:sqref>
        </x14:dataValidation>
        <x14:dataValidation type="list" allowBlank="1" showInputMessage="1" showErrorMessage="1" xr:uid="{00000000-0002-0000-0000-000005000000}">
          <x14:formula1>
            <xm:f>'Calificación y Semaforización'!$B$33:$B$37</xm:f>
          </x14:formula1>
          <xm:sqref>AC8</xm:sqref>
        </x14:dataValidation>
        <x14:dataValidation type="list" allowBlank="1" showInputMessage="1" showErrorMessage="1" xr:uid="{00000000-0002-0000-0000-000006000000}">
          <x14:formula1>
            <xm:f>'Calificación y Semaforización'!$A$2:$A$5</xm:f>
          </x14:formula1>
          <xm:sqref>Z8 K8:L11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4.33203125" style="51" customWidth="1"/>
    <col min="8" max="8" width="19" style="51" customWidth="1"/>
    <col min="9" max="9" width="38.8867187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28.10937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4" width="16.5546875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14.4" thickBot="1" x14ac:dyDescent="0.3"/>
    <row r="2" spans="2:40" ht="24.9" customHeight="1" x14ac:dyDescent="0.25">
      <c r="B2" s="325"/>
      <c r="C2" s="326"/>
      <c r="D2" s="326"/>
      <c r="E2" s="326"/>
      <c r="F2" s="326" t="s">
        <v>89</v>
      </c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212" t="s">
        <v>41</v>
      </c>
      <c r="AL2" s="304">
        <v>43979</v>
      </c>
      <c r="AM2" s="304"/>
      <c r="AN2" s="305"/>
    </row>
    <row r="3" spans="2:40" ht="24.9" customHeight="1" thickBot="1" x14ac:dyDescent="0.3">
      <c r="B3" s="327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213" t="s">
        <v>42</v>
      </c>
      <c r="AL3" s="307" t="s">
        <v>152</v>
      </c>
      <c r="AM3" s="307"/>
      <c r="AN3" s="308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161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1"/>
      <c r="C6" s="309" t="s">
        <v>189</v>
      </c>
      <c r="D6" s="312"/>
      <c r="E6" s="312"/>
      <c r="F6" s="310"/>
      <c r="G6" s="309" t="s">
        <v>8</v>
      </c>
      <c r="H6" s="310"/>
      <c r="I6" s="311" t="s">
        <v>18</v>
      </c>
      <c r="J6" s="312"/>
      <c r="K6" s="312"/>
      <c r="L6" s="312"/>
      <c r="M6" s="312"/>
      <c r="N6" s="313" t="s">
        <v>40</v>
      </c>
      <c r="O6" s="313" t="s">
        <v>153</v>
      </c>
      <c r="P6" s="313" t="s">
        <v>154</v>
      </c>
      <c r="Q6" s="312" t="s">
        <v>190</v>
      </c>
      <c r="R6" s="312"/>
      <c r="S6" s="312"/>
      <c r="T6" s="312"/>
      <c r="U6" s="312"/>
      <c r="V6" s="312"/>
      <c r="W6" s="312"/>
      <c r="X6" s="316"/>
      <c r="Y6" s="311" t="s">
        <v>191</v>
      </c>
      <c r="Z6" s="312"/>
      <c r="AA6" s="312"/>
      <c r="AB6" s="316"/>
      <c r="AC6" s="317" t="s">
        <v>155</v>
      </c>
      <c r="AD6" s="318"/>
      <c r="AE6" s="318"/>
      <c r="AF6" s="318"/>
      <c r="AG6" s="318"/>
      <c r="AH6" s="318"/>
      <c r="AI6" s="319" t="s">
        <v>194</v>
      </c>
      <c r="AJ6" s="320"/>
      <c r="AK6" s="321"/>
      <c r="AL6" s="309" t="s">
        <v>196</v>
      </c>
      <c r="AM6" s="322"/>
      <c r="AN6" s="310"/>
    </row>
    <row r="7" spans="2:40" ht="79.8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4"/>
      <c r="O7" s="315"/>
      <c r="P7" s="315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193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69" x14ac:dyDescent="0.25">
      <c r="B8" s="53" t="s">
        <v>91</v>
      </c>
      <c r="C8" s="215" t="s">
        <v>160</v>
      </c>
      <c r="D8" s="55" t="s">
        <v>93</v>
      </c>
      <c r="E8" s="248" t="s">
        <v>108</v>
      </c>
      <c r="F8" s="288" t="s">
        <v>132</v>
      </c>
      <c r="G8" s="53" t="s">
        <v>30</v>
      </c>
      <c r="H8" s="249" t="s">
        <v>14</v>
      </c>
      <c r="I8" s="56" t="s">
        <v>133</v>
      </c>
      <c r="J8" s="250" t="s">
        <v>115</v>
      </c>
      <c r="K8" s="269">
        <v>2</v>
      </c>
      <c r="L8" s="242">
        <v>3</v>
      </c>
      <c r="M8" s="275">
        <f>K8*L8</f>
        <v>6</v>
      </c>
      <c r="N8" s="56" t="s">
        <v>162</v>
      </c>
      <c r="O8" s="267" t="s">
        <v>165</v>
      </c>
      <c r="P8" s="268" t="s">
        <v>170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1.4" x14ac:dyDescent="0.25">
      <c r="B9" s="158" t="s">
        <v>92</v>
      </c>
      <c r="C9" s="215" t="s">
        <v>160</v>
      </c>
      <c r="D9" s="186" t="s">
        <v>94</v>
      </c>
      <c r="E9" s="66" t="s">
        <v>107</v>
      </c>
      <c r="F9" s="67" t="s">
        <v>109</v>
      </c>
      <c r="G9" s="64" t="s">
        <v>30</v>
      </c>
      <c r="H9" s="68" t="s">
        <v>16</v>
      </c>
      <c r="I9" s="69" t="s">
        <v>111</v>
      </c>
      <c r="J9" s="70" t="s">
        <v>116</v>
      </c>
      <c r="K9" s="270">
        <v>4</v>
      </c>
      <c r="L9" s="20">
        <v>3</v>
      </c>
      <c r="M9" s="276">
        <f>K9*L9</f>
        <v>12</v>
      </c>
      <c r="N9" s="69" t="s">
        <v>134</v>
      </c>
      <c r="O9" s="267" t="s">
        <v>165</v>
      </c>
      <c r="P9" s="76" t="s">
        <v>170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122</v>
      </c>
      <c r="AJ9" s="75"/>
      <c r="AK9" s="76"/>
      <c r="AL9" s="63"/>
      <c r="AM9" s="74"/>
      <c r="AN9" s="68">
        <f>AL9*AM9</f>
        <v>0</v>
      </c>
    </row>
    <row r="10" spans="2:40" ht="41.4" x14ac:dyDescent="0.25">
      <c r="B10" s="64" t="s">
        <v>97</v>
      </c>
      <c r="C10" s="215" t="s">
        <v>160</v>
      </c>
      <c r="D10" s="186" t="s">
        <v>101</v>
      </c>
      <c r="E10" s="186" t="s">
        <v>106</v>
      </c>
      <c r="F10" s="67" t="s">
        <v>135</v>
      </c>
      <c r="G10" s="64" t="s">
        <v>12</v>
      </c>
      <c r="H10" s="68" t="s">
        <v>14</v>
      </c>
      <c r="I10" s="69" t="s">
        <v>112</v>
      </c>
      <c r="J10" s="70" t="s">
        <v>117</v>
      </c>
      <c r="K10" s="270">
        <v>3</v>
      </c>
      <c r="L10" s="150">
        <v>2</v>
      </c>
      <c r="M10" s="276">
        <f t="shared" ref="M10:M23" si="4">K10*L10</f>
        <v>6</v>
      </c>
      <c r="N10" s="69" t="s">
        <v>121</v>
      </c>
      <c r="O10" s="267" t="s">
        <v>165</v>
      </c>
      <c r="P10" s="76" t="s">
        <v>166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123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27.6" x14ac:dyDescent="0.25">
      <c r="B11" s="158" t="s">
        <v>98</v>
      </c>
      <c r="C11" s="215" t="s">
        <v>160</v>
      </c>
      <c r="D11" s="256" t="s">
        <v>96</v>
      </c>
      <c r="E11" s="257" t="s">
        <v>136</v>
      </c>
      <c r="F11" s="258" t="s">
        <v>135</v>
      </c>
      <c r="G11" s="158" t="s">
        <v>11</v>
      </c>
      <c r="H11" s="259" t="s">
        <v>14</v>
      </c>
      <c r="I11" s="260" t="s">
        <v>113</v>
      </c>
      <c r="J11" s="261" t="s">
        <v>118</v>
      </c>
      <c r="K11" s="271">
        <v>3</v>
      </c>
      <c r="L11" s="243">
        <v>3</v>
      </c>
      <c r="M11" s="276">
        <f t="shared" si="4"/>
        <v>9</v>
      </c>
      <c r="N11" s="69" t="s">
        <v>163</v>
      </c>
      <c r="O11" s="267" t="s">
        <v>165</v>
      </c>
      <c r="P11" s="76" t="s">
        <v>167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124</v>
      </c>
      <c r="AJ11" s="75"/>
      <c r="AK11" s="76" t="s">
        <v>137</v>
      </c>
      <c r="AL11" s="63"/>
      <c r="AM11" s="74"/>
      <c r="AN11" s="68">
        <f t="shared" si="7"/>
        <v>0</v>
      </c>
    </row>
    <row r="12" spans="2:40" ht="41.4" x14ac:dyDescent="0.25">
      <c r="B12" s="64" t="s">
        <v>99</v>
      </c>
      <c r="C12" s="215" t="s">
        <v>160</v>
      </c>
      <c r="D12" s="186" t="s">
        <v>102</v>
      </c>
      <c r="E12" s="66" t="s">
        <v>105</v>
      </c>
      <c r="F12" s="264" t="s">
        <v>110</v>
      </c>
      <c r="G12" s="265" t="s">
        <v>31</v>
      </c>
      <c r="H12" s="68" t="s">
        <v>16</v>
      </c>
      <c r="I12" s="69" t="s">
        <v>114</v>
      </c>
      <c r="J12" s="70" t="s">
        <v>119</v>
      </c>
      <c r="K12" s="272">
        <v>2</v>
      </c>
      <c r="L12" s="20">
        <v>4</v>
      </c>
      <c r="M12" s="276">
        <f t="shared" si="4"/>
        <v>8</v>
      </c>
      <c r="N12" s="239" t="s">
        <v>120</v>
      </c>
      <c r="O12" s="267" t="s">
        <v>165</v>
      </c>
      <c r="P12" s="76" t="s">
        <v>168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125</v>
      </c>
      <c r="AJ12" s="208"/>
      <c r="AK12" s="252" t="s">
        <v>139</v>
      </c>
      <c r="AL12" s="63"/>
      <c r="AM12" s="74"/>
      <c r="AN12" s="68">
        <f t="shared" si="7"/>
        <v>0</v>
      </c>
    </row>
    <row r="13" spans="2:40" ht="69" x14ac:dyDescent="0.25">
      <c r="B13" s="158" t="s">
        <v>100</v>
      </c>
      <c r="C13" s="215" t="s">
        <v>160</v>
      </c>
      <c r="D13" s="186" t="s">
        <v>103</v>
      </c>
      <c r="E13" s="66" t="s">
        <v>104</v>
      </c>
      <c r="F13" s="67" t="s">
        <v>140</v>
      </c>
      <c r="G13" s="64" t="s">
        <v>30</v>
      </c>
      <c r="H13" s="68" t="s">
        <v>14</v>
      </c>
      <c r="I13" s="69" t="s">
        <v>141</v>
      </c>
      <c r="J13" s="70" t="s">
        <v>142</v>
      </c>
      <c r="K13" s="270">
        <v>3</v>
      </c>
      <c r="L13" s="150">
        <v>3</v>
      </c>
      <c r="M13" s="276">
        <f t="shared" si="4"/>
        <v>9</v>
      </c>
      <c r="N13" s="69" t="s">
        <v>164</v>
      </c>
      <c r="O13" s="267" t="s">
        <v>165</v>
      </c>
      <c r="P13" s="76" t="s">
        <v>169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144</v>
      </c>
      <c r="AJ13" s="75"/>
      <c r="AK13" s="76" t="s">
        <v>145</v>
      </c>
      <c r="AL13" s="63"/>
      <c r="AM13" s="74"/>
      <c r="AN13" s="68">
        <f t="shared" si="7"/>
        <v>0</v>
      </c>
    </row>
    <row r="14" spans="2:40" s="94" customFormat="1" ht="41.4" x14ac:dyDescent="0.25">
      <c r="B14" s="64" t="s">
        <v>127</v>
      </c>
      <c r="C14" s="215" t="s">
        <v>160</v>
      </c>
      <c r="D14" s="186"/>
      <c r="E14" s="66" t="s">
        <v>146</v>
      </c>
      <c r="F14" s="67" t="s">
        <v>135</v>
      </c>
      <c r="G14" s="64" t="s">
        <v>30</v>
      </c>
      <c r="H14" s="68" t="s">
        <v>14</v>
      </c>
      <c r="I14" s="69" t="s">
        <v>147</v>
      </c>
      <c r="J14" s="70" t="s">
        <v>148</v>
      </c>
      <c r="K14" s="270">
        <v>3</v>
      </c>
      <c r="L14" s="150">
        <v>3</v>
      </c>
      <c r="M14" s="276">
        <f t="shared" si="4"/>
        <v>9</v>
      </c>
      <c r="N14" s="69" t="s">
        <v>138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149</v>
      </c>
      <c r="AJ14" s="90"/>
      <c r="AK14" s="76" t="s">
        <v>150</v>
      </c>
      <c r="AL14" s="92"/>
      <c r="AM14" s="93"/>
      <c r="AN14" s="68">
        <f t="shared" si="7"/>
        <v>0</v>
      </c>
    </row>
    <row r="15" spans="2:40" s="94" customFormat="1" ht="69" x14ac:dyDescent="0.25">
      <c r="B15" s="64" t="s">
        <v>172</v>
      </c>
      <c r="C15" s="54" t="s">
        <v>160</v>
      </c>
      <c r="D15" s="186" t="s">
        <v>173</v>
      </c>
      <c r="E15" s="66" t="s">
        <v>174</v>
      </c>
      <c r="F15" s="67" t="s">
        <v>175</v>
      </c>
      <c r="G15" s="64" t="s">
        <v>30</v>
      </c>
      <c r="H15" s="68" t="s">
        <v>14</v>
      </c>
      <c r="I15" s="69" t="s">
        <v>176</v>
      </c>
      <c r="J15" s="70" t="s">
        <v>177</v>
      </c>
      <c r="K15" s="270">
        <v>4</v>
      </c>
      <c r="L15" s="150">
        <v>3</v>
      </c>
      <c r="M15" s="276">
        <f t="shared" si="4"/>
        <v>12</v>
      </c>
      <c r="N15" s="69" t="s">
        <v>198</v>
      </c>
      <c r="O15" s="66" t="s">
        <v>165</v>
      </c>
      <c r="P15" s="76" t="s">
        <v>171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25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25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25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25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25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25">
      <c r="B21" s="220" t="s">
        <v>126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25">
      <c r="B22" s="220" t="s">
        <v>128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4.4" thickBot="1" x14ac:dyDescent="0.3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25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100-000000000000}">
          <x14:formula1>
            <xm:f>'D:\Mtto\Clinica Bahia\PM3 Urgencia\[Caracterizacion y Matriz de Riesgo - copia.xlsx]Hoja3'!#REF!</xm:f>
          </x14:formula1>
          <xm:sqref>G21:H53 AL21:AM23 Q21:W23</xm:sqref>
        </x14:dataValidation>
        <x14:dataValidation type="list" allowBlank="1" showInputMessage="1" showErrorMessage="1" xr:uid="{00000000-0002-0000-01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1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1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1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1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1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1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1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1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11.44140625" defaultRowHeight="13.8" x14ac:dyDescent="0.25"/>
  <cols>
    <col min="1" max="1" width="1.109375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2.6640625" style="51" bestFit="1" customWidth="1"/>
    <col min="8" max="8" width="19" style="51" customWidth="1"/>
    <col min="9" max="10" width="33.6640625" style="51" customWidth="1"/>
    <col min="11" max="12" width="4.44140625" style="51" customWidth="1"/>
    <col min="13" max="13" width="11.44140625" style="51" customWidth="1"/>
    <col min="14" max="14" width="24" style="51" customWidth="1"/>
    <col min="15" max="15" width="17" style="51" customWidth="1"/>
    <col min="16" max="16" width="18.88671875" style="51" customWidth="1"/>
    <col min="17" max="22" width="17" style="51" customWidth="1"/>
    <col min="23" max="23" width="15.33203125" style="51" customWidth="1"/>
    <col min="24" max="25" width="4.44140625" style="51" customWidth="1"/>
    <col min="26" max="26" width="16.5546875" style="51" customWidth="1"/>
    <col min="27" max="27" width="22" style="51" bestFit="1" customWidth="1"/>
    <col min="28" max="28" width="18.33203125" style="51" customWidth="1"/>
    <col min="29" max="29" width="22" style="51" customWidth="1"/>
    <col min="30" max="31" width="4.44140625" style="51" customWidth="1"/>
    <col min="32" max="16384" width="11.44140625" style="51"/>
  </cols>
  <sheetData>
    <row r="1" spans="2:32" ht="14.4" thickBot="1" x14ac:dyDescent="0.3"/>
    <row r="2" spans="2:32" ht="24.9" customHeight="1" thickBot="1" x14ac:dyDescent="0.3">
      <c r="B2" s="325"/>
      <c r="C2" s="326"/>
      <c r="D2" s="326"/>
      <c r="E2" s="326"/>
      <c r="F2" s="326" t="s">
        <v>89</v>
      </c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37"/>
      <c r="AC2" s="115" t="s">
        <v>41</v>
      </c>
      <c r="AD2" s="334">
        <v>43360</v>
      </c>
      <c r="AE2" s="335"/>
      <c r="AF2" s="336"/>
    </row>
    <row r="3" spans="2:32" ht="24.9" customHeight="1" thickBot="1" x14ac:dyDescent="0.3">
      <c r="B3" s="327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38"/>
      <c r="AC3" s="115" t="s">
        <v>42</v>
      </c>
      <c r="AD3" s="331" t="s">
        <v>43</v>
      </c>
      <c r="AE3" s="332"/>
      <c r="AF3" s="333"/>
    </row>
    <row r="5" spans="2:32" ht="16.2" thickBot="1" x14ac:dyDescent="0.35">
      <c r="B5" s="116" t="s">
        <v>90</v>
      </c>
      <c r="C5" s="1"/>
      <c r="D5" s="52">
        <v>43466</v>
      </c>
    </row>
    <row r="6" spans="2:32" ht="30" customHeight="1" thickBot="1" x14ac:dyDescent="0.3">
      <c r="B6" s="196"/>
      <c r="C6" s="309" t="s">
        <v>55</v>
      </c>
      <c r="D6" s="312"/>
      <c r="E6" s="312"/>
      <c r="F6" s="310"/>
      <c r="G6" s="309" t="s">
        <v>8</v>
      </c>
      <c r="H6" s="310"/>
      <c r="I6" s="311" t="s">
        <v>18</v>
      </c>
      <c r="J6" s="312"/>
      <c r="K6" s="312"/>
      <c r="L6" s="312"/>
      <c r="M6" s="316"/>
      <c r="N6" s="313" t="s">
        <v>40</v>
      </c>
      <c r="O6" s="311" t="s">
        <v>51</v>
      </c>
      <c r="P6" s="312"/>
      <c r="Q6" s="312"/>
      <c r="R6" s="312"/>
      <c r="S6" s="312"/>
      <c r="T6" s="312"/>
      <c r="U6" s="312"/>
      <c r="V6" s="316"/>
      <c r="W6" s="311" t="s">
        <v>36</v>
      </c>
      <c r="X6" s="312"/>
      <c r="Y6" s="312"/>
      <c r="Z6" s="316"/>
      <c r="AA6" s="339" t="s">
        <v>22</v>
      </c>
      <c r="AB6" s="322"/>
      <c r="AC6" s="310"/>
      <c r="AD6" s="309" t="s">
        <v>54</v>
      </c>
      <c r="AE6" s="322"/>
      <c r="AF6" s="310"/>
    </row>
    <row r="7" spans="2:32" ht="84.75" customHeight="1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15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55.2" x14ac:dyDescent="0.25">
      <c r="B8" s="53" t="s">
        <v>91</v>
      </c>
      <c r="C8" s="328" t="s">
        <v>151</v>
      </c>
      <c r="D8" s="55" t="s">
        <v>93</v>
      </c>
      <c r="E8" s="141" t="s">
        <v>108</v>
      </c>
      <c r="F8" s="142" t="s">
        <v>132</v>
      </c>
      <c r="G8" s="145" t="s">
        <v>30</v>
      </c>
      <c r="H8" s="146" t="s">
        <v>14</v>
      </c>
      <c r="I8" s="147" t="s">
        <v>133</v>
      </c>
      <c r="J8" s="148" t="s">
        <v>115</v>
      </c>
      <c r="K8" s="149">
        <v>2</v>
      </c>
      <c r="L8" s="150">
        <v>3</v>
      </c>
      <c r="M8" s="59">
        <f>K8*L8</f>
        <v>6</v>
      </c>
      <c r="N8" s="197" t="s">
        <v>95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41.4" x14ac:dyDescent="0.25">
      <c r="B9" s="158" t="s">
        <v>92</v>
      </c>
      <c r="C9" s="329"/>
      <c r="D9" s="65" t="s">
        <v>94</v>
      </c>
      <c r="E9" s="143" t="s">
        <v>107</v>
      </c>
      <c r="F9" s="144" t="s">
        <v>109</v>
      </c>
      <c r="G9" s="151" t="s">
        <v>30</v>
      </c>
      <c r="H9" s="132" t="s">
        <v>16</v>
      </c>
      <c r="I9" s="152" t="s">
        <v>111</v>
      </c>
      <c r="J9" s="153" t="s">
        <v>116</v>
      </c>
      <c r="K9" s="149">
        <v>4</v>
      </c>
      <c r="L9" s="150">
        <v>3</v>
      </c>
      <c r="M9" s="59">
        <f>K9*L9</f>
        <v>12</v>
      </c>
      <c r="N9" s="198" t="s">
        <v>134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122</v>
      </c>
      <c r="AB9" s="75"/>
      <c r="AC9" s="76"/>
      <c r="AD9" s="63"/>
      <c r="AE9" s="74"/>
      <c r="AF9" s="132">
        <f>AD9*AE9</f>
        <v>0</v>
      </c>
    </row>
    <row r="10" spans="2:32" ht="55.2" x14ac:dyDescent="0.25">
      <c r="B10" s="64" t="s">
        <v>97</v>
      </c>
      <c r="C10" s="329"/>
      <c r="D10" s="187" t="s">
        <v>101</v>
      </c>
      <c r="E10" s="157" t="s">
        <v>106</v>
      </c>
      <c r="F10" s="144" t="s">
        <v>135</v>
      </c>
      <c r="G10" s="151" t="s">
        <v>12</v>
      </c>
      <c r="H10" s="132" t="s">
        <v>14</v>
      </c>
      <c r="I10" s="152" t="s">
        <v>112</v>
      </c>
      <c r="J10" s="153" t="s">
        <v>117</v>
      </c>
      <c r="K10" s="149">
        <v>3</v>
      </c>
      <c r="L10" s="150">
        <v>2</v>
      </c>
      <c r="M10" s="59">
        <f t="shared" ref="M10:M23" si="4">K10*L10</f>
        <v>6</v>
      </c>
      <c r="N10" s="198" t="s">
        <v>121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123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28.2" thickBot="1" x14ac:dyDescent="0.3">
      <c r="B11" s="95" t="s">
        <v>98</v>
      </c>
      <c r="C11" s="329"/>
      <c r="D11" s="7" t="s">
        <v>96</v>
      </c>
      <c r="E11" s="199" t="s">
        <v>136</v>
      </c>
      <c r="F11" s="200" t="s">
        <v>135</v>
      </c>
      <c r="G11" s="201" t="s">
        <v>11</v>
      </c>
      <c r="H11" s="134" t="s">
        <v>14</v>
      </c>
      <c r="I11" s="202" t="s">
        <v>113</v>
      </c>
      <c r="J11" s="203" t="s">
        <v>118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124</v>
      </c>
      <c r="AB11" s="111"/>
      <c r="AC11" s="211" t="s">
        <v>137</v>
      </c>
      <c r="AD11" s="113"/>
      <c r="AE11" s="109"/>
      <c r="AF11" s="134">
        <f t="shared" si="7"/>
        <v>0</v>
      </c>
    </row>
    <row r="12" spans="2:32" ht="41.4" x14ac:dyDescent="0.25">
      <c r="B12" s="188" t="s">
        <v>99</v>
      </c>
      <c r="C12" s="329"/>
      <c r="D12" s="189" t="s">
        <v>102</v>
      </c>
      <c r="E12" s="190" t="s">
        <v>105</v>
      </c>
      <c r="F12" s="191" t="s">
        <v>110</v>
      </c>
      <c r="G12" s="192" t="s">
        <v>31</v>
      </c>
      <c r="H12" s="131" t="s">
        <v>16</v>
      </c>
      <c r="I12" s="193" t="s">
        <v>114</v>
      </c>
      <c r="J12" s="194" t="s">
        <v>119</v>
      </c>
      <c r="K12" s="149">
        <v>2</v>
      </c>
      <c r="L12" s="150">
        <v>4</v>
      </c>
      <c r="M12" s="195">
        <f t="shared" si="4"/>
        <v>8</v>
      </c>
      <c r="N12" s="154" t="s">
        <v>120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125</v>
      </c>
      <c r="AB12" s="208"/>
      <c r="AC12" s="135" t="s">
        <v>139</v>
      </c>
      <c r="AD12" s="63"/>
      <c r="AE12" s="60"/>
      <c r="AF12" s="131">
        <f t="shared" si="7"/>
        <v>0</v>
      </c>
    </row>
    <row r="13" spans="2:32" ht="96.6" x14ac:dyDescent="0.25">
      <c r="B13" s="158" t="s">
        <v>100</v>
      </c>
      <c r="C13" s="329"/>
      <c r="D13" s="157" t="s">
        <v>103</v>
      </c>
      <c r="E13" s="143" t="s">
        <v>104</v>
      </c>
      <c r="F13" s="144" t="s">
        <v>140</v>
      </c>
      <c r="G13" s="151" t="s">
        <v>30</v>
      </c>
      <c r="H13" s="132" t="s">
        <v>14</v>
      </c>
      <c r="I13" s="152" t="s">
        <v>141</v>
      </c>
      <c r="J13" s="153" t="s">
        <v>142</v>
      </c>
      <c r="K13" s="149">
        <v>3</v>
      </c>
      <c r="L13" s="150">
        <v>3</v>
      </c>
      <c r="M13" s="59">
        <f t="shared" si="4"/>
        <v>9</v>
      </c>
      <c r="N13" s="71" t="s">
        <v>143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144</v>
      </c>
      <c r="AB13" s="75"/>
      <c r="AC13" s="76" t="s">
        <v>145</v>
      </c>
      <c r="AD13" s="63"/>
      <c r="AE13" s="74"/>
      <c r="AF13" s="132">
        <f t="shared" si="7"/>
        <v>0</v>
      </c>
    </row>
    <row r="14" spans="2:32" s="94" customFormat="1" ht="55.2" x14ac:dyDescent="0.25">
      <c r="B14" s="64" t="s">
        <v>127</v>
      </c>
      <c r="C14" s="330"/>
      <c r="D14" s="186" t="s">
        <v>129</v>
      </c>
      <c r="E14" s="66" t="s">
        <v>146</v>
      </c>
      <c r="F14" s="67" t="s">
        <v>135</v>
      </c>
      <c r="G14" s="151" t="s">
        <v>30</v>
      </c>
      <c r="H14" s="132" t="s">
        <v>14</v>
      </c>
      <c r="I14" s="69" t="s">
        <v>147</v>
      </c>
      <c r="J14" s="70" t="s">
        <v>148</v>
      </c>
      <c r="K14" s="57">
        <v>3</v>
      </c>
      <c r="L14" s="58">
        <v>3</v>
      </c>
      <c r="M14" s="59">
        <f t="shared" si="4"/>
        <v>9</v>
      </c>
      <c r="N14" s="71" t="s">
        <v>138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149</v>
      </c>
      <c r="AB14" s="90"/>
      <c r="AC14" s="76" t="s">
        <v>150</v>
      </c>
      <c r="AD14" s="92"/>
      <c r="AE14" s="93"/>
      <c r="AF14" s="132">
        <f t="shared" si="7"/>
        <v>0</v>
      </c>
    </row>
    <row r="15" spans="2:32" s="94" customFormat="1" x14ac:dyDescent="0.25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25">
      <c r="B16" s="159" t="s">
        <v>126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131</v>
      </c>
      <c r="AC16" s="180" t="s">
        <v>130</v>
      </c>
      <c r="AD16" s="181"/>
      <c r="AE16" s="175"/>
      <c r="AF16" s="182">
        <f t="shared" si="7"/>
        <v>0</v>
      </c>
    </row>
    <row r="17" spans="2:32" s="183" customFormat="1" x14ac:dyDescent="0.25">
      <c r="B17" s="159" t="s">
        <v>128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131</v>
      </c>
      <c r="AC17" s="185" t="s">
        <v>130</v>
      </c>
      <c r="AD17" s="181"/>
      <c r="AE17" s="175"/>
      <c r="AF17" s="182">
        <f t="shared" si="7"/>
        <v>0</v>
      </c>
    </row>
    <row r="18" spans="2:32" x14ac:dyDescent="0.25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25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25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25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25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4.4" thickBot="1" x14ac:dyDescent="0.3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25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2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2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2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2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2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2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2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2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2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2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2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2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2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7"/>
  <sheetViews>
    <sheetView showGridLines="0" topLeftCell="A23" zoomScale="98" zoomScaleNormal="98" workbookViewId="0">
      <selection activeCell="A28" sqref="A28:XFD28"/>
    </sheetView>
  </sheetViews>
  <sheetFormatPr baseColWidth="10" defaultRowHeight="14.4" x14ac:dyDescent="0.3"/>
  <cols>
    <col min="1" max="1" width="10.109375" bestFit="1" customWidth="1"/>
    <col min="2" max="2" width="27.6640625" customWidth="1"/>
    <col min="3" max="3" width="52.5546875" customWidth="1"/>
    <col min="4" max="4" width="59" customWidth="1"/>
    <col min="13" max="13" width="26.109375" bestFit="1" customWidth="1"/>
    <col min="14" max="14" width="18" bestFit="1" customWidth="1"/>
  </cols>
  <sheetData>
    <row r="2" spans="1:4" ht="48.75" customHeight="1" x14ac:dyDescent="0.3">
      <c r="A2" s="240">
        <v>1</v>
      </c>
    </row>
    <row r="3" spans="1:4" ht="32.25" customHeight="1" x14ac:dyDescent="0.3">
      <c r="A3" s="240">
        <v>2</v>
      </c>
    </row>
    <row r="4" spans="1:4" x14ac:dyDescent="0.3">
      <c r="A4" s="240">
        <v>3</v>
      </c>
    </row>
    <row r="5" spans="1:4" x14ac:dyDescent="0.3">
      <c r="A5" s="240">
        <v>4</v>
      </c>
    </row>
    <row r="6" spans="1:4" x14ac:dyDescent="0.3">
      <c r="D6" s="15"/>
    </row>
    <row r="7" spans="1:4" x14ac:dyDescent="0.3">
      <c r="D7" s="15"/>
    </row>
    <row r="8" spans="1:4" x14ac:dyDescent="0.3">
      <c r="D8" s="15"/>
    </row>
    <row r="9" spans="1:4" x14ac:dyDescent="0.3">
      <c r="D9" s="15"/>
    </row>
    <row r="10" spans="1:4" x14ac:dyDescent="0.3">
      <c r="D10" s="15"/>
    </row>
    <row r="11" spans="1:4" x14ac:dyDescent="0.3">
      <c r="D11" s="15"/>
    </row>
    <row r="12" spans="1:4" x14ac:dyDescent="0.3">
      <c r="D12" s="15"/>
    </row>
    <row r="13" spans="1:4" x14ac:dyDescent="0.3">
      <c r="D13" s="15"/>
    </row>
    <row r="14" spans="1:4" x14ac:dyDescent="0.3">
      <c r="D14" s="15"/>
    </row>
    <row r="15" spans="1:4" x14ac:dyDescent="0.3">
      <c r="D15" s="15"/>
    </row>
    <row r="16" spans="1:4" x14ac:dyDescent="0.3">
      <c r="D16" s="15"/>
    </row>
    <row r="17" spans="2:14" x14ac:dyDescent="0.3">
      <c r="D17" s="15"/>
    </row>
    <row r="19" spans="2:14" ht="15" thickBot="1" x14ac:dyDescent="0.35"/>
    <row r="20" spans="2:14" ht="1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5">
      <c r="B21" s="4" t="s">
        <v>24</v>
      </c>
      <c r="C21" s="42" t="s">
        <v>75</v>
      </c>
      <c r="D21" s="43" t="s">
        <v>79</v>
      </c>
    </row>
    <row r="22" spans="2:14" ht="66.75" customHeight="1" x14ac:dyDescent="0.3">
      <c r="B22" s="21" t="s">
        <v>61</v>
      </c>
      <c r="C22" s="19" t="s">
        <v>76</v>
      </c>
      <c r="D22" s="44" t="s">
        <v>80</v>
      </c>
    </row>
    <row r="23" spans="2:14" ht="106.5" customHeight="1" x14ac:dyDescent="0.3">
      <c r="B23" s="5" t="s">
        <v>59</v>
      </c>
      <c r="C23" s="3" t="s">
        <v>77</v>
      </c>
      <c r="D23" s="44" t="s">
        <v>81</v>
      </c>
    </row>
    <row r="24" spans="2:14" ht="106.5" customHeight="1" thickBot="1" x14ac:dyDescent="0.35">
      <c r="B24" s="6" t="s">
        <v>60</v>
      </c>
      <c r="C24" s="7" t="s">
        <v>78</v>
      </c>
      <c r="D24" s="45" t="s">
        <v>82</v>
      </c>
    </row>
    <row r="25" spans="2:14" ht="15" thickBot="1" x14ac:dyDescent="0.35"/>
    <row r="26" spans="2:14" ht="15" thickBot="1" x14ac:dyDescent="0.35">
      <c r="M26" s="36" t="s">
        <v>83</v>
      </c>
      <c r="N26" s="36" t="s">
        <v>84</v>
      </c>
    </row>
    <row r="27" spans="2:14" x14ac:dyDescent="0.3">
      <c r="M27" s="47" t="s">
        <v>85</v>
      </c>
      <c r="N27" s="48">
        <v>0</v>
      </c>
    </row>
    <row r="28" spans="2:14" x14ac:dyDescent="0.3">
      <c r="M28" s="47" t="s">
        <v>86</v>
      </c>
      <c r="N28" s="48">
        <v>1</v>
      </c>
    </row>
    <row r="29" spans="2:14" ht="15" thickBot="1" x14ac:dyDescent="0.35">
      <c r="M29" s="49" t="s">
        <v>87</v>
      </c>
      <c r="N29" s="50">
        <v>2</v>
      </c>
    </row>
    <row r="31" spans="2:14" ht="15" thickBot="1" x14ac:dyDescent="0.35"/>
    <row r="32" spans="2:14" ht="15" thickBot="1" x14ac:dyDescent="0.35">
      <c r="B32" s="340" t="s">
        <v>155</v>
      </c>
      <c r="C32" s="341"/>
    </row>
    <row r="33" spans="2:3" ht="55.2" x14ac:dyDescent="0.3">
      <c r="B33" s="137" t="s">
        <v>178</v>
      </c>
      <c r="C33" s="279" t="s">
        <v>179</v>
      </c>
    </row>
    <row r="34" spans="2:3" ht="55.2" x14ac:dyDescent="0.3">
      <c r="B34" s="151" t="s">
        <v>180</v>
      </c>
      <c r="C34" s="280" t="s">
        <v>181</v>
      </c>
    </row>
    <row r="35" spans="2:3" ht="110.4" x14ac:dyDescent="0.3">
      <c r="B35" s="151" t="s">
        <v>182</v>
      </c>
      <c r="C35" s="280" t="s">
        <v>183</v>
      </c>
    </row>
    <row r="36" spans="2:3" ht="82.8" x14ac:dyDescent="0.3">
      <c r="B36" s="151" t="s">
        <v>184</v>
      </c>
      <c r="C36" s="280" t="s">
        <v>185</v>
      </c>
    </row>
    <row r="37" spans="2:3" ht="69.599999999999994" thickBot="1" x14ac:dyDescent="0.35">
      <c r="B37" s="281" t="s">
        <v>186</v>
      </c>
      <c r="C37" s="282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6:I17"/>
  <sheetViews>
    <sheetView workbookViewId="0">
      <selection activeCell="G15" sqref="G15"/>
    </sheetView>
  </sheetViews>
  <sheetFormatPr baseColWidth="10" defaultRowHeight="14.4" x14ac:dyDescent="0.3"/>
  <sheetData>
    <row r="6" spans="3:9" x14ac:dyDescent="0.3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3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3">
      <c r="C8" s="285">
        <v>3</v>
      </c>
      <c r="D8" s="285">
        <v>3</v>
      </c>
    </row>
    <row r="9" spans="3:9" x14ac:dyDescent="0.3">
      <c r="C9" s="285">
        <v>4</v>
      </c>
      <c r="D9" s="285">
        <v>4</v>
      </c>
    </row>
    <row r="13" spans="3:9" x14ac:dyDescent="0.3">
      <c r="C13" s="1" t="s">
        <v>31</v>
      </c>
    </row>
    <row r="14" spans="3:9" x14ac:dyDescent="0.3">
      <c r="C14" s="1" t="s">
        <v>10</v>
      </c>
    </row>
    <row r="15" spans="3:9" x14ac:dyDescent="0.3">
      <c r="C15" s="1" t="s">
        <v>30</v>
      </c>
      <c r="D15" s="1" t="s">
        <v>14</v>
      </c>
    </row>
    <row r="16" spans="3:9" x14ac:dyDescent="0.3">
      <c r="C16" s="1" t="s">
        <v>11</v>
      </c>
      <c r="D16" s="1" t="s">
        <v>15</v>
      </c>
    </row>
    <row r="17" spans="3:4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L12"/>
  <sheetViews>
    <sheetView workbookViewId="0">
      <selection activeCell="G16" sqref="G16"/>
    </sheetView>
  </sheetViews>
  <sheetFormatPr baseColWidth="10" defaultRowHeight="14.4" x14ac:dyDescent="0.3"/>
  <cols>
    <col min="2" max="2" width="11.44140625" customWidth="1"/>
    <col min="3" max="3" width="17.44140625" customWidth="1"/>
    <col min="4" max="4" width="14.109375" customWidth="1"/>
    <col min="5" max="5" width="11.44140625" customWidth="1"/>
    <col min="6" max="6" width="17" customWidth="1"/>
  </cols>
  <sheetData>
    <row r="5" spans="3:12" x14ac:dyDescent="0.3">
      <c r="C5" s="1" t="s">
        <v>31</v>
      </c>
      <c r="F5">
        <v>0</v>
      </c>
      <c r="H5" s="46">
        <v>1</v>
      </c>
    </row>
    <row r="6" spans="3:12" x14ac:dyDescent="0.3">
      <c r="C6" s="1" t="s">
        <v>10</v>
      </c>
      <c r="F6">
        <v>1</v>
      </c>
      <c r="H6" s="46">
        <v>2</v>
      </c>
    </row>
    <row r="7" spans="3:12" x14ac:dyDescent="0.3">
      <c r="C7" s="1" t="s">
        <v>30</v>
      </c>
      <c r="D7" s="1" t="s">
        <v>14</v>
      </c>
      <c r="F7">
        <v>2</v>
      </c>
      <c r="H7" s="46">
        <v>3</v>
      </c>
    </row>
    <row r="8" spans="3:12" x14ac:dyDescent="0.3">
      <c r="C8" s="1" t="s">
        <v>11</v>
      </c>
      <c r="D8" s="1" t="s">
        <v>15</v>
      </c>
      <c r="H8" s="46">
        <v>4</v>
      </c>
    </row>
    <row r="9" spans="3:12" x14ac:dyDescent="0.3">
      <c r="C9" s="1" t="s">
        <v>12</v>
      </c>
      <c r="D9" s="1" t="s">
        <v>16</v>
      </c>
    </row>
    <row r="10" spans="3:12" x14ac:dyDescent="0.3">
      <c r="C10" s="1"/>
    </row>
    <row r="11" spans="3:12" x14ac:dyDescent="0.3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x14ac:dyDescent="0.3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5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3"/>
  <sheetViews>
    <sheetView workbookViewId="0">
      <selection activeCell="B3" sqref="B3:F9"/>
    </sheetView>
  </sheetViews>
  <sheetFormatPr baseColWidth="10" defaultRowHeight="14.4" x14ac:dyDescent="0.3"/>
  <cols>
    <col min="2" max="6" width="15.44140625" customWidth="1"/>
    <col min="7" max="7" width="11.44140625" customWidth="1"/>
    <col min="8" max="8" width="25.33203125" customWidth="1"/>
    <col min="10" max="10" width="10.109375" bestFit="1" customWidth="1"/>
    <col min="11" max="11" width="27.6640625" customWidth="1"/>
    <col min="12" max="12" width="52.5546875" customWidth="1"/>
  </cols>
  <sheetData>
    <row r="2" spans="2:8" ht="15" thickBot="1" x14ac:dyDescent="0.35"/>
    <row r="3" spans="2:8" ht="15" thickBot="1" x14ac:dyDescent="0.35">
      <c r="B3" s="345" t="s">
        <v>188</v>
      </c>
      <c r="C3" s="346"/>
      <c r="D3" s="346"/>
      <c r="E3" s="346"/>
      <c r="F3" s="347"/>
    </row>
    <row r="4" spans="2:8" x14ac:dyDescent="0.3">
      <c r="B4" s="348" t="s">
        <v>32</v>
      </c>
      <c r="C4" s="350" t="s">
        <v>39</v>
      </c>
      <c r="D4" s="351"/>
      <c r="E4" s="351"/>
      <c r="F4" s="352"/>
    </row>
    <row r="5" spans="2:8" ht="15" thickBot="1" x14ac:dyDescent="0.35">
      <c r="B5" s="349"/>
      <c r="C5" s="32" t="s">
        <v>27</v>
      </c>
      <c r="D5" s="11" t="s">
        <v>28</v>
      </c>
      <c r="E5" s="11" t="s">
        <v>62</v>
      </c>
      <c r="F5" s="10" t="s">
        <v>63</v>
      </c>
    </row>
    <row r="6" spans="2:8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" thickBot="1" x14ac:dyDescent="0.35"/>
    <row r="13" spans="2:8" ht="19.5" customHeight="1" thickBot="1" x14ac:dyDescent="0.35">
      <c r="B13" s="353" t="s">
        <v>2</v>
      </c>
      <c r="C13" s="354"/>
      <c r="D13" s="354"/>
      <c r="E13" s="354"/>
      <c r="F13" s="355"/>
      <c r="H13" s="2" t="s">
        <v>1</v>
      </c>
    </row>
    <row r="14" spans="2:8" ht="24" customHeight="1" x14ac:dyDescent="0.3">
      <c r="B14" s="356" t="s">
        <v>4</v>
      </c>
      <c r="C14" s="357"/>
      <c r="D14" s="357"/>
      <c r="E14" s="357"/>
      <c r="F14" s="358"/>
      <c r="H14" s="18" t="s">
        <v>33</v>
      </c>
    </row>
    <row r="15" spans="2:8" ht="26.25" customHeight="1" x14ac:dyDescent="0.3">
      <c r="B15" s="356" t="s">
        <v>3</v>
      </c>
      <c r="C15" s="357"/>
      <c r="D15" s="357"/>
      <c r="E15" s="357"/>
      <c r="F15" s="358"/>
      <c r="H15" s="16" t="s">
        <v>33</v>
      </c>
    </row>
    <row r="16" spans="2:8" ht="27.75" customHeight="1" thickBot="1" x14ac:dyDescent="0.35">
      <c r="B16" s="342" t="s">
        <v>6</v>
      </c>
      <c r="C16" s="343"/>
      <c r="D16" s="343"/>
      <c r="E16" s="343"/>
      <c r="F16" s="344"/>
      <c r="H16" s="17" t="s">
        <v>34</v>
      </c>
    </row>
    <row r="18" spans="10:12" ht="15" thickBot="1" x14ac:dyDescent="0.35"/>
    <row r="19" spans="10:12" ht="15" thickBot="1" x14ac:dyDescent="0.35">
      <c r="J19" s="14" t="s">
        <v>70</v>
      </c>
      <c r="K19" s="14" t="s">
        <v>68</v>
      </c>
      <c r="L19" s="36" t="s">
        <v>69</v>
      </c>
    </row>
    <row r="20" spans="10:12" ht="41.4" x14ac:dyDescent="0.3">
      <c r="J20" s="37" t="s">
        <v>72</v>
      </c>
      <c r="K20" s="33" t="s">
        <v>71</v>
      </c>
      <c r="L20" s="38" t="s">
        <v>64</v>
      </c>
    </row>
    <row r="21" spans="10:12" ht="69" x14ac:dyDescent="0.3">
      <c r="J21" s="37" t="s">
        <v>88</v>
      </c>
      <c r="K21" s="34" t="s">
        <v>61</v>
      </c>
      <c r="L21" s="38" t="s">
        <v>65</v>
      </c>
    </row>
    <row r="22" spans="10:12" ht="41.4" x14ac:dyDescent="0.3">
      <c r="J22" s="37" t="s">
        <v>73</v>
      </c>
      <c r="K22" s="35" t="s">
        <v>59</v>
      </c>
      <c r="L22" s="38" t="s">
        <v>66</v>
      </c>
    </row>
    <row r="23" spans="10:12" ht="69.599999999999994" thickBot="1" x14ac:dyDescent="0.35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F00775-9EF2-42DD-9310-E78C968A51CD}"/>
</file>

<file path=customXml/itemProps2.xml><?xml version="1.0" encoding="utf-8"?>
<ds:datastoreItem xmlns:ds="http://schemas.openxmlformats.org/officeDocument/2006/customXml" ds:itemID="{D8C1902D-4382-4593-839C-FFD87A558DCA}"/>
</file>

<file path=customXml/itemProps3.xml><?xml version="1.0" encoding="utf-8"?>
<ds:datastoreItem xmlns:ds="http://schemas.openxmlformats.org/officeDocument/2006/customXml" ds:itemID="{B6882A93-4131-4D35-912B-EE5A77E97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Gerencia Administrativa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2025-10-28T22:26:18Z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75700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