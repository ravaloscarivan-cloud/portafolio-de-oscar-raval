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10.10.50.91\calidad biosteel\SISTEMA DE GESTION DE CALIDAD\1. CALIDAD\13. CARACTERIZACION DE PROCESOS\"/>
    </mc:Choice>
  </mc:AlternateContent>
  <xr:revisionPtr revIDLastSave="0" documentId="13_ncr:1_{275DE807-5890-421A-96E9-89177CB22199}" xr6:coauthVersionLast="47" xr6:coauthVersionMax="47" xr10:uidLastSave="{00000000-0000-0000-0000-000000000000}"/>
  <bookViews>
    <workbookView xWindow="-108" yWindow="-108" windowWidth="23256" windowHeight="13896" xr2:uid="{00000000-000D-0000-FFFF-FFFF00000000}"/>
  </bookViews>
  <sheets>
    <sheet name="Caracterización de procesos" sheetId="1" r:id="rId1"/>
    <sheet name="Matriz de riesgo " sheetId="2" state="hidden" r:id="rId2"/>
    <sheet name="Calificacion y semaforizacion " sheetId="3" state="hidden"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l9001">'[1]Plan auditoría'!#REF!</definedName>
    <definedName name="_l9001">'[1]Plan auditoría'!#REF!</definedName>
    <definedName name="abc">#REF!</definedName>
    <definedName name="acciones">#REF!</definedName>
    <definedName name="ALCANCE">'[2]Plan auditoría'!$C$5</definedName>
    <definedName name="Alcance.">'[3]Plan auditoría'!$C$5</definedName>
    <definedName name="Alcance1">'[4]Plan auditoría'!$C$7</definedName>
    <definedName name="AMENAZAS">#REF!</definedName>
    <definedName name="anterior">'[2]Plan auditoría'!$D$12:$D$22</definedName>
    <definedName name="Archivo_Técnico">#REF!</definedName>
    <definedName name="AUDITOR1">'[2]Plan auditoría'!$E$7</definedName>
    <definedName name="AUDITOR2">'[2]Plan auditoría'!$G$7</definedName>
    <definedName name="CALID">#REF!</definedName>
    <definedName name="CALIDAD">#REF!</definedName>
    <definedName name="cde">'[5]Plan auditoría'!$I$2</definedName>
    <definedName name="COD">#REF!</definedName>
    <definedName name="CODIGO">#REF!</definedName>
    <definedName name="COMP">#REF!</definedName>
    <definedName name="compefactores">#REF!</definedName>
    <definedName name="comu">'[6]000cantera'!$C$197:$C$206</definedName>
    <definedName name="CONS">#REF!</definedName>
    <definedName name="CONSULTOR">#REF!</definedName>
    <definedName name="_xlnm.Criteria">'[2]Plan auditoría'!$C$6</definedName>
    <definedName name="d">'[1]Plan auditoría'!#REF!</definedName>
    <definedName name="dd">'[1]Plan auditoría'!#REF!</definedName>
    <definedName name="deb">#REF!</definedName>
    <definedName name="DEBILIDADES">#REF!</definedName>
    <definedName name="DECISIONES">[7]PARAMETROS!$C$2:$C$3</definedName>
    <definedName name="dem">#REF!</definedName>
    <definedName name="DEMORA1">#REF!</definedName>
    <definedName name="dim">#REF!</definedName>
    <definedName name="Dimensiones">#REF!</definedName>
    <definedName name="dos">'[2]Plan auditoría'!$C$7</definedName>
    <definedName name="emp">#REF!</definedName>
    <definedName name="EMPRESA">#REF!</definedName>
    <definedName name="FECHA">'[2]Plan auditoría'!$I$2</definedName>
    <definedName name="form">#REF!</definedName>
    <definedName name="Formatos_para_Puesta_en_Seguridad_de_Equipos">#REF!</definedName>
    <definedName name="fort">#REF!</definedName>
    <definedName name="FORTALEZA">#REF!</definedName>
    <definedName name="guia">#REF!</definedName>
    <definedName name="Guias_de_Maniobra">#REF!</definedName>
    <definedName name="INICIO">'[8]Plan auditoría'!$C$5</definedName>
    <definedName name="Insp">#REF!</definedName>
    <definedName name="Inspecciones_Planeadas_Casa_de_Maquinas_y_Subestación">#REF!</definedName>
    <definedName name="Inspecciones_Planeadas_Oficinas_y_Áreas_Administrativas">#REF!</definedName>
    <definedName name="Inspecciones_Planeadas_Talleres">#REF!</definedName>
    <definedName name="Inspecciones_Planeadas_Vehículos">#REF!</definedName>
    <definedName name="inspt">#REF!</definedName>
    <definedName name="inspv">#REF!</definedName>
    <definedName name="instm">#REF!</definedName>
    <definedName name="Instructivos_Manual_de_Mantenimiento">#REF!</definedName>
    <definedName name="Instructivos_Oficina_Técnica">#REF!</definedName>
    <definedName name="inxp">#REF!</definedName>
    <definedName name="LIDER">'[2]Plan auditoría'!$C$7</definedName>
    <definedName name="LISTA_PROCESOS">'[2]Plan auditoría'!$D$12:$D$22</definedName>
    <definedName name="LISTADO">'[2]Plan auditoría'!$D$12:$D$23</definedName>
    <definedName name="Manual_de_Operación">#REF!</definedName>
    <definedName name="medios">'[9]ESTRATEGIA DE COMUNICACIONES'!$A$2:$A$8</definedName>
    <definedName name="MEDIOSRECEPCION">[7]PARAMETROS!$E$2:$E$10</definedName>
    <definedName name="Memoria_de_Calculo_y_Ajuste_de_Protecciones">#REF!</definedName>
    <definedName name="N_VISITA">#REF!</definedName>
    <definedName name="NATURALEZA">[7]PARAMETROS!$A$2:$A$31</definedName>
    <definedName name="NIVE">'[10]ANALISIS RESULTADOS'!$A$2:$A$6</definedName>
    <definedName name="NIVELES">'[11]ANALISIS RESULTADOS'!$A$2:$A$6</definedName>
    <definedName name="nuevo">'[2]Plan auditoría'!$I$2</definedName>
    <definedName name="OBJETIVO">'[2]Plan auditoría'!$C$4</definedName>
    <definedName name="OPRTUNIDADES">#REF!</definedName>
    <definedName name="OSIT">'[12]ANALISIS RESULTADOS'!$C$15:$C$21</definedName>
    <definedName name="OSO">'[12]ANALISIS RESULTADOS'!$E$15:$E$21</definedName>
    <definedName name="OSOTO">'[12]ANALISIS RESULTADOS'!$A$2:$A$5</definedName>
    <definedName name="OX">'[12]ANALISIS RESULTADOS'!$A$2:$A$6</definedName>
    <definedName name="PEDRO">'[12]ANALISIS RESULTADOS'!$E$15:$E$21</definedName>
    <definedName name="PRO">#REF!</definedName>
    <definedName name="Procedimientos_Administrativos">#REF!</definedName>
    <definedName name="PROYECTO">#REF!</definedName>
    <definedName name="QUE">'[12]ANALISIS RESULTADOS'!$A$2:$A$6</definedName>
    <definedName name="RAFA">'[12]ANALISIS RESULTADOS'!$A$2:$A$5</definedName>
    <definedName name="RAQUEL">'[12]ANALISIS RESULTADOS'!$C$15:$C$21</definedName>
    <definedName name="RE">[12]RELACIONES!$CK$10</definedName>
    <definedName name="REPRESENTANTE">#REF!</definedName>
    <definedName name="REQUISITOS">#REF!</definedName>
    <definedName name="TIEMPOS">[13]TIEMPOS!$CK$10</definedName>
    <definedName name="TIPOS">[14]CLASIFICACION!$B$2:$B$21</definedName>
    <definedName name="tres">'[5]Plan auditoría'!$C$7</definedName>
    <definedName name="UNICO">'[2]Plan auditoría'!$C$6</definedName>
    <definedName name="UNO">#REF!</definedName>
    <definedName name="Valores_de_Regímen_de_Operación_Normal">#REF!</definedName>
    <definedName name="visió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11" i="2" l="1"/>
  <c r="AB11" i="2"/>
  <c r="X11" i="2"/>
  <c r="M11" i="2"/>
  <c r="AN10" i="2"/>
  <c r="AB10" i="2"/>
  <c r="X10" i="2"/>
  <c r="M10" i="2"/>
  <c r="AN9" i="2"/>
  <c r="AA9" i="2"/>
  <c r="AB9" i="2" s="1"/>
  <c r="X9" i="2"/>
  <c r="M9" i="2"/>
  <c r="AN8" i="2"/>
  <c r="AA8" i="2"/>
  <c r="AB8" i="2" s="1"/>
  <c r="X8" i="2"/>
  <c r="Y8" i="2" s="1"/>
  <c r="M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N16" authorId="0" shapeId="0" xr:uid="{00000000-0006-0000-0000-000001000000}">
      <text>
        <r>
          <rPr>
            <b/>
            <sz val="12"/>
            <color indexed="81"/>
            <rFont val="Tahoma"/>
            <family val="2"/>
          </rPr>
          <t>Se hace alusión al factor multiplicador del riesgo determinado por las implicaciones de no tener recursos disponibles para la atención inmediata a una contingencia o no conformidad.</t>
        </r>
      </text>
    </comment>
  </commentList>
</comments>
</file>

<file path=xl/sharedStrings.xml><?xml version="1.0" encoding="utf-8"?>
<sst xmlns="http://schemas.openxmlformats.org/spreadsheetml/2006/main" count="246" uniqueCount="201">
  <si>
    <t>OBSERVACIONES Y DOCUMENTOS DE REFERENCIA</t>
  </si>
  <si>
    <t>SEGUIMIENTO Y CONTROL</t>
  </si>
  <si>
    <t>PREVENCIÓN</t>
  </si>
  <si>
    <t>DESCRIPCIÓN</t>
  </si>
  <si>
    <t>A QUIÉN ENTREGA</t>
  </si>
  <si>
    <t>SALIDA</t>
  </si>
  <si>
    <t>DE QUIÉN RECIBE</t>
  </si>
  <si>
    <t>ENTRADAS</t>
  </si>
  <si>
    <t>RESPONSABLE</t>
  </si>
  <si>
    <t>DOCUMENTOS RELACIONADOS</t>
  </si>
  <si>
    <t>ACTIVIDAD</t>
  </si>
  <si>
    <t>MEDIDAS DE PREVENCIÓN Y CONTROL</t>
  </si>
  <si>
    <t>Fecha en que inicia su vigencia:</t>
  </si>
  <si>
    <t>Fecha Revisión y Aprobación:</t>
  </si>
  <si>
    <t>Fecha Emisión:</t>
  </si>
  <si>
    <t>Versión</t>
  </si>
  <si>
    <t>Código</t>
  </si>
  <si>
    <t>Nro</t>
  </si>
  <si>
    <t>CARACTERIZACIÓN DEL PROCESO DE GERENCIA ADMINISTRATIVA</t>
  </si>
  <si>
    <t xml:space="preserve">Responsables:  Gerente Administrativa
</t>
  </si>
  <si>
    <t>Este procedimiento tiene por objeto establecer las políticas o condiciones, actividades, responsabilidades y controles que se deben tener en cuenta para dar a conocer a los nuevos clientes en general, toda la información de los productos ofrecidos por la empresa, así como las condiciones y requerimientos para establecer una negociación</t>
  </si>
  <si>
    <t>Gerente Administrativo</t>
  </si>
  <si>
    <t>Nuevos clientes</t>
  </si>
  <si>
    <t>Necesidades del Mercado</t>
  </si>
  <si>
    <t>Empresa</t>
  </si>
  <si>
    <t xml:space="preserve">• Evidencias de revisión por la dirección
• Formato de revisión por la dirección FOR-ADM-003
</t>
  </si>
  <si>
    <t>Documento de revisión por la dirección</t>
  </si>
  <si>
    <t>Gerente General</t>
  </si>
  <si>
    <t xml:space="preserve">• Formato registro de Importación realizadas FOR-ADM-009
• Documentación requerida para la realización del Proceso de Importación
• Proforma
</t>
  </si>
  <si>
    <t>Atención al cliente insatisfactoria por competencias de responsable del contacto con el mismo</t>
  </si>
  <si>
    <t>Plan de formación a personal biosteel de Colombia</t>
  </si>
  <si>
    <t>Divulgación Manual de Calidad</t>
  </si>
  <si>
    <t>PRO-ADM-006</t>
  </si>
  <si>
    <t>FOR-ADM-006
Actas de visitas gerenciales</t>
  </si>
  <si>
    <t>Compromisos adquiridos en la Politica de Calidad</t>
  </si>
  <si>
    <t>Registro de importación
FOR-ADM-009</t>
  </si>
  <si>
    <t>PRO-ADM-008</t>
  </si>
  <si>
    <t>Negociación con un nuevo cliente</t>
  </si>
  <si>
    <t>Revisión por la dirección</t>
  </si>
  <si>
    <t>PRO-ADM-003</t>
  </si>
  <si>
    <t>Revisiones por la dirección</t>
  </si>
  <si>
    <t>Coordinador Logistico</t>
  </si>
  <si>
    <t>PRO-AT-004</t>
  </si>
  <si>
    <t>Coordinador de Calidad</t>
  </si>
  <si>
    <t>Inadecuada disponibilidad de recursos para el cierre de acciones correctivas y preventivas</t>
  </si>
  <si>
    <t>Revision por la Direccion FOR-GC-003</t>
  </si>
  <si>
    <t xml:space="preserve">• NTC ISO 9001:2015
• Procedimiento para la Elaboración y Control de Documentos.
• Normativa interna de la empresa.
</t>
  </si>
  <si>
    <t>Este procedimiento tiene como objetivo establecer las responsabilidades, políticas y actividades necesarias para programar reuniones con los lideres de procesos para verificar el cumplimiento de requisitos regulatorios y de procesos</t>
  </si>
  <si>
    <t xml:space="preserve">Formato acta de Reunion FOR-ADM-010
Matrices de despliegues politicas de calidad  FOR-GC-001
</t>
  </si>
  <si>
    <t>Reunion de lideres de procesos</t>
  </si>
  <si>
    <t>Lideres de procesos</t>
  </si>
  <si>
    <t>ineficiente cumplimiento en cronograma de reuniones de seguimiento para el cumplimiento de requisitos regulatorios y de los procesos internos</t>
  </si>
  <si>
    <t>Compromisos adquiridos en el cumplimiento del cronograma de reuniones de lideres de procesos</t>
  </si>
  <si>
    <t>FOR-ADM-010  Formato acta de reuniones</t>
  </si>
  <si>
    <t>PRO-ADM-009</t>
  </si>
  <si>
    <t xml:space="preserve"> Reuniones de seguimiento para el cumplimiento de  requisitos regulatorios y de procesos</t>
  </si>
  <si>
    <t>• Portafolio de Servicios
• Lista de chequeo documental y codiciones de convenio para negociación con clientes FOR-ADM-001</t>
  </si>
  <si>
    <t>Clientes potenciales</t>
  </si>
  <si>
    <t>Encuestas de satisfacción al cliente</t>
  </si>
  <si>
    <t>FOR-AT-014</t>
  </si>
  <si>
    <t xml:space="preserve">
Alcance: Este proceso inicia con la busqueda y negociación con clientes, afianzar relaciones comerciales, la verificación del cumpimiento de los requisitos regulatorios y finaliza con visitas a gerencial para entrega de resultados.</t>
  </si>
  <si>
    <t>Imagen corportativa negativa por incumplimiento con otros clientes del mercado</t>
  </si>
  <si>
    <t>Este procedimiento tiene por objeto establecer las políticas o condiciones, actividades,responsabilidades y controles para lograr definir y establecer los lineamientos y actividades necesarias para la ejecución de la Revisión por la Dirección del Sistema de Gestión de Calidad de BIOSTEEL DE COLOMBIA S.A., de manera que mediante el análisis de desempeño del sistema, puedan determinarse la conformidad del mismo con los requisitos establecidos y las oportunidades para la mejora en la empresa.</t>
  </si>
  <si>
    <t xml:space="preserve"> Notificaciones a la Gerencia General</t>
  </si>
  <si>
    <t>Este procedimiento tiene por objeto establecer las políticas, condiciones, actividades, responsabilidades y controles para definir los lineamientos necesarios para la realización de notificaciones a la Gerencia General por parte de la Gerencia Administrativa con el fin de  tratar temas tales como: Informes Financieros, Manejo administrativo, entre otros.</t>
  </si>
  <si>
    <t>Toma de decisiones de alto nivel</t>
  </si>
  <si>
    <t xml:space="preserve">• Formato registro de visita Gerencial. 
• Acta de reunión.
</t>
  </si>
  <si>
    <t>Disponibilidad del Gobierno coorporativo para la realización de reuniones de seguimiento</t>
  </si>
  <si>
    <t>Procedimiento de importación de Dispositivos Medicos</t>
  </si>
  <si>
    <t>Este procedimiento tiene como objetivo establecer las responsabilidades, políticas y actividades necesarias para llevar a cabo la importación de Dispositivos medicos</t>
  </si>
  <si>
    <t>Requisión de  Disposotivos medicos de importación</t>
  </si>
  <si>
    <t xml:space="preserve">
Objetivo: Este proceso tiene por objetivo definir las estrategias administrativas para optimizar el manejo de recursos, personal, Dispositivos medicos, procesos e  instalaciones. Este proceso establece los mecanismos, acciones y procedimientos que se deben realizar para incrementar el valor económico de  Biosteel de Colombia S.A </t>
  </si>
  <si>
    <t>Propuesta de importación de Dispositivos medicos</t>
  </si>
  <si>
    <t>Implementación y ejecución de operaciones monetarias de importación con proveedores internacionales</t>
  </si>
  <si>
    <t>Plan de trabajo anual</t>
  </si>
  <si>
    <t>MATRIZ DE RIESGO Y OPORTUNIDAD</t>
  </si>
  <si>
    <t>FECHA</t>
  </si>
  <si>
    <t>VERSION</t>
  </si>
  <si>
    <t>FECHA ACTUALIZACION: 21/05/2021</t>
  </si>
  <si>
    <t>IDENTIFICACIÓN DEL RIESGO Y/O OPORTUNIDAD</t>
  </si>
  <si>
    <t>TIPO DE RIESGO</t>
  </si>
  <si>
    <t>ANÁLISIS DEL RIESGO</t>
  </si>
  <si>
    <t>CONTROLES EXISTENTES</t>
  </si>
  <si>
    <t>TIPO DE CONTROL REALIZADO</t>
  </si>
  <si>
    <t>PERIODICIDAD DEL CONTROL REALIZADO</t>
  </si>
  <si>
    <t>ANALISIS Y EVALUACIÓN DE LOS CONTROLES</t>
  </si>
  <si>
    <t>EVALUACIÓN DEL RIESGO</t>
  </si>
  <si>
    <t>TRATAMIENTO DEL RIESGO</t>
  </si>
  <si>
    <t>PLAN DE ACCIÓN</t>
  </si>
  <si>
    <t>EVALUACIÓN DE LA EFICACIA</t>
  </si>
  <si>
    <t>N° RIESGO</t>
  </si>
  <si>
    <t xml:space="preserve">PROCESO  </t>
  </si>
  <si>
    <t>ACTIVIDADES</t>
  </si>
  <si>
    <r>
      <t xml:space="preserve">RIESGO O MODO DE FALLO  / </t>
    </r>
    <r>
      <rPr>
        <b/>
        <sz val="9"/>
        <color rgb="FFFFFFFF"/>
        <rFont val="Arial Narrow"/>
        <family val="2"/>
      </rPr>
      <t>OPORTUNIDAD GENERADA</t>
    </r>
  </si>
  <si>
    <t>PROCEDIMIENTO/DOCUMENTO</t>
  </si>
  <si>
    <t>CATEGORIA</t>
  </si>
  <si>
    <t>INTERNO / EXTERNO</t>
  </si>
  <si>
    <t>CAUSAS DEL FALLO (Causa raiz por el cual podria ocurrir?)</t>
  </si>
  <si>
    <t>EFECTOS DEL FALLO (consecuencias)</t>
  </si>
  <si>
    <t>P</t>
  </si>
  <si>
    <t>G</t>
  </si>
  <si>
    <t xml:space="preserve"> RIESGO INICIAL</t>
  </si>
  <si>
    <t>¿Existen manuales, instructivos o procedimientos
para el manejo del control?
15</t>
  </si>
  <si>
    <t>¿Está(n) definido(s) el(los) responsable(s) de la ejecución del control y del seguimiento?
5</t>
  </si>
  <si>
    <t>¿El control es automático?
15</t>
  </si>
  <si>
    <t>¿El control es manual?
10</t>
  </si>
  <si>
    <t xml:space="preserve">¿La frecuencia de ejecución del control y seguimiento es adecuada?                                        15                          </t>
  </si>
  <si>
    <t>¿Se cuenta con evidencias de la ejecución y
seguimiento del control?
10</t>
  </si>
  <si>
    <t>En el tiempo que lleva la herramienta ha demostrado ser efectiva?
30</t>
  </si>
  <si>
    <t>Total criterios de evaluación
Max (100)</t>
  </si>
  <si>
    <t>REDUCCIÓN DEL RIESGO CON LOS CONTROLES EXISTENTES</t>
  </si>
  <si>
    <t>EVALUACIÓN DEL RIESGO CON CONTROLES EXISTENTES</t>
  </si>
  <si>
    <t>FRECUENCIA DEL SEGUIMIENTO</t>
  </si>
  <si>
    <t>FECHA DE INICIO</t>
  </si>
  <si>
    <t>FECHA DE TERMINACIÓN</t>
  </si>
  <si>
    <t>REGISTRO / EVIDENCIA</t>
  </si>
  <si>
    <t>CONTROL PROPUESTO</t>
  </si>
  <si>
    <t>FECHA DE IMPLEMENTACIÓN</t>
  </si>
  <si>
    <t xml:space="preserve"> RIESGO FINAL</t>
  </si>
  <si>
    <t>R1</t>
  </si>
  <si>
    <t>Financieros / Admon</t>
  </si>
  <si>
    <t>Interno</t>
  </si>
  <si>
    <t>Preventivo</t>
  </si>
  <si>
    <t>Mensual</t>
  </si>
  <si>
    <t>Reducción</t>
  </si>
  <si>
    <t>Cuando aplique.</t>
  </si>
  <si>
    <t>N/A</t>
  </si>
  <si>
    <t>cuando aplique</t>
  </si>
  <si>
    <t>Gerente Administrativo.</t>
  </si>
  <si>
    <t>R2</t>
  </si>
  <si>
    <t>GERENCIA ADMINISTRATIVA</t>
  </si>
  <si>
    <t xml:space="preserve">Satisfacer las necesidades y expectativas de especialistas, instituciones del área de la salud y usuarios </t>
  </si>
  <si>
    <t>1. Quejas y reclamos del cliente, especialistas, instituciones del area de la salud o usuarios. 2. No cumplir con la satisfacion del cliente.</t>
  </si>
  <si>
    <t>Procedimeinto de quejas y reclamos</t>
  </si>
  <si>
    <t>1.Falta de apoyo en la asistencia tecnica..    2.Errores en los tiempos de traslado por parte del poveedor.3. Fallas en la planeacion de atencion a nuevos clientes.(Logistico,financiero,recuerso humano, infrastructura).</t>
  </si>
  <si>
    <t>1. Retraso en despacho de producto o/u equivocaciones en el personal de Biosteel de colombia SA.   2. Incidentes y eventos adversos por parte del cliente.3.Reproceso por parte del plan terapeutico del cliente. 4. Insatisfaccion en la oportunidad del servicio.</t>
  </si>
  <si>
    <t xml:space="preserve"> 1.Capacitacion permanente al personal. 2.Seleccion, evaluacion y comunicación con proveedores..3.Acuerdos en la prestacion del servicio al cliente a traves de reuniones  y evidencia  por medios comunicativos.</t>
  </si>
  <si>
    <t>Semestral</t>
  </si>
  <si>
    <t>Aceptación del riesgo</t>
  </si>
  <si>
    <t>Gerencia Administrativa</t>
  </si>
  <si>
    <t>1.Analisis de las quejas 2  Evidencia documentada.</t>
  </si>
  <si>
    <t xml:space="preserve">1. Analisis de la queja. .2. Determinar el mpacto de la falla..
3 Generar estrategia de compensacion. </t>
  </si>
  <si>
    <t>Director Asistencial/ Gerente administrativa.</t>
  </si>
  <si>
    <t>R3</t>
  </si>
  <si>
    <t>Revision por la direccion.</t>
  </si>
  <si>
    <t>1. Inadecuado cierre de no conformes por falta de recursos financieros. 2. .Entrega de informes fiuera de los tiempos estipulados.3. No presentar informe de revision por la direccion.</t>
  </si>
  <si>
    <t>1. Demoras en los tiempo de revision u entrega de informe.</t>
  </si>
  <si>
    <t>3. No tomar decisiones pertinenetes por falta de informacion. 1 No cierre de no conformidades. 2. Errores en la toma de decisiones por falta de informacion. 2. No entrega a tiempo de informes RXD 3.</t>
  </si>
  <si>
    <t>1. Evidencias de revision por la direccion. 3.. Actas de reuniones. 4..Cronograma de entrega de informes.</t>
  </si>
  <si>
    <t>Gerente Administrativo y Lideres de procesos.</t>
  </si>
  <si>
    <t>1. Formato acta de reunion .2. Formato de asistencia 3. Formato revision por la direccion. .</t>
  </si>
  <si>
    <t>R4</t>
  </si>
  <si>
    <t>Notificaciones a la Socios.</t>
  </si>
  <si>
    <t>1. No rendicion de cuentas a socios .</t>
  </si>
  <si>
    <t>HACER</t>
  </si>
  <si>
    <t xml:space="preserve">1. Falta de informacion para la realizacion del informe. 2. Retrazo en la informacion contable/ financiera  para la rendicion de cuentas </t>
  </si>
  <si>
    <t>1. Llamado de atencion a Gerencia administrativo. 2. Falta de informacion para toma de decisiones por parte de los socios.</t>
  </si>
  <si>
    <t xml:space="preserve">1. Informe mensual financiero .  </t>
  </si>
  <si>
    <t>Gerente Administrativo .</t>
  </si>
  <si>
    <t>1. Informacion documentada : correos electronicos y via telefonica.</t>
  </si>
  <si>
    <t>Importacion de dispositivos medicos.</t>
  </si>
  <si>
    <t>1. Fallas en la documentacion requerida para la importacion. 2. Negociacion inapropiada.</t>
  </si>
  <si>
    <t>Requisicion de dispositivos medicos importados</t>
  </si>
  <si>
    <t>Interno  / Externo</t>
  </si>
  <si>
    <t>1. No cumplir con los requisitos exigibles para la importacion.  2. Fluctuacion monetaria.</t>
  </si>
  <si>
    <t>1.Perder potenciales negociaciones  con clientes nacionales. 2. Desventajas competitivas.</t>
  </si>
  <si>
    <t>1. Certificacion CCAA.. 2. Certificacion por ISO 13485.</t>
  </si>
  <si>
    <t>Cuando se requiera</t>
  </si>
  <si>
    <t>Gerente administrativo</t>
  </si>
  <si>
    <t>NIVELES DEL RIESGO</t>
  </si>
  <si>
    <t xml:space="preserve">PROBABILIDAD / ESCALA </t>
  </si>
  <si>
    <t>GRAVEDAD</t>
  </si>
  <si>
    <r>
      <rPr>
        <b/>
        <sz val="11"/>
        <color theme="1"/>
        <rFont val="Arial Narrow"/>
        <family val="2"/>
      </rPr>
      <t>1</t>
    </r>
    <r>
      <rPr>
        <sz val="11"/>
        <color theme="1"/>
        <rFont val="Arial Narrow"/>
        <family val="2"/>
      </rPr>
      <t xml:space="preserve">
</t>
    </r>
    <r>
      <rPr>
        <b/>
        <sz val="11"/>
        <color theme="1"/>
        <rFont val="Arial Narrow"/>
        <family val="2"/>
      </rPr>
      <t>(BAJA)</t>
    </r>
  </si>
  <si>
    <r>
      <t xml:space="preserve">Poco problable que ocurra, existen controles efectivos, ningun caso ocurrido hasta la actualidad.
</t>
    </r>
    <r>
      <rPr>
        <b/>
        <u/>
        <sz val="9"/>
        <color theme="1"/>
        <rFont val="Arial Narrow"/>
        <family val="2"/>
      </rPr>
      <t>FRECUENCIA</t>
    </r>
    <r>
      <rPr>
        <sz val="9"/>
        <color theme="1"/>
        <rFont val="Arial Narrow"/>
        <family val="2"/>
      </rPr>
      <t xml:space="preserve">: </t>
    </r>
    <r>
      <rPr>
        <sz val="11"/>
        <color theme="1"/>
        <rFont val="Arial Narrow"/>
        <family val="2"/>
      </rPr>
      <t>No se ha presentado en los ultimos</t>
    </r>
    <r>
      <rPr>
        <sz val="9"/>
        <color theme="1"/>
        <rFont val="Arial Narrow"/>
        <family val="2"/>
      </rPr>
      <t xml:space="preserve"> </t>
    </r>
    <r>
      <rPr>
        <sz val="11"/>
        <color theme="1"/>
        <rFont val="Arial Narrow"/>
        <family val="2"/>
      </rPr>
      <t xml:space="preserve">5 años.
</t>
    </r>
    <r>
      <rPr>
        <sz val="11"/>
        <color theme="1"/>
        <rFont val="Arial Narrow"/>
        <family val="2"/>
      </rPr>
      <t xml:space="preserve">
</t>
    </r>
  </si>
  <si>
    <t>- No ha Interrupción de las operaciones de la Entidad
- No se generan sanciones económicas o administrativas
- No se afecta la Imagen institucional de forma significativa</t>
  </si>
  <si>
    <t>2
(MODERADA)</t>
  </si>
  <si>
    <r>
      <t xml:space="preserve">Podria ocurrir en algun momento                                                                              </t>
    </r>
    <r>
      <rPr>
        <b/>
        <u/>
        <sz val="10"/>
        <color theme="1"/>
        <rFont val="Arial Narrow"/>
        <family val="2"/>
      </rPr>
      <t>FRECUENCIAS</t>
    </r>
    <r>
      <rPr>
        <sz val="11"/>
        <color theme="1"/>
        <rFont val="Arial Narrow"/>
        <family val="2"/>
      </rPr>
      <t xml:space="preserve">: Al menos 1 vez en los ultimos 2 años.                                                                                                                                                        </t>
    </r>
  </si>
  <si>
    <t>- Interrupción de las operaciones de la Entidad por algunas horas
- Reclamaciones o quejas de los usuarios que implican investifaciónes internas disciplinarias
- Imagen institucional afectada localmente por retrasos en la prestación del servicio a los usuarios o ciudadanos</t>
  </si>
  <si>
    <t>3
(MEDIA)</t>
  </si>
  <si>
    <r>
      <t xml:space="preserve">Podria probablemente ocurrir, existen parcialmente controles efectivos
</t>
    </r>
    <r>
      <rPr>
        <b/>
        <u/>
        <sz val="9"/>
        <color theme="1"/>
        <rFont val="Arial Narrow"/>
        <family val="2"/>
      </rPr>
      <t>FRECUENCIA</t>
    </r>
    <r>
      <rPr>
        <sz val="11"/>
        <color theme="1"/>
        <rFont val="Arial Narrow"/>
        <family val="2"/>
      </rPr>
      <t xml:space="preserve">: Al menos 1 vez en el ultimo año.                                                                                                                                                </t>
    </r>
  </si>
  <si>
    <t>- Interrupción de las operaciones de la Entidad por más de un (1) día
- Reclamaciones o quejas de los usuarios que podrían implicar una denuncia ante los entes reguladores o una demanda de largo alcance para la entidad
- Inoportunidad en la información ocasionando retrasos en la atención a los usuarios
- Reproceso de actividades y aumento de carga operativa
- Imagen institucional afectada en el orden nacional o regional por retrasos en la prestación del servicio a los usuarios o ciudadanos
- Investigaciones penales, fiscales o disciplinarias</t>
  </si>
  <si>
    <t>4
(ALTA)</t>
  </si>
  <si>
    <r>
      <t xml:space="preserve">Alta probabilidad que ocurra
</t>
    </r>
    <r>
      <rPr>
        <b/>
        <u/>
        <sz val="9"/>
        <color theme="1"/>
        <rFont val="Arial Narrow"/>
        <family val="2"/>
      </rPr>
      <t>FRECUENCIA</t>
    </r>
    <r>
      <rPr>
        <sz val="11"/>
        <color theme="1"/>
        <rFont val="Arial Narrow"/>
        <family val="2"/>
      </rPr>
      <t xml:space="preserve">: Mas de 2 veces al año.
</t>
    </r>
  </si>
  <si>
    <t>- Interrupción de las operaciones de la Entidad por más de dos (2) días
- Pérdida de información critica que puede ser recuperada de forma parcial o incompleta
- Sanción por parte del ente de control y otro ente regulador
- Incumplimiento en las metas y objetivos institucionales afectando el cumplimiento en las metas de gobierno
- Imagen institucional afectada en el orden nacional o regional por incumplimiento en la prestación del servicio a los usuarios o ciudadanos</t>
  </si>
  <si>
    <t>La empresa asume el riesgo y reduce su impacto a través de estrategias de minimización. Deberá plantearse un plan de contingencia, que intentará paliar los efectos negativos del riesgo, una vez este ya se ha producido.</t>
  </si>
  <si>
    <t>Transferencia</t>
  </si>
  <si>
    <t>Representa el conjunto de procedimientos cuyo objetivo es eliminar el riesgo transfiriéndolo de un lugar a otro. Consiste, por ejemplo, en vender un activo dudoso, asegurar una actividad con importantes riesgos, etc.</t>
  </si>
  <si>
    <t>Esta estrategia busca, bien reducir la probabilidad de ocurrencia de un riesgo, bien reducir sus consecuencias, o bien lograr ambos objetivos a la vez. La probabilidad de ocurrencia de un riesgo puede reducirse a través de controles de gestión, arreglos organizacionales, y procedimientos encaminados a reducir la frecuencia o la oportunidad de que ocurra un error. Las consecuencias pueden reducirse asegurando o garantizando que todos los controles se encuentren en el lugar apropiado para minimizar cualquier consecuencia adversa.</t>
  </si>
  <si>
    <t>Elusión</t>
  </si>
  <si>
    <t>existen dos opciones para intentar eludir un riesgo: no proceder con el proyecto o la actividad que incorporaría el riesgo, o escoger medios alternativos para la actividad, que logren el mismo resultado y no incorporen el riesgo detectado. El problema de eludir riesgos es que podemos perder oportunidades de negocio, y, además, otros riesgos no identificados inicialmente, pueden volverse más significativos.</t>
  </si>
  <si>
    <t>Diversificación</t>
  </si>
  <si>
    <t>: consiste en intentar extender el riesgo de un área en concreto, a diferentes secciones, con el fin de impedir la pérdida de todo el negocio. Son ejemplos de diversificación orientarse a nuevos mercados y proveedores, diversificar la lista de productos y servicios, etc.</t>
  </si>
  <si>
    <r>
      <t xml:space="preserve">Clientes:  
</t>
    </r>
    <r>
      <rPr>
        <sz val="12"/>
        <rFont val="Arial"/>
        <family val="2"/>
      </rPr>
      <t>Todos los procesos del SGC</t>
    </r>
  </si>
  <si>
    <r>
      <t xml:space="preserve">Requisitos del Cliente:
Cliente Interno: </t>
    </r>
    <r>
      <rPr>
        <sz val="12"/>
        <rFont val="Arial"/>
        <family val="2"/>
      </rPr>
      <t xml:space="preserve">Cumplir con las politicas corporativas  y administrativas establecidas por los directivo de Biosteel de Colombia S.A
</t>
    </r>
    <r>
      <rPr>
        <b/>
        <sz val="12"/>
        <rFont val="Arial"/>
        <family val="2"/>
      </rPr>
      <t xml:space="preserve">
Cliente Externo:  </t>
    </r>
    <r>
      <rPr>
        <sz val="12"/>
        <rFont val="Arial"/>
        <family val="2"/>
      </rPr>
      <t>Disponibilidad de entrega, precios competitivos , atención especializada, cumplimiento de especificaciones técnicas y legales.</t>
    </r>
  </si>
  <si>
    <r>
      <t xml:space="preserve">Requisitos de la organización:
</t>
    </r>
    <r>
      <rPr>
        <sz val="12"/>
        <rFont val="Arial"/>
        <family val="2"/>
      </rPr>
      <t>Contexto general de las políticas y principios corporativos de Biosteel de Colombia</t>
    </r>
    <r>
      <rPr>
        <b/>
        <sz val="12"/>
        <rFont val="Arial"/>
        <family val="2"/>
      </rPr>
      <t xml:space="preserve">
Partes Interesadas:
</t>
    </r>
    <r>
      <rPr>
        <sz val="12"/>
        <rFont val="Arial"/>
        <family val="2"/>
      </rPr>
      <t>-Invima
-Ips Clientes: Fundacion Campbell y
 -Clinica Vallesalud como las mas criticas
-Médicos Especialistas
-Dian
-Alcaldia
-Trabajadores 
-proveedores de Dispositivos medicos
-Icontec</t>
    </r>
  </si>
  <si>
    <r>
      <t xml:space="preserve">Requisitos de la norma ISO 9001:2015 e ISO 13485:2016 que aplican al proceso </t>
    </r>
    <r>
      <rPr>
        <sz val="12"/>
        <rFont val="Arial"/>
        <family val="2"/>
      </rPr>
      <t xml:space="preserve">
</t>
    </r>
    <r>
      <rPr>
        <b/>
        <sz val="12"/>
        <rFont val="Arial"/>
        <family val="2"/>
      </rPr>
      <t>4.1 ,  4.2.4 , 4.2.5 , 5.1 , 5.2.1 , 5.2.2 ,  5.6 ,5.4.1 , 6.1 , 6.2 , 6.3 , 6.4.1, 7.1 , 7.1.1 , 7.1.2 , 7.1.3 , 7.1.4 , 7.1.5.1 , 7.1.6 , 7.2 , 7.2.1 , 7.2.2 , 7.2.3 , 7.3 , 7.4 , 7.4.1 , 7.4.2 , 7.5 , 7.5.1 , 7.5.2 , 7.5.3 , 8.1 , 8.2.1 , 8.2.2 , 8.2.4 , 8.2.5 , 8.4 , 8.5.1 , 8.5.2 , 8.5.3 , 9.1.1 , 9.1.3, 9.3, 9.3.1 , 9.3.2 , 9.3.3 , 10.1 , 10.2 , 10.3.</t>
    </r>
  </si>
  <si>
    <r>
      <t xml:space="preserve">Requisitos de ley que aplican al proceso: 
</t>
    </r>
    <r>
      <rPr>
        <sz val="12"/>
        <rFont val="Arial"/>
        <family val="2"/>
      </rPr>
      <t>Decreto 4725/2005</t>
    </r>
    <r>
      <rPr>
        <b/>
        <sz val="12"/>
        <rFont val="Arial"/>
        <family val="2"/>
      </rPr>
      <t xml:space="preserve">
</t>
    </r>
    <r>
      <rPr>
        <sz val="12"/>
        <rFont val="Arial"/>
        <family val="2"/>
      </rPr>
      <t>Resolución 4002/2007 
Resolición 4816/2008
Resolución 1111 de 2015
Resolución 0312 de 2019</t>
    </r>
    <r>
      <rPr>
        <b/>
        <sz val="12"/>
        <rFont val="Arial"/>
        <family val="2"/>
      </rPr>
      <t xml:space="preserve">
</t>
    </r>
  </si>
  <si>
    <r>
      <t xml:space="preserve">Información de auditoria, </t>
    </r>
    <r>
      <rPr>
        <sz val="12"/>
        <color rgb="FFFF0000"/>
        <rFont val="Arial"/>
        <family val="2"/>
      </rPr>
      <t>todas las entradas de la norma</t>
    </r>
  </si>
  <si>
    <t>0.3</t>
  </si>
  <si>
    <t>FOR-GC-011</t>
  </si>
  <si>
    <t xml:space="preserve">Evaluación de seguimiento Asesorias Quirurgicas
FOR-AT-011
Formato de atención a devoluciones
FOR-AT-003
 Atención a Quejas , Sugerencias, Reclamos y felicitaciones
FOR- AT-004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</si>
</sst>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mm/yyyy;@"/>
    <numFmt numFmtId="165" formatCode="&quot;$&quot;#.00"/>
    <numFmt numFmtId="166" formatCode="m\o\n\th\ d\,\ yyyy"/>
    <numFmt numFmtId="167" formatCode="_ [$€-2]\ * #,##0.00_ ;_ [$€-2]\ * \-#,##0.00_ ;_ [$€-2]\ * &quot;-&quot;??_ "/>
    <numFmt numFmtId="168" formatCode="#.00"/>
    <numFmt numFmtId="169" formatCode="#."/>
    <numFmt numFmtId="170" formatCode="_-* #,##0\ _P_t_s_-;\-* #,##0\ _P_t_s_-;_-* &quot;-&quot;\ _P_t_s_-;_-@_-"/>
    <numFmt numFmtId="171" formatCode="%#.00"/>
  </numFmts>
  <fonts count="38" x14ac:knownFonts="1">
    <font>
      <sz val="10"/>
      <name val="Arial"/>
      <family val="2"/>
    </font>
    <font>
      <sz val="10"/>
      <name val="Arial"/>
      <family val="2"/>
    </font>
    <font>
      <u/>
      <sz val="8"/>
      <color indexed="12"/>
      <name val="Arial"/>
      <family val="2"/>
    </font>
    <font>
      <b/>
      <sz val="12"/>
      <color indexed="81"/>
      <name val="Tahoma"/>
      <family val="2"/>
    </font>
    <font>
      <sz val="12"/>
      <color indexed="8"/>
      <name val="Arial"/>
      <family val="2"/>
    </font>
    <font>
      <sz val="12"/>
      <color indexed="9"/>
      <name val="Arial"/>
      <family val="2"/>
    </font>
    <font>
      <sz val="12"/>
      <color indexed="20"/>
      <name val="Arial"/>
      <family val="2"/>
    </font>
    <font>
      <b/>
      <sz val="12"/>
      <color indexed="52"/>
      <name val="Arial"/>
      <family val="2"/>
    </font>
    <font>
      <sz val="1"/>
      <color indexed="8"/>
      <name val="Courier"/>
      <family val="3"/>
    </font>
    <font>
      <i/>
      <sz val="12"/>
      <color indexed="23"/>
      <name val="Arial"/>
      <family val="2"/>
    </font>
    <font>
      <b/>
      <sz val="15"/>
      <color indexed="56"/>
      <name val="Arial"/>
      <family val="2"/>
    </font>
    <font>
      <b/>
      <sz val="13"/>
      <color indexed="56"/>
      <name val="Arial"/>
      <family val="2"/>
    </font>
    <font>
      <b/>
      <sz val="11"/>
      <color indexed="56"/>
      <name val="Arial"/>
      <family val="2"/>
    </font>
    <font>
      <b/>
      <sz val="1"/>
      <color indexed="8"/>
      <name val="Courier"/>
      <family val="3"/>
    </font>
    <font>
      <sz val="12"/>
      <color theme="1"/>
      <name val="Arial"/>
      <family val="2"/>
    </font>
    <font>
      <b/>
      <sz val="12"/>
      <color indexed="63"/>
      <name val="Arial"/>
      <family val="2"/>
    </font>
    <font>
      <b/>
      <sz val="18"/>
      <color indexed="56"/>
      <name val="Cambria"/>
      <family val="2"/>
    </font>
    <font>
      <sz val="11"/>
      <color theme="0"/>
      <name val="Calibri"/>
      <family val="2"/>
      <scheme val="minor"/>
    </font>
    <font>
      <sz val="10"/>
      <color theme="1"/>
      <name val="Arial"/>
      <family val="2"/>
    </font>
    <font>
      <sz val="11"/>
      <color theme="1"/>
      <name val="Arial Narrow"/>
      <family val="2"/>
    </font>
    <font>
      <b/>
      <sz val="22"/>
      <color theme="1"/>
      <name val="Arial Narrow"/>
      <family val="2"/>
    </font>
    <font>
      <b/>
      <sz val="11"/>
      <color theme="1"/>
      <name val="Arial Narrow"/>
      <family val="2"/>
    </font>
    <font>
      <sz val="12"/>
      <color theme="1"/>
      <name val="Arial Narrow"/>
      <family val="2"/>
    </font>
    <font>
      <b/>
      <sz val="9"/>
      <color rgb="FFFFFFFF"/>
      <name val="Arial Narrow"/>
      <family val="2"/>
    </font>
    <font>
      <sz val="9"/>
      <color rgb="FFFFFFFF"/>
      <name val="Arial Narrow"/>
      <family val="2"/>
    </font>
    <font>
      <sz val="11"/>
      <color rgb="FFFF0000"/>
      <name val="Arial Narrow"/>
      <family val="2"/>
    </font>
    <font>
      <b/>
      <sz val="11"/>
      <color rgb="FFFF0000"/>
      <name val="Arial Narrow"/>
      <family val="2"/>
    </font>
    <font>
      <b/>
      <sz val="11"/>
      <color rgb="FFFFFFFF"/>
      <name val="Arial Narrow"/>
      <family val="2"/>
    </font>
    <font>
      <b/>
      <u/>
      <sz val="9"/>
      <color theme="1"/>
      <name val="Arial Narrow"/>
      <family val="2"/>
    </font>
    <font>
      <sz val="9"/>
      <color theme="1"/>
      <name val="Arial Narrow"/>
      <family val="2"/>
    </font>
    <font>
      <sz val="10"/>
      <color theme="1"/>
      <name val="Arial Narrow"/>
      <family val="2"/>
    </font>
    <font>
      <b/>
      <u/>
      <sz val="10"/>
      <color theme="1"/>
      <name val="Arial Narrow"/>
      <family val="2"/>
    </font>
    <font>
      <sz val="12"/>
      <name val="Arial"/>
      <family val="2"/>
    </font>
    <font>
      <b/>
      <sz val="12"/>
      <name val="Arial"/>
      <family val="2"/>
    </font>
    <font>
      <sz val="12"/>
      <color rgb="FFFF0000"/>
      <name val="Arial"/>
      <family val="2"/>
    </font>
    <font>
      <b/>
      <sz val="12"/>
      <color indexed="9"/>
      <name val="Arial"/>
      <family val="2"/>
    </font>
    <font>
      <b/>
      <sz val="12"/>
      <color theme="0"/>
      <name val="Arial"/>
      <family val="2"/>
    </font>
    <font>
      <u/>
      <sz val="12"/>
      <color indexed="12"/>
      <name val="Arial"/>
      <family val="2"/>
    </font>
  </fonts>
  <fills count="25">
    <fill>
      <patternFill patternType="none"/>
    </fill>
    <fill>
      <patternFill patternType="gray125"/>
    </fill>
    <fill>
      <patternFill patternType="solid">
        <fgColor theme="0"/>
        <bgColor indexed="64"/>
      </patternFill>
    </fill>
    <fill>
      <patternFill patternType="solid">
        <fgColor theme="3" tint="-0.499984740745262"/>
        <bgColor indexed="8"/>
      </patternFill>
    </fill>
    <fill>
      <patternFill patternType="solid">
        <fgColor theme="3" tint="-0.49998474074526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theme="0"/>
        <bgColor rgb="FF003366"/>
      </patternFill>
    </fill>
  </fills>
  <borders count="55">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s>
  <cellStyleXfs count="46">
    <xf numFmtId="0" fontId="0" fillId="0" borderId="0"/>
    <xf numFmtId="0" fontId="2" fillId="0" borderId="0" applyNumberFormat="0" applyFill="0" applyBorder="0" applyAlignment="0" applyProtection="0">
      <alignment vertical="top"/>
      <protection locked="0"/>
    </xf>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22" borderId="0" applyNumberFormat="0" applyBorder="0" applyAlignment="0" applyProtection="0"/>
    <xf numFmtId="0" fontId="6" fillId="6" borderId="0" applyNumberFormat="0" applyBorder="0" applyAlignment="0" applyProtection="0"/>
    <xf numFmtId="0" fontId="7" fillId="23" borderId="16" applyNumberFormat="0" applyAlignment="0" applyProtection="0"/>
    <xf numFmtId="4" fontId="8" fillId="0" borderId="0">
      <protection locked="0"/>
    </xf>
    <xf numFmtId="165" fontId="8" fillId="0" borderId="0">
      <protection locked="0"/>
    </xf>
    <xf numFmtId="166" fontId="8" fillId="0" borderId="0">
      <protection locked="0"/>
    </xf>
    <xf numFmtId="167" fontId="1" fillId="0" borderId="0" applyFont="0" applyFill="0" applyBorder="0" applyAlignment="0" applyProtection="0"/>
    <xf numFmtId="0" fontId="9" fillId="0" borderId="0" applyNumberFormat="0" applyFill="0" applyBorder="0" applyAlignment="0" applyProtection="0"/>
    <xf numFmtId="168" fontId="8" fillId="0" borderId="0">
      <protection locked="0"/>
    </xf>
    <xf numFmtId="0" fontId="10" fillId="0" borderId="17" applyNumberFormat="0" applyFill="0" applyAlignment="0" applyProtection="0"/>
    <xf numFmtId="0" fontId="11" fillId="0" borderId="18" applyNumberFormat="0" applyFill="0" applyAlignment="0" applyProtection="0"/>
    <xf numFmtId="0" fontId="12" fillId="0" borderId="19" applyNumberFormat="0" applyFill="0" applyAlignment="0" applyProtection="0"/>
    <xf numFmtId="169" fontId="13" fillId="0" borderId="0">
      <protection locked="0"/>
    </xf>
    <xf numFmtId="169" fontId="13" fillId="0" borderId="0">
      <protection locked="0"/>
    </xf>
    <xf numFmtId="170" fontId="1" fillId="0" borderId="0" applyFont="0" applyFill="0" applyBorder="0" applyAlignment="0" applyProtection="0"/>
    <xf numFmtId="0" fontId="1" fillId="0" borderId="0"/>
    <xf numFmtId="0" fontId="14" fillId="0" borderId="0"/>
    <xf numFmtId="0" fontId="15" fillId="23" borderId="20" applyNumberFormat="0" applyAlignment="0" applyProtection="0"/>
    <xf numFmtId="171" fontId="8" fillId="0" borderId="0">
      <protection locked="0"/>
    </xf>
    <xf numFmtId="9" fontId="1" fillId="0" borderId="0" applyFont="0" applyFill="0" applyBorder="0" applyAlignment="0" applyProtection="0"/>
    <xf numFmtId="0" fontId="16" fillId="0" borderId="0" applyNumberFormat="0" applyFill="0" applyBorder="0" applyAlignment="0" applyProtection="0"/>
  </cellStyleXfs>
  <cellXfs count="196">
    <xf numFmtId="0" fontId="0" fillId="0" borderId="0" xfId="0"/>
    <xf numFmtId="0" fontId="19" fillId="2" borderId="52" xfId="0" applyFont="1" applyFill="1" applyBorder="1" applyAlignment="1" applyProtection="1">
      <alignment horizontal="center" vertical="center" wrapText="1"/>
      <protection locked="0"/>
    </xf>
    <xf numFmtId="0" fontId="19" fillId="2" borderId="53" xfId="0" applyFont="1" applyFill="1" applyBorder="1" applyAlignment="1" applyProtection="1">
      <alignment horizontal="center" vertical="center" wrapText="1"/>
      <protection locked="0"/>
    </xf>
    <xf numFmtId="0" fontId="17" fillId="2" borderId="0" xfId="0" applyFont="1" applyFill="1"/>
    <xf numFmtId="0" fontId="0" fillId="2" borderId="0" xfId="0" applyFill="1"/>
    <xf numFmtId="0" fontId="21" fillId="2" borderId="0" xfId="0" applyFont="1" applyFill="1" applyAlignment="1">
      <alignment wrapText="1"/>
    </xf>
    <xf numFmtId="0" fontId="27" fillId="24" borderId="34" xfId="0" applyFont="1" applyFill="1" applyBorder="1" applyAlignment="1">
      <alignment horizontal="center" vertical="center" wrapText="1"/>
    </xf>
    <xf numFmtId="0" fontId="27" fillId="24" borderId="42" xfId="0" applyFont="1" applyFill="1" applyBorder="1" applyAlignment="1">
      <alignment horizontal="center" vertical="center" wrapText="1"/>
    </xf>
    <xf numFmtId="0" fontId="19" fillId="2" borderId="0" xfId="0" applyFont="1" applyFill="1"/>
    <xf numFmtId="0" fontId="19" fillId="2" borderId="23" xfId="0" applyFont="1" applyFill="1" applyBorder="1" applyAlignment="1">
      <alignment horizontal="center" vertical="center" wrapText="1"/>
    </xf>
    <xf numFmtId="0" fontId="19" fillId="2" borderId="24" xfId="0" applyFont="1" applyFill="1" applyBorder="1" applyAlignment="1">
      <alignment horizontal="left" vertical="top" wrapText="1"/>
    </xf>
    <xf numFmtId="0" fontId="30" fillId="2" borderId="40" xfId="0" applyFont="1" applyFill="1" applyBorder="1" applyAlignment="1">
      <alignment horizontal="left" vertical="top" wrapText="1"/>
    </xf>
    <xf numFmtId="0" fontId="21" fillId="2" borderId="23" xfId="0" applyFont="1" applyFill="1" applyBorder="1" applyAlignment="1">
      <alignment horizontal="center" vertical="center" wrapText="1"/>
    </xf>
    <xf numFmtId="0" fontId="19" fillId="2" borderId="7" xfId="0" applyFont="1" applyFill="1" applyBorder="1" applyAlignment="1">
      <alignment horizontal="left" vertical="center" wrapText="1"/>
    </xf>
    <xf numFmtId="0" fontId="30" fillId="2" borderId="52" xfId="0" applyFont="1" applyFill="1" applyBorder="1" applyAlignment="1">
      <alignment horizontal="left" vertical="top" wrapText="1"/>
    </xf>
    <xf numFmtId="0" fontId="21" fillId="2" borderId="53" xfId="0" applyFont="1" applyFill="1" applyBorder="1" applyAlignment="1">
      <alignment horizontal="center" vertical="center" wrapText="1"/>
    </xf>
    <xf numFmtId="0" fontId="19" fillId="2" borderId="4" xfId="0" applyFont="1" applyFill="1" applyBorder="1" applyAlignment="1">
      <alignment vertical="center" wrapText="1"/>
    </xf>
    <xf numFmtId="0" fontId="21" fillId="2" borderId="28" xfId="0" applyFont="1" applyFill="1" applyBorder="1" applyAlignment="1">
      <alignment horizontal="center" vertical="center" wrapText="1"/>
    </xf>
    <xf numFmtId="0" fontId="19" fillId="2" borderId="29" xfId="0" applyFont="1" applyFill="1" applyBorder="1" applyAlignment="1">
      <alignment horizontal="left" vertical="center" wrapText="1"/>
    </xf>
    <xf numFmtId="0" fontId="30" fillId="2" borderId="30" xfId="0" applyFont="1" applyFill="1" applyBorder="1" applyAlignment="1">
      <alignment horizontal="left" vertical="top" wrapText="1"/>
    </xf>
    <xf numFmtId="0" fontId="19" fillId="2" borderId="48" xfId="0" applyFont="1" applyFill="1" applyBorder="1" applyAlignment="1">
      <alignment horizontal="center" vertical="center"/>
    </xf>
    <xf numFmtId="0" fontId="19" fillId="2" borderId="49" xfId="0" applyFont="1" applyFill="1" applyBorder="1" applyAlignment="1">
      <alignment vertical="center" wrapText="1"/>
    </xf>
    <xf numFmtId="0" fontId="19" fillId="2" borderId="53" xfId="0" applyFont="1" applyFill="1" applyBorder="1" applyAlignment="1">
      <alignment horizontal="center" vertical="center"/>
    </xf>
    <xf numFmtId="0" fontId="19" fillId="2" borderId="52" xfId="0" applyFont="1" applyFill="1" applyBorder="1" applyAlignment="1">
      <alignment vertical="center" wrapText="1"/>
    </xf>
    <xf numFmtId="0" fontId="0" fillId="2" borderId="28" xfId="0" applyFill="1" applyBorder="1" applyAlignment="1">
      <alignment horizontal="center" vertical="center"/>
    </xf>
    <xf numFmtId="0" fontId="19" fillId="2" borderId="30" xfId="0" applyFont="1" applyFill="1" applyBorder="1" applyAlignment="1">
      <alignment vertical="center" wrapText="1"/>
    </xf>
    <xf numFmtId="0" fontId="19" fillId="2" borderId="0" xfId="0" applyFont="1" applyFill="1" applyProtection="1">
      <protection locked="0"/>
    </xf>
    <xf numFmtId="0" fontId="14" fillId="2" borderId="23" xfId="0" applyFont="1" applyFill="1" applyBorder="1" applyAlignment="1">
      <alignment horizontal="center" vertical="center"/>
    </xf>
    <xf numFmtId="0" fontId="14" fillId="2" borderId="28" xfId="0" applyFont="1" applyFill="1" applyBorder="1" applyAlignment="1">
      <alignment horizontal="center" vertical="center"/>
    </xf>
    <xf numFmtId="0" fontId="21" fillId="2" borderId="0" xfId="0" applyFont="1" applyFill="1"/>
    <xf numFmtId="14" fontId="22" fillId="2" borderId="0" xfId="0" applyNumberFormat="1" applyFont="1" applyFill="1" applyAlignment="1">
      <alignment horizontal="left"/>
    </xf>
    <xf numFmtId="0" fontId="24" fillId="24" borderId="42" xfId="0" applyFont="1" applyFill="1" applyBorder="1" applyAlignment="1">
      <alignment horizontal="center" vertical="center" wrapText="1"/>
    </xf>
    <xf numFmtId="0" fontId="24" fillId="24" borderId="21" xfId="0" applyFont="1" applyFill="1" applyBorder="1" applyAlignment="1">
      <alignment horizontal="center" vertical="center" wrapText="1"/>
    </xf>
    <xf numFmtId="0" fontId="24" fillId="24" borderId="36" xfId="0" applyFont="1" applyFill="1" applyBorder="1" applyAlignment="1">
      <alignment horizontal="center" vertical="center" wrapText="1"/>
    </xf>
    <xf numFmtId="0" fontId="24" fillId="24" borderId="40" xfId="0" applyFont="1" applyFill="1" applyBorder="1" applyAlignment="1">
      <alignment horizontal="center" vertical="center" wrapText="1"/>
    </xf>
    <xf numFmtId="0" fontId="24" fillId="24" borderId="43" xfId="0" applyFont="1" applyFill="1" applyBorder="1" applyAlignment="1">
      <alignment horizontal="center" vertical="center" wrapText="1"/>
    </xf>
    <xf numFmtId="0" fontId="24" fillId="24" borderId="38" xfId="0" applyFont="1" applyFill="1" applyBorder="1" applyAlignment="1">
      <alignment horizontal="center" vertical="center" wrapText="1"/>
    </xf>
    <xf numFmtId="0" fontId="24" fillId="24" borderId="44" xfId="0" applyFont="1" applyFill="1" applyBorder="1" applyAlignment="1">
      <alignment horizontal="center" vertical="center" wrapText="1"/>
    </xf>
    <xf numFmtId="0" fontId="24" fillId="24" borderId="45" xfId="0" applyFont="1" applyFill="1" applyBorder="1" applyAlignment="1">
      <alignment horizontal="center" vertical="center" wrapText="1"/>
    </xf>
    <xf numFmtId="0" fontId="24" fillId="24" borderId="41" xfId="0" applyFont="1" applyFill="1" applyBorder="1" applyAlignment="1">
      <alignment horizontal="center" vertical="center" wrapText="1"/>
    </xf>
    <xf numFmtId="0" fontId="24" fillId="24" borderId="37" xfId="0" applyFont="1" applyFill="1" applyBorder="1" applyAlignment="1">
      <alignment horizontal="center" vertical="center" wrapText="1"/>
    </xf>
    <xf numFmtId="0" fontId="24" fillId="24" borderId="35" xfId="0" applyFont="1" applyFill="1" applyBorder="1" applyAlignment="1">
      <alignment horizontal="center" vertical="center" wrapText="1"/>
    </xf>
    <xf numFmtId="0" fontId="24" fillId="24" borderId="34" xfId="0" applyFont="1" applyFill="1" applyBorder="1" applyAlignment="1">
      <alignment horizontal="center" vertical="center" wrapText="1"/>
    </xf>
    <xf numFmtId="0" fontId="24" fillId="24" borderId="33" xfId="0" applyFont="1" applyFill="1" applyBorder="1" applyAlignment="1">
      <alignment horizontal="center" vertical="center" wrapText="1"/>
    </xf>
    <xf numFmtId="0" fontId="24" fillId="24" borderId="32" xfId="0" applyFont="1" applyFill="1" applyBorder="1" applyAlignment="1">
      <alignment horizontal="center" vertical="center" wrapText="1"/>
    </xf>
    <xf numFmtId="0" fontId="24" fillId="24" borderId="47" xfId="0" applyFont="1" applyFill="1" applyBorder="1" applyAlignment="1">
      <alignment horizontal="center" vertical="center" wrapText="1"/>
    </xf>
    <xf numFmtId="0" fontId="19" fillId="2" borderId="51" xfId="0" applyFont="1" applyFill="1" applyBorder="1" applyAlignment="1" applyProtection="1">
      <alignment horizontal="center" vertical="center"/>
      <protection locked="0"/>
    </xf>
    <xf numFmtId="0" fontId="19" fillId="2" borderId="4" xfId="0" applyFont="1" applyFill="1" applyBorder="1" applyAlignment="1" applyProtection="1">
      <alignment vertical="center"/>
      <protection locked="0"/>
    </xf>
    <xf numFmtId="0" fontId="19" fillId="2" borderId="4" xfId="0" applyFont="1" applyFill="1" applyBorder="1" applyAlignment="1" applyProtection="1">
      <alignment horizontal="left" vertical="center" wrapText="1"/>
      <protection locked="0"/>
    </xf>
    <xf numFmtId="0" fontId="19" fillId="2" borderId="1" xfId="0" applyFont="1" applyFill="1" applyBorder="1" applyAlignment="1" applyProtection="1">
      <alignment horizontal="left" vertical="center" wrapText="1"/>
      <protection locked="0"/>
    </xf>
    <xf numFmtId="0" fontId="19" fillId="2" borderId="52" xfId="0" applyFont="1" applyFill="1" applyBorder="1" applyAlignment="1" applyProtection="1">
      <alignment horizontal="left" vertical="center" wrapText="1"/>
      <protection locked="0"/>
    </xf>
    <xf numFmtId="0" fontId="19" fillId="2" borderId="53" xfId="0" applyFont="1" applyFill="1" applyBorder="1" applyAlignment="1" applyProtection="1">
      <alignment horizontal="center" vertical="center"/>
      <protection locked="0"/>
    </xf>
    <xf numFmtId="0" fontId="19" fillId="2" borderId="52" xfId="0" applyFont="1" applyFill="1" applyBorder="1" applyAlignment="1" applyProtection="1">
      <alignment horizontal="center" vertical="center"/>
      <protection locked="0"/>
    </xf>
    <xf numFmtId="0" fontId="19" fillId="2" borderId="53" xfId="0" applyFont="1" applyFill="1" applyBorder="1" applyAlignment="1" applyProtection="1">
      <alignment horizontal="left" vertical="center" wrapText="1"/>
      <protection locked="0"/>
    </xf>
    <xf numFmtId="0" fontId="19" fillId="2" borderId="3" xfId="0" applyFont="1" applyFill="1" applyBorder="1" applyAlignment="1" applyProtection="1">
      <alignment horizontal="left" vertical="center" wrapText="1"/>
      <protection locked="0"/>
    </xf>
    <xf numFmtId="0" fontId="19" fillId="2" borderId="6" xfId="0" applyFont="1" applyFill="1" applyBorder="1" applyAlignment="1">
      <alignment horizontal="center" vertical="center" wrapText="1"/>
    </xf>
    <xf numFmtId="0" fontId="19" fillId="2" borderId="4" xfId="0" applyFont="1" applyFill="1" applyBorder="1" applyAlignment="1">
      <alignment horizontal="center" vertical="center" wrapText="1"/>
    </xf>
    <xf numFmtId="0" fontId="19" fillId="2" borderId="50" xfId="0" applyFont="1" applyFill="1" applyBorder="1" applyAlignment="1">
      <alignment horizontal="center" vertical="center" wrapText="1"/>
    </xf>
    <xf numFmtId="0" fontId="19" fillId="2" borderId="14" xfId="0" applyFont="1" applyFill="1" applyBorder="1" applyAlignment="1" applyProtection="1">
      <alignment horizontal="center" vertical="center" wrapText="1"/>
      <protection locked="0"/>
    </xf>
    <xf numFmtId="0" fontId="19" fillId="2" borderId="4" xfId="0" applyFont="1" applyFill="1" applyBorder="1" applyAlignment="1" applyProtection="1">
      <alignment horizontal="center" vertical="center" wrapText="1"/>
      <protection locked="0"/>
    </xf>
    <xf numFmtId="0" fontId="19" fillId="2" borderId="49" xfId="0" applyFont="1" applyFill="1" applyBorder="1" applyAlignment="1">
      <alignment horizontal="center" vertical="center" wrapText="1"/>
    </xf>
    <xf numFmtId="0" fontId="19" fillId="2" borderId="4" xfId="0" applyFont="1" applyFill="1" applyBorder="1" applyAlignment="1" applyProtection="1">
      <alignment horizontal="center" vertical="center"/>
      <protection locked="0"/>
    </xf>
    <xf numFmtId="0" fontId="19" fillId="2" borderId="7" xfId="0" applyFont="1" applyFill="1" applyBorder="1" applyAlignment="1">
      <alignment horizontal="center" vertical="center"/>
    </xf>
    <xf numFmtId="0" fontId="19" fillId="2" borderId="50" xfId="0" applyFont="1" applyFill="1" applyBorder="1" applyAlignment="1">
      <alignment horizontal="center" vertical="center"/>
    </xf>
    <xf numFmtId="0" fontId="19" fillId="2" borderId="48" xfId="0" applyFont="1" applyFill="1" applyBorder="1" applyAlignment="1" applyProtection="1">
      <alignment horizontal="center" vertical="center" wrapText="1"/>
      <protection locked="0"/>
    </xf>
    <xf numFmtId="0" fontId="19" fillId="2" borderId="5" xfId="0" applyFont="1" applyFill="1" applyBorder="1" applyAlignment="1" applyProtection="1">
      <alignment horizontal="center" vertical="center" wrapText="1"/>
      <protection locked="0"/>
    </xf>
    <xf numFmtId="0" fontId="19" fillId="2" borderId="5" xfId="0" applyFont="1" applyFill="1" applyBorder="1" applyAlignment="1" applyProtection="1">
      <alignment horizontal="center" vertical="center"/>
      <protection locked="0"/>
    </xf>
    <xf numFmtId="14" fontId="19" fillId="2" borderId="1" xfId="0" applyNumberFormat="1" applyFont="1" applyFill="1" applyBorder="1" applyAlignment="1" applyProtection="1">
      <alignment horizontal="center" vertical="center"/>
      <protection locked="0"/>
    </xf>
    <xf numFmtId="0" fontId="19" fillId="2" borderId="1" xfId="0" applyFont="1" applyFill="1" applyBorder="1" applyAlignment="1" applyProtection="1">
      <alignment horizontal="center" vertical="center"/>
      <protection locked="0"/>
    </xf>
    <xf numFmtId="0" fontId="19" fillId="2" borderId="3" xfId="0" applyFont="1" applyFill="1" applyBorder="1" applyAlignment="1" applyProtection="1">
      <alignment horizontal="center" vertical="center" wrapText="1"/>
      <protection locked="0"/>
    </xf>
    <xf numFmtId="0" fontId="19" fillId="2" borderId="48" xfId="0" applyFont="1" applyFill="1" applyBorder="1" applyAlignment="1" applyProtection="1">
      <alignment horizontal="left" vertical="center" wrapText="1"/>
      <protection locked="0"/>
    </xf>
    <xf numFmtId="164" fontId="19" fillId="2" borderId="4" xfId="0" applyNumberFormat="1" applyFont="1" applyFill="1" applyBorder="1" applyAlignment="1" applyProtection="1">
      <alignment horizontal="center" vertical="center"/>
      <protection locked="0"/>
    </xf>
    <xf numFmtId="0" fontId="19" fillId="2" borderId="7" xfId="0" applyFont="1" applyFill="1" applyBorder="1" applyAlignment="1">
      <alignment horizontal="center" vertical="center" wrapText="1"/>
    </xf>
    <xf numFmtId="0" fontId="19" fillId="2" borderId="7" xfId="0" applyFont="1" applyFill="1" applyBorder="1" applyAlignment="1" applyProtection="1">
      <alignment horizontal="center" vertical="center" wrapText="1"/>
      <protection locked="0"/>
    </xf>
    <xf numFmtId="14" fontId="19" fillId="2" borderId="5" xfId="0" applyNumberFormat="1" applyFont="1" applyFill="1" applyBorder="1" applyAlignment="1" applyProtection="1">
      <alignment horizontal="center" vertical="center"/>
      <protection locked="0"/>
    </xf>
    <xf numFmtId="0" fontId="19" fillId="2" borderId="7" xfId="0" applyFont="1" applyFill="1" applyBorder="1" applyAlignment="1" applyProtection="1">
      <alignment vertical="center"/>
      <protection locked="0"/>
    </xf>
    <xf numFmtId="0" fontId="19" fillId="2" borderId="13" xfId="0" applyFont="1" applyFill="1" applyBorder="1" applyAlignment="1" applyProtection="1">
      <alignment horizontal="left" vertical="center" wrapText="1"/>
      <protection locked="0"/>
    </xf>
    <xf numFmtId="0" fontId="19" fillId="2" borderId="11" xfId="0" applyFont="1" applyFill="1" applyBorder="1" applyAlignment="1" applyProtection="1">
      <alignment horizontal="left" vertical="center" wrapText="1"/>
      <protection locked="0"/>
    </xf>
    <xf numFmtId="0" fontId="26" fillId="2" borderId="54" xfId="0" applyFont="1" applyFill="1" applyBorder="1" applyAlignment="1" applyProtection="1">
      <alignment horizontal="left" vertical="center" wrapText="1"/>
      <protection locked="0"/>
    </xf>
    <xf numFmtId="0" fontId="19" fillId="2" borderId="54" xfId="0" applyFont="1" applyFill="1" applyBorder="1" applyAlignment="1" applyProtection="1">
      <alignment horizontal="center" vertical="center"/>
      <protection locked="0"/>
    </xf>
    <xf numFmtId="0" fontId="19" fillId="2" borderId="51" xfId="0" applyFont="1" applyFill="1" applyBorder="1" applyAlignment="1" applyProtection="1">
      <alignment horizontal="left" vertical="center" wrapText="1"/>
      <protection locked="0"/>
    </xf>
    <xf numFmtId="0" fontId="19" fillId="2" borderId="12" xfId="0" applyFont="1" applyFill="1" applyBorder="1" applyAlignment="1" applyProtection="1">
      <alignment horizontal="left" vertical="center" wrapText="1"/>
      <protection locked="0"/>
    </xf>
    <xf numFmtId="0" fontId="19" fillId="2" borderId="9" xfId="0" applyFont="1" applyFill="1" applyBorder="1" applyAlignment="1">
      <alignment horizontal="center" vertical="center" wrapText="1"/>
    </xf>
    <xf numFmtId="0" fontId="19" fillId="2" borderId="10" xfId="0" applyFont="1" applyFill="1" applyBorder="1" applyAlignment="1">
      <alignment horizontal="center" vertical="center" wrapText="1"/>
    </xf>
    <xf numFmtId="0" fontId="19" fillId="2" borderId="3" xfId="0" applyFont="1" applyFill="1" applyBorder="1" applyAlignment="1">
      <alignment horizontal="center" vertical="center" wrapText="1"/>
    </xf>
    <xf numFmtId="0" fontId="19" fillId="2" borderId="3" xfId="0" applyFont="1" applyFill="1" applyBorder="1" applyAlignment="1" applyProtection="1">
      <alignment horizontal="center" vertical="center"/>
      <protection locked="0"/>
    </xf>
    <xf numFmtId="164" fontId="19" fillId="2" borderId="7" xfId="0" applyNumberFormat="1" applyFont="1" applyFill="1" applyBorder="1" applyAlignment="1" applyProtection="1">
      <alignment horizontal="center" vertical="center"/>
      <protection locked="0"/>
    </xf>
    <xf numFmtId="0" fontId="19" fillId="2" borderId="49" xfId="0" applyFont="1" applyFill="1" applyBorder="1" applyAlignment="1" applyProtection="1">
      <alignment horizontal="center" vertical="center" wrapText="1"/>
      <protection locked="0"/>
    </xf>
    <xf numFmtId="0" fontId="25" fillId="2" borderId="0" xfId="0" applyFont="1" applyFill="1" applyProtection="1">
      <protection locked="0"/>
    </xf>
    <xf numFmtId="0" fontId="19" fillId="2" borderId="0" xfId="0" applyFont="1" applyFill="1" applyAlignment="1" applyProtection="1">
      <alignment horizontal="center" vertical="center"/>
      <protection locked="0"/>
    </xf>
    <xf numFmtId="0" fontId="33" fillId="0" borderId="4" xfId="0" applyFont="1" applyBorder="1" applyAlignment="1">
      <alignment horizontal="left" vertical="center" indent="1"/>
    </xf>
    <xf numFmtId="49" fontId="33" fillId="0" borderId="4" xfId="0" applyNumberFormat="1" applyFont="1" applyBorder="1" applyAlignment="1">
      <alignment horizontal="left" vertical="center" indent="1"/>
    </xf>
    <xf numFmtId="0" fontId="32" fillId="0" borderId="0" xfId="0" applyFont="1"/>
    <xf numFmtId="0" fontId="33" fillId="0" borderId="4" xfId="0" applyFont="1" applyBorder="1" applyAlignment="1">
      <alignment horizontal="left" vertical="center" wrapText="1"/>
    </xf>
    <xf numFmtId="164" fontId="32" fillId="0" borderId="4" xfId="0" applyNumberFormat="1" applyFont="1" applyBorder="1" applyAlignment="1">
      <alignment horizontal="center" vertical="center" wrapText="1"/>
    </xf>
    <xf numFmtId="0" fontId="33" fillId="0" borderId="4" xfId="0" applyFont="1" applyBorder="1" applyAlignment="1">
      <alignment horizontal="center" vertical="center" wrapText="1"/>
    </xf>
    <xf numFmtId="0" fontId="32" fillId="0" borderId="0" xfId="0" applyFont="1" applyAlignment="1">
      <alignment vertical="top" wrapText="1"/>
    </xf>
    <xf numFmtId="0" fontId="33" fillId="0" borderId="0" xfId="0" applyFont="1" applyAlignment="1">
      <alignment horizontal="center" vertical="center" wrapText="1"/>
    </xf>
    <xf numFmtId="0" fontId="33" fillId="0" borderId="4" xfId="0" applyFont="1" applyBorder="1" applyAlignment="1">
      <alignment horizontal="center" vertical="center"/>
    </xf>
    <xf numFmtId="0" fontId="32" fillId="2" borderId="0" xfId="0" applyFont="1" applyFill="1"/>
    <xf numFmtId="0" fontId="33" fillId="0" borderId="0" xfId="0" applyFont="1" applyAlignment="1">
      <alignment vertical="center"/>
    </xf>
    <xf numFmtId="0" fontId="36" fillId="4" borderId="4" xfId="0" applyFont="1" applyFill="1" applyBorder="1" applyAlignment="1">
      <alignment horizontal="center" vertical="center" wrapText="1"/>
    </xf>
    <xf numFmtId="0" fontId="36" fillId="3" borderId="4" xfId="0" applyFont="1" applyFill="1" applyBorder="1" applyAlignment="1">
      <alignment horizontal="center" vertical="center" wrapText="1"/>
    </xf>
    <xf numFmtId="0" fontId="33" fillId="0" borderId="0" xfId="0" applyFont="1"/>
    <xf numFmtId="0" fontId="32" fillId="0" borderId="0" xfId="0" applyFont="1" applyAlignment="1">
      <alignment horizontal="left" indent="1"/>
    </xf>
    <xf numFmtId="0" fontId="32" fillId="0" borderId="4" xfId="0" applyFont="1" applyBorder="1" applyAlignment="1">
      <alignment horizontal="left" vertical="center" wrapText="1"/>
    </xf>
    <xf numFmtId="0" fontId="32" fillId="0" borderId="13" xfId="0" applyFont="1" applyBorder="1" applyAlignment="1">
      <alignment horizontal="left" vertical="center" wrapText="1"/>
    </xf>
    <xf numFmtId="0" fontId="32" fillId="0" borderId="10" xfId="0" applyFont="1" applyBorder="1" applyAlignment="1">
      <alignment horizontal="left" vertical="center" wrapText="1"/>
    </xf>
    <xf numFmtId="0" fontId="32" fillId="0" borderId="7" xfId="0" applyFont="1" applyBorder="1" applyAlignment="1">
      <alignment horizontal="left" vertical="center" wrapText="1"/>
    </xf>
    <xf numFmtId="0" fontId="32" fillId="0" borderId="12" xfId="0" applyFont="1" applyBorder="1" applyAlignment="1">
      <alignment horizontal="left" vertical="center" wrapText="1"/>
    </xf>
    <xf numFmtId="0" fontId="32" fillId="0" borderId="11" xfId="0" applyFont="1" applyBorder="1" applyAlignment="1">
      <alignment horizontal="left" vertical="center" wrapText="1"/>
    </xf>
    <xf numFmtId="0" fontId="32" fillId="0" borderId="9" xfId="0" applyFont="1" applyBorder="1" applyAlignment="1">
      <alignment horizontal="left" vertical="center" wrapText="1"/>
    </xf>
    <xf numFmtId="0" fontId="32" fillId="0" borderId="8" xfId="0" applyFont="1" applyBorder="1" applyAlignment="1">
      <alignment horizontal="left" vertical="center" wrapText="1"/>
    </xf>
    <xf numFmtId="0" fontId="32" fillId="0" borderId="6" xfId="0" applyFont="1" applyBorder="1" applyAlignment="1">
      <alignment horizontal="left" vertical="center" wrapText="1"/>
    </xf>
    <xf numFmtId="0" fontId="32" fillId="0" borderId="5" xfId="0" applyFont="1" applyBorder="1" applyAlignment="1">
      <alignment horizontal="left" vertical="center" wrapText="1"/>
    </xf>
    <xf numFmtId="0" fontId="37" fillId="0" borderId="12" xfId="1" applyFont="1" applyFill="1" applyBorder="1" applyAlignment="1" applyProtection="1">
      <alignment horizontal="center" vertical="center" wrapText="1"/>
    </xf>
    <xf numFmtId="0" fontId="37" fillId="0" borderId="15" xfId="1" applyFont="1" applyFill="1" applyBorder="1" applyAlignment="1" applyProtection="1">
      <alignment horizontal="center" vertical="center" wrapText="1"/>
    </xf>
    <xf numFmtId="0" fontId="37" fillId="0" borderId="11" xfId="1" applyFont="1" applyFill="1" applyBorder="1" applyAlignment="1" applyProtection="1">
      <alignment horizontal="center" vertical="center" wrapText="1"/>
    </xf>
    <xf numFmtId="0" fontId="37" fillId="0" borderId="9" xfId="1" applyFont="1" applyFill="1" applyBorder="1" applyAlignment="1" applyProtection="1">
      <alignment horizontal="center" vertical="center" wrapText="1"/>
    </xf>
    <xf numFmtId="0" fontId="37" fillId="0" borderId="0" xfId="1" applyFont="1" applyFill="1" applyBorder="1" applyAlignment="1" applyProtection="1">
      <alignment horizontal="center" vertical="center" wrapText="1"/>
    </xf>
    <xf numFmtId="0" fontId="37" fillId="0" borderId="8" xfId="1" applyFont="1" applyFill="1" applyBorder="1" applyAlignment="1" applyProtection="1">
      <alignment horizontal="center" vertical="center" wrapText="1"/>
    </xf>
    <xf numFmtId="0" fontId="37" fillId="0" borderId="6" xfId="1" applyFont="1" applyFill="1" applyBorder="1" applyAlignment="1" applyProtection="1">
      <alignment horizontal="center" vertical="center" wrapText="1"/>
    </xf>
    <xf numFmtId="0" fontId="37" fillId="0" borderId="14" xfId="1" applyFont="1" applyFill="1" applyBorder="1" applyAlignment="1" applyProtection="1">
      <alignment horizontal="center" vertical="center" wrapText="1"/>
    </xf>
    <xf numFmtId="0" fontId="37" fillId="0" borderId="5" xfId="1" applyFont="1" applyFill="1" applyBorder="1" applyAlignment="1" applyProtection="1">
      <alignment horizontal="center" vertical="center" wrapText="1"/>
    </xf>
    <xf numFmtId="0" fontId="37" fillId="0" borderId="3" xfId="1" applyFont="1" applyFill="1" applyBorder="1" applyAlignment="1" applyProtection="1">
      <alignment horizontal="center" vertical="center"/>
    </xf>
    <xf numFmtId="0" fontId="37" fillId="0" borderId="2" xfId="1" applyFont="1" applyFill="1" applyBorder="1" applyAlignment="1" applyProtection="1">
      <alignment horizontal="center" vertical="center"/>
    </xf>
    <xf numFmtId="0" fontId="37" fillId="0" borderId="1" xfId="1" applyFont="1" applyFill="1" applyBorder="1" applyAlignment="1" applyProtection="1">
      <alignment horizontal="center" vertical="center"/>
    </xf>
    <xf numFmtId="0" fontId="32" fillId="0" borderId="4" xfId="0" applyFont="1" applyBorder="1" applyAlignment="1">
      <alignment horizontal="left" vertical="center" wrapText="1"/>
    </xf>
    <xf numFmtId="0" fontId="32" fillId="0" borderId="4" xfId="0" applyFont="1" applyBorder="1" applyAlignment="1">
      <alignment vertical="center" wrapText="1"/>
    </xf>
    <xf numFmtId="0" fontId="37" fillId="0" borderId="4" xfId="1" applyFont="1" applyFill="1" applyBorder="1" applyAlignment="1" applyProtection="1">
      <alignment horizontal="center" vertical="center" wrapText="1"/>
    </xf>
    <xf numFmtId="0" fontId="32" fillId="0" borderId="3" xfId="0" applyFont="1" applyBorder="1" applyAlignment="1">
      <alignment horizontal="left" vertical="center" wrapText="1"/>
    </xf>
    <xf numFmtId="0" fontId="33" fillId="0" borderId="1" xfId="0" applyFont="1" applyBorder="1" applyAlignment="1">
      <alignment horizontal="left" vertical="center" wrapText="1"/>
    </xf>
    <xf numFmtId="0" fontId="32" fillId="0" borderId="1" xfId="0" applyFont="1" applyBorder="1" applyAlignment="1">
      <alignment horizontal="left" vertical="center" wrapText="1"/>
    </xf>
    <xf numFmtId="0" fontId="35" fillId="4" borderId="0" xfId="0" applyFont="1" applyFill="1" applyAlignment="1">
      <alignment horizontal="center" vertical="center"/>
    </xf>
    <xf numFmtId="0" fontId="35" fillId="4" borderId="8" xfId="0" applyFont="1" applyFill="1" applyBorder="1" applyAlignment="1">
      <alignment horizontal="center" vertical="center"/>
    </xf>
    <xf numFmtId="0" fontId="33" fillId="0" borderId="4" xfId="0" applyFont="1" applyBorder="1" applyAlignment="1">
      <alignment horizontal="center" vertical="center" wrapText="1"/>
    </xf>
    <xf numFmtId="0" fontId="33" fillId="0" borderId="12" xfId="0" applyFont="1" applyBorder="1" applyAlignment="1">
      <alignment horizontal="left" vertical="top" wrapText="1"/>
    </xf>
    <xf numFmtId="0" fontId="32" fillId="0" borderId="15" xfId="0" applyFont="1" applyBorder="1" applyAlignment="1">
      <alignment horizontal="left" vertical="top" wrapText="1"/>
    </xf>
    <xf numFmtId="0" fontId="32" fillId="0" borderId="11" xfId="0" applyFont="1" applyBorder="1" applyAlignment="1">
      <alignment horizontal="left" vertical="top" wrapText="1"/>
    </xf>
    <xf numFmtId="0" fontId="33" fillId="0" borderId="9" xfId="0" applyFont="1" applyBorder="1" applyAlignment="1">
      <alignment horizontal="left" vertical="top" wrapText="1"/>
    </xf>
    <xf numFmtId="0" fontId="32" fillId="0" borderId="0" xfId="0" applyFont="1" applyAlignment="1">
      <alignment horizontal="left" vertical="top" wrapText="1"/>
    </xf>
    <xf numFmtId="0" fontId="32" fillId="0" borderId="8" xfId="0" applyFont="1" applyBorder="1" applyAlignment="1">
      <alignment horizontal="left" vertical="top" wrapText="1"/>
    </xf>
    <xf numFmtId="0" fontId="33" fillId="0" borderId="6" xfId="0" applyFont="1" applyBorder="1" applyAlignment="1">
      <alignment horizontal="left" vertical="top" wrapText="1"/>
    </xf>
    <xf numFmtId="0" fontId="32" fillId="0" borderId="14" xfId="0" applyFont="1" applyBorder="1" applyAlignment="1">
      <alignment horizontal="left" vertical="top" wrapText="1"/>
    </xf>
    <xf numFmtId="0" fontId="32" fillId="0" borderId="5" xfId="0" applyFont="1" applyBorder="1" applyAlignment="1">
      <alignment horizontal="left" vertical="top" wrapText="1"/>
    </xf>
    <xf numFmtId="0" fontId="33" fillId="0" borderId="12" xfId="0" applyFont="1" applyBorder="1" applyAlignment="1">
      <alignment vertical="top" wrapText="1"/>
    </xf>
    <xf numFmtId="0" fontId="33" fillId="0" borderId="15" xfId="0" applyFont="1" applyBorder="1" applyAlignment="1">
      <alignment vertical="top" wrapText="1"/>
    </xf>
    <xf numFmtId="0" fontId="33" fillId="0" borderId="11" xfId="0" applyFont="1" applyBorder="1" applyAlignment="1">
      <alignment vertical="top" wrapText="1"/>
    </xf>
    <xf numFmtId="0" fontId="33" fillId="0" borderId="9" xfId="0" applyFont="1" applyBorder="1" applyAlignment="1">
      <alignment vertical="top" wrapText="1"/>
    </xf>
    <xf numFmtId="0" fontId="33" fillId="0" borderId="0" xfId="0" applyFont="1" applyAlignment="1">
      <alignment vertical="top" wrapText="1"/>
    </xf>
    <xf numFmtId="0" fontId="33" fillId="0" borderId="8" xfId="0" applyFont="1" applyBorder="1" applyAlignment="1">
      <alignment vertical="top" wrapText="1"/>
    </xf>
    <xf numFmtId="0" fontId="33" fillId="0" borderId="6" xfId="0" applyFont="1" applyBorder="1" applyAlignment="1">
      <alignment vertical="top" wrapText="1"/>
    </xf>
    <xf numFmtId="0" fontId="33" fillId="0" borderId="14" xfId="0" applyFont="1" applyBorder="1" applyAlignment="1">
      <alignment vertical="top" wrapText="1"/>
    </xf>
    <xf numFmtId="0" fontId="33" fillId="0" borderId="5" xfId="0" applyFont="1" applyBorder="1" applyAlignment="1">
      <alignment vertical="top" wrapText="1"/>
    </xf>
    <xf numFmtId="0" fontId="33" fillId="0" borderId="4" xfId="0" applyFont="1" applyBorder="1" applyAlignment="1">
      <alignment horizontal="left" vertical="top" indent="1"/>
    </xf>
    <xf numFmtId="0" fontId="33" fillId="0" borderId="3" xfId="0" applyFont="1" applyBorder="1" applyAlignment="1">
      <alignment horizontal="left" vertical="center" wrapText="1"/>
    </xf>
    <xf numFmtId="0" fontId="33" fillId="0" borderId="2" xfId="0" applyFont="1" applyBorder="1" applyAlignment="1">
      <alignment horizontal="left" vertical="center" wrapText="1"/>
    </xf>
    <xf numFmtId="0" fontId="32" fillId="0" borderId="4" xfId="0" applyFont="1" applyBorder="1" applyAlignment="1">
      <alignment horizontal="center"/>
    </xf>
    <xf numFmtId="0" fontId="33" fillId="0" borderId="4" xfId="0" applyFont="1" applyBorder="1" applyAlignment="1">
      <alignment horizontal="left" vertical="center" wrapText="1"/>
    </xf>
    <xf numFmtId="0" fontId="32" fillId="0" borderId="4" xfId="0" applyFont="1" applyBorder="1" applyAlignment="1">
      <alignment horizontal="left"/>
    </xf>
    <xf numFmtId="0" fontId="33" fillId="0" borderId="4" xfId="0" applyFont="1" applyBorder="1" applyAlignment="1">
      <alignment horizontal="left" vertical="center" indent="1"/>
    </xf>
    <xf numFmtId="0" fontId="36" fillId="3" borderId="4" xfId="0" applyFont="1" applyFill="1" applyBorder="1" applyAlignment="1">
      <alignment horizontal="center" vertical="center" wrapText="1"/>
    </xf>
    <xf numFmtId="0" fontId="36" fillId="3" borderId="4" xfId="0" applyFont="1" applyFill="1" applyBorder="1" applyAlignment="1">
      <alignment horizontal="center" vertical="center"/>
    </xf>
    <xf numFmtId="0" fontId="33" fillId="0" borderId="4" xfId="0" applyFont="1" applyBorder="1" applyAlignment="1">
      <alignment horizontal="left" vertical="top" wrapText="1"/>
    </xf>
    <xf numFmtId="0" fontId="33" fillId="2" borderId="4" xfId="0" applyFont="1" applyFill="1" applyBorder="1" applyAlignment="1">
      <alignment horizontal="left" vertical="top" wrapText="1"/>
    </xf>
    <xf numFmtId="0" fontId="36" fillId="4" borderId="4" xfId="0" applyFont="1" applyFill="1" applyBorder="1" applyAlignment="1">
      <alignment horizontal="center" vertical="center"/>
    </xf>
    <xf numFmtId="0" fontId="32" fillId="0" borderId="0" xfId="0" applyFont="1" applyAlignment="1">
      <alignment horizontal="center"/>
    </xf>
    <xf numFmtId="0" fontId="32" fillId="0" borderId="8" xfId="0" applyFont="1" applyBorder="1" applyAlignment="1">
      <alignment horizontal="center"/>
    </xf>
    <xf numFmtId="0" fontId="33" fillId="0" borderId="13" xfId="0" applyFont="1" applyBorder="1" applyAlignment="1">
      <alignment horizontal="center" vertical="center" wrapText="1"/>
    </xf>
    <xf numFmtId="0" fontId="33" fillId="0" borderId="7" xfId="0" applyFont="1" applyBorder="1" applyAlignment="1">
      <alignment horizontal="center" vertical="center" wrapText="1"/>
    </xf>
    <xf numFmtId="0" fontId="20" fillId="2" borderId="21" xfId="0" applyFont="1" applyFill="1" applyBorder="1" applyAlignment="1">
      <alignment horizontal="center" vertical="center"/>
    </xf>
    <xf numFmtId="0" fontId="20" fillId="2" borderId="22" xfId="0" applyFont="1" applyFill="1" applyBorder="1" applyAlignment="1">
      <alignment horizontal="center" vertical="center"/>
    </xf>
    <xf numFmtId="0" fontId="20" fillId="2" borderId="26" xfId="0" applyFont="1" applyFill="1" applyBorder="1" applyAlignment="1">
      <alignment horizontal="center" vertical="center"/>
    </xf>
    <xf numFmtId="0" fontId="20" fillId="2" borderId="27" xfId="0" applyFont="1" applyFill="1" applyBorder="1" applyAlignment="1">
      <alignment horizontal="center" vertical="center"/>
    </xf>
    <xf numFmtId="14" fontId="18" fillId="2" borderId="24" xfId="0" applyNumberFormat="1" applyFont="1" applyFill="1" applyBorder="1" applyAlignment="1">
      <alignment horizontal="center" vertical="center"/>
    </xf>
    <xf numFmtId="14" fontId="18" fillId="2" borderId="25" xfId="0" applyNumberFormat="1" applyFont="1" applyFill="1" applyBorder="1" applyAlignment="1">
      <alignment horizontal="center" vertical="center"/>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23" fillId="24" borderId="27" xfId="0" applyFont="1" applyFill="1" applyBorder="1" applyAlignment="1">
      <alignment horizontal="center" vertical="center" wrapText="1"/>
    </xf>
    <xf numFmtId="0" fontId="23" fillId="24" borderId="31" xfId="0" applyFont="1" applyFill="1" applyBorder="1" applyAlignment="1">
      <alignment horizontal="center" vertical="center" wrapText="1"/>
    </xf>
    <xf numFmtId="0" fontId="23" fillId="24" borderId="32" xfId="0" applyFont="1" applyFill="1" applyBorder="1" applyAlignment="1">
      <alignment horizontal="center" vertical="center" wrapText="1"/>
    </xf>
    <xf numFmtId="0" fontId="23" fillId="24" borderId="33" xfId="0" applyFont="1" applyFill="1" applyBorder="1" applyAlignment="1">
      <alignment horizontal="center" vertical="center" wrapText="1"/>
    </xf>
    <xf numFmtId="0" fontId="23" fillId="24" borderId="34" xfId="0" applyFont="1" applyFill="1" applyBorder="1" applyAlignment="1">
      <alignment horizontal="center" vertical="center" wrapText="1"/>
    </xf>
    <xf numFmtId="0" fontId="23" fillId="24" borderId="35" xfId="0" applyFont="1" applyFill="1" applyBorder="1" applyAlignment="1">
      <alignment horizontal="center" vertical="center" wrapText="1"/>
    </xf>
    <xf numFmtId="0" fontId="24" fillId="24" borderId="36" xfId="0" applyFont="1" applyFill="1" applyBorder="1" applyAlignment="1">
      <alignment horizontal="center" vertical="center" wrapText="1"/>
    </xf>
    <xf numFmtId="0" fontId="24" fillId="24" borderId="31" xfId="0" applyFont="1" applyFill="1" applyBorder="1" applyAlignment="1">
      <alignment horizontal="center" vertical="center" wrapText="1"/>
    </xf>
    <xf numFmtId="0" fontId="24" fillId="24" borderId="46" xfId="0" applyFont="1" applyFill="1" applyBorder="1" applyAlignment="1">
      <alignment horizontal="center" vertical="center" wrapText="1"/>
    </xf>
    <xf numFmtId="0" fontId="23" fillId="24" borderId="3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2" xfId="0" applyFont="1" applyFill="1" applyBorder="1" applyAlignment="1">
      <alignment horizontal="center" vertical="center" wrapText="1"/>
    </xf>
    <xf numFmtId="0" fontId="23" fillId="24" borderId="38" xfId="0" applyFont="1" applyFill="1" applyBorder="1" applyAlignment="1">
      <alignment horizontal="center" vertical="center" wrapText="1"/>
    </xf>
    <xf numFmtId="0" fontId="23" fillId="24" borderId="39" xfId="0" applyFont="1" applyFill="1" applyBorder="1" applyAlignment="1">
      <alignment horizontal="center" vertical="center" wrapText="1"/>
    </xf>
    <xf numFmtId="0" fontId="23" fillId="24" borderId="40" xfId="0" applyFont="1" applyFill="1" applyBorder="1" applyAlignment="1">
      <alignment horizontal="center" vertical="center" wrapText="1"/>
    </xf>
    <xf numFmtId="0" fontId="23" fillId="24" borderId="41" xfId="0" applyFont="1" applyFill="1" applyBorder="1" applyAlignment="1">
      <alignment horizontal="center" vertical="center" wrapText="1"/>
    </xf>
    <xf numFmtId="0" fontId="27" fillId="24" borderId="34" xfId="0" applyFont="1" applyFill="1" applyBorder="1" applyAlignment="1">
      <alignment horizontal="center" vertical="center" wrapText="1"/>
    </xf>
    <xf numFmtId="0" fontId="27" fillId="24" borderId="35" xfId="0" applyFont="1" applyFill="1" applyBorder="1" applyAlignment="1">
      <alignment horizontal="center" vertical="center" wrapText="1"/>
    </xf>
  </cellXfs>
  <cellStyles count="46">
    <cellStyle name="20% - Accent1" xfId="2" xr:uid="{00000000-0005-0000-0000-000000000000}"/>
    <cellStyle name="20% - Accent2" xfId="3" xr:uid="{00000000-0005-0000-0000-000001000000}"/>
    <cellStyle name="20% - Accent3" xfId="4" xr:uid="{00000000-0005-0000-0000-000002000000}"/>
    <cellStyle name="20% - Accent4" xfId="5" xr:uid="{00000000-0005-0000-0000-000003000000}"/>
    <cellStyle name="20% - Accent5" xfId="6" xr:uid="{00000000-0005-0000-0000-000004000000}"/>
    <cellStyle name="20% - Accent6" xfId="7" xr:uid="{00000000-0005-0000-0000-000005000000}"/>
    <cellStyle name="40% - Accent1" xfId="8" xr:uid="{00000000-0005-0000-0000-000006000000}"/>
    <cellStyle name="40% - Accent2" xfId="9" xr:uid="{00000000-0005-0000-0000-000007000000}"/>
    <cellStyle name="40% - Accent3" xfId="10" xr:uid="{00000000-0005-0000-0000-000008000000}"/>
    <cellStyle name="40% - Accent4" xfId="11" xr:uid="{00000000-0005-0000-0000-000009000000}"/>
    <cellStyle name="40% - Accent5" xfId="12" xr:uid="{00000000-0005-0000-0000-00000A000000}"/>
    <cellStyle name="40% - Accent6" xfId="13" xr:uid="{00000000-0005-0000-0000-00000B000000}"/>
    <cellStyle name="60% - Accent1" xfId="14" xr:uid="{00000000-0005-0000-0000-00000C000000}"/>
    <cellStyle name="60% - Accent2" xfId="15" xr:uid="{00000000-0005-0000-0000-00000D000000}"/>
    <cellStyle name="60% - Accent3" xfId="16" xr:uid="{00000000-0005-0000-0000-00000E000000}"/>
    <cellStyle name="60% - Accent4" xfId="17" xr:uid="{00000000-0005-0000-0000-00000F000000}"/>
    <cellStyle name="60% - Accent5" xfId="18" xr:uid="{00000000-0005-0000-0000-000010000000}"/>
    <cellStyle name="60% - Accent6" xfId="19" xr:uid="{00000000-0005-0000-0000-000011000000}"/>
    <cellStyle name="Accent1" xfId="20" xr:uid="{00000000-0005-0000-0000-000012000000}"/>
    <cellStyle name="Accent2" xfId="21" xr:uid="{00000000-0005-0000-0000-000013000000}"/>
    <cellStyle name="Accent3" xfId="22" xr:uid="{00000000-0005-0000-0000-000014000000}"/>
    <cellStyle name="Accent4" xfId="23" xr:uid="{00000000-0005-0000-0000-000015000000}"/>
    <cellStyle name="Accent5" xfId="24" xr:uid="{00000000-0005-0000-0000-000016000000}"/>
    <cellStyle name="Accent6" xfId="25" xr:uid="{00000000-0005-0000-0000-000017000000}"/>
    <cellStyle name="Bad" xfId="26" xr:uid="{00000000-0005-0000-0000-000018000000}"/>
    <cellStyle name="Calculation" xfId="27" xr:uid="{00000000-0005-0000-0000-000019000000}"/>
    <cellStyle name="Comma" xfId="28" xr:uid="{00000000-0005-0000-0000-00001A000000}"/>
    <cellStyle name="Currency" xfId="29" xr:uid="{00000000-0005-0000-0000-00001B000000}"/>
    <cellStyle name="Date" xfId="30" xr:uid="{00000000-0005-0000-0000-00001C000000}"/>
    <cellStyle name="Euro" xfId="31" xr:uid="{00000000-0005-0000-0000-00001D000000}"/>
    <cellStyle name="Explanatory Text" xfId="32" xr:uid="{00000000-0005-0000-0000-00001E000000}"/>
    <cellStyle name="Fixed" xfId="33" xr:uid="{00000000-0005-0000-0000-00001F000000}"/>
    <cellStyle name="Heading 1" xfId="34" xr:uid="{00000000-0005-0000-0000-000020000000}"/>
    <cellStyle name="Heading 2" xfId="35" xr:uid="{00000000-0005-0000-0000-000021000000}"/>
    <cellStyle name="Heading 3" xfId="36" xr:uid="{00000000-0005-0000-0000-000022000000}"/>
    <cellStyle name="Heading1" xfId="37" xr:uid="{00000000-0005-0000-0000-000023000000}"/>
    <cellStyle name="Heading2" xfId="38" xr:uid="{00000000-0005-0000-0000-000024000000}"/>
    <cellStyle name="Hipervínculo" xfId="1" builtinId="8"/>
    <cellStyle name="MillÔres [0]_LISTADO MAESTRO DE DOCUMENTOS" xfId="39" xr:uid="{00000000-0005-0000-0000-000027000000}"/>
    <cellStyle name="Normal" xfId="0" builtinId="0"/>
    <cellStyle name="Normal 2" xfId="40" xr:uid="{00000000-0005-0000-0000-000029000000}"/>
    <cellStyle name="Normal 3" xfId="41" xr:uid="{00000000-0005-0000-0000-00002A000000}"/>
    <cellStyle name="Output" xfId="42" xr:uid="{00000000-0005-0000-0000-00002B000000}"/>
    <cellStyle name="Percent" xfId="43" xr:uid="{00000000-0005-0000-0000-00002C000000}"/>
    <cellStyle name="Porcentual 2" xfId="44" xr:uid="{00000000-0005-0000-0000-00002D000000}"/>
    <cellStyle name="Title" xfId="45" xr:uid="{00000000-0005-0000-0000-00002E000000}"/>
  </cellStyles>
  <dxfs count="8">
    <dxf>
      <fill>
        <patternFill>
          <bgColor theme="9" tint="-0.499984740745262"/>
        </patternFill>
      </fill>
    </dxf>
    <dxf>
      <fill>
        <patternFill>
          <bgColor theme="9" tint="0.39994506668294322"/>
        </patternFill>
      </fill>
    </dxf>
    <dxf>
      <fill>
        <patternFill>
          <bgColor rgb="FFFFFF00"/>
        </patternFill>
      </fill>
    </dxf>
    <dxf>
      <fill>
        <patternFill>
          <bgColor rgb="FFC00000"/>
        </patternFill>
      </fill>
    </dxf>
    <dxf>
      <fill>
        <patternFill>
          <bgColor theme="9" tint="-0.499984740745262"/>
        </patternFill>
      </fill>
    </dxf>
    <dxf>
      <fill>
        <patternFill>
          <bgColor rgb="FFFFFF00"/>
        </patternFill>
      </fill>
    </dxf>
    <dxf>
      <fill>
        <patternFill>
          <bgColor theme="9" tint="0.39994506668294322"/>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ustomXml" Target="../customXml/item1.xml"/><Relationship Id="rId10" Type="http://schemas.openxmlformats.org/officeDocument/2006/relationships/externalLink" Target="externalLinks/externalLink7.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0</xdr:col>
      <xdr:colOff>381000</xdr:colOff>
      <xdr:row>3</xdr:row>
      <xdr:rowOff>120196</xdr:rowOff>
    </xdr:from>
    <xdr:to>
      <xdr:col>1</xdr:col>
      <xdr:colOff>2921000</xdr:colOff>
      <xdr:row>5</xdr:row>
      <xdr:rowOff>1530803</xdr:rowOff>
    </xdr:to>
    <xdr:pic>
      <xdr:nvPicPr>
        <xdr:cNvPr id="4" name="Imagen 3" descr="D:\Desktop\ARCHIVOS\Logo_Biosteel-001.jp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1934482"/>
          <a:ext cx="3483429" cy="23177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200025</xdr:colOff>
      <xdr:row>1</xdr:row>
      <xdr:rowOff>180975</xdr:rowOff>
    </xdr:from>
    <xdr:to>
      <xdr:col>4</xdr:col>
      <xdr:colOff>1219200</xdr:colOff>
      <xdr:row>2</xdr:row>
      <xdr:rowOff>117757</xdr:rowOff>
    </xdr:to>
    <xdr:pic>
      <xdr:nvPicPr>
        <xdr:cNvPr id="3" name="Imagen 2">
          <a:extLst>
            <a:ext uri="{FF2B5EF4-FFF2-40B4-BE49-F238E27FC236}">
              <a16:creationId xmlns:a16="http://schemas.microsoft.com/office/drawing/2014/main" id="{62EE8977-6708-425E-88FF-65F836CE42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86475" y="609600"/>
          <a:ext cx="1019175" cy="51780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161925</xdr:rowOff>
        </xdr:from>
        <xdr:to>
          <xdr:col>3</xdr:col>
          <xdr:colOff>876300</xdr:colOff>
          <xdr:row>16</xdr:row>
          <xdr:rowOff>123825</xdr:rowOff>
        </xdr:to>
        <xdr:pic>
          <xdr:nvPicPr>
            <xdr:cNvPr id="3" name="Imagen 2">
              <a:extLst>
                <a:ext uri="{FF2B5EF4-FFF2-40B4-BE49-F238E27FC236}">
                  <a16:creationId xmlns:a16="http://schemas.microsoft.com/office/drawing/2014/main" id="{524C19E2-C161-478D-9A16-A871FC1933C9}"/>
                </a:ext>
              </a:extLst>
            </xdr:cNvPr>
            <xdr:cNvPicPr>
              <a:picLocks noChangeAspect="1" noChangeArrowheads="1"/>
              <a:extLst>
                <a:ext uri="{84589F7E-364E-4C9E-8A38-B11213B215E9}">
                  <a14:cameraTool cellRange="[15]Hoja1!$J$19:$L$23" spid="_x0000_s3100"/>
                </a:ext>
              </a:extLst>
            </xdr:cNvPicPr>
          </xdr:nvPicPr>
          <xdr:blipFill>
            <a:blip xmlns:r="http://schemas.openxmlformats.org/officeDocument/2006/relationships" r:embed="rId1"/>
            <a:srcRect/>
            <a:stretch>
              <a:fillRect/>
            </a:stretch>
          </xdr:blipFill>
          <xdr:spPr bwMode="auto">
            <a:xfrm>
              <a:off x="552450" y="1733550"/>
              <a:ext cx="6029325" cy="26574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2</xdr:col>
          <xdr:colOff>1095375</xdr:colOff>
          <xdr:row>29</xdr:row>
          <xdr:rowOff>66675</xdr:rowOff>
        </xdr:to>
        <xdr:pic>
          <xdr:nvPicPr>
            <xdr:cNvPr id="4" name="Imagen 3">
              <a:extLst>
                <a:ext uri="{FF2B5EF4-FFF2-40B4-BE49-F238E27FC236}">
                  <a16:creationId xmlns:a16="http://schemas.microsoft.com/office/drawing/2014/main" id="{5106D3DF-570B-4951-A519-7DC735198C47}"/>
                </a:ext>
              </a:extLst>
            </xdr:cNvPr>
            <xdr:cNvPicPr>
              <a:picLocks noChangeAspect="1" noChangeArrowheads="1"/>
              <a:extLst>
                <a:ext uri="{84589F7E-364E-4C9E-8A38-B11213B215E9}">
                  <a14:cameraTool cellRange="#REF!" spid="_x0000_s3101"/>
                </a:ext>
              </a:extLst>
            </xdr:cNvPicPr>
          </xdr:nvPicPr>
          <xdr:blipFill>
            <a:blip xmlns:r="http://schemas.openxmlformats.org/officeDocument/2006/relationships" r:embed="rId2"/>
            <a:srcRect/>
            <a:stretch>
              <a:fillRect/>
            </a:stretch>
          </xdr:blipFill>
          <xdr:spPr bwMode="auto">
            <a:xfrm>
              <a:off x="676275" y="8991600"/>
              <a:ext cx="2943225" cy="7143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0</xdr:row>
          <xdr:rowOff>126354</xdr:rowOff>
        </xdr:from>
        <xdr:to>
          <xdr:col>2</xdr:col>
          <xdr:colOff>3143250</xdr:colOff>
          <xdr:row>4</xdr:row>
          <xdr:rowOff>177805</xdr:rowOff>
        </xdr:to>
        <xdr:pic>
          <xdr:nvPicPr>
            <xdr:cNvPr id="5" name="Imagen 4">
              <a:extLst>
                <a:ext uri="{FF2B5EF4-FFF2-40B4-BE49-F238E27FC236}">
                  <a16:creationId xmlns:a16="http://schemas.microsoft.com/office/drawing/2014/main" id="{4322DB4F-311D-4291-A8FE-071F6E134A8E}"/>
                </a:ext>
              </a:extLst>
            </xdr:cNvPr>
            <xdr:cNvPicPr>
              <a:picLocks noChangeAspect="1" noChangeArrowheads="1"/>
              <a:extLst>
                <a:ext uri="{84589F7E-364E-4C9E-8A38-B11213B215E9}">
                  <a14:cameraTool cellRange="[15]Hoja1!$B$3:$F$9" spid="_x0000_s3102"/>
                </a:ext>
              </a:extLst>
            </xdr:cNvPicPr>
          </xdr:nvPicPr>
          <xdr:blipFill>
            <a:blip xmlns:r="http://schemas.openxmlformats.org/officeDocument/2006/relationships" r:embed="rId3"/>
            <a:srcRect/>
            <a:stretch>
              <a:fillRect/>
            </a:stretch>
          </xdr:blipFill>
          <xdr:spPr bwMode="auto">
            <a:xfrm>
              <a:off x="555625" y="126354"/>
              <a:ext cx="4984750" cy="143257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ecepcion\c\Mis%20documentos\PROYECTOS\AVENTIS\SISTEMA%20DE%20CALIDAD\GESTI&#211;N%20DE%20AUDITORIAS%20DE%20CALIDAD-OCT%202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cgaleano\gestion%20de%20calidad\Mis%20documentos\ASTEQ\Nuevos%20ASTEQ%20TECH\GESTI&#211;N%20DE%20AUDITORIA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cgaleano\Gestion%20de%20Calidad\Mis%20documentos\1%20ra.%20Visita%20ISO%209000\Reunion%20de%20ISO%207%20de%20Feb\Mis%20documentos\ASTEQ\Nuevos%20ASTEQ%20TECH\GESTI&#211;N%20DE%20AUDITORIA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www.colomsat.net.co/Mis%20documentos/ASTEQ/Nuevos%20ASTEQ%20TECH/GESTI&#211;N%20DE%20AUDITORIA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algarrobo1.uninorte.edu.co/Mis%20documentos/ASTEQ/Nuevos%20ASTEQ%20TECH/GESTI&#211;N%20DE%20AUDITORIA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algarrobo1.uninorte.edu.co/ISO14000/S.G.A/Manual%20SGA/Anexos%20Manual/M-SG.01-Sec.07-A.01%20-%20Objetivos%20Metas%20Programas%20SGA.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cgaleano\Gestion%20de%20Calidad\Consultor%20Calidad\Reclamos%20No%20conformidades%20Devoluciones%20Mejor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RVIDOR1\admon\Mis%20documentos\ASTEQ\Nuevos%20ASTEQ%20TECH\GESTI&#211;N%20DE%20AUDITORIA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esarrollo\TECNOLOGIA\TECNOLOGIA\Productos%20en%20desarrollo\Gestion%20de%20Comunicacion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cgaleano\Gestion%20de%20Calidad\Documents%20and%20Settings\sony\Escritorio\INDUCCION%20DIR%20CONSULTORIA%20ASTEQ\GERMA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cgaleano\gestion%20de%20calidad\ISO-9000\Visita%20No2\Visita%20No1.1\Guia%20de%20Diagnostico\AUTODIAGNOSTICO.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rvidor1\tecnicos\FORO\DEMO%20ASTEQ\AUTODIAGNOSTICO%20DE%20COMPETITIVIDAD%20GERMAN.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idor1\tecnicos\FORO\DEMO%20ASTEQ\AUTODIAGNOSTICO%20DE%20COMPETITIVIDAD%20V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Jcgaleano\Gestion%20de%20Calidad\Mis%20documentos\Manejo%20de%20quejas%20y%20reclamo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SILIA%20DIAZ/Desktop/SISTEMAS%20DE%20GESTION/BIOSTEEL%20DE%20COLOMBIA%20S.A/SISTEMA%20DE%20GESTION%20DE%20CALIDAD/BIOSTEEL/9.MATRIZ%20DE%20RIESGO/GERENCIA%20ADMINISTRATIV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os planif"/>
      <sheetName val="Planificación auditoría"/>
      <sheetName val="Programa auditoría"/>
      <sheetName val="Plan auditoría"/>
      <sheetName val="Lista Chequeo  ISO 9001"/>
      <sheetName val="Informe  "/>
      <sheetName val="Plan de mejora"/>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os planif"/>
      <sheetName val="Planificación auditoría"/>
      <sheetName val="Programa auditoria"/>
      <sheetName val="Plan auditoría"/>
      <sheetName val="Informe auditoría"/>
      <sheetName val="Acciones Correctivas"/>
    </sheetNames>
    <sheetDataSet>
      <sheetData sheetId="0"/>
      <sheetData sheetId="1"/>
      <sheetData sheetId="2"/>
      <sheetData sheetId="3" refreshError="1">
        <row r="2">
          <cell r="I2">
            <v>37126</v>
          </cell>
        </row>
        <row r="4">
          <cell r="C4" t="str">
            <v>Verificar la conformidad del sistema de gestión de la calidad actualizado a la norma NTC-ISO 9001:2000</v>
          </cell>
        </row>
        <row r="5">
          <cell r="C5" t="str">
            <v>Se auditarán los aspectos del sistema de gestión de la calidad  que fueron modificados con respecto  a la norma NTC-ISO 9001:1994. Estos aspectos son  aquellos directamente relacionados con los principios de la gestión de la calidad</v>
          </cell>
        </row>
        <row r="6">
          <cell r="C6" t="str">
            <v>Se aplicarán como criterios para la identificación de los hallazgos de la auditoría  la norma NTC-ISO 9001:2000 y la documentación de la empresa</v>
          </cell>
        </row>
        <row r="7">
          <cell r="C7" t="str">
            <v>Hugo</v>
          </cell>
          <cell r="E7" t="str">
            <v>Paco</v>
          </cell>
          <cell r="G7" t="str">
            <v>Luis</v>
          </cell>
        </row>
      </sheetData>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os planif"/>
      <sheetName val="Planificación auditoría"/>
      <sheetName val="Programa auditoria"/>
      <sheetName val="Plan auditoría"/>
      <sheetName val="Informe auditoría"/>
      <sheetName val="Acciones Correctivas"/>
    </sheetNames>
    <sheetDataSet>
      <sheetData sheetId="0"/>
      <sheetData sheetId="1"/>
      <sheetData sheetId="2"/>
      <sheetData sheetId="3" refreshError="1">
        <row r="5">
          <cell r="C5" t="str">
            <v>Se auditarán los aspectos del sistema de gestión de la calidad  que fueron modificados con respecto  a la norma NTC-ISO 9001:1994. Estos aspectos son  aquellos directamente relacionados con los principios de la gestión de la calidad</v>
          </cell>
        </row>
      </sheetData>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auditoría"/>
    </sheetNames>
    <sheetDataSet>
      <sheetData sheetId="0">
        <row r="7">
          <cell r="C7" t="str">
            <v>Hugo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os planif"/>
      <sheetName val="Planificación auditoría"/>
      <sheetName val="Programa auditoria"/>
      <sheetName val="Plan auditoría"/>
      <sheetName val="Informe auditoría"/>
      <sheetName val="Acciones Correctivas"/>
    </sheetNames>
    <sheetDataSet>
      <sheetData sheetId="0"/>
      <sheetData sheetId="1"/>
      <sheetData sheetId="2"/>
      <sheetData sheetId="3">
        <row r="2">
          <cell r="I2">
            <v>37126</v>
          </cell>
        </row>
        <row r="7">
          <cell r="C7" t="str">
            <v>Hugo</v>
          </cell>
        </row>
      </sheetData>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2 agua"/>
      <sheetName val="003 residuos"/>
      <sheetName val="004 aceites Mod3"/>
      <sheetName val="005 basuras rio"/>
      <sheetName val="006 agua r"/>
      <sheetName val="010 Pactos"/>
      <sheetName val="011 Comunidades "/>
      <sheetName val="013 Colas Muña"/>
      <sheetName val="007 olores Paraíso"/>
      <sheetName val="008 filtraciones"/>
      <sheetName val="009 EspumaMuña "/>
      <sheetName val="000cantera"/>
      <sheetName val="001 Tutela Muña"/>
      <sheetName val="012 Acciden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OPEN"/>
      <sheetName val="RECLAMOS"/>
      <sheetName val="NO CONFORMES"/>
      <sheetName val="DEVOLUCIONES"/>
      <sheetName val="MEJORA INDIVIDUAL"/>
    </sheetNames>
    <sheetDataSet>
      <sheetData sheetId="0" refreshError="1">
        <row r="2">
          <cell r="A2" t="str">
            <v>Tiempo de entrega</v>
          </cell>
          <cell r="C2" t="str">
            <v>SI</v>
          </cell>
          <cell r="E2" t="str">
            <v>Telefono</v>
          </cell>
        </row>
        <row r="3">
          <cell r="A3" t="str">
            <v>Comunicaciones</v>
          </cell>
          <cell r="C3" t="str">
            <v>NO</v>
          </cell>
          <cell r="E3" t="str">
            <v>Fax</v>
          </cell>
        </row>
        <row r="4">
          <cell r="A4" t="str">
            <v>Conformidad</v>
          </cell>
          <cell r="E4" t="str">
            <v>E-mail</v>
          </cell>
        </row>
        <row r="5">
          <cell r="A5" t="str">
            <v>Desempeño</v>
          </cell>
          <cell r="E5" t="str">
            <v>Correo</v>
          </cell>
        </row>
        <row r="6">
          <cell r="A6" t="str">
            <v>Presentacion</v>
          </cell>
          <cell r="E6" t="str">
            <v>Personalmente</v>
          </cell>
        </row>
        <row r="7">
          <cell r="A7" t="str">
            <v>Competencia del personal</v>
          </cell>
        </row>
        <row r="8">
          <cell r="A8" t="str">
            <v>Cantidad de personal disponible</v>
          </cell>
        </row>
        <row r="9">
          <cell r="A9" t="str">
            <v>Cortesía del personal</v>
          </cell>
        </row>
        <row r="10">
          <cell r="A10" t="str">
            <v>Orden y limpieza</v>
          </cell>
        </row>
        <row r="11">
          <cell r="A11" t="str">
            <v>Acondicionamiento</v>
          </cell>
        </row>
        <row r="12">
          <cell r="A12" t="str">
            <v>Estandarización de los procesos</v>
          </cell>
        </row>
        <row r="13">
          <cell r="A13" t="str">
            <v>Control de procesos</v>
          </cell>
        </row>
        <row r="14">
          <cell r="A14" t="str">
            <v>Precio</v>
          </cell>
        </row>
        <row r="15">
          <cell r="A15" t="str">
            <v>Forma de pago</v>
          </cell>
        </row>
        <row r="16">
          <cell r="A16" t="str">
            <v>Facturación</v>
          </cell>
        </row>
        <row r="17">
          <cell r="A17" t="str">
            <v>Descuentos</v>
          </cell>
        </row>
        <row r="18">
          <cell r="A18" t="str">
            <v>Garantías</v>
          </cell>
        </row>
      </sheetData>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os planif"/>
      <sheetName val="Planificación auditoría"/>
      <sheetName val="Programa auditoria"/>
      <sheetName val="Plan auditoría"/>
      <sheetName val="Informe auditoría"/>
      <sheetName val="Acciones Correctivas"/>
    </sheetNames>
    <sheetDataSet>
      <sheetData sheetId="0"/>
      <sheetData sheetId="1"/>
      <sheetData sheetId="2"/>
      <sheetData sheetId="3" refreshError="1">
        <row r="5">
          <cell r="C5" t="str">
            <v>Se auditarán los aspectos del sistema de gestión de la calidad  que fueron modificados con respecto  a la norma NTC-ISO 9001:1994. Estos aspectos son  aquellos directamente relacionados con los principios de la gestión de la calidad</v>
          </cell>
        </row>
      </sheetData>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RATEGIA DE COMUNICACIONES"/>
      <sheetName val="MAPA COMUNICACIONES"/>
      <sheetName val="MAPA COM INTERNAS"/>
    </sheetNames>
    <sheetDataSet>
      <sheetData sheetId="0">
        <row r="2">
          <cell r="A2" t="str">
            <v>1. Manual de Calidad y documentos formales del SGC</v>
          </cell>
        </row>
        <row r="3">
          <cell r="A3" t="str">
            <v>2. Boletines</v>
          </cell>
        </row>
        <row r="4">
          <cell r="A4" t="str">
            <v>3. Cartillas</v>
          </cell>
        </row>
        <row r="5">
          <cell r="A5" t="str">
            <v>4.  Tablero de Indicadores</v>
          </cell>
        </row>
        <row r="6">
          <cell r="A6" t="str">
            <v>5.  Revistas</v>
          </cell>
        </row>
        <row r="7">
          <cell r="A7" t="str">
            <v>6.  Eventos</v>
          </cell>
        </row>
        <row r="8">
          <cell r="A8" t="str">
            <v>7.  Mural,  Carteleras....</v>
          </cell>
        </row>
      </sheetData>
      <sheetData sheetId="1" refreshError="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TRODUCCION1"/>
      <sheetName val="INTRODUCCION"/>
      <sheetName val="AYUDA"/>
      <sheetName val="ENFOQUE AL CLIENTE"/>
      <sheetName val="LIDERAZGO POR LA GERENCIA"/>
      <sheetName val="PARTICIPACION DEL PERSONAL"/>
      <sheetName val="ENFOQUE DE PROCESOS"/>
      <sheetName val="ENFOQUE EN LOS HECHOS"/>
      <sheetName val="MEJORA"/>
      <sheetName val="RELACIONES CON PROVEEDORES"/>
      <sheetName val="RESULTADOS"/>
      <sheetName val="ANALISIS DE RESULTADOS"/>
      <sheetName val="POSICION COMPETITIVA"/>
      <sheetName val="COMPETITIVIDAD"/>
      <sheetName val="CARACTERISTICAS"/>
      <sheetName val="AYUDA (2)"/>
      <sheetName val="CALIDAD"/>
      <sheetName val="COSTOS"/>
      <sheetName val="TIEMPOS"/>
      <sheetName val="INNOVACION"/>
      <sheetName val="RELACIONES"/>
      <sheetName val="RESULTADOSCOMPETITIVIDAD"/>
      <sheetName val="ANALISIS DE RESULTADOS2"/>
      <sheetName val="ANALISIS RESULTADOS (2)"/>
      <sheetName val="ANALISIS RESULTAD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
          <cell r="A2" t="str">
            <v xml:space="preserve">No tenemos nada </v>
          </cell>
        </row>
        <row r="3">
          <cell r="A3" t="str">
            <v>Hay acciones puntuales, o resultados aislados</v>
          </cell>
        </row>
        <row r="4">
          <cell r="A4" t="str">
            <v>Las acciones se desarrollan, o los resultados se generan de manera informal</v>
          </cell>
        </row>
        <row r="5">
          <cell r="A5" t="str">
            <v>Este aspecto se encuentra definido y se está comenzando a aplicar</v>
          </cell>
        </row>
        <row r="6">
          <cell r="A6" t="str">
            <v>Este aspecto esta completamente implementado</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CION1"/>
      <sheetName val="INTRODUCCION"/>
      <sheetName val="AYUDA"/>
      <sheetName val="ENFOQUE AL CLIENTE"/>
      <sheetName val="LIDERAZGO POR LA GERENCIA"/>
      <sheetName val="PARTICIPACION DEL PERSONAL"/>
      <sheetName val="ENFOQUE DE PROCESOS"/>
      <sheetName val="ENFOQUE EN LOS HECHOS"/>
      <sheetName val="MEJORA"/>
      <sheetName val="RELACIONES CON PROVEEDORES"/>
      <sheetName val="RESULTADOS"/>
      <sheetName val="ANALISIS DE RESULTADOS"/>
      <sheetName val="ANALISIS RESULTAD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2">
          <cell r="A2" t="str">
            <v>No hay resultados o estos son muy probres</v>
          </cell>
        </row>
        <row r="3">
          <cell r="A3" t="str">
            <v>Los resultados generados son insuficientes</v>
          </cell>
        </row>
        <row r="4">
          <cell r="A4" t="str">
            <v>Se cuenta con datos disponibles,  pero no se definen acciones a partir de esta informacion</v>
          </cell>
        </row>
        <row r="5">
          <cell r="A5" t="str">
            <v>Con los resultados se toman decisiones importantes para la organización</v>
          </cell>
        </row>
        <row r="6">
          <cell r="A6" t="str">
            <v>Hay evidencias de mejoramiento a partir de los resultados obtenidos</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ETITIVIDAD"/>
      <sheetName val="CARACTERISTICAS"/>
      <sheetName val="AYUDA"/>
      <sheetName val="Hoja1"/>
      <sheetName val="CALIDAD"/>
      <sheetName val="COSTOS"/>
      <sheetName val="TIEMPOS"/>
      <sheetName val="INNOVACION"/>
      <sheetName val="RELACIONES"/>
      <sheetName val="RESULTADOS"/>
      <sheetName val="TODOS"/>
      <sheetName val="ANALISIS DE RESULTADOS"/>
      <sheetName val="ANALISIS RESULTADOS"/>
      <sheetName val="Módulo1"/>
      <sheetName val="Módulo2"/>
      <sheetName val="Módulo3"/>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row r="10">
          <cell r="CK10">
            <v>0</v>
          </cell>
        </row>
      </sheetData>
      <sheetData sheetId="9" refreshError="1"/>
      <sheetData sheetId="10" refreshError="1"/>
      <sheetData sheetId="11" refreshError="1"/>
      <sheetData sheetId="12" refreshError="1">
        <row r="2">
          <cell r="A2" t="str">
            <v>No hay resultados o estos son muy probres</v>
          </cell>
        </row>
        <row r="3">
          <cell r="A3" t="str">
            <v>Los resultados generados son insuficientes</v>
          </cell>
        </row>
        <row r="4">
          <cell r="A4" t="str">
            <v>Se cuenta con datos disponibles,  pero no se definen acciones a partir de esta informacion</v>
          </cell>
        </row>
        <row r="5">
          <cell r="A5" t="str">
            <v>Con los resultados se toman decisiones importantes para la organización</v>
          </cell>
        </row>
        <row r="6">
          <cell r="A6" t="str">
            <v>Hay evidencias de mejoramiento a partir de los resultados obtenidos</v>
          </cell>
        </row>
        <row r="15">
          <cell r="C15">
            <v>90</v>
          </cell>
          <cell r="E15" t="str">
            <v>PENDIENTE</v>
          </cell>
        </row>
        <row r="16">
          <cell r="C16">
            <v>80</v>
          </cell>
          <cell r="E16" t="str">
            <v>PENDIENTE</v>
          </cell>
        </row>
        <row r="17">
          <cell r="C17">
            <v>50</v>
          </cell>
          <cell r="E17" t="str">
            <v>PENDIENTE</v>
          </cell>
        </row>
        <row r="18">
          <cell r="C18">
            <v>80</v>
          </cell>
          <cell r="E18" t="str">
            <v>PENDIENTE</v>
          </cell>
        </row>
        <row r="19">
          <cell r="C19">
            <v>100</v>
          </cell>
          <cell r="E19" t="str">
            <v>PENDIENTE</v>
          </cell>
        </row>
      </sheetData>
      <sheetData sheetId="13" refreshError="1"/>
      <sheetData sheetId="14" refreshError="1"/>
      <sheetData sheetId="1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ETITIVIDAD"/>
      <sheetName val="CARACTERISTICAS"/>
      <sheetName val="AYUDA"/>
      <sheetName val="Hoja1"/>
      <sheetName val="CALIDAD"/>
      <sheetName val="COSTOS"/>
      <sheetName val="TIEMPOS"/>
      <sheetName val="INNOVACION"/>
      <sheetName val="RELACIONES"/>
      <sheetName val="RESULTADOS"/>
      <sheetName val="TODOS"/>
      <sheetName val="ANALISIS DE RESULTADOS"/>
      <sheetName val="ANALISIS RESULTADOS"/>
      <sheetName val="Módulo1"/>
      <sheetName val="Módulo2"/>
      <sheetName val="Módulo3"/>
    </sheetNames>
    <sheetDataSet>
      <sheetData sheetId="0" refreshError="1"/>
      <sheetData sheetId="1" refreshError="1"/>
      <sheetData sheetId="2" refreshError="1"/>
      <sheetData sheetId="3" refreshError="1"/>
      <sheetData sheetId="4" refreshError="1"/>
      <sheetData sheetId="5" refreshError="1"/>
      <sheetData sheetId="6">
        <row r="10">
          <cell r="CK10">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ON"/>
      <sheetName val="MANEJO DE QUEJA"/>
    </sheetNames>
    <sheetDataSet>
      <sheetData sheetId="0" refreshError="1">
        <row r="2">
          <cell r="B2" t="str">
            <v>Tiempo de entrega</v>
          </cell>
        </row>
        <row r="3">
          <cell r="B3" t="str">
            <v>Comunicaciones</v>
          </cell>
        </row>
        <row r="4">
          <cell r="B4" t="str">
            <v>Conformidad</v>
          </cell>
        </row>
        <row r="5">
          <cell r="B5" t="str">
            <v>Desempeño</v>
          </cell>
        </row>
        <row r="6">
          <cell r="B6" t="str">
            <v>Competencia</v>
          </cell>
        </row>
        <row r="7">
          <cell r="B7" t="str">
            <v>Cantidad</v>
          </cell>
        </row>
        <row r="8">
          <cell r="B8" t="str">
            <v>Cortesía</v>
          </cell>
        </row>
        <row r="9">
          <cell r="B9" t="str">
            <v>Capacidad</v>
          </cell>
        </row>
        <row r="10">
          <cell r="B10" t="str">
            <v>Orden y limpieza</v>
          </cell>
        </row>
        <row r="11">
          <cell r="B11" t="str">
            <v>Acondicionamiento</v>
          </cell>
        </row>
        <row r="12">
          <cell r="B12" t="str">
            <v>Capacidad</v>
          </cell>
        </row>
        <row r="13">
          <cell r="B13" t="str">
            <v>Tecnología</v>
          </cell>
        </row>
        <row r="14">
          <cell r="B14" t="str">
            <v>Estandarización</v>
          </cell>
        </row>
        <row r="15">
          <cell r="B15" t="str">
            <v>Control de procesos</v>
          </cell>
        </row>
        <row r="16">
          <cell r="B16" t="str">
            <v>Proveedores calificados</v>
          </cell>
        </row>
        <row r="17">
          <cell r="B17" t="str">
            <v>Control de calidad de materiales</v>
          </cell>
        </row>
        <row r="18">
          <cell r="B18" t="str">
            <v>Precio</v>
          </cell>
        </row>
        <row r="19">
          <cell r="B19" t="str">
            <v>Forma de pago</v>
          </cell>
        </row>
        <row r="20">
          <cell r="B20" t="str">
            <v>Descuentos</v>
          </cell>
        </row>
        <row r="21">
          <cell r="B21" t="str">
            <v>Garantías</v>
          </cell>
        </row>
      </sheetData>
      <sheetData sheetId="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rencia Administrativa"/>
      <sheetName val="Matriz de Riesgo.."/>
      <sheetName val="Matriz de Riesgo"/>
      <sheetName val="Calificación y Semaforización"/>
      <sheetName val="Hoja4"/>
      <sheetName val="Hoja3"/>
      <sheetName val="Hoja1"/>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Procesos%20SGC/1.%20Gestion%20Administrativa/1.3%20Procedimiento%20Visitas%20a%20la%20Gerencia%20General/PRO-ADM-006_Visitas%20a%20la%20Gerencia%20General.docx" TargetMode="External"/><Relationship Id="rId7" Type="http://schemas.openxmlformats.org/officeDocument/2006/relationships/vmlDrawing" Target="../drawings/vmlDrawing1.vml"/><Relationship Id="rId2" Type="http://schemas.openxmlformats.org/officeDocument/2006/relationships/hyperlink" Target="..\..\..\..\Procesos%20SGC\1.%20Gestion%20Administrativa\1.2%20Procedimiento%20%20Revisi&#243;n%20Por%20la%20Direcci&#243;n\PRO-ADM-003_Revisi&#243;n%20por%20la%20Direcci&#243;n.docx" TargetMode="External"/><Relationship Id="rId1" Type="http://schemas.openxmlformats.org/officeDocument/2006/relationships/hyperlink" Target="../../../../Procesos%20SGC/Asistencia%20T&#233;cnica/Proced.%20Atenci&#243;n%20QED/PRO-AT-004_Atenci&#243;n%20QRSD.docx"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Procesos%20SGC/1.%20Gestion%20Administrativa/1.4%20Procedimiento%20Importaci&#243;n%20de%20Material/PRO-ADM-008_Importaci&#243;n%20de%20Dispositivos%20M&#233;dicos.docx"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
  <sheetViews>
    <sheetView showGridLines="0" tabSelected="1" zoomScale="55" zoomScaleNormal="55" workbookViewId="0">
      <selection activeCell="B18" sqref="B18"/>
    </sheetView>
  </sheetViews>
  <sheetFormatPr baseColWidth="10" defaultColWidth="11.44140625" defaultRowHeight="15.6" x14ac:dyDescent="0.3"/>
  <cols>
    <col min="1" max="1" width="13.6640625" style="92" customWidth="1"/>
    <col min="2" max="2" width="51.109375" style="103" customWidth="1"/>
    <col min="3" max="3" width="68.6640625" style="104" customWidth="1"/>
    <col min="4" max="4" width="41.88671875" style="104" customWidth="1"/>
    <col min="5" max="5" width="26.44140625" style="92" customWidth="1"/>
    <col min="6" max="6" width="26.6640625" style="92" customWidth="1"/>
    <col min="7" max="7" width="13" style="92" customWidth="1"/>
    <col min="8" max="8" width="13.109375" style="92" customWidth="1"/>
    <col min="9" max="9" width="33.33203125" style="92" customWidth="1"/>
    <col min="10" max="10" width="9.33203125" style="92" customWidth="1"/>
    <col min="11" max="11" width="16.5546875" style="92" customWidth="1"/>
    <col min="12" max="12" width="22" style="92" customWidth="1"/>
    <col min="13" max="13" width="18.6640625" style="92" customWidth="1"/>
    <col min="14" max="14" width="37.6640625" style="92" customWidth="1"/>
    <col min="15" max="15" width="22.88671875" style="92" customWidth="1"/>
    <col min="16" max="16" width="16.33203125" style="92" customWidth="1"/>
    <col min="17" max="17" width="23" style="92" bestFit="1" customWidth="1"/>
    <col min="18" max="18" width="17.88671875" style="92" customWidth="1"/>
    <col min="19" max="19" width="15" style="92" bestFit="1" customWidth="1"/>
    <col min="20" max="16384" width="11.44140625" style="92"/>
  </cols>
  <sheetData>
    <row r="1" spans="1:19" ht="40.5" customHeight="1" x14ac:dyDescent="0.25">
      <c r="A1" s="133" t="s">
        <v>18</v>
      </c>
      <c r="B1" s="133"/>
      <c r="C1" s="133"/>
      <c r="D1" s="133"/>
      <c r="E1" s="133"/>
      <c r="F1" s="133"/>
      <c r="G1" s="133"/>
      <c r="H1" s="133"/>
      <c r="I1" s="133"/>
      <c r="J1" s="133"/>
      <c r="K1" s="133"/>
      <c r="L1" s="133"/>
      <c r="M1" s="133"/>
      <c r="N1" s="133"/>
      <c r="O1" s="133"/>
      <c r="P1" s="133"/>
      <c r="Q1" s="133"/>
      <c r="R1" s="133"/>
      <c r="S1" s="134"/>
    </row>
    <row r="2" spans="1:19" ht="33" customHeight="1" x14ac:dyDescent="0.25">
      <c r="A2" s="157"/>
      <c r="B2" s="157"/>
      <c r="C2" s="136" t="s">
        <v>71</v>
      </c>
      <c r="D2" s="137"/>
      <c r="E2" s="137"/>
      <c r="F2" s="137"/>
      <c r="G2" s="138"/>
      <c r="H2" s="145" t="s">
        <v>60</v>
      </c>
      <c r="I2" s="146"/>
      <c r="J2" s="146"/>
      <c r="K2" s="146"/>
      <c r="L2" s="146"/>
      <c r="M2" s="147"/>
      <c r="N2" s="154"/>
      <c r="O2" s="154"/>
      <c r="P2" s="90" t="s">
        <v>16</v>
      </c>
      <c r="Q2" s="90" t="s">
        <v>199</v>
      </c>
      <c r="R2" s="90" t="s">
        <v>15</v>
      </c>
      <c r="S2" s="91" t="s">
        <v>198</v>
      </c>
    </row>
    <row r="3" spans="1:19" ht="55.5" customHeight="1" x14ac:dyDescent="0.25">
      <c r="A3" s="157"/>
      <c r="B3" s="157"/>
      <c r="C3" s="139"/>
      <c r="D3" s="140"/>
      <c r="E3" s="140"/>
      <c r="F3" s="140"/>
      <c r="G3" s="141"/>
      <c r="H3" s="148"/>
      <c r="I3" s="149"/>
      <c r="J3" s="149"/>
      <c r="K3" s="149"/>
      <c r="L3" s="149"/>
      <c r="M3" s="150"/>
      <c r="N3" s="154"/>
      <c r="O3" s="154"/>
      <c r="P3" s="93" t="s">
        <v>14</v>
      </c>
      <c r="Q3" s="94">
        <v>43538</v>
      </c>
      <c r="R3" s="95" t="s">
        <v>13</v>
      </c>
      <c r="S3" s="94">
        <v>45365</v>
      </c>
    </row>
    <row r="4" spans="1:19" ht="38.25" customHeight="1" x14ac:dyDescent="0.25">
      <c r="A4" s="157"/>
      <c r="B4" s="157"/>
      <c r="C4" s="142"/>
      <c r="D4" s="143"/>
      <c r="E4" s="143"/>
      <c r="F4" s="143"/>
      <c r="G4" s="144"/>
      <c r="H4" s="151"/>
      <c r="I4" s="152"/>
      <c r="J4" s="152"/>
      <c r="K4" s="152"/>
      <c r="L4" s="152"/>
      <c r="M4" s="153"/>
      <c r="N4" s="154"/>
      <c r="O4" s="154"/>
      <c r="P4" s="155" t="s">
        <v>12</v>
      </c>
      <c r="Q4" s="156"/>
      <c r="R4" s="131"/>
      <c r="S4" s="94">
        <v>45365</v>
      </c>
    </row>
    <row r="5" spans="1:19" ht="35.25" customHeight="1" x14ac:dyDescent="0.25">
      <c r="A5" s="157"/>
      <c r="B5" s="157"/>
      <c r="C5" s="158" t="s">
        <v>19</v>
      </c>
      <c r="D5" s="158"/>
      <c r="E5" s="158"/>
      <c r="F5" s="158"/>
      <c r="G5" s="158"/>
      <c r="H5" s="158" t="s">
        <v>192</v>
      </c>
      <c r="I5" s="159"/>
      <c r="J5" s="159"/>
      <c r="K5" s="159"/>
      <c r="L5" s="159"/>
      <c r="M5" s="159"/>
      <c r="N5" s="160"/>
      <c r="O5" s="160"/>
      <c r="P5" s="160"/>
      <c r="Q5" s="160"/>
      <c r="R5" s="160"/>
      <c r="S5" s="160"/>
    </row>
    <row r="6" spans="1:19" s="96" customFormat="1" ht="237" customHeight="1" x14ac:dyDescent="0.25">
      <c r="A6" s="157"/>
      <c r="B6" s="157"/>
      <c r="C6" s="163" t="s">
        <v>193</v>
      </c>
      <c r="D6" s="163"/>
      <c r="E6" s="163"/>
      <c r="F6" s="163"/>
      <c r="G6" s="163" t="s">
        <v>194</v>
      </c>
      <c r="H6" s="163"/>
      <c r="I6" s="163"/>
      <c r="J6" s="163"/>
      <c r="K6" s="163"/>
      <c r="L6" s="164" t="s">
        <v>195</v>
      </c>
      <c r="M6" s="164"/>
      <c r="N6" s="163" t="s">
        <v>196</v>
      </c>
      <c r="O6" s="163"/>
      <c r="P6" s="163"/>
      <c r="Q6" s="163"/>
      <c r="R6" s="163"/>
      <c r="S6" s="163"/>
    </row>
    <row r="7" spans="1:19" ht="4.5" customHeight="1" x14ac:dyDescent="0.25">
      <c r="A7" s="166"/>
      <c r="B7" s="166"/>
      <c r="C7" s="166"/>
      <c r="D7" s="166"/>
      <c r="E7" s="166"/>
      <c r="F7" s="166"/>
      <c r="G7" s="166"/>
      <c r="H7" s="166"/>
      <c r="I7" s="166"/>
      <c r="J7" s="166"/>
      <c r="K7" s="166"/>
      <c r="L7" s="166"/>
      <c r="M7" s="166"/>
      <c r="N7" s="166"/>
      <c r="O7" s="166"/>
      <c r="P7" s="166"/>
      <c r="Q7" s="166"/>
      <c r="R7" s="166"/>
      <c r="S7" s="167"/>
    </row>
    <row r="8" spans="1:19" s="100" customFormat="1" ht="36" customHeight="1" x14ac:dyDescent="0.25">
      <c r="A8" s="165"/>
      <c r="B8" s="165"/>
      <c r="C8" s="165"/>
      <c r="D8" s="165"/>
      <c r="E8" s="165"/>
      <c r="F8" s="165"/>
      <c r="G8" s="165"/>
      <c r="H8" s="165"/>
      <c r="I8" s="165"/>
      <c r="J8" s="165"/>
      <c r="K8" s="165"/>
      <c r="L8" s="162"/>
      <c r="M8" s="162"/>
      <c r="N8" s="162" t="s">
        <v>11</v>
      </c>
      <c r="O8" s="162"/>
      <c r="P8" s="162"/>
      <c r="Q8" s="162"/>
      <c r="R8" s="162"/>
      <c r="S8" s="162"/>
    </row>
    <row r="9" spans="1:19" s="97" customFormat="1" ht="43.5" customHeight="1" x14ac:dyDescent="0.25">
      <c r="A9" s="101" t="s">
        <v>17</v>
      </c>
      <c r="B9" s="102" t="s">
        <v>10</v>
      </c>
      <c r="C9" s="102" t="s">
        <v>3</v>
      </c>
      <c r="D9" s="102" t="s">
        <v>9</v>
      </c>
      <c r="E9" s="102" t="s">
        <v>8</v>
      </c>
      <c r="F9" s="102" t="s">
        <v>7</v>
      </c>
      <c r="G9" s="161" t="s">
        <v>6</v>
      </c>
      <c r="H9" s="161"/>
      <c r="I9" s="102" t="s">
        <v>5</v>
      </c>
      <c r="J9" s="161" t="s">
        <v>4</v>
      </c>
      <c r="K9" s="161"/>
      <c r="L9" s="161" t="s">
        <v>3</v>
      </c>
      <c r="M9" s="161"/>
      <c r="N9" s="102" t="s">
        <v>2</v>
      </c>
      <c r="O9" s="161" t="s">
        <v>1</v>
      </c>
      <c r="P9" s="161"/>
      <c r="Q9" s="161" t="s">
        <v>0</v>
      </c>
      <c r="R9" s="161"/>
      <c r="S9" s="161"/>
    </row>
    <row r="10" spans="1:19" s="97" customFormat="1" ht="125.25" customHeight="1" x14ac:dyDescent="0.25">
      <c r="A10" s="168">
        <v>1</v>
      </c>
      <c r="B10" s="106" t="s">
        <v>37</v>
      </c>
      <c r="C10" s="106" t="s">
        <v>20</v>
      </c>
      <c r="D10" s="106" t="s">
        <v>56</v>
      </c>
      <c r="E10" s="106" t="s">
        <v>21</v>
      </c>
      <c r="F10" s="106" t="s">
        <v>23</v>
      </c>
      <c r="G10" s="109" t="s">
        <v>57</v>
      </c>
      <c r="H10" s="110"/>
      <c r="I10" s="106" t="s">
        <v>22</v>
      </c>
      <c r="J10" s="109" t="s">
        <v>24</v>
      </c>
      <c r="K10" s="110"/>
      <c r="L10" s="127" t="s">
        <v>29</v>
      </c>
      <c r="M10" s="127"/>
      <c r="N10" s="105" t="s">
        <v>30</v>
      </c>
      <c r="O10" s="130" t="s">
        <v>58</v>
      </c>
      <c r="P10" s="131"/>
      <c r="Q10" s="129" t="s">
        <v>59</v>
      </c>
      <c r="R10" s="129"/>
      <c r="S10" s="129"/>
    </row>
    <row r="11" spans="1:19" ht="233.25" customHeight="1" x14ac:dyDescent="0.25">
      <c r="A11" s="169"/>
      <c r="B11" s="108"/>
      <c r="C11" s="108"/>
      <c r="D11" s="108"/>
      <c r="E11" s="108"/>
      <c r="F11" s="108"/>
      <c r="G11" s="113"/>
      <c r="H11" s="114"/>
      <c r="I11" s="108"/>
      <c r="J11" s="113"/>
      <c r="K11" s="114"/>
      <c r="L11" s="127" t="s">
        <v>61</v>
      </c>
      <c r="M11" s="127"/>
      <c r="N11" s="105" t="s">
        <v>31</v>
      </c>
      <c r="O11" s="130" t="s">
        <v>200</v>
      </c>
      <c r="P11" s="131"/>
      <c r="Q11" s="129" t="s">
        <v>42</v>
      </c>
      <c r="R11" s="129"/>
      <c r="S11" s="129"/>
    </row>
    <row r="12" spans="1:19" ht="0.75" hidden="1" customHeight="1" x14ac:dyDescent="0.25">
      <c r="A12" s="135">
        <v>2</v>
      </c>
      <c r="B12" s="106" t="s">
        <v>38</v>
      </c>
      <c r="C12" s="127" t="s">
        <v>62</v>
      </c>
      <c r="D12" s="127" t="s">
        <v>25</v>
      </c>
      <c r="E12" s="127" t="s">
        <v>21</v>
      </c>
      <c r="F12" s="127" t="s">
        <v>197</v>
      </c>
      <c r="G12" s="127" t="s">
        <v>43</v>
      </c>
      <c r="H12" s="127"/>
      <c r="I12" s="106" t="s">
        <v>26</v>
      </c>
      <c r="J12" s="109" t="s">
        <v>21</v>
      </c>
      <c r="K12" s="110"/>
      <c r="L12" s="127"/>
      <c r="M12" s="127"/>
      <c r="N12" s="105"/>
      <c r="O12" s="127"/>
      <c r="P12" s="127"/>
      <c r="Q12" s="128"/>
      <c r="R12" s="128"/>
      <c r="S12" s="128"/>
    </row>
    <row r="13" spans="1:19" ht="85.5" customHeight="1" x14ac:dyDescent="0.25">
      <c r="A13" s="135"/>
      <c r="B13" s="107"/>
      <c r="C13" s="127"/>
      <c r="D13" s="127"/>
      <c r="E13" s="127"/>
      <c r="F13" s="127"/>
      <c r="G13" s="127"/>
      <c r="H13" s="127"/>
      <c r="I13" s="107"/>
      <c r="J13" s="111"/>
      <c r="K13" s="112"/>
      <c r="L13" s="109" t="s">
        <v>44</v>
      </c>
      <c r="M13" s="110"/>
      <c r="N13" s="106" t="s">
        <v>40</v>
      </c>
      <c r="O13" s="109" t="s">
        <v>45</v>
      </c>
      <c r="P13" s="110"/>
      <c r="Q13" s="115" t="s">
        <v>39</v>
      </c>
      <c r="R13" s="116"/>
      <c r="S13" s="117"/>
    </row>
    <row r="14" spans="1:19" ht="15" customHeight="1" x14ac:dyDescent="0.25">
      <c r="A14" s="135"/>
      <c r="B14" s="107"/>
      <c r="C14" s="127"/>
      <c r="D14" s="127"/>
      <c r="E14" s="127"/>
      <c r="F14" s="127"/>
      <c r="G14" s="127"/>
      <c r="H14" s="127"/>
      <c r="I14" s="107"/>
      <c r="J14" s="111"/>
      <c r="K14" s="112"/>
      <c r="L14" s="111"/>
      <c r="M14" s="112"/>
      <c r="N14" s="107"/>
      <c r="O14" s="111"/>
      <c r="P14" s="112"/>
      <c r="Q14" s="118"/>
      <c r="R14" s="119"/>
      <c r="S14" s="120"/>
    </row>
    <row r="15" spans="1:19" ht="161.25" customHeight="1" x14ac:dyDescent="0.25">
      <c r="A15" s="135"/>
      <c r="B15" s="107"/>
      <c r="C15" s="127"/>
      <c r="D15" s="127"/>
      <c r="E15" s="127"/>
      <c r="F15" s="127"/>
      <c r="G15" s="127"/>
      <c r="H15" s="127"/>
      <c r="I15" s="107"/>
      <c r="J15" s="111"/>
      <c r="K15" s="112"/>
      <c r="L15" s="113"/>
      <c r="M15" s="114"/>
      <c r="N15" s="108"/>
      <c r="O15" s="113"/>
      <c r="P15" s="114"/>
      <c r="Q15" s="121"/>
      <c r="R15" s="122"/>
      <c r="S15" s="123"/>
    </row>
    <row r="16" spans="1:19" ht="34.5" hidden="1" customHeight="1" x14ac:dyDescent="0.25">
      <c r="A16" s="135"/>
      <c r="B16" s="108"/>
      <c r="C16" s="127"/>
      <c r="D16" s="127"/>
      <c r="E16" s="127"/>
      <c r="F16" s="127"/>
      <c r="G16" s="127"/>
      <c r="H16" s="127"/>
      <c r="I16" s="108"/>
      <c r="J16" s="113"/>
      <c r="K16" s="114"/>
      <c r="L16" s="127"/>
      <c r="M16" s="127"/>
      <c r="N16" s="105"/>
      <c r="O16" s="127"/>
      <c r="P16" s="127"/>
      <c r="Q16" s="128"/>
      <c r="R16" s="128"/>
      <c r="S16" s="128"/>
    </row>
    <row r="17" spans="1:20" ht="142.5" customHeight="1" x14ac:dyDescent="0.25">
      <c r="A17" s="98">
        <v>3</v>
      </c>
      <c r="B17" s="105" t="s">
        <v>63</v>
      </c>
      <c r="C17" s="105" t="s">
        <v>64</v>
      </c>
      <c r="D17" s="105" t="s">
        <v>46</v>
      </c>
      <c r="E17" s="105" t="s">
        <v>27</v>
      </c>
      <c r="F17" s="105" t="s">
        <v>65</v>
      </c>
      <c r="G17" s="127" t="s">
        <v>21</v>
      </c>
      <c r="H17" s="127"/>
      <c r="I17" s="105" t="s">
        <v>66</v>
      </c>
      <c r="J17" s="127" t="s">
        <v>27</v>
      </c>
      <c r="K17" s="127"/>
      <c r="L17" s="127" t="s">
        <v>67</v>
      </c>
      <c r="M17" s="127"/>
      <c r="N17" s="105" t="s">
        <v>34</v>
      </c>
      <c r="O17" s="127" t="s">
        <v>33</v>
      </c>
      <c r="P17" s="127"/>
      <c r="Q17" s="129" t="s">
        <v>32</v>
      </c>
      <c r="R17" s="129"/>
      <c r="S17" s="129"/>
    </row>
    <row r="18" spans="1:20" ht="137.25" customHeight="1" x14ac:dyDescent="0.25">
      <c r="A18" s="98">
        <v>4</v>
      </c>
      <c r="B18" s="105" t="s">
        <v>68</v>
      </c>
      <c r="C18" s="105" t="s">
        <v>69</v>
      </c>
      <c r="D18" s="105" t="s">
        <v>28</v>
      </c>
      <c r="E18" s="105" t="s">
        <v>21</v>
      </c>
      <c r="F18" s="105" t="s">
        <v>70</v>
      </c>
      <c r="G18" s="127" t="s">
        <v>41</v>
      </c>
      <c r="H18" s="127"/>
      <c r="I18" s="105" t="s">
        <v>72</v>
      </c>
      <c r="J18" s="130" t="s">
        <v>21</v>
      </c>
      <c r="K18" s="132"/>
      <c r="L18" s="130" t="s">
        <v>73</v>
      </c>
      <c r="M18" s="132"/>
      <c r="N18" s="105"/>
      <c r="O18" s="127" t="s">
        <v>35</v>
      </c>
      <c r="P18" s="127"/>
      <c r="Q18" s="124" t="s">
        <v>36</v>
      </c>
      <c r="R18" s="125"/>
      <c r="S18" s="126"/>
      <c r="T18" s="99"/>
    </row>
    <row r="19" spans="1:20" ht="137.25" customHeight="1" x14ac:dyDescent="0.25">
      <c r="A19" s="98">
        <v>5</v>
      </c>
      <c r="B19" s="105" t="s">
        <v>55</v>
      </c>
      <c r="C19" s="105" t="s">
        <v>47</v>
      </c>
      <c r="D19" s="105" t="s">
        <v>48</v>
      </c>
      <c r="E19" s="105" t="s">
        <v>21</v>
      </c>
      <c r="F19" s="105" t="s">
        <v>74</v>
      </c>
      <c r="G19" s="127" t="s">
        <v>43</v>
      </c>
      <c r="H19" s="127"/>
      <c r="I19" s="105" t="s">
        <v>49</v>
      </c>
      <c r="J19" s="130" t="s">
        <v>50</v>
      </c>
      <c r="K19" s="132"/>
      <c r="L19" s="130" t="s">
        <v>51</v>
      </c>
      <c r="M19" s="132"/>
      <c r="N19" s="105" t="s">
        <v>52</v>
      </c>
      <c r="O19" s="127" t="s">
        <v>53</v>
      </c>
      <c r="P19" s="127"/>
      <c r="Q19" s="124" t="s">
        <v>54</v>
      </c>
      <c r="R19" s="125"/>
      <c r="S19" s="126"/>
      <c r="T19" s="99"/>
    </row>
  </sheetData>
  <protectedRanges>
    <protectedRange algorithmName="SHA-512" hashValue="5xaXayWfj/OlxJDQ6y6u1JGLc08tRj4gK1rwuGn3xlR6SxElAnNS7EtidVz/t8d07LTvWeSA7e7Jjd3uXhPaww==" saltValue="l03RuLYk97QR1bZGVlmQMw==" spinCount="100000" sqref="A10:K16 L10:L13 L15:L16 A17:M1048576 N10:O13 N15:O16 P10:P16 R10:S16 Q10:Q13 Q15:Q16 N17:S1048576 N1:S9 A1:M9 M10:M16" name="Rango1"/>
  </protectedRanges>
  <mergeCells count="71">
    <mergeCell ref="G19:H19"/>
    <mergeCell ref="J19:K19"/>
    <mergeCell ref="L19:M19"/>
    <mergeCell ref="O19:P19"/>
    <mergeCell ref="Q19:S19"/>
    <mergeCell ref="L6:M6"/>
    <mergeCell ref="N6:S6"/>
    <mergeCell ref="L16:M16"/>
    <mergeCell ref="A8:K8"/>
    <mergeCell ref="A7:S7"/>
    <mergeCell ref="Q9:S9"/>
    <mergeCell ref="G9:H9"/>
    <mergeCell ref="J9:K9"/>
    <mergeCell ref="L12:M12"/>
    <mergeCell ref="I12:I16"/>
    <mergeCell ref="F12:F16"/>
    <mergeCell ref="G12:H16"/>
    <mergeCell ref="J12:K16"/>
    <mergeCell ref="A10:A11"/>
    <mergeCell ref="B10:B11"/>
    <mergeCell ref="C10:C11"/>
    <mergeCell ref="A1:S1"/>
    <mergeCell ref="A12:A16"/>
    <mergeCell ref="C2:G4"/>
    <mergeCell ref="H2:M4"/>
    <mergeCell ref="N2:O4"/>
    <mergeCell ref="P4:R4"/>
    <mergeCell ref="A2:B6"/>
    <mergeCell ref="C5:G5"/>
    <mergeCell ref="H5:M5"/>
    <mergeCell ref="N5:S5"/>
    <mergeCell ref="L9:M9"/>
    <mergeCell ref="O9:P9"/>
    <mergeCell ref="L8:M8"/>
    <mergeCell ref="N8:S8"/>
    <mergeCell ref="C6:F6"/>
    <mergeCell ref="G6:K6"/>
    <mergeCell ref="D10:D11"/>
    <mergeCell ref="E10:E11"/>
    <mergeCell ref="B12:B16"/>
    <mergeCell ref="C12:C16"/>
    <mergeCell ref="D12:D16"/>
    <mergeCell ref="E12:E16"/>
    <mergeCell ref="F10:F11"/>
    <mergeCell ref="G10:H11"/>
    <mergeCell ref="I10:I11"/>
    <mergeCell ref="L18:M18"/>
    <mergeCell ref="L11:M11"/>
    <mergeCell ref="L10:M10"/>
    <mergeCell ref="L17:M17"/>
    <mergeCell ref="J10:K11"/>
    <mergeCell ref="G17:H17"/>
    <mergeCell ref="G18:H18"/>
    <mergeCell ref="J18:K18"/>
    <mergeCell ref="J17:K17"/>
    <mergeCell ref="L13:M15"/>
    <mergeCell ref="Q12:S12"/>
    <mergeCell ref="O18:P18"/>
    <mergeCell ref="Q10:S10"/>
    <mergeCell ref="Q11:S11"/>
    <mergeCell ref="O17:P17"/>
    <mergeCell ref="Q17:S17"/>
    <mergeCell ref="O10:P10"/>
    <mergeCell ref="O11:P11"/>
    <mergeCell ref="O12:P12"/>
    <mergeCell ref="N13:N15"/>
    <mergeCell ref="O13:P15"/>
    <mergeCell ref="Q13:S15"/>
    <mergeCell ref="Q18:S18"/>
    <mergeCell ref="O16:P16"/>
    <mergeCell ref="Q16:S16"/>
  </mergeCells>
  <hyperlinks>
    <hyperlink ref="Q11:S11" r:id="rId1" display="PRO-AT-004" xr:uid="{00000000-0004-0000-0000-000000000000}"/>
    <hyperlink ref="Q13:S15" r:id="rId2" display="PRO-ADM-003" xr:uid="{00000000-0004-0000-0000-000001000000}"/>
    <hyperlink ref="Q17:S17" r:id="rId3" display="PRO-ADM-006" xr:uid="{00000000-0004-0000-0000-000002000000}"/>
    <hyperlink ref="Q18:S18" r:id="rId4" display="PRO-ADM-008" xr:uid="{00000000-0004-0000-0000-000003000000}"/>
  </hyperlinks>
  <pageMargins left="0.75" right="0.75" top="1" bottom="1" header="0.5" footer="0.5"/>
  <pageSetup orientation="portrait" r:id="rId5"/>
  <headerFooter alignWithMargins="0"/>
  <drawing r:id="rId6"/>
  <legacy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9"/>
  <sheetViews>
    <sheetView view="pageBreakPreview" topLeftCell="B1" zoomScale="60" zoomScaleNormal="100" workbookViewId="0">
      <selection activeCell="M9" sqref="M9"/>
    </sheetView>
  </sheetViews>
  <sheetFormatPr baseColWidth="10" defaultColWidth="11.44140625" defaultRowHeight="45.75" customHeight="1" x14ac:dyDescent="0.25"/>
  <cols>
    <col min="1" max="1" width="3" style="26" hidden="1" customWidth="1"/>
    <col min="2" max="2" width="8.6640625" style="26" customWidth="1"/>
    <col min="3" max="3" width="27.109375" style="26" customWidth="1"/>
    <col min="4" max="4" width="49.44140625" style="26" customWidth="1"/>
    <col min="5" max="5" width="40.5546875" style="26" customWidth="1"/>
    <col min="6" max="6" width="38.5546875" style="26" customWidth="1"/>
    <col min="7" max="7" width="17.33203125" style="26" customWidth="1"/>
    <col min="8" max="8" width="19" style="26" customWidth="1"/>
    <col min="9" max="9" width="39.33203125" style="26" customWidth="1"/>
    <col min="10" max="10" width="33.6640625" style="26" customWidth="1"/>
    <col min="11" max="12" width="4.44140625" style="26" customWidth="1"/>
    <col min="13" max="13" width="9" style="26" customWidth="1"/>
    <col min="14" max="14" width="31.44140625" style="26" customWidth="1"/>
    <col min="15" max="16" width="24" style="26" customWidth="1"/>
    <col min="17" max="17" width="17" style="26" customWidth="1"/>
    <col min="18" max="18" width="18.88671875" style="26" customWidth="1"/>
    <col min="19" max="24" width="17" style="26" customWidth="1"/>
    <col min="25" max="25" width="15.33203125" style="26" customWidth="1"/>
    <col min="26" max="27" width="4.44140625" style="26" customWidth="1"/>
    <col min="28" max="32" width="16.5546875" style="26" customWidth="1"/>
    <col min="33" max="33" width="15" style="26" customWidth="1"/>
    <col min="34" max="34" width="23" style="26" customWidth="1"/>
    <col min="35" max="35" width="27.6640625" style="26" customWidth="1"/>
    <col min="36" max="36" width="18.33203125" style="26" customWidth="1"/>
    <col min="37" max="37" width="22" style="26" customWidth="1"/>
    <col min="38" max="39" width="4.44140625" style="26" customWidth="1"/>
    <col min="40" max="16384" width="11.44140625" style="26"/>
  </cols>
  <sheetData>
    <row r="1" spans="2:40" ht="45.75" customHeight="1" thickBot="1" x14ac:dyDescent="0.3"/>
    <row r="2" spans="2:40" ht="45.75" customHeight="1" x14ac:dyDescent="0.25">
      <c r="B2" s="170"/>
      <c r="C2" s="171"/>
      <c r="D2" s="171"/>
      <c r="E2" s="171"/>
      <c r="F2" s="171" t="s">
        <v>75</v>
      </c>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c r="AK2" s="27" t="s">
        <v>76</v>
      </c>
      <c r="AL2" s="174"/>
      <c r="AM2" s="174"/>
      <c r="AN2" s="175"/>
    </row>
    <row r="3" spans="2:40" ht="45.75" customHeight="1" thickBot="1" x14ac:dyDescent="0.3">
      <c r="B3" s="172"/>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28" t="s">
        <v>77</v>
      </c>
      <c r="AL3" s="176"/>
      <c r="AM3" s="176"/>
      <c r="AN3" s="177"/>
    </row>
    <row r="4" spans="2:40" ht="45.75" customHeight="1" x14ac:dyDescent="0.25">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row>
    <row r="5" spans="2:40" ht="45.75" customHeight="1" thickBot="1" x14ac:dyDescent="0.35">
      <c r="B5" s="29" t="s">
        <v>78</v>
      </c>
      <c r="C5" s="8"/>
      <c r="D5" s="30"/>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row>
    <row r="6" spans="2:40" ht="45.75" customHeight="1" thickBot="1" x14ac:dyDescent="0.3">
      <c r="B6" s="178" t="s">
        <v>79</v>
      </c>
      <c r="C6" s="178"/>
      <c r="D6" s="178"/>
      <c r="E6" s="178"/>
      <c r="F6" s="179"/>
      <c r="G6" s="180" t="s">
        <v>80</v>
      </c>
      <c r="H6" s="181"/>
      <c r="I6" s="182" t="s">
        <v>81</v>
      </c>
      <c r="J6" s="183"/>
      <c r="K6" s="183"/>
      <c r="L6" s="183"/>
      <c r="M6" s="183"/>
      <c r="N6" s="184" t="s">
        <v>82</v>
      </c>
      <c r="O6" s="184" t="s">
        <v>83</v>
      </c>
      <c r="P6" s="184" t="s">
        <v>84</v>
      </c>
      <c r="Q6" s="183" t="s">
        <v>85</v>
      </c>
      <c r="R6" s="183"/>
      <c r="S6" s="183"/>
      <c r="T6" s="183"/>
      <c r="U6" s="183"/>
      <c r="V6" s="183"/>
      <c r="W6" s="183"/>
      <c r="X6" s="187"/>
      <c r="Y6" s="182" t="s">
        <v>86</v>
      </c>
      <c r="Z6" s="183"/>
      <c r="AA6" s="183"/>
      <c r="AB6" s="187"/>
      <c r="AC6" s="188" t="s">
        <v>87</v>
      </c>
      <c r="AD6" s="189"/>
      <c r="AE6" s="189"/>
      <c r="AF6" s="189"/>
      <c r="AG6" s="189"/>
      <c r="AH6" s="189"/>
      <c r="AI6" s="190" t="s">
        <v>88</v>
      </c>
      <c r="AJ6" s="191"/>
      <c r="AK6" s="192"/>
      <c r="AL6" s="180" t="s">
        <v>89</v>
      </c>
      <c r="AM6" s="193"/>
      <c r="AN6" s="181"/>
    </row>
    <row r="7" spans="2:40" ht="45.75" customHeight="1" thickBot="1" x14ac:dyDescent="0.3">
      <c r="B7" s="31" t="s">
        <v>90</v>
      </c>
      <c r="C7" s="32" t="s">
        <v>91</v>
      </c>
      <c r="D7" s="32" t="s">
        <v>92</v>
      </c>
      <c r="E7" s="33" t="s">
        <v>93</v>
      </c>
      <c r="F7" s="34" t="s">
        <v>94</v>
      </c>
      <c r="G7" s="35" t="s">
        <v>95</v>
      </c>
      <c r="H7" s="34" t="s">
        <v>96</v>
      </c>
      <c r="I7" s="36" t="s">
        <v>97</v>
      </c>
      <c r="J7" s="37" t="s">
        <v>98</v>
      </c>
      <c r="K7" s="38" t="s">
        <v>99</v>
      </c>
      <c r="L7" s="39" t="s">
        <v>100</v>
      </c>
      <c r="M7" s="40" t="s">
        <v>101</v>
      </c>
      <c r="N7" s="185"/>
      <c r="O7" s="186"/>
      <c r="P7" s="186"/>
      <c r="Q7" s="40" t="s">
        <v>102</v>
      </c>
      <c r="R7" s="41" t="s">
        <v>103</v>
      </c>
      <c r="S7" s="31" t="s">
        <v>104</v>
      </c>
      <c r="T7" s="31" t="s">
        <v>105</v>
      </c>
      <c r="U7" s="31" t="s">
        <v>106</v>
      </c>
      <c r="V7" s="31" t="s">
        <v>107</v>
      </c>
      <c r="W7" s="31" t="s">
        <v>108</v>
      </c>
      <c r="X7" s="31" t="s">
        <v>109</v>
      </c>
      <c r="Y7" s="42" t="s">
        <v>110</v>
      </c>
      <c r="Z7" s="38" t="s">
        <v>99</v>
      </c>
      <c r="AA7" s="39" t="s">
        <v>100</v>
      </c>
      <c r="AB7" s="43" t="s">
        <v>111</v>
      </c>
      <c r="AC7" s="44" t="s">
        <v>87</v>
      </c>
      <c r="AD7" s="45" t="s">
        <v>8</v>
      </c>
      <c r="AE7" s="45" t="s">
        <v>112</v>
      </c>
      <c r="AF7" s="45" t="s">
        <v>113</v>
      </c>
      <c r="AG7" s="45" t="s">
        <v>114</v>
      </c>
      <c r="AH7" s="38" t="s">
        <v>115</v>
      </c>
      <c r="AI7" s="44" t="s">
        <v>116</v>
      </c>
      <c r="AJ7" s="39" t="s">
        <v>117</v>
      </c>
      <c r="AK7" s="43" t="s">
        <v>8</v>
      </c>
      <c r="AL7" s="45" t="s">
        <v>99</v>
      </c>
      <c r="AM7" s="39" t="s">
        <v>100</v>
      </c>
      <c r="AN7" s="43" t="s">
        <v>118</v>
      </c>
    </row>
    <row r="8" spans="2:40" ht="45.75" customHeight="1" x14ac:dyDescent="0.25">
      <c r="B8" s="46" t="s">
        <v>119</v>
      </c>
      <c r="C8" s="47" t="s">
        <v>130</v>
      </c>
      <c r="D8" s="48" t="s">
        <v>131</v>
      </c>
      <c r="E8" s="49" t="s">
        <v>132</v>
      </c>
      <c r="F8" s="50" t="s">
        <v>133</v>
      </c>
      <c r="G8" s="51" t="s">
        <v>120</v>
      </c>
      <c r="H8" s="52" t="s">
        <v>121</v>
      </c>
      <c r="I8" s="53" t="s">
        <v>134</v>
      </c>
      <c r="J8" s="54" t="s">
        <v>135</v>
      </c>
      <c r="K8" s="55">
        <v>2</v>
      </c>
      <c r="L8" s="56">
        <v>3</v>
      </c>
      <c r="M8" s="57">
        <f>K8*L8</f>
        <v>6</v>
      </c>
      <c r="N8" s="53" t="s">
        <v>136</v>
      </c>
      <c r="O8" s="58" t="s">
        <v>122</v>
      </c>
      <c r="P8" s="1" t="s">
        <v>137</v>
      </c>
      <c r="Q8" s="2">
        <v>0</v>
      </c>
      <c r="R8" s="59">
        <v>5</v>
      </c>
      <c r="S8" s="59">
        <v>0</v>
      </c>
      <c r="T8" s="59">
        <v>10</v>
      </c>
      <c r="U8" s="59">
        <v>15</v>
      </c>
      <c r="V8" s="59">
        <v>10</v>
      </c>
      <c r="W8" s="59">
        <v>30</v>
      </c>
      <c r="X8" s="60">
        <f>SUM(Q8:W8)</f>
        <v>70</v>
      </c>
      <c r="Y8" s="20">
        <f>IF(X8&lt;51,"0",IF(X8&lt;76,1,2))</f>
        <v>1</v>
      </c>
      <c r="Z8" s="61">
        <v>1</v>
      </c>
      <c r="AA8" s="62">
        <f>L8</f>
        <v>3</v>
      </c>
      <c r="AB8" s="63">
        <f t="shared" ref="AB8:AB11" si="0">Z8*AA8</f>
        <v>3</v>
      </c>
      <c r="AC8" s="64" t="s">
        <v>138</v>
      </c>
      <c r="AD8" s="65" t="s">
        <v>139</v>
      </c>
      <c r="AE8" s="66" t="s">
        <v>127</v>
      </c>
      <c r="AF8" s="67" t="s">
        <v>125</v>
      </c>
      <c r="AG8" s="68" t="s">
        <v>126</v>
      </c>
      <c r="AH8" s="69" t="s">
        <v>140</v>
      </c>
      <c r="AI8" s="70" t="s">
        <v>141</v>
      </c>
      <c r="AJ8" s="71" t="s">
        <v>127</v>
      </c>
      <c r="AK8" s="1" t="s">
        <v>142</v>
      </c>
      <c r="AL8" s="66">
        <v>1</v>
      </c>
      <c r="AM8" s="61">
        <v>3</v>
      </c>
      <c r="AN8" s="52">
        <f>AL8*AM8</f>
        <v>3</v>
      </c>
    </row>
    <row r="9" spans="2:40" ht="45.75" customHeight="1" x14ac:dyDescent="0.25">
      <c r="B9" s="51" t="s">
        <v>129</v>
      </c>
      <c r="C9" s="47" t="s">
        <v>21</v>
      </c>
      <c r="D9" s="48" t="s">
        <v>144</v>
      </c>
      <c r="E9" s="48" t="s">
        <v>145</v>
      </c>
      <c r="F9" s="50" t="s">
        <v>144</v>
      </c>
      <c r="G9" s="51" t="s">
        <v>120</v>
      </c>
      <c r="H9" s="52" t="s">
        <v>121</v>
      </c>
      <c r="I9" s="53" t="s">
        <v>146</v>
      </c>
      <c r="J9" s="54" t="s">
        <v>147</v>
      </c>
      <c r="K9" s="55">
        <v>1</v>
      </c>
      <c r="L9" s="72">
        <v>3</v>
      </c>
      <c r="M9" s="57">
        <f t="shared" ref="M9:M10" si="1">K9*L9</f>
        <v>3</v>
      </c>
      <c r="N9" s="53" t="s">
        <v>148</v>
      </c>
      <c r="O9" s="58" t="s">
        <v>122</v>
      </c>
      <c r="P9" s="1" t="s">
        <v>123</v>
      </c>
      <c r="Q9" s="64">
        <v>15</v>
      </c>
      <c r="R9" s="73">
        <v>5</v>
      </c>
      <c r="S9" s="73">
        <v>0</v>
      </c>
      <c r="T9" s="73">
        <v>10</v>
      </c>
      <c r="U9" s="73">
        <v>15</v>
      </c>
      <c r="V9" s="73">
        <v>10</v>
      </c>
      <c r="W9" s="73">
        <v>30</v>
      </c>
      <c r="X9" s="60">
        <f>SUM(Q9:W9)</f>
        <v>85</v>
      </c>
      <c r="Y9" s="20">
        <v>1</v>
      </c>
      <c r="Z9" s="61">
        <v>1</v>
      </c>
      <c r="AA9" s="62">
        <f t="shared" ref="AA9" si="2">L9</f>
        <v>3</v>
      </c>
      <c r="AB9" s="63">
        <f t="shared" si="0"/>
        <v>3</v>
      </c>
      <c r="AC9" s="64" t="s">
        <v>138</v>
      </c>
      <c r="AD9" s="65" t="s">
        <v>149</v>
      </c>
      <c r="AE9" s="66" t="s">
        <v>123</v>
      </c>
      <c r="AF9" s="74"/>
      <c r="AG9" s="66" t="s">
        <v>126</v>
      </c>
      <c r="AH9" s="69" t="s">
        <v>150</v>
      </c>
      <c r="AI9" s="70" t="s">
        <v>126</v>
      </c>
      <c r="AJ9" s="71" t="s">
        <v>127</v>
      </c>
      <c r="AK9" s="1" t="s">
        <v>128</v>
      </c>
      <c r="AL9" s="66">
        <v>1</v>
      </c>
      <c r="AM9" s="61">
        <v>3</v>
      </c>
      <c r="AN9" s="52">
        <f t="shared" ref="AN9:AN11" si="3">AL9*AM9</f>
        <v>3</v>
      </c>
    </row>
    <row r="10" spans="2:40" ht="45.75" customHeight="1" x14ac:dyDescent="0.25">
      <c r="B10" s="46" t="s">
        <v>143</v>
      </c>
      <c r="C10" s="75" t="s">
        <v>21</v>
      </c>
      <c r="D10" s="76" t="s">
        <v>152</v>
      </c>
      <c r="E10" s="77" t="s">
        <v>153</v>
      </c>
      <c r="F10" s="78" t="s">
        <v>154</v>
      </c>
      <c r="G10" s="46" t="s">
        <v>120</v>
      </c>
      <c r="H10" s="79" t="s">
        <v>121</v>
      </c>
      <c r="I10" s="80" t="s">
        <v>155</v>
      </c>
      <c r="J10" s="81" t="s">
        <v>156</v>
      </c>
      <c r="K10" s="82">
        <v>1</v>
      </c>
      <c r="L10" s="83">
        <v>1</v>
      </c>
      <c r="M10" s="57">
        <f t="shared" si="1"/>
        <v>1</v>
      </c>
      <c r="N10" s="53" t="s">
        <v>157</v>
      </c>
      <c r="O10" s="58" t="s">
        <v>122</v>
      </c>
      <c r="P10" s="1" t="s">
        <v>123</v>
      </c>
      <c r="Q10" s="2">
        <v>0</v>
      </c>
      <c r="R10" s="59">
        <v>5</v>
      </c>
      <c r="S10" s="59">
        <v>0</v>
      </c>
      <c r="T10" s="59">
        <v>10</v>
      </c>
      <c r="U10" s="59">
        <v>15</v>
      </c>
      <c r="V10" s="59">
        <v>10</v>
      </c>
      <c r="W10" s="59">
        <v>30</v>
      </c>
      <c r="X10" s="60">
        <f>SUM(Q10,R10:W10)</f>
        <v>70</v>
      </c>
      <c r="Y10" s="20">
        <v>1</v>
      </c>
      <c r="Z10" s="61">
        <v>1</v>
      </c>
      <c r="AA10" s="62">
        <v>1</v>
      </c>
      <c r="AB10" s="63">
        <f t="shared" si="0"/>
        <v>1</v>
      </c>
      <c r="AC10" s="64" t="s">
        <v>138</v>
      </c>
      <c r="AD10" s="65" t="s">
        <v>158</v>
      </c>
      <c r="AE10" s="66" t="s">
        <v>123</v>
      </c>
      <c r="AF10" s="67" t="s">
        <v>126</v>
      </c>
      <c r="AG10" s="68" t="s">
        <v>126</v>
      </c>
      <c r="AH10" s="54" t="s">
        <v>159</v>
      </c>
      <c r="AI10" s="70" t="s">
        <v>126</v>
      </c>
      <c r="AJ10" s="71" t="s">
        <v>126</v>
      </c>
      <c r="AK10" s="1" t="s">
        <v>126</v>
      </c>
      <c r="AL10" s="66">
        <v>1</v>
      </c>
      <c r="AM10" s="61">
        <v>1</v>
      </c>
      <c r="AN10" s="52">
        <f>AL10*AM10</f>
        <v>1</v>
      </c>
    </row>
    <row r="11" spans="2:40" ht="45.75" customHeight="1" x14ac:dyDescent="0.25">
      <c r="B11" s="51" t="s">
        <v>151</v>
      </c>
      <c r="C11" s="47" t="s">
        <v>21</v>
      </c>
      <c r="D11" s="48" t="s">
        <v>160</v>
      </c>
      <c r="E11" s="49" t="s">
        <v>161</v>
      </c>
      <c r="F11" s="1" t="s">
        <v>162</v>
      </c>
      <c r="G11" s="2" t="s">
        <v>120</v>
      </c>
      <c r="H11" s="52" t="s">
        <v>163</v>
      </c>
      <c r="I11" s="53" t="s">
        <v>164</v>
      </c>
      <c r="J11" s="54" t="s">
        <v>165</v>
      </c>
      <c r="K11" s="84">
        <v>1</v>
      </c>
      <c r="L11" s="56">
        <v>1</v>
      </c>
      <c r="M11" s="57">
        <f>K11*L11</f>
        <v>1</v>
      </c>
      <c r="N11" s="70" t="s">
        <v>166</v>
      </c>
      <c r="O11" s="58" t="s">
        <v>122</v>
      </c>
      <c r="P11" s="1" t="s">
        <v>167</v>
      </c>
      <c r="Q11" s="64">
        <v>15</v>
      </c>
      <c r="R11" s="73">
        <v>5</v>
      </c>
      <c r="S11" s="73">
        <v>0</v>
      </c>
      <c r="T11" s="73">
        <v>10</v>
      </c>
      <c r="U11" s="73">
        <v>15</v>
      </c>
      <c r="V11" s="73">
        <v>10</v>
      </c>
      <c r="W11" s="73">
        <v>30</v>
      </c>
      <c r="X11" s="60">
        <f>SUM(Q11+R11+S11+T11+U11+V11+W11)</f>
        <v>85</v>
      </c>
      <c r="Y11" s="20">
        <v>2</v>
      </c>
      <c r="Z11" s="61">
        <v>1</v>
      </c>
      <c r="AA11" s="62">
        <v>1</v>
      </c>
      <c r="AB11" s="63">
        <f t="shared" si="0"/>
        <v>1</v>
      </c>
      <c r="AC11" s="64" t="s">
        <v>138</v>
      </c>
      <c r="AD11" s="65" t="s">
        <v>168</v>
      </c>
      <c r="AE11" s="66"/>
      <c r="AF11" s="74"/>
      <c r="AG11" s="66"/>
      <c r="AH11" s="85"/>
      <c r="AI11" s="70"/>
      <c r="AJ11" s="86"/>
      <c r="AK11" s="87"/>
      <c r="AL11" s="66">
        <v>1</v>
      </c>
      <c r="AM11" s="61">
        <v>4</v>
      </c>
      <c r="AN11" s="52">
        <f t="shared" si="3"/>
        <v>4</v>
      </c>
    </row>
    <row r="12" spans="2:40" s="88" customFormat="1" ht="45.75" customHeight="1" x14ac:dyDescent="0.25"/>
    <row r="13" spans="2:40" s="88" customFormat="1" ht="45.75" customHeight="1" x14ac:dyDescent="0.25"/>
    <row r="19" spans="5:5" ht="45.75" customHeight="1" x14ac:dyDescent="0.25">
      <c r="E19" s="89"/>
    </row>
  </sheetData>
  <protectedRanges>
    <protectedRange algorithmName="SHA-512" hashValue="5xaXayWfj/OlxJDQ6y6u1JGLc08tRj4gK1rwuGn3xlR6SxElAnNS7EtidVz/t8d07LTvWeSA7e7Jjd3uXhPaww==" saltValue="l03RuLYk97QR1bZGVlmQMw==" spinCount="100000" sqref="A1:V1" name="Rango1"/>
  </protectedRanges>
  <mergeCells count="15">
    <mergeCell ref="B2:E3"/>
    <mergeCell ref="F2:AJ3"/>
    <mergeCell ref="AL2:AN2"/>
    <mergeCell ref="AL3:AN3"/>
    <mergeCell ref="B6:F6"/>
    <mergeCell ref="G6:H6"/>
    <mergeCell ref="I6:M6"/>
    <mergeCell ref="N6:N7"/>
    <mergeCell ref="O6:O7"/>
    <mergeCell ref="P6:P7"/>
    <mergeCell ref="Q6:X6"/>
    <mergeCell ref="Y6:AB6"/>
    <mergeCell ref="AC6:AH6"/>
    <mergeCell ref="AI6:AK6"/>
    <mergeCell ref="AL6:AN6"/>
  </mergeCells>
  <conditionalFormatting sqref="M8:M11">
    <cfRule type="cellIs" dxfId="7" priority="1" operator="between">
      <formula>12</formula>
      <formula>16</formula>
    </cfRule>
    <cfRule type="cellIs" dxfId="6" priority="2" operator="between">
      <formula>4</formula>
      <formula>6</formula>
    </cfRule>
    <cfRule type="cellIs" dxfId="5" priority="3" operator="between">
      <formula>8</formula>
      <formula>9</formula>
    </cfRule>
    <cfRule type="cellIs" dxfId="4" priority="4" operator="between">
      <formula>1</formula>
      <formula>3</formula>
    </cfRule>
  </conditionalFormatting>
  <conditionalFormatting sqref="AB8:AH11 AN8:AN11">
    <cfRule type="cellIs" dxfId="3" priority="5" operator="between">
      <formula>12</formula>
      <formula>16</formula>
    </cfRule>
    <cfRule type="cellIs" dxfId="2" priority="5" operator="between">
      <formula>8</formula>
      <formula>9</formula>
    </cfRule>
    <cfRule type="cellIs" dxfId="1" priority="5" operator="between">
      <formula>4</formula>
      <formula>6</formula>
    </cfRule>
    <cfRule type="cellIs" dxfId="0" priority="5" operator="between">
      <formula>1</formula>
      <formula>3</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4B4-96ED-46E9-B6AA-AFE4BE14A8A1}">
  <dimension ref="A2:K37"/>
  <sheetViews>
    <sheetView zoomScaleNormal="100" workbookViewId="0">
      <selection activeCell="O34" sqref="O34"/>
    </sheetView>
  </sheetViews>
  <sheetFormatPr baseColWidth="10" defaultColWidth="11.44140625" defaultRowHeight="13.2" x14ac:dyDescent="0.25"/>
  <cols>
    <col min="1" max="1" width="8.33203125" style="4" customWidth="1"/>
    <col min="2" max="2" width="27.6640625" style="4" customWidth="1"/>
    <col min="3" max="3" width="49.5546875" style="4" customWidth="1"/>
    <col min="4" max="4" width="59" style="4" customWidth="1"/>
    <col min="5" max="12" width="11.44140625" style="4"/>
    <col min="13" max="13" width="26.109375" style="4" bestFit="1" customWidth="1"/>
    <col min="14" max="14" width="18" style="4" bestFit="1" customWidth="1"/>
    <col min="15" max="16384" width="11.44140625" style="4"/>
  </cols>
  <sheetData>
    <row r="2" spans="1:4" ht="48.75" customHeight="1" x14ac:dyDescent="0.3">
      <c r="A2" s="3">
        <v>1</v>
      </c>
    </row>
    <row r="3" spans="1:4" ht="32.25" customHeight="1" x14ac:dyDescent="0.3">
      <c r="A3" s="3">
        <v>2</v>
      </c>
    </row>
    <row r="4" spans="1:4" ht="14.4" x14ac:dyDescent="0.3">
      <c r="A4" s="3">
        <v>3</v>
      </c>
    </row>
    <row r="5" spans="1:4" ht="14.4" x14ac:dyDescent="0.3">
      <c r="A5" s="3">
        <v>4</v>
      </c>
    </row>
    <row r="6" spans="1:4" ht="47.25" customHeight="1" x14ac:dyDescent="0.25">
      <c r="D6" s="5"/>
    </row>
    <row r="7" spans="1:4" ht="13.8" x14ac:dyDescent="0.25">
      <c r="D7" s="5"/>
    </row>
    <row r="8" spans="1:4" ht="13.8" x14ac:dyDescent="0.25">
      <c r="D8" s="5"/>
    </row>
    <row r="9" spans="1:4" ht="13.8" x14ac:dyDescent="0.25">
      <c r="D9" s="5"/>
    </row>
    <row r="10" spans="1:4" ht="13.8" x14ac:dyDescent="0.25">
      <c r="D10" s="5"/>
    </row>
    <row r="11" spans="1:4" ht="13.8" x14ac:dyDescent="0.25">
      <c r="D11" s="5"/>
    </row>
    <row r="12" spans="1:4" ht="13.8" x14ac:dyDescent="0.25">
      <c r="D12" s="5"/>
    </row>
    <row r="13" spans="1:4" ht="13.8" x14ac:dyDescent="0.25">
      <c r="D13" s="5"/>
    </row>
    <row r="14" spans="1:4" ht="13.8" x14ac:dyDescent="0.25">
      <c r="D14" s="5"/>
    </row>
    <row r="15" spans="1:4" ht="13.8" x14ac:dyDescent="0.25">
      <c r="D15" s="5"/>
    </row>
    <row r="16" spans="1:4" ht="13.8" x14ac:dyDescent="0.25">
      <c r="D16" s="5"/>
    </row>
    <row r="17" spans="2:11" ht="13.8" x14ac:dyDescent="0.25">
      <c r="D17" s="5"/>
    </row>
    <row r="19" spans="2:11" ht="13.8" thickBot="1" x14ac:dyDescent="0.3"/>
    <row r="20" spans="2:11" ht="14.4" thickBot="1" x14ac:dyDescent="0.3">
      <c r="B20" s="6" t="s">
        <v>169</v>
      </c>
      <c r="C20" s="6" t="s">
        <v>170</v>
      </c>
      <c r="D20" s="7" t="s">
        <v>171</v>
      </c>
      <c r="E20" s="8"/>
      <c r="F20" s="8"/>
      <c r="G20" s="8"/>
      <c r="H20" s="8"/>
      <c r="I20" s="8"/>
      <c r="J20" s="8"/>
      <c r="K20" s="8"/>
    </row>
    <row r="21" spans="2:11" ht="49.5" customHeight="1" thickBot="1" x14ac:dyDescent="0.3">
      <c r="B21" s="9" t="s">
        <v>172</v>
      </c>
      <c r="C21" s="10" t="s">
        <v>173</v>
      </c>
      <c r="D21" s="11" t="s">
        <v>174</v>
      </c>
    </row>
    <row r="22" spans="2:11" ht="66.75" customHeight="1" x14ac:dyDescent="0.25">
      <c r="B22" s="12" t="s">
        <v>175</v>
      </c>
      <c r="C22" s="13" t="s">
        <v>176</v>
      </c>
      <c r="D22" s="14" t="s">
        <v>177</v>
      </c>
    </row>
    <row r="23" spans="2:11" ht="106.5" customHeight="1" x14ac:dyDescent="0.25">
      <c r="B23" s="15" t="s">
        <v>178</v>
      </c>
      <c r="C23" s="16" t="s">
        <v>179</v>
      </c>
      <c r="D23" s="14" t="s">
        <v>180</v>
      </c>
    </row>
    <row r="24" spans="2:11" ht="106.5" customHeight="1" thickBot="1" x14ac:dyDescent="0.3">
      <c r="B24" s="17" t="s">
        <v>181</v>
      </c>
      <c r="C24" s="18" t="s">
        <v>182</v>
      </c>
      <c r="D24" s="19" t="s">
        <v>183</v>
      </c>
    </row>
    <row r="31" spans="2:11" ht="13.8" thickBot="1" x14ac:dyDescent="0.3"/>
    <row r="32" spans="2:11" ht="14.4" thickBot="1" x14ac:dyDescent="0.3">
      <c r="B32" s="194" t="s">
        <v>87</v>
      </c>
      <c r="C32" s="195"/>
    </row>
    <row r="33" spans="2:3" ht="55.2" x14ac:dyDescent="0.25">
      <c r="B33" s="20" t="s">
        <v>138</v>
      </c>
      <c r="C33" s="21" t="s">
        <v>184</v>
      </c>
    </row>
    <row r="34" spans="2:3" ht="55.2" x14ac:dyDescent="0.25">
      <c r="B34" s="22" t="s">
        <v>185</v>
      </c>
      <c r="C34" s="23" t="s">
        <v>186</v>
      </c>
    </row>
    <row r="35" spans="2:3" ht="124.2" x14ac:dyDescent="0.25">
      <c r="B35" s="22" t="s">
        <v>124</v>
      </c>
      <c r="C35" s="23" t="s">
        <v>187</v>
      </c>
    </row>
    <row r="36" spans="2:3" ht="96.6" x14ac:dyDescent="0.25">
      <c r="B36" s="22" t="s">
        <v>188</v>
      </c>
      <c r="C36" s="23" t="s">
        <v>189</v>
      </c>
    </row>
    <row r="37" spans="2:3" ht="69.599999999999994" thickBot="1" x14ac:dyDescent="0.3">
      <c r="B37" s="24" t="s">
        <v>190</v>
      </c>
      <c r="C37" s="25" t="s">
        <v>191</v>
      </c>
    </row>
  </sheetData>
  <mergeCells count="1">
    <mergeCell ref="B32:C32"/>
  </mergeCells>
  <pageMargins left="0.7" right="0.7" top="0.75" bottom="0.75" header="0.3" footer="0.3"/>
  <pageSetup paperSize="9" scale="53" orientation="portrait" r:id="rId1"/>
  <colBreaks count="1" manualBreakCount="1">
    <brk id="6" max="44" man="1"/>
  </col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7" ma:contentTypeDescription="Crear nuevo documento." ma:contentTypeScope="" ma:versionID="c72ee4814265a5f888a149c806f76055">
  <xsd:schema xmlns:xsd="http://www.w3.org/2001/XMLSchema" xmlns:xs="http://www.w3.org/2001/XMLSchema" xmlns:p="http://schemas.microsoft.com/office/2006/metadata/properties" xmlns:ns2="6d25fb09-3c3f-4221-b7db-31ec8f4c6990" targetNamespace="http://schemas.microsoft.com/office/2006/metadata/properties" ma:root="true" ma:fieldsID="f54fb06cd598391d5106d25d3ae255b1" ns2:_="">
    <xsd:import namespace="6d25fb09-3c3f-4221-b7db-31ec8f4c699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5fb09-3c3f-4221-b7db-31ec8f4c69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4B36E55-BCB5-4134-9100-DAB966D5C0B5}"/>
</file>

<file path=customXml/itemProps2.xml><?xml version="1.0" encoding="utf-8"?>
<ds:datastoreItem xmlns:ds="http://schemas.openxmlformats.org/officeDocument/2006/customXml" ds:itemID="{E7D5EEFA-BDD1-4795-9CBC-804752ED6CDB}"/>
</file>

<file path=customXml/itemProps3.xml><?xml version="1.0" encoding="utf-8"?>
<ds:datastoreItem xmlns:ds="http://schemas.openxmlformats.org/officeDocument/2006/customXml" ds:itemID="{9ECEEF63-A0D8-4CBD-9808-0BE6C587D8C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Caracterización de procesos</vt:lpstr>
      <vt:lpstr>Matriz de riesgo </vt:lpstr>
      <vt:lpstr>Calificacion y semaforizacion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Talento Humano1</dc:creator>
  <cp:lastModifiedBy>Heisa Buelvas</cp:lastModifiedBy>
  <dcterms:created xsi:type="dcterms:W3CDTF">2011-10-24T21:16:28Z</dcterms:created>
  <dcterms:modified xsi:type="dcterms:W3CDTF">2025-10-16T20:43:16Z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107900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