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24226"/>
  <mc:AlternateContent xmlns:mc="http://schemas.openxmlformats.org/markup-compatibility/2006">
    <mc:Choice Requires="x15">
      <x15ac:absPath xmlns:x15ac="http://schemas.microsoft.com/office/spreadsheetml/2010/11/ac" url="\\10.10.50.91\calidad biosteel\SISTEMA DE GESTION DE CALIDAD\1. CALIDAD\6. CONSOLIDADO DE ACCIONES\"/>
    </mc:Choice>
  </mc:AlternateContent>
  <xr:revisionPtr revIDLastSave="0" documentId="13_ncr:1_{BE569DAD-D815-472D-A024-903C5BA90504}" xr6:coauthVersionLast="47" xr6:coauthVersionMax="47" xr10:uidLastSave="{00000000-0000-0000-0000-000000000000}"/>
  <bookViews>
    <workbookView xWindow="-120" yWindow="-120" windowWidth="20730" windowHeight="11040" xr2:uid="{00000000-000D-0000-FFFF-FFFF00000000}"/>
  </bookViews>
  <sheets>
    <sheet name="Consolidado" sheetId="1" r:id="rId1"/>
    <sheet name="Hoja1" sheetId="2" r:id="rId2"/>
  </sheets>
  <externalReferences>
    <externalReference r:id="rId3"/>
  </externalReferences>
  <definedNames>
    <definedName name="_xlnm._FilterDatabase" localSheetId="0" hidden="1">Consolidado!$B$1:$W$165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91" i="1" l="1"/>
  <c r="N190" i="1"/>
  <c r="N187" i="1"/>
  <c r="N189" i="1"/>
  <c r="N197" i="1"/>
  <c r="N188" i="1"/>
  <c r="N186" i="1"/>
  <c r="N185" i="1"/>
  <c r="N184" i="1"/>
  <c r="N183" i="1"/>
  <c r="N182" i="1"/>
  <c r="N181" i="1"/>
  <c r="N180" i="1"/>
  <c r="N179" i="1"/>
  <c r="N178" i="1"/>
  <c r="N177" i="1"/>
  <c r="N176" i="1"/>
  <c r="N175" i="1"/>
  <c r="N3" i="1"/>
  <c r="O3" i="1" s="1"/>
  <c r="N4" i="1"/>
  <c r="O4" i="1" s="1"/>
  <c r="N5" i="1"/>
  <c r="O5" i="1" s="1"/>
  <c r="N6" i="1"/>
  <c r="O6" i="1" s="1"/>
  <c r="N7" i="1"/>
  <c r="O7" i="1" s="1"/>
  <c r="N8" i="1"/>
  <c r="O8" i="1" s="1"/>
  <c r="N9" i="1"/>
  <c r="O9" i="1" s="1"/>
  <c r="N10" i="1"/>
  <c r="O10" i="1" s="1"/>
  <c r="N11" i="1"/>
  <c r="O11" i="1" s="1"/>
  <c r="N12" i="1"/>
  <c r="O12" i="1" s="1"/>
  <c r="N13" i="1"/>
  <c r="O13" i="1" s="1"/>
  <c r="N14" i="1"/>
  <c r="O14" i="1" s="1"/>
  <c r="N15" i="1"/>
  <c r="O15" i="1" s="1"/>
  <c r="N16" i="1"/>
  <c r="O16" i="1" s="1"/>
  <c r="N17" i="1"/>
  <c r="O17" i="1" s="1"/>
  <c r="N18" i="1"/>
  <c r="O18" i="1" s="1"/>
  <c r="N19" i="1"/>
  <c r="O19" i="1" s="1"/>
  <c r="N20" i="1"/>
  <c r="O20" i="1" s="1"/>
  <c r="N21" i="1"/>
  <c r="O21" i="1" s="1"/>
  <c r="N22" i="1"/>
  <c r="O22" i="1" s="1"/>
  <c r="N23" i="1"/>
  <c r="N24" i="1"/>
  <c r="O24" i="1" s="1"/>
  <c r="N25" i="1"/>
  <c r="O25" i="1" s="1"/>
  <c r="N26" i="1"/>
  <c r="O26" i="1" s="1"/>
  <c r="N27" i="1"/>
  <c r="O27" i="1" s="1"/>
  <c r="N28" i="1"/>
  <c r="O28" i="1" s="1"/>
  <c r="N29" i="1"/>
  <c r="O29" i="1" s="1"/>
  <c r="N30" i="1"/>
  <c r="O30" i="1" s="1"/>
  <c r="N31" i="1"/>
  <c r="O31" i="1" s="1"/>
  <c r="N32" i="1"/>
  <c r="O32" i="1" s="1"/>
  <c r="N33" i="1"/>
  <c r="O33" i="1" s="1"/>
  <c r="N34" i="1"/>
  <c r="O34" i="1" s="1"/>
  <c r="N35" i="1"/>
  <c r="O35" i="1" s="1"/>
  <c r="N36" i="1"/>
  <c r="O36" i="1" s="1"/>
  <c r="N37" i="1"/>
  <c r="O37" i="1" s="1"/>
  <c r="N38" i="1"/>
  <c r="O38" i="1" s="1"/>
  <c r="N39" i="1"/>
  <c r="O39" i="1" s="1"/>
  <c r="N40" i="1"/>
  <c r="O40" i="1" s="1"/>
  <c r="N41" i="1"/>
  <c r="O41" i="1" s="1"/>
  <c r="N42" i="1"/>
  <c r="O42" i="1" s="1"/>
  <c r="N43" i="1"/>
  <c r="O43" i="1" s="1"/>
  <c r="N44" i="1"/>
  <c r="O44" i="1" s="1"/>
  <c r="N45" i="1"/>
  <c r="O45" i="1" s="1"/>
  <c r="N46" i="1"/>
  <c r="O46" i="1" s="1"/>
  <c r="N47" i="1"/>
  <c r="O47" i="1" s="1"/>
  <c r="N48" i="1"/>
  <c r="O48" i="1" s="1"/>
  <c r="N49" i="1"/>
  <c r="O49" i="1" s="1"/>
  <c r="N50" i="1"/>
  <c r="O50" i="1" s="1"/>
  <c r="N51" i="1"/>
  <c r="O51" i="1" s="1"/>
  <c r="N52" i="1"/>
  <c r="O52" i="1" s="1"/>
  <c r="N53" i="1"/>
  <c r="O53" i="1" s="1"/>
  <c r="N54" i="1"/>
  <c r="O54" i="1" s="1"/>
  <c r="N55" i="1"/>
  <c r="O55" i="1" s="1"/>
  <c r="N56" i="1"/>
  <c r="O56" i="1" s="1"/>
  <c r="N57" i="1"/>
  <c r="O57" i="1" s="1"/>
  <c r="N58" i="1"/>
  <c r="O58" i="1" s="1"/>
  <c r="N59" i="1"/>
  <c r="O59" i="1" s="1"/>
  <c r="N60" i="1"/>
  <c r="O60" i="1" s="1"/>
  <c r="N61" i="1"/>
  <c r="O61" i="1" s="1"/>
  <c r="N62" i="1"/>
  <c r="O62" i="1" s="1"/>
  <c r="N63" i="1"/>
  <c r="O63" i="1" s="1"/>
  <c r="N64" i="1"/>
  <c r="O64" i="1" s="1"/>
  <c r="N65" i="1"/>
  <c r="O65" i="1" s="1"/>
  <c r="N66" i="1"/>
  <c r="O66" i="1" s="1"/>
  <c r="N67" i="1"/>
  <c r="O67" i="1" s="1"/>
  <c r="N68" i="1"/>
  <c r="O68" i="1" s="1"/>
  <c r="N69" i="1"/>
  <c r="O69" i="1" s="1"/>
  <c r="N70" i="1"/>
  <c r="O70" i="1" s="1"/>
  <c r="N71" i="1"/>
  <c r="O71" i="1" s="1"/>
  <c r="N72" i="1"/>
  <c r="O72" i="1" s="1"/>
  <c r="N73" i="1"/>
  <c r="O73" i="1" s="1"/>
  <c r="N74" i="1"/>
  <c r="O74" i="1" s="1"/>
  <c r="N75" i="1"/>
  <c r="O75" i="1" s="1"/>
  <c r="N76" i="1"/>
  <c r="O76" i="1" s="1"/>
  <c r="N77" i="1"/>
  <c r="O77" i="1" s="1"/>
  <c r="N78" i="1"/>
  <c r="O78" i="1" s="1"/>
  <c r="N79" i="1"/>
  <c r="O79" i="1" s="1"/>
  <c r="N80" i="1"/>
  <c r="O80" i="1" s="1"/>
  <c r="N81" i="1"/>
  <c r="O81" i="1" s="1"/>
  <c r="N82" i="1"/>
  <c r="O82" i="1" s="1"/>
  <c r="N83" i="1"/>
  <c r="O83" i="1" s="1"/>
  <c r="N84" i="1"/>
  <c r="O84" i="1" s="1"/>
  <c r="N85" i="1"/>
  <c r="O85" i="1" s="1"/>
  <c r="N86" i="1"/>
  <c r="O86" i="1" s="1"/>
  <c r="N87" i="1"/>
  <c r="O87" i="1" s="1"/>
  <c r="N88" i="1"/>
  <c r="O88" i="1" s="1"/>
  <c r="N89" i="1"/>
  <c r="O89" i="1" s="1"/>
  <c r="N90" i="1"/>
  <c r="O90" i="1" s="1"/>
  <c r="N91" i="1"/>
  <c r="O91" i="1" s="1"/>
  <c r="N92" i="1"/>
  <c r="O92" i="1" s="1"/>
  <c r="N93" i="1"/>
  <c r="O93" i="1" s="1"/>
  <c r="N94" i="1"/>
  <c r="O94" i="1" s="1"/>
  <c r="N95" i="1"/>
  <c r="O95" i="1" s="1"/>
  <c r="N96" i="1"/>
  <c r="O96" i="1" s="1"/>
  <c r="N97" i="1"/>
  <c r="O97" i="1" s="1"/>
  <c r="N98" i="1"/>
  <c r="O98" i="1" s="1"/>
  <c r="N99" i="1"/>
  <c r="O99" i="1" s="1"/>
  <c r="N100" i="1"/>
  <c r="O100" i="1" s="1"/>
  <c r="N101" i="1"/>
  <c r="O101" i="1" s="1"/>
  <c r="N102" i="1"/>
  <c r="O102" i="1" s="1"/>
  <c r="N103" i="1"/>
  <c r="O103" i="1" s="1"/>
  <c r="N104" i="1"/>
  <c r="O104" i="1" s="1"/>
  <c r="N105" i="1"/>
  <c r="O105" i="1" s="1"/>
  <c r="N106" i="1"/>
  <c r="O106" i="1" s="1"/>
  <c r="N107" i="1"/>
  <c r="O107" i="1" s="1"/>
  <c r="N108" i="1"/>
  <c r="O108" i="1" s="1"/>
  <c r="N109" i="1"/>
  <c r="O109" i="1" s="1"/>
  <c r="N110" i="1"/>
  <c r="O110" i="1" s="1"/>
  <c r="N111" i="1"/>
  <c r="O111" i="1" s="1"/>
  <c r="N112" i="1"/>
  <c r="O112" i="1" s="1"/>
  <c r="N113" i="1"/>
  <c r="O113" i="1" s="1"/>
  <c r="N114" i="1"/>
  <c r="O114" i="1" s="1"/>
  <c r="N115" i="1"/>
  <c r="O115" i="1" s="1"/>
  <c r="N116" i="1"/>
  <c r="O116" i="1" s="1"/>
  <c r="N117" i="1"/>
  <c r="O117" i="1" s="1"/>
  <c r="N118" i="1"/>
  <c r="O118" i="1" s="1"/>
  <c r="N119" i="1"/>
  <c r="O119" i="1" s="1"/>
  <c r="N120" i="1"/>
  <c r="O120" i="1" s="1"/>
  <c r="N121" i="1"/>
  <c r="O121" i="1" s="1"/>
  <c r="N122" i="1"/>
  <c r="O122" i="1" s="1"/>
  <c r="N123" i="1"/>
  <c r="O123" i="1" s="1"/>
  <c r="N124" i="1"/>
  <c r="O124" i="1" s="1"/>
  <c r="N125" i="1"/>
  <c r="O125" i="1" s="1"/>
  <c r="N126" i="1"/>
  <c r="O126" i="1" s="1"/>
  <c r="N127" i="1"/>
  <c r="O127" i="1" s="1"/>
  <c r="N128" i="1"/>
  <c r="O128" i="1" s="1"/>
  <c r="N129" i="1"/>
  <c r="O129" i="1" s="1"/>
  <c r="N130" i="1"/>
  <c r="O130" i="1" s="1"/>
  <c r="N131" i="1"/>
  <c r="O131" i="1" s="1"/>
  <c r="N132" i="1"/>
  <c r="O132" i="1" s="1"/>
  <c r="N133" i="1"/>
  <c r="O133" i="1" s="1"/>
  <c r="N134" i="1"/>
  <c r="O134" i="1" s="1"/>
  <c r="N135" i="1"/>
  <c r="O135" i="1" s="1"/>
  <c r="N136" i="1"/>
  <c r="O136" i="1" s="1"/>
  <c r="N137" i="1"/>
  <c r="O137" i="1" s="1"/>
  <c r="N138" i="1"/>
  <c r="O138" i="1" s="1"/>
  <c r="N139" i="1"/>
  <c r="O139" i="1" s="1"/>
  <c r="N140" i="1"/>
  <c r="O140" i="1" s="1"/>
  <c r="N141" i="1"/>
  <c r="O141" i="1" s="1"/>
  <c r="N142" i="1"/>
  <c r="O142" i="1" s="1"/>
  <c r="N143" i="1"/>
  <c r="O143" i="1" s="1"/>
  <c r="N144" i="1"/>
  <c r="O144" i="1" s="1"/>
  <c r="N145" i="1"/>
  <c r="O145" i="1" s="1"/>
  <c r="N146" i="1"/>
  <c r="O146" i="1" s="1"/>
  <c r="N147" i="1"/>
  <c r="O147" i="1" s="1"/>
  <c r="N148" i="1"/>
  <c r="O148" i="1" s="1"/>
  <c r="N149" i="1"/>
  <c r="O149" i="1" s="1"/>
  <c r="N150" i="1"/>
  <c r="O150" i="1" s="1"/>
  <c r="N151" i="1"/>
  <c r="O151" i="1" s="1"/>
  <c r="N152" i="1"/>
  <c r="O152" i="1" s="1"/>
  <c r="N153" i="1"/>
  <c r="O153" i="1" s="1"/>
  <c r="N154" i="1"/>
  <c r="O154" i="1" s="1"/>
  <c r="N155" i="1"/>
  <c r="O155" i="1" s="1"/>
  <c r="N156" i="1"/>
  <c r="O156" i="1" s="1"/>
  <c r="N157" i="1"/>
  <c r="O157" i="1" s="1"/>
  <c r="N158" i="1"/>
  <c r="O158" i="1" s="1"/>
  <c r="N159" i="1"/>
  <c r="O159" i="1" s="1"/>
  <c r="N160" i="1"/>
  <c r="O160" i="1" s="1"/>
  <c r="N161" i="1"/>
  <c r="O161" i="1" s="1"/>
  <c r="N162" i="1"/>
  <c r="O162" i="1" s="1"/>
  <c r="N163" i="1"/>
  <c r="O163" i="1" s="1"/>
  <c r="N164" i="1"/>
  <c r="O164" i="1" s="1"/>
  <c r="N165" i="1"/>
  <c r="O165" i="1" s="1"/>
  <c r="N166" i="1"/>
  <c r="O166" i="1" s="1"/>
  <c r="N167" i="1"/>
  <c r="O167" i="1" s="1"/>
  <c r="N168" i="1"/>
  <c r="O168" i="1" s="1"/>
  <c r="N169" i="1"/>
  <c r="O169" i="1" s="1"/>
  <c r="N170" i="1"/>
  <c r="O170" i="1" s="1"/>
  <c r="N171" i="1"/>
  <c r="O171" i="1" s="1"/>
  <c r="N172" i="1"/>
  <c r="O172" i="1" s="1"/>
  <c r="N173" i="1"/>
  <c r="N174" i="1"/>
  <c r="O23" i="1"/>
  <c r="N2" i="1"/>
  <c r="O2" i="1" s="1"/>
</calcChain>
</file>

<file path=xl/sharedStrings.xml><?xml version="1.0" encoding="utf-8"?>
<sst xmlns="http://schemas.openxmlformats.org/spreadsheetml/2006/main" count="2125" uniqueCount="753">
  <si>
    <t>Nro.</t>
  </si>
  <si>
    <t>Tipo de hallazgo</t>
  </si>
  <si>
    <t>FUENTE</t>
  </si>
  <si>
    <t>REQUISITOS</t>
  </si>
  <si>
    <t>Proceso</t>
  </si>
  <si>
    <t>Descripción del hallazgo</t>
  </si>
  <si>
    <t>Tipo de Acción</t>
  </si>
  <si>
    <t>Descripción de la acción</t>
  </si>
  <si>
    <t>responsable</t>
  </si>
  <si>
    <t>Fecha de ejecución</t>
  </si>
  <si>
    <t>Fecha de Verficación</t>
  </si>
  <si>
    <t>Evidencia</t>
  </si>
  <si>
    <t>TipoB: En proceso</t>
  </si>
  <si>
    <t>TipoC: Pendiente</t>
  </si>
  <si>
    <t>OM</t>
  </si>
  <si>
    <t>Auditoría
JUNIO /2013</t>
  </si>
  <si>
    <t>ISO9001
Res 4002</t>
  </si>
  <si>
    <t>GC</t>
  </si>
  <si>
    <t>Se recomienda evaluar la forma en que la organización determina la secuencia e interacción de los procesos, sobre todo Asistencia Tecnica y Coordinación quirúrgica.</t>
  </si>
  <si>
    <t>AP</t>
  </si>
  <si>
    <t xml:space="preserve">* Revisar caracterización de procesos de Coordinación Quirurgica, Asistencia Técnica, gestión administrativa para definir la relación  procedimiento relacionados.
* Diseñar organigrama actualizado- Definiendo los niveles de autoridad
</t>
  </si>
  <si>
    <t>Carlos Jurado
Luis Carlos Perez</t>
  </si>
  <si>
    <t>Organigrama Biosteel V-2</t>
  </si>
  <si>
    <t>X</t>
  </si>
  <si>
    <t>A</t>
  </si>
  <si>
    <t>ADM</t>
  </si>
  <si>
    <t>Reforzar las actividades de divulgación para que los procesos comprendan mucho mejor las directrices de la política y su alineación con los objetivos estratégicos.</t>
  </si>
  <si>
    <t>Realizar divulgación y evaluación de la matriz de displiegue estrategico.</t>
  </si>
  <si>
    <t>Acta de Reunion Nro 7
10/08/2013</t>
  </si>
  <si>
    <t>Se recomienda evaluar la herramienta de correlación entre indicadores y política de manera que sea mucho más fácil entender por parte de los procesos el impacto de su desempeño en el cumplimiento de las metas estratégicas.</t>
  </si>
  <si>
    <t>Realizar matriz de despliegue de la politica, objetivos estrategicos, caracterización de procesos. Personal</t>
  </si>
  <si>
    <t xml:space="preserve">Carlos Jurado
</t>
  </si>
  <si>
    <t>Matriz de despliegue</t>
  </si>
  <si>
    <t>AT</t>
  </si>
  <si>
    <t>La organización garantiza la retroalimentación con su cliente a través del formato de asistencia técnica, sin embargo se recomienda definir un tamaño muestral estadísticamente significativo que permita garantizar el nivel de confianza de la percepción del cliente.</t>
  </si>
  <si>
    <t>Realizar definición de tamaño muestral de encuestas de satisfacción del cliente. Validación del tamaño de la muestra</t>
  </si>
  <si>
    <t>Se realizó analisis estadistico del tamaño de muetsra optimo</t>
  </si>
  <si>
    <t>Se recomienda tener en cuenta el enfoque por sistemas al momento de definir responsabilidades, funciones y autoridad en los procesos de gerencia administrativa, coordinación quirúrgica y asistencia técnica.</t>
  </si>
  <si>
    <t>Revisar caracterización de procesos de Coordinación Quirurgica, Asistencia Técnica, gestión administrativa para definir la relación  procedimiento relacionados. Incluir estas responsabilidades en el manual de funciones</t>
  </si>
  <si>
    <t>Actualizacion de los manuales de funciones</t>
  </si>
  <si>
    <t>NC</t>
  </si>
  <si>
    <t>No se establece en el manual de calidad la exclusión del numeral 7.3 diseño y desarrollo del Sistema de Gestión de Calidad</t>
  </si>
  <si>
    <t>AC</t>
  </si>
  <si>
    <t>Establecer en el manual de Calidad la exclusión de los numerales que no aplican.  Realizar actualización del manual de Calidad</t>
  </si>
  <si>
    <t>Carlos Jurado</t>
  </si>
  <si>
    <t xml:space="preserve">Version 3 de Manual de Calidad </t>
  </si>
  <si>
    <t>La organización no previno el uso no intencionado de documentos obsoletos, como el manual de calidad versión anterior por parte de la gerencia para la revisión de políticas y objetivos, y no aplicó una identificación adecuada en el caso de que se mantenga por cualquier razón.</t>
  </si>
  <si>
    <t>Imprimir el Manual de Calidad y entregarselo a la Gerencia Administrativa. Imprimir politica, matriz de despliege estrategico, mision y visión</t>
  </si>
  <si>
    <t>Luis Carlos Perez</t>
  </si>
  <si>
    <t>Version 3 de Manual de Calidad 
Acta de Cómite de Calidad 29/07/2013</t>
  </si>
  <si>
    <t>CQ</t>
  </si>
  <si>
    <t>La organización debe establecer un procedimiento documentado para definir los controles necesarios para la identificación, el almacenamiento, la protección, la recuperación, la retención y la disposición de los registros.
Evidencia:
-  El registro de hoja de gasto quirurgico no contempla los ítems de no de factura, no de caso, no de remisión, los cuales son necesarios por facturación para su proceso y son escritos de forma no controlada.
- El registro de ronda médica no diligencia todos los espacios correctamente y usa abreviaturas que no están listadas oficialmente por la organización.
- En el registro de recibo a satisfacción  no se esta diligenciado el ítem descripción del material.</t>
  </si>
  <si>
    <t>Establecer en el documento de control de registo como deben estar diligenciados los registros.
 - Incluir en la hoja de gastos: Nro de Factura/Nro de remisión y otros campos identificados
 -  Verficar el diligencionamiento de ronda médica. Verificar algunas abreviaturas y validar si se deben establecer
- Verificar en el formato de inspección la descripción del material
- Definir que formatos- registros realiza cada persona y evalua la manera como se registran los formatos.</t>
  </si>
  <si>
    <t>Procedimiento de Control de Registro PRO-GC-004 
Reunión
Personal Biosteel de Colombia
13/07/2013
Se diseño nuevo Gasto Quirúrgico incluyendo datos de entrada coomo Nro de factura, Nro de Caso. Nro de remisión</t>
  </si>
  <si>
    <t>La revisión por la dirección no contempla las entradas de retroalimentación del cliente y desempeño de los procesos como lo establece la norma y su procedimiento interno de revisión por la dirección.</t>
  </si>
  <si>
    <t>Definir en el formato de revisión por la dirección todas las entradas que sugiere la norma ISO 9001. Registrarlos en el formato
Incluir en el formato la conclusión: Si es conveniente o no conveniente</t>
  </si>
  <si>
    <t>Se realizó actualización del Formato de Revisión por la dirección</t>
  </si>
  <si>
    <t>Cuando sea aplicable, proporcionar formación o tomar otras acciones para lograr la competencia necesaria
- No se evalúa la eficacia de la formación.
- No se evidencian registros de habilidades y experiencia en las hoja de vida de la persona del cargo de facturación.</t>
  </si>
  <si>
    <t>Establecer en el procedimiento documentado que todo tipo de capacitación debe tener una evaluación.
Identificar todas las hojas de vida del personal Biosteel y validar los requisitos de formación, educación, experiencia y habilidad a través de evidencias en relación a las competencias establecidas en el manual de funciones</t>
  </si>
  <si>
    <t>Se re- diseño programa de capacitación de personal, definiendo metodos de evaluación de la eficacia, registros y competencias del experto
Se realizo el compromiso de levantar registro de evidencia de formación, educación, experiencia y habilidad Acta 6</t>
  </si>
  <si>
    <t>Se evidencia que el aire de almacén se encuentra con fuga,  generando un espacio de humedad que no esta permitido por normatividad.</t>
  </si>
  <si>
    <t>Validar y foralecer el diligenciamiento del formato de inspección de infraestructura mensual. Realizar este reporte al gerente administrativo. Establecer registro de orden de trabajo a contratista encargado de las reparaciones</t>
  </si>
  <si>
    <t>Este formato según lo establecido en Acta 4 de establecimiento del Comié de Calidad , se presentará seguimiento de este informe en las reuniones del comité de calidad</t>
  </si>
  <si>
    <t>La organización debe determinar:
c) los requisitos legales y reglamentarios aplicables al producto
Evidencia: No se evidencian los registros de los exámenes médicos realizados al personal como lo establece la resolución 4002/07</t>
  </si>
  <si>
    <t>Realizar registro de examenes médicos al personal</t>
  </si>
  <si>
    <t>Andreina Cequera</t>
  </si>
  <si>
    <t>Se identificó el personal a realizarse evaluación médica. Se realizo cotización de realización de examenes médicos. Pendiente por programar fecha de realización</t>
  </si>
  <si>
    <t>8. La organización debe evaluar y seleccionar los proveedores en función de su capacidad para suministrar productos de acuerdo con los requisitos de la organización. Deben establecerse criterios para la selección, la evaluación y la re-evaluación.
Evidencia:  No se ha incluido en la evaluación de proveedor a los proveedores de mantenimiento de equipos como manómetros, pistolas neumáticas y termohigrometos.</t>
  </si>
  <si>
    <t>Realizar evaluación de proovedores de servicios y equipos 
Realizar seguimiento mensual de proveedores</t>
  </si>
  <si>
    <t>Se identificó los proveedores de servicios a evaluarlos. Pendiente ejecución evaluación de proveedores</t>
  </si>
  <si>
    <t>ALM</t>
  </si>
  <si>
    <t>Las condiciones controladas deben incluir, cuando sea aplicable:
a) la disponibilidad de información que describa las características del producto
Evidencia: se evidencia en almacén la dispositivos codificación C3-1 en el área de C4, así mismo los códigos 002-243 y 002-0241 no aparecen en el sistema de inventario electrónico, sino con otros códigos.
La relación de facturas No 249 de 27/05/13 no ha sido radicada y por la tanto no se ha podido contabilizar a la fecha 1/06/13</t>
  </si>
  <si>
    <t>Realizar correción en la marcación de la estantería
Establecer tiempo máximos de facturación y contabilidad de facturas</t>
  </si>
  <si>
    <t>Karina Rueda</t>
  </si>
  <si>
    <t xml:space="preserve">Se realizó actualización y revisión de codificación en el almacen deacuerdo a mapa </t>
  </si>
  <si>
    <t>10.Cuando sea necesario asegurarse de la validez de los resultados, el equipo de medición debe:
a)     calibrarse o verificarse, o ambos, a intervalos especificados o antes de su utilización, comparado con patrones de medición trazables a patrones de medición internacionales o nacionales; cuando no existan tales patrones debe registrarse la base utilizada para la calibración o la verificación
Evidencia: No se evidencia los registros de calibración de los manometros y termohigrometro.</t>
  </si>
  <si>
    <t>Establecer programa de calibración. Realizar inventario de equipo. Realizar identificación de equipo.
Realizar identificación de instrumental, Diseñarle plan de calibración</t>
  </si>
  <si>
    <t>Se realizo procedimiento de calibración de equipos.
Se estableció programa de calibración de equipos</t>
  </si>
  <si>
    <t>Como una de las medidas del desempeño del sistema de gestión de la calidad, la organización debe realizar el seguimiento de la información relativa a la percepción del cliente con respecto al cumplimiento de sus requisitos por parte de la organización.
Evidencia: no se realizaron acciones correctivas ni  se da respuesta a los ortopedistas  que realizan observaciones de disponibilidad y uso de dispositivos como es el caso de 3 de Mayo evaluación de asistencia técnica del Dr Espitia</t>
  </si>
  <si>
    <t>Realizar seguimiento de semanal a encuesta de satifacción. Realizar acción correctiva y evidenciarla adjunta al formato de encuesta. Realizar informe mensual al Gerente administrativo</t>
  </si>
  <si>
    <t>En el  Acta 4 de establecimiento del Comié de Calidad , se la importancia de realizar seguimiento a las PQR´s.  Mensualmente se realizará seguimiento a Formato de evaluacion FOR-CQ-001</t>
  </si>
  <si>
    <t>La organización debe aplicar métodos apropiados para el seguimiento, y cuando sea aplicable, la medición de los procesos del sistema de gestión de la calidad. Estos métodos deben demostrar la capacidad de los procesos para alcanzar los resultados planificados.
Evidencia: no se han medido los indicadores # de cirugías programas y # de cirugías canceladas del proceso de asistencia técnica.</t>
  </si>
  <si>
    <t>Realizar evaluación de indicadores de todos los indicadores - Realizar seguimiento mensual de indicadores de gestión</t>
  </si>
  <si>
    <t>Se realizo actualización de indicadores de gestión. Pendientes gestión administrativa y Asistencia</t>
  </si>
  <si>
    <t>La organización debe determinar acciones para eliminar las causas de no conformidades potenciales para prevenir su ocurrencia.
Evidencia: la organización no genera acciones preventivas.</t>
  </si>
  <si>
    <t>Generar acciones preventivas</t>
  </si>
  <si>
    <t>Carlos Jurado
Todo personal Biosteel de Colombia</t>
  </si>
  <si>
    <t>Se establecieron acciones preventivas de acuerdo a oportunidades de mejora establecidas en auditoria 1 junio/2013 y reuniones del comité de calida</t>
  </si>
  <si>
    <t>Acciones propuestas en reunión, comité, consejos</t>
  </si>
  <si>
    <t>ISO 9001</t>
  </si>
  <si>
    <t>Se sugeiere estandarizar los Controles Operacionales.</t>
  </si>
  <si>
    <t xml:space="preserve">Estandarizar el procedimiento de cotizaciones. </t>
  </si>
  <si>
    <t>Luis Carlos Perez
Carlos Jurado</t>
  </si>
  <si>
    <t>N/A</t>
  </si>
  <si>
    <t xml:space="preserve">ISO9001
</t>
  </si>
  <si>
    <t xml:space="preserve">Se sugiere establecer revisiones gerenciales </t>
  </si>
  <si>
    <t>Establecer reunión mensual de Comité de Calidad , dejar acta de reunión. Definir los entregables de jefe de administrativo, coordinador administrativo y facturación. Diseñar acta de reunión de grupos primarios</t>
  </si>
  <si>
    <t>Luis Carlos Perez
Carlos Jurado
Karina Rueda</t>
  </si>
  <si>
    <t>Se creó comité de calidad de Bisoteel de Colombia S.A</t>
  </si>
  <si>
    <t>Se sugiere especificar a los " clientes " como el objetivo de la gestión organizacional de Biosteel de Colombia</t>
  </si>
  <si>
    <t>Cambiar pacientes por especialista. Cambio en Objetivos y manual de calidad y caracterización</t>
  </si>
  <si>
    <t>Manual de Versión 3</t>
  </si>
  <si>
    <t>Debido a los cambios estructurales se sugiere realizar cambios en los responsables d elos procesos</t>
  </si>
  <si>
    <t>Revisar la documentación, identificar los responsables deacuerdo a el organigrama de la empresa</t>
  </si>
  <si>
    <t>Procedimientos</t>
  </si>
  <si>
    <t>ISO 9003</t>
  </si>
  <si>
    <t>Se sugiere modificar organigrama debido a cambio estructurales en comñaoa</t>
  </si>
  <si>
    <t>Actualizar organigrama de la empresa. Revisión organizacional de la compañía</t>
  </si>
  <si>
    <t>Se realizo actualización del Organigrama de la compañía</t>
  </si>
  <si>
    <t>No se identifica en el programa de capcaitación los objetivos y forma de medir la eficacia en las acciones de formación</t>
  </si>
  <si>
    <t>Identificar los objetivos de capacitación y formas de medir la eficacia</t>
  </si>
  <si>
    <t>Se realizó reunión de mejoramiento del proceso de personal. Compromisos establecidos en la reunión</t>
  </si>
  <si>
    <t>Se sugiere establecer  el cómite de Calidad de Biosteel de Colombia.</t>
  </si>
  <si>
    <t>Constituir el comité de calidad. Funciones Personas. Actas de comunique</t>
  </si>
  <si>
    <t>Se realizo constitución del comité de calidad.Acta de reunión Nro 4</t>
  </si>
  <si>
    <t>Se sugiere estbalecer directrices y controles en el tema de contratación  de empleados</t>
  </si>
  <si>
    <t>Revisión de Procedimiento de contratación</t>
  </si>
  <si>
    <t>Luis Carlos Perez
Carlos Jurado
Natala Tovar</t>
  </si>
  <si>
    <t>Se realizo reunión para establecer los compromisos de mejoramiento y actualización del procedimiento de contratación</t>
  </si>
  <si>
    <t>Control de registros</t>
  </si>
  <si>
    <t>Modificar formato de evaluacion de personal o evaluación provedores de servicios
Capacitacion a proveedores de servicios</t>
  </si>
  <si>
    <t>Se incluirá nota debajo del formato.</t>
  </si>
  <si>
    <t>No se tiene control de validación de requisitos de competencias, habilidad , educación y formación</t>
  </si>
  <si>
    <t xml:space="preserve">Listado de chequeo de verificacion  de cumplimiento de requisitos de competencia, habilidades, educación y formación.
</t>
  </si>
  <si>
    <t>Se realizo reunión para establecer los compromisos de mejoramiento y actualización del procedimiento de contratación. En el acta se establecieron los registros que por cada funcionario se deben tener</t>
  </si>
  <si>
    <t>FAC</t>
  </si>
  <si>
    <t>Se identifico notas escritas a mano en gastos quirurgicos</t>
  </si>
  <si>
    <t>Estandarizar procedimiento de cotización: SOAT- FOSIGA, ETC</t>
  </si>
  <si>
    <t>Implementar muestreo de algunos dipositivos importados. Verificar invima</t>
  </si>
  <si>
    <t>Verificación de registros INVIMA de material de ostesintesis</t>
  </si>
  <si>
    <t>SEG</t>
  </si>
  <si>
    <t>No se encontro ficha tecnica de CYDEZMI</t>
  </si>
  <si>
    <t>Ficha técnica de CYDEZMI</t>
  </si>
  <si>
    <t>Se encontro ruta de evauación desactualizada</t>
  </si>
  <si>
    <t>Actualizar de ruta de evacuación</t>
  </si>
  <si>
    <t>Se gestiono la realización de la nueva ruta de evacuación</t>
  </si>
  <si>
    <t>ISO 9008</t>
  </si>
  <si>
    <t>No se encotntro publicado procedimientos de limpieza</t>
  </si>
  <si>
    <t>Publicar procedimiento de limpieza 6.2.1/6.2.2.</t>
  </si>
  <si>
    <t>No se encuentran todas las entradas y salidas</t>
  </si>
  <si>
    <t>Revisar entradas y salidas en la caracterización de proceso de facturación.</t>
  </si>
  <si>
    <t>Procedimiento de facturación desactualizadp</t>
  </si>
  <si>
    <t>Revisar la descripción de las actividaes del procedimiento de facturación</t>
  </si>
  <si>
    <t>No se encontro informes quirurgicos de Clinica Bahía</t>
  </si>
  <si>
    <t>Opcion de enviar informes Bahía</t>
  </si>
  <si>
    <t>Se evaluará la posibilidad de gestionar el envió de informes quirurgicos</t>
  </si>
  <si>
    <t>No se encontro mencionados la resolución 4002</t>
  </si>
  <si>
    <t>Incluir requisitos legales en programa de auditorioa</t>
  </si>
  <si>
    <t>Se incluira en el programa de auditria los requisitos legales y normativos exigibles</t>
  </si>
  <si>
    <t>No se encontraron todas las fichas técnicas de los equipos</t>
  </si>
  <si>
    <t>Fichas técnicas de todos los equipos médicos</t>
  </si>
  <si>
    <t>Gestionar las fichas técnicas de los equipos</t>
  </si>
  <si>
    <t>Auditoria Invima
02/10/2013</t>
  </si>
  <si>
    <t>Resolucion 4002</t>
  </si>
  <si>
    <t>Según el organigrama  el proceso  de almacenamiento es responsabilidad directa delk jefe de almace, durante la revisión documental no se evidencian las acciones de la dirección técnica en el roceso de recepcion, almacenamiento y distribución de los dispostivos médicos</t>
  </si>
  <si>
    <t>Se realizara modificación del organigrama
En el manual de funciones se declara que el coordinador administrativo  asumirá las funciones del director técnico del la compañía
Se realizara cambios de responsables en los procedimientos de almacen
Difusión de los cambios en los procedimientos</t>
  </si>
  <si>
    <t>Carlos Jurado
Karina Rueda</t>
  </si>
  <si>
    <t>Se realizaron cambios en el organigrama
Se modifico Manual de Calidad
Se realizaron cambiosn en los procedimientos.
Se registro control de cambios respectivos.
En comité de calidad se realizaran las difusiones de los cambios de los documentos</t>
  </si>
  <si>
    <t>Se evidencio que la gran mayoria de capacitaciones se orientan al tema tecnico no a actividades orientadas al almacenamiento y acondicionamiento</t>
  </si>
  <si>
    <t>Se incluiran temas orientados al acondicionamiento y almacenamiento de dispositivos médicos</t>
  </si>
  <si>
    <t>No se aportaron los certificados de calidad por los fabricantes de los dispositvos médicos importados</t>
  </si>
  <si>
    <t>Se realizará la recolección de los certificados de calidad de los dispostivos médicos importados.
En el procedimiento de Inspección se establecera que  se debe pedir al proveedor de importados los registros de calidad
Se ralizará la difusión de esta instrucción</t>
  </si>
  <si>
    <t>Karina Rueda
Carlos Jurado</t>
  </si>
  <si>
    <t>Se realizo modificacion en los procedimientos
Se verifico inventario de material importada y se valido que cuenten con los certificados de calidad</t>
  </si>
  <si>
    <t>No se encontró en siitio registro invima de un dispostivo médico. Sin embargo, el dispostivo i contaba con el respectivo registro. Se encontrol un dispositivo con registro inviam vencido. Esto debido a q era un dispositivo de poca rotacion. Se valido y se encontro el registro invima del producto actualizado</t>
  </si>
  <si>
    <t>Realizar seguimiento a todos los dispositivos médicos , especialmente lo de poca rotacion, con el objetivo de garantizar que se mantengan en sitio los registros actualizados</t>
  </si>
  <si>
    <t>Se realizo inventario de  dispostivos medicos y se valido que cuentan con el respectivo registro INVIMA</t>
  </si>
  <si>
    <t>Se identificó que no hay un medio de comunicación externo que permita dar a conocer a los especilista de primera mano los servicos prestados por Biosteel de Colombia S.A.</t>
  </si>
  <si>
    <t>AM</t>
  </si>
  <si>
    <t>Reazlizar catologo de servicios para especialistas</t>
  </si>
  <si>
    <t>Sandra de la Hoz
Karina Rueda</t>
  </si>
  <si>
    <t>Se identificó en la inspección de infraestructura del mes de octubre, que es necesarior realizar la actualización del mapa de localización de materales, debido a la adjudicación de nueva estantería</t>
  </si>
  <si>
    <t xml:space="preserve">Realizar la actualización del mapa de localización debido a cambios en ela ubicación de la estanteria del almacén
Realizar la divulgacion de los cambios al mapa de localización
</t>
  </si>
  <si>
    <t xml:space="preserve">Se realizó actualización del mapa de localización de dispositivo.Se envio a agencia de publicidad y diseño el mapa de localización con las modificaciones establecidas </t>
  </si>
  <si>
    <t>ISO9001</t>
  </si>
  <si>
    <t>Se identificó que Biosteel no cuenta con una matriz de producto no conforme documentada</t>
  </si>
  <si>
    <t>Realizar la Matriz de Producto No Conforme de Biosteel de Colombia</t>
  </si>
  <si>
    <t>Se actualizó procedimiento de producto no  conforme PRO-GC-003 y  matriz de producto no conforme  .  DOC- GC - 09</t>
  </si>
  <si>
    <t>Se identificó que Biosteel cuenta con un programa de capacitación para el año 2013. Sin embargo solo se ejecuto en su 30%. Se establecio que esto se debió a fatla de disponibilidad de los reucros (Instrumental - Expertos)</t>
  </si>
  <si>
    <t>Diseñar programa de capacitación 2014, teniendo en cuenta los temas que no fueron ejecutados en el programa de capacitación de 2013.
Se presentó este tema en el comité de calidad, para garantizar los recurso necesarios para ejecutar el programa de capacitacón</t>
  </si>
  <si>
    <t>Comité de Calidad</t>
  </si>
  <si>
    <t>Se realizó programa de capacitación 2014, incluyendo tema o modulos de formación que no fueron ejecutados en 2013</t>
  </si>
  <si>
    <t>Auditoria Interna Febrero 2014</t>
  </si>
  <si>
    <t>No se evidencia tipo de contratacion para los convenios realizados con las ips, no se establecen condiciones contractuales expuestas por las partes interesadas, por  lo que no se tiene claro el cumplimiento de los mismos.</t>
  </si>
  <si>
    <t>Diseñar, difundir y establecer contratos de prestacio  de servicios con ips filiales
Actualizar procedimiento de negociacion con clientes</t>
  </si>
  <si>
    <t xml:space="preserve">Natalia Tovar
Carlos jurado                                                      </t>
  </si>
  <si>
    <t>Se cuentan con los contratos requeridos que expresan las condiciones contractuales y espeficaciones de calidad establecidos con el cliente</t>
  </si>
  <si>
    <t>No se evidencia certificados de experiencia que demuestren el cumplimiento de experiencia requerido para estos cargos</t>
  </si>
  <si>
    <t xml:space="preserve">Solicitar certificados de experiencia laboral    
 Solicitar a la cooperativa nos envien los certificados del personal de Biosteel.
En caso de que el personal tenga mas de un año en Biosteel, Biosteel generará los certificados de experiencia laboral  
           </t>
  </si>
  <si>
    <t>luis Carlos  Perez
Carlos Jurado</t>
  </si>
  <si>
    <t>Se realizo la recopilación de los certificados de experiencia del personal de Biosteel de Colombia S.A.</t>
  </si>
  <si>
    <t>No se evidencia la efectividad de capacitaciones</t>
  </si>
  <si>
    <t>Garantizar que todas las capacitaciones realizadas en el año 2014 se realicen evaluaciones
Realizar la actualizacion del procedimiento</t>
  </si>
  <si>
    <t xml:space="preserve">Luis Carlos Perez
Carlos Jurado
</t>
  </si>
  <si>
    <t>Se actualizo procedimiento de gestión de humana.
Validar la evaluacion de las capacitaciones de los asesores. Se programao capacitaciones con entidades externas quienes emitaran certificados de aprobacion y asistencia</t>
  </si>
  <si>
    <t>No se evidencia la evaluacion de desempeño de las personas</t>
  </si>
  <si>
    <t>Realizar la actualizacion  del documento
Realizar la difusion del documento</t>
  </si>
  <si>
    <t>Se actualizó procedimiento de evaluación del desempeño. Se programará evaluación del desempeño en Junio 2014</t>
  </si>
  <si>
    <t>Se  evidencia que este tipo de compras no se realiza de acuerdo alos lineamientos establecidos en el procedimiento de compra Código: PRO. ALM -001, sino que la requisicion  de un producto a comprar se realiza a través de un correo sin hacer uso del formato de orden de compra, lo qeu no permite establecer una trazabilidad de la actividad. De igual manera no se evidencia control del proveedor, Se evidencia que el  de esta compra se aplique  criterios de seleccion, evaluacion y re.evaluacion.</t>
  </si>
  <si>
    <t xml:space="preserve">Incluir en el procedimiento el proceso de compras 
Realizar las ordenes de compra en el  esculapio para las importaciones </t>
  </si>
  <si>
    <t>Se realizó actualización del procedimiento de compras, incluyendo las importaciones.
La compra de material importado se esta realizando a través de el esquema de ordenes de compra</t>
  </si>
  <si>
    <t>x</t>
  </si>
  <si>
    <t>No se evidencia un registro donde se especifique los requerimientos para los pedidos  de las compras, se hace de manera verbal.</t>
  </si>
  <si>
    <t>Se realizara la solicitud de abastecimiento a través de correos</t>
  </si>
  <si>
    <t>Los requerimientos o solicitudes de abastecimiento se esta realizando formamente por correo electronico</t>
  </si>
  <si>
    <t>No se evidencia orden de compra, lo que no permite establecer la trazabilidad.</t>
  </si>
  <si>
    <t>No aplica</t>
  </si>
  <si>
    <t>No se requiere orden de compra por que el material es repuesto desde la bodegas</t>
  </si>
  <si>
    <t>No se evidencia que el proveedor Osteobiomed se encuentre seleccionado, ni evaluado, como tampoco no se evidencia requisitos de documentacion tal como lo estipula el procedimiento</t>
  </si>
  <si>
    <t>Revision de la evaluacion  y actualizacion  del proveedor Osteobiomed
Revisar todas las evaluaciones realizadas a nuestros proveedores</t>
  </si>
  <si>
    <t>Se realizó la revisión de todos los prooveedores de bienes y servicos de  Biosteel de Colombia. Todos se encuentran debidamente creados y con las evidencias de evaluación.</t>
  </si>
  <si>
    <t>No se evidencia comunicado de los resultados obtenidos al proveedor</t>
  </si>
  <si>
    <t>Incluir en nuestro proceso el envio de los resultados de las evaluaciones realizadas a cada uno de nuestros proveedores
Enviar resultados a proveedores</t>
  </si>
  <si>
    <t>Karina Rueda 
Carlos Jurado</t>
  </si>
  <si>
    <t>Se hizo la actualización del documento donde se establece la retroalimentación al proveedor de los resutlados obtenidos en la evaluacion</t>
  </si>
  <si>
    <t>No se evidencia que la organización  establesca el tipo y grado de control aplicado a los proveedores y al producto</t>
  </si>
  <si>
    <t>Realizar un listado de proveedores categorizando el tipo y el grado ( critico y no critico)
Identificar qué proveedores son de grado critico y cuales no.</t>
  </si>
  <si>
    <t xml:space="preserve">Se realizo listado de identificación de proveedores criticos y no criticos. </t>
  </si>
  <si>
    <t>Al revisar el procedimiento se encontró que el formato de rondas médicas Código: FOR -AT -002 , No se encuentra registrado.</t>
  </si>
  <si>
    <t>Relizar difusion a todo el personal del sitio de busqueda oficial de los documentos</t>
  </si>
  <si>
    <t>El dia 24 de mayo de 2014 se realizo la disfusión de servidor donde se encuentra el repositorio de los documentos del SGC. Adicionalmente se reaizo difusión de los cambios de la nueva estructura documental</t>
  </si>
  <si>
    <t>No se evidencia retroalimentacion con el cliente del  tratamiento dado a la queja presentada</t>
  </si>
  <si>
    <t>Disponer de carpeta o banco de quejas y reclamos
Actualizar procedimiento</t>
  </si>
  <si>
    <t>Se realizo actualización del documento de quejas y reclamos. Se identificó trazabildiad de quejas y reclamos generados a Biosteel de Colombia. Estas son revisadas periodicamente en los comites de calidad</t>
  </si>
  <si>
    <t>No se evidencia implementacion del formato FOR-SAN-004, Se encuentra en el procedimiento el formato  FOR-SAN-002 El cuall al verificarlo se observa que no existe.</t>
  </si>
  <si>
    <t>Relizar la revision del documento en mencion
Realizar la actualizacion del documento en mencion 
Realizar la difusion de l documento en mencion</t>
  </si>
  <si>
    <t xml:space="preserve">Se realizo actualización del ´procedimiento de higiene industrial. Se definio formato de seguimiento de limpieza. </t>
  </si>
  <si>
    <t>De acuerdo con el procedimiento  de control de documentos  PRO-GC-005 Los procedimientos deben ser actualizados cada dos años, por lo cual se considera desactualizado.</t>
  </si>
  <si>
    <t>Realizar la actualizacion y revision de todos los documentos del proceso de seguridad e higiene</t>
  </si>
  <si>
    <t>Se realizó la revisión y actualización de todos lops documentos, garantizando la vigencia de los mismos Sealizó difusión de los cambios generado</t>
  </si>
  <si>
    <t>No se evidencia  implementacion actividades de  limpieza del material quirurgico tal como lo establece el procedimiento PRO-SN-003</t>
  </si>
  <si>
    <t xml:space="preserve">Realizar la revision del documento, actualizar el documento
Realizar la difusion del documento para garantizar su ejecucion
</t>
  </si>
  <si>
    <t>Esta actividad no es realizada actualmente por Biosteel de Colombia</t>
  </si>
  <si>
    <t>De acuerdo con el procedimiento de control  de documento PRO-GC-005 Los procedimientos deben ser actualizados cada dos años, no se evidencia la actualizacion de este  procedimiento.</t>
  </si>
  <si>
    <t>Realizar la actualizacion de todos los procedimientos del proceso de higiene y seguridad
Revisar qué documentos de SGC no se encuentra actualizado según lo establecido en el procedimiento</t>
  </si>
  <si>
    <t>EL documento no es facilmente identificable en razon a que tiene dos nombres "Procedimiento de verificacion y calibracion del material" y " y procedimientos de examenes medicos"</t>
  </si>
  <si>
    <t>Realizar la revision y actualizacion  de todos los procedimientos del proceso de higiene y seguridad</t>
  </si>
  <si>
    <t>Se realizó revisión y actualización documental del proceso de higiene y seguridad. Sealizó difusión de los cambios generados</t>
  </si>
  <si>
    <t>Según el procedimiento el personal que labora en la organización debe contar con registro de aptitud, no se evidencia estos registros</t>
  </si>
  <si>
    <t>Actualizar el procedimiento
Solicitar los requisitos de aptitud</t>
  </si>
  <si>
    <t>Se solicita examenes de aptitud del personal administrativo. Al personal técnico se le realizó examenes de mucosidad y se tomo muestra para analisis en laboratorio de las instalaciones del laboratorio.
Se actualizo documento de higiene industrial</t>
  </si>
  <si>
    <t>No se evidencia programa de mantenimiento. No se evidencia  hoja de vida del equipo: Sierras o pistolas</t>
  </si>
  <si>
    <t>Realizar programas dde mantenimiento de equipos
 Realizar registros de hoja de vida
Realizar la ejecucion del programa</t>
  </si>
  <si>
    <t>Se definio programa de calibración de equipos. Se realizó listado de equipos seriados con sus respectivas fechas de calibracion/verificacion. Se registraá la hv de los equipos</t>
  </si>
  <si>
    <t xml:space="preserve">No se evidencia seguimiento de los dispositivos de medicion </t>
  </si>
  <si>
    <t>Realizar programas de mantenimiento de equipos
Realizar registros de hoja de vida
 Realizar la ejecucion del programa</t>
  </si>
  <si>
    <t>CONT</t>
  </si>
  <si>
    <t>La responsable del proceso manifiesta que las facturas de compras para poder registrarlas al software contable necesitan anexar la entrada de almacen, pero al remitir procedimiento no se establece este paso en ninguna de las actividades.</t>
  </si>
  <si>
    <t>Actualizar procedimiento</t>
  </si>
  <si>
    <t>Yaneris Calderon
Carlos Jurado</t>
  </si>
  <si>
    <t>Se actualizó el procedimiento de contabilidad. Se realizó difusión de los cambios generados</t>
  </si>
  <si>
    <t>Se evidencia  cruce de estados de cartera entre clientes y la organización  para verificar saldos, el procedimiento describe que como resultado de esta reunion se genera un acta de conciliacion  entre Biosteel y el cliente pero al verificarlo no se evidenció.</t>
  </si>
  <si>
    <t>Realizar una programacion solicitando cita con cada cliente y asi generar el respectivo acta de conciliacion de cartera.</t>
  </si>
  <si>
    <t>Se realizó programación de actas de conciliación de cartera</t>
  </si>
  <si>
    <t>No se evidencia el control de documentos externos: 
..NORMA NTC .ISO 9004: 2010
..RESOLUCION 4002 DE 2007</t>
  </si>
  <si>
    <t>Incluir en la red de documentos  y en el listado de maestro de documentos los documentos extrernos.</t>
  </si>
  <si>
    <t>Se evidencia estado  o red de procesos. Procedimientos. Formatos sin los controles establecidos para la identificacion  tal como lo establece el procedimiento de elaboracion y contro de documentos.</t>
  </si>
  <si>
    <t>Realizar la revision del control  de documentos de todos los procedimientos del sistema de gestion de calidad</t>
  </si>
  <si>
    <t>Se realizó la revisión documental de todos los procedimientos. Se verificaron la vigencia de la fecha de actualización. Se realizaron las difusiones pertinentes</t>
  </si>
  <si>
    <t>En el procedimiento de elaboracion y control de documentos se encuentra la definicion de los documentos extranos, mas no se establecen cómo la organización identifica y controla su distribucion. Tal como lo establece la norma ISO 9001:2008</t>
  </si>
  <si>
    <t>Incluir en el listado de documentos y registros los documentos externos.</t>
  </si>
  <si>
    <t>EFICAZ: No se evidencia la eficacia de las acciones tomadas</t>
  </si>
  <si>
    <t>Se registraron todas las acciones de formatos indepemdientes establecidos para tal fin.
Cada respondable del proceso realizara la declaratoria del plan de accion y el reglamento del mismo a través del  formato</t>
  </si>
  <si>
    <t>Se realizó registro de todas las acciones correctivas, preventiva y de mejora. Sevidencio en formato declaratorio de causas y acciones establecidas.</t>
  </si>
  <si>
    <t>Se registraron todas las acciones correctivas en formatos establecidos para tal fin.
Cada responsable del proceso realizara seguimiento de plan de accion y evaluacion de eficacia en el formato establecido para tal fin.</t>
  </si>
  <si>
    <t>Para el registro de las acciones preventivas no se evidencia implementacion del formato acciones correctivas, preventivas y de mejoras codigo FOR GC:003, Incumpliendo lo establecido en el procedimiento de acciones correctivas y preventivas codigo: PRO.GC-001</t>
  </si>
  <si>
    <t xml:space="preserve">Realizar el registro independiente de cada Acpm establecida
Actualizar base de datos de Acpm
</t>
  </si>
  <si>
    <t>Auditoria interna Julio 2014</t>
  </si>
  <si>
    <t>Se evidencia en el desarrollo de la que los registros FOR-GC-07, no se ajustan al procedimiento PRO-GC-02 establecido en el sistema de gestión de calidad de la organización.</t>
  </si>
  <si>
    <t>Al momento de verificar las auditorias anteriores (Al-feb-2014), de los 28 hallazgos, 28 son NC y revisar el análisis de causas, se encontró: 02 de 28, tenían 03 porque, 22 de 28, tenían 02 porque y 01 de 28, tenían 01 porque y en la misma cantidad de hallazgos, 14 de 28, tenían fecha de cierre de  la NC, 07 de 28, no tenían fecha de cierre de las NC y 07 de 28 no se pudieron evidenciar por ausencia de formatos. De acuerdo a lo anterior es evidente que en el formato FOR-GC-03 establecido en el procedimiento de Acciones Correctivas y/o Preventivas, para planes de acción, no define la identificación de la Causa Raíz y tampoco se define el tiempo estimado para el cierre de las No Conformidades.</t>
  </si>
  <si>
    <r>
      <t>Durante la revisión de la matriz de requisitos legales de la organización, se pudo evidenciar que esta se encuentra desactualizada y que ademas no se encuentran implementados requisitos legales y de otra índole, como: -</t>
    </r>
    <r>
      <rPr>
        <b/>
        <sz val="11"/>
        <color theme="1"/>
        <rFont val="Calibri"/>
        <family val="2"/>
        <scheme val="minor"/>
      </rPr>
      <t xml:space="preserve">Resolución 2013 de 1986, </t>
    </r>
    <r>
      <rPr>
        <sz val="11"/>
        <color theme="1"/>
        <rFont val="Calibri"/>
        <family val="2"/>
        <scheme val="minor"/>
      </rPr>
      <t xml:space="preserve">conformación de COPASO para empresas con mas de 10 empleados. - </t>
    </r>
    <r>
      <rPr>
        <b/>
        <sz val="11"/>
        <color theme="1"/>
        <rFont val="Calibri"/>
        <family val="2"/>
        <scheme val="minor"/>
      </rPr>
      <t xml:space="preserve">Ley 9a De 1979, </t>
    </r>
    <r>
      <rPr>
        <sz val="11"/>
        <color theme="1"/>
        <rFont val="Calibri"/>
        <family val="2"/>
        <scheme val="minor"/>
      </rPr>
      <t xml:space="preserve">que establece la creación de Planes de Emergencia para las empresas públicas o privadas. - </t>
    </r>
    <r>
      <rPr>
        <b/>
        <sz val="11"/>
        <color theme="1"/>
        <rFont val="Calibri"/>
        <family val="2"/>
        <scheme val="minor"/>
      </rPr>
      <t>Resolución 2013 del 6 de junio de 1986,</t>
    </r>
    <r>
      <rPr>
        <sz val="11"/>
        <color theme="1"/>
        <rFont val="Calibri"/>
        <family val="2"/>
        <scheme val="minor"/>
      </rPr>
      <t xml:space="preserve"> que se reglamenta y fundamenta el funcionamiento de los Comités de Salud Ocupacional y Seguridad Industrial. - </t>
    </r>
    <r>
      <rPr>
        <b/>
        <sz val="11"/>
        <color theme="1"/>
        <rFont val="Calibri"/>
        <family val="2"/>
        <scheme val="minor"/>
      </rPr>
      <t>Ley 1562 de 2012</t>
    </r>
    <r>
      <rPr>
        <sz val="11"/>
        <color theme="1"/>
        <rFont val="Calibri"/>
        <family val="2"/>
        <scheme val="minor"/>
      </rPr>
      <t>, que establece la Implementación del Sistema de Gestión de Seguridad y Salud en el Trabajo. -</t>
    </r>
    <r>
      <rPr>
        <b/>
        <sz val="11"/>
        <color theme="1"/>
        <rFont val="Calibri"/>
        <family val="2"/>
        <scheme val="minor"/>
      </rPr>
      <t>Norma 600 de la NFPA.</t>
    </r>
    <r>
      <rPr>
        <sz val="11"/>
        <color theme="1"/>
        <rFont val="Calibri"/>
        <family val="2"/>
        <scheme val="minor"/>
      </rPr>
      <t xml:space="preserve"> Contempla la formación de brigadas contra incendio. - </t>
    </r>
    <r>
      <rPr>
        <b/>
        <sz val="11"/>
        <color theme="1"/>
        <rFont val="Calibri"/>
        <family val="2"/>
        <scheme val="minor"/>
      </rPr>
      <t>Norma 10 de la NFPA.</t>
    </r>
    <r>
      <rPr>
        <sz val="11"/>
        <color theme="1"/>
        <rFont val="Calibri"/>
        <family val="2"/>
        <scheme val="minor"/>
      </rPr>
      <t xml:space="preserve"> Establece el tipo, la distribución y uso de extintores portátiles. - </t>
    </r>
    <r>
      <rPr>
        <b/>
        <sz val="11"/>
        <color theme="1"/>
        <rFont val="Calibri"/>
        <family val="2"/>
        <scheme val="minor"/>
      </rPr>
      <t>Resolución 652 de abril de 2012</t>
    </r>
    <r>
      <rPr>
        <sz val="11"/>
        <color theme="1"/>
        <rFont val="Calibri"/>
        <family val="2"/>
        <scheme val="minor"/>
      </rPr>
      <t>, contempla la obligación de crear los comités de convivencia en las empresas públicas y privadas.</t>
    </r>
  </si>
  <si>
    <t>Durante el desarrollo de la auditoria, se visitó el Área de Almacén de productos para la prestación del servicio, donde 4 de 4 personas que laboran en el Almacén no contaban con usos de EPP adecuados para ingresar al área de almacén.</t>
  </si>
  <si>
    <t>Durante el recorrido de la organización se indagó en el personal sobre el cumplimiento y aportes desde sus cargos a la Politica, tomando una muestra del 20% de la población de empleados presentes en el desarrollo de la auditoria, en la que el 80% conoce la política, pero no tiene claro como aporta desde su cargo al cumplimiento de la misma.</t>
  </si>
  <si>
    <t>Durante la revisión de los distintos indicadores llevados por la Organización, se pudo evidenciar que no se llevan los indicadores necesarios para el control de la totalidad de los procesos y adicionalmente los que se están llevando se encuentran actualizados, donde 4 de los 7 Indicadores que  se llevan están actulizados a Marzo de 2014 y otros 3 indicadores están con fecha de 2013.</t>
  </si>
  <si>
    <t>Se pudo evidenciar que el Programa de auditoria no cuenta con la estructura establecida en la referencia de las Normas ISO 9001:08, 8.2.2 Nota y la Norma de Referencia ISO 19011:1, 5.2, 5.3, 5.3.3, 5.3.4, que pide establecer un programa de auditoria, definir su objetivo, alcance y la identificación y evaluación de riesgos del programa de auditoria.</t>
  </si>
  <si>
    <t>Durante el desarrollo de la auditoria se revisaron lo sperfiles de cargo, evidenciando que no están totalmente definidas en cada uno de los cargos de la organización y tampoco es claro el nivel de autoridad en cada uno de los cargos. Así mismo dentro de la revisión de las evaluaciones de desempeño establecidas en el procedimiento PRO-AMD-004, no se evidencia como hacer el seguimiento de las recomendaciones resultantes de la evalución, como tampoco se defina cual (es) acciones tomar para el caso de bajo desempeño del empleado.</t>
  </si>
  <si>
    <t>OBS</t>
  </si>
  <si>
    <t>Reestructurar el programa de auditoria tomando como referencia las Normas ISO 9001:2008 e ISO 19011:2011</t>
  </si>
  <si>
    <t>Programada de auditoría</t>
  </si>
  <si>
    <t>Cerrada</t>
  </si>
  <si>
    <t>Implementar el método de Ishikawa y el de las 6M para la identificación de la causa raíz y capacitaciones a los lideres de los procesos para el uso de este.</t>
  </si>
  <si>
    <t>FOR-GC-003 V. 01</t>
  </si>
  <si>
    <t>TipoA: Cerrada</t>
  </si>
  <si>
    <t>Se realizó revisión de listado maestro de documentos y se verificó que en este se encuentran divulgados los documentos externo.</t>
  </si>
  <si>
    <t>Modificar el código de identificación de la lista de chequeo del manual de requisitos CCAA a FOR-GC-010, y actualizar el procedimiento PRO-GC-002.</t>
  </si>
  <si>
    <t>Se diligencia formato de control de documentos para realizar la respectiva actualización del código y actualización del procedimiento</t>
  </si>
  <si>
    <t>Se modifica formato de gasto quirúrgico, agregando espacios para otra información</t>
  </si>
  <si>
    <t>Yanina Vargas</t>
  </si>
  <si>
    <t>Se evidencia a todo el personal de almacén con sus respectivos elementos de protección personal.</t>
  </si>
  <si>
    <t>Socializar la Res. 4002 del 2007 y asignar recursos para compra y uso de EPP.</t>
  </si>
  <si>
    <t>Ficha técnica</t>
  </si>
  <si>
    <t>Catalogo</t>
  </si>
  <si>
    <t>Procedimientos actualizados</t>
  </si>
  <si>
    <t>Actualización de documentos</t>
  </si>
  <si>
    <t>Registros descargados</t>
  </si>
  <si>
    <t>Se Realizó  socialización con todo el personal sobre la política de calidad y objetivos y se les evaluó como  desde su cargo cumplian con la misma</t>
  </si>
  <si>
    <t xml:space="preserve">Natalia Tovar                                                      </t>
  </si>
  <si>
    <t>Acta de capacitación y evaluación</t>
  </si>
  <si>
    <t>Natalia Tovar Karina Rueda</t>
  </si>
  <si>
    <t>Implementar la conformación del COPASST, Comité de Convivencia, Brigadas, Sistema de Gestión de Seguridad, plan de emergencia, ruta de evacuación y Salud en el Trabajo con ayuda de la ARL</t>
  </si>
  <si>
    <t>Se socializaron los indicadores a los lideres y se responsabilizaron de diligenciar los mismo.</t>
  </si>
  <si>
    <t>Natalia Tovar</t>
  </si>
  <si>
    <t>Acta de reunión y actualizacion de indicadores</t>
  </si>
  <si>
    <t>Revisar los perfiles de cargo y definir su nivel de autoridad dentro de la organización</t>
  </si>
  <si>
    <t>Pre Auditoria Icontec 2014</t>
  </si>
  <si>
    <t>ISO 9001 E ISO 13485</t>
  </si>
  <si>
    <t>No se evidenció la hoja de vida con el  soporte de auditor interno del externo José Antonio de la Parra Méndez (aud. ISO 9001 de julio/2014).</t>
  </si>
  <si>
    <t>anexar como soporte de la auditoría interna de julio del 2014 la hoja de vida de José de la Parra.</t>
  </si>
  <si>
    <t>No se ha terminado la conformación del COPASO (Reglamento interno de trabajo, etc), la acción está en progreso de NC de auditoría Interna de julio/14. (finales Noviembre/14).</t>
  </si>
  <si>
    <t>En lo planes de acción de NC de auditoría interna no se contempla la corrección de la desviación.</t>
  </si>
  <si>
    <t>Hay varias evaluaciones seguimiento asesoría Quirúrgica, cuyos registros no están firmados por el Jefe de Quirófano (Oct./14 Fundación Quirúgica Tajamares). Lo mismo que la fecha de realización cirugía en el formato Ronda Médica.</t>
  </si>
  <si>
    <t>No se tiene identificado y documentado los servicios no conformes.</t>
  </si>
  <si>
    <t>No aparece en la cámara de comercio con vigencia del 7 de oct./14, la dirección actual de la organización (Calle 31 No. 14 - 126, Barranquilla, Atlántico).</t>
  </si>
  <si>
    <t>En la revisión por dirección no se contempla una de las entradas relacionada con requisitos legales.</t>
  </si>
  <si>
    <t>No se tiene documentado los riesgos en el produto (ISO 13485:2003).</t>
  </si>
  <si>
    <t xml:space="preserve">Para el registro de la prótesis para reemplazo de articulaciones mdt/biotecnology, R.S invima 2004v-0002401, vence: 11 marzo/ 2014. Está vencido el registro y no se evidenció la renovación. </t>
  </si>
  <si>
    <t>La auditoría interna de marzo y julio del 2014 se realizó con base a la ISO 9001:2008 y no contempla la ISO 13485:2003.</t>
  </si>
  <si>
    <t>Las capacitaciones dictadas por la cámara de comercio del 2014 no cuentan con sus registros de ejecución y tampoco se evidenció la evaluación de la eficacia de las capacitaciones.</t>
  </si>
  <si>
    <t>En los perfiles de cargo no se tiene definido las habilidades del cargo, no se tiene procedimentado los documentos a requerir en el personal en el personal que ingresa. Se tomó la hoja de vida de Jeissy Indira Gutierrez Niebles (Instrumentadora Quirúrgica) y Yanina Vargas (Jefe de Almacén), no cumplen con la experiencia descrita, y ni presentan las pruebas sicotécnicas.</t>
  </si>
  <si>
    <t>No se está manejando el tema de tecnovigilancia, de acuerdo a la resolución 4816/08, en cuanto a la identificación de incidentes y/o eventos serios y no serios, alertas internacionales, notas de aviso, reportes al INVIMA, etc.</t>
  </si>
  <si>
    <t>No se está verificando los lotes y fecha vence de los dispositivos médicos recibidos en almacén.</t>
  </si>
  <si>
    <t>No se tienen los registros de documentación y tratamiento o acciones de las quejas o reclamaciones interpuestas por los clientes.</t>
  </si>
  <si>
    <t>En la documentación  del SGC con base a la ISO 13485:2003 no se visualiza la inclusión de algunos procedimientos, como por ejemplo el de notas de aviso, análisis de datos, etc.</t>
  </si>
  <si>
    <t>No se tienen los registros de los mantenimientos preventivos que se le hacen a las pistolas neúmaticas y los instrumentales.</t>
  </si>
  <si>
    <t>No se ha realizado la calibración del manómetro ni de la pistola neumática, tampoco se tiene cronograma de calibración.</t>
  </si>
  <si>
    <t>Realizar cronograma de calibración y jornada de calibración de manometros y pistolas</t>
  </si>
  <si>
    <t>Stefany Uribe</t>
  </si>
  <si>
    <t>Cronograma de capacitación y certificados de calibración</t>
  </si>
  <si>
    <t>se incluyen capacitaciones para almacén</t>
  </si>
  <si>
    <t>Perfiles de cargos modificados</t>
  </si>
  <si>
    <t>Hoja de vida del auditor interno</t>
  </si>
  <si>
    <t>Adicionar espacio para descripción de la corrección de la No Conformidad</t>
  </si>
  <si>
    <t>FOR-GC-003</t>
  </si>
  <si>
    <t>Enviar docuemntación a cámara de comercio de Barranquilla para actualización de dirección</t>
  </si>
  <si>
    <t>Yaneris Calderon</t>
  </si>
  <si>
    <t>Registro de Cámara de Comercio</t>
  </si>
  <si>
    <t>Solicitar a los proveedores la renovación de los registros sanitarios vencidos y los que esten por vencer.</t>
  </si>
  <si>
    <t>Natalia Tovar / Yanina Vargas</t>
  </si>
  <si>
    <t>Registros renovados</t>
  </si>
  <si>
    <t>Certificados de Asistencia</t>
  </si>
  <si>
    <t>Revisar los recibidos a satifacción y diligenciar la parte de lotes y fecha vence si aplica.</t>
  </si>
  <si>
    <t>Solicitar a cámara de comercio los registros de asistencia a sus capacitaciones y diseñar formato de evaluación de capacitaciones.</t>
  </si>
  <si>
    <t>Se realiza la Conformación del Copasst, junto con el reglamento interno de trabajo. En cumplimiento al sistema de gestión de seguridad y salud ocupacional</t>
  </si>
  <si>
    <t>Actas de Conformación</t>
  </si>
  <si>
    <t>El Jefe de Quirofano firmó las evaluaciones de seguimiento de asesorías quirúrgicas.</t>
  </si>
  <si>
    <t>evaluaciones de seguimiento de asesorías quirúrgicas.</t>
  </si>
  <si>
    <t>Se modifica el procedimiento de producto no conforme y se adiciona el servicio no conforme tambien.</t>
  </si>
  <si>
    <t>PRO-GC-003</t>
  </si>
  <si>
    <t>Se Solicitan los analisis de riesgos de los dispositivos médicos a cada uno de sus fabricantes.</t>
  </si>
  <si>
    <t>Analisis de Riesgo</t>
  </si>
  <si>
    <t>Se ajusta el programa de Tecnovigilancia acorde la resolución 4816/08, creando así el manual de tecnovigilancia.</t>
  </si>
  <si>
    <t>Manual de Tecnovigilancia</t>
  </si>
  <si>
    <t>Formatos</t>
  </si>
  <si>
    <t>Se adicionan en el programa de Tecnovigilancia</t>
  </si>
  <si>
    <t>Se Solicitan certificados a proveedores</t>
  </si>
  <si>
    <t>Certificados de mantenimiento y calibración</t>
  </si>
  <si>
    <t>Se revisan y modifican los perfiles de cargo y se anexan pruebas sicotécnicas.</t>
  </si>
  <si>
    <t>Perfiles de cargos modificados y resultados de pruebas sicotécnicas</t>
  </si>
  <si>
    <t>Se anexa un item de revisión de requisitos legales.</t>
  </si>
  <si>
    <t>Formato de Revisión por la Dirección</t>
  </si>
  <si>
    <t>Se incluye al programa de auditoria del 2015 una auditoria interna para ISO 9001 e ISO 13485 que se realizará en diciembre</t>
  </si>
  <si>
    <t>Se archivan las registros de las quejas recibidas, se da tratamiento y se archivan los registros.</t>
  </si>
  <si>
    <t>Carpeta de Registros</t>
  </si>
  <si>
    <t>NCm</t>
  </si>
  <si>
    <t>Auditoria de Otorgamiento</t>
  </si>
  <si>
    <t>No se evidenció la verificación y seguimiento de una de las variables de control de un producto en recepción técnica para su almacenamiento, el cual fue comprado a un importador y distribuidor de  Bogotá.    Se encontró en el área de almacenamiento para   disposición, 4 prótesis para reemplazo de articulaciones MDT(R) Biotechnology (R), con lote No 09220P y 07161P, el cual no poseen el rótulo de registro sanitario Colombia, según procedimiento.</t>
  </si>
  <si>
    <t xml:space="preserve">Se evidenció que una actividad no se ejecuta bajo condiciones controladas.   La lista de chequeo (registro) de control inventario de producto en las bodegas auxiliares de los clientes, presenta en algunos días incoherencias, como ejemplo: 1. La pistola neumática, el 27 julio/15 solo se registra 2 unidades, siendo que son 4.
2. Para la sierra no aparece registrado datos ni movimiento el 26 y 29 julio/15, siendo que si hay.
3. El material CIM Tibia ortosintese presenta desfase de cantidades registradas el 26 y 29 julio/15. 
</t>
  </si>
  <si>
    <t>Se solicita al proveedor los rotulos de las 4 protesis e igual manera se revisan todas las protesis y se realiza el recibido a satisfacción.</t>
  </si>
  <si>
    <t>Formatos de recibidos a satisfacción</t>
  </si>
  <si>
    <t>Se sensibiliza al personal sobre el manejo de formatos y se agrega una parte de obsevaciones al formato FOR-AT-009</t>
  </si>
  <si>
    <t>Registros de formatos</t>
  </si>
  <si>
    <t>Auditoria de seguimiento</t>
  </si>
  <si>
    <t>En la revisión por dirección última, no se trató la entrada relacionada al seguimiento a requisitos reglamentarios del producto.</t>
  </si>
  <si>
    <t>No comprar a proveedores que no cumplan con los requisitos minimos del proceso de compra.</t>
  </si>
  <si>
    <t>Se realizó un acta de visita a Gerencia General para tratar la entrada de cumplimiento de requisitos legales y anexar a la ultima revision por la Dirección Realizada.</t>
  </si>
  <si>
    <t>No se evidencia acciones correctivas formales implementadas para los resultados por fuera de lo esperado de la meta, de tres mediciones del 2016 de indicador Evaluación De Cumplimiento De Proveedores (Compras).</t>
  </si>
  <si>
    <t>Se realizó registro de todas las acciones correctivas. Se videncio en formato declaratorio de causas y acciones establecidas</t>
  </si>
  <si>
    <t>Ncm</t>
  </si>
  <si>
    <t>Auditoria Interna</t>
  </si>
  <si>
    <t>FACT</t>
  </si>
  <si>
    <t>Emiro Vega</t>
  </si>
  <si>
    <t>No se evidencian los registros de calibracion de manometros hall 8 y 9 del 2016, en el programa de mantenimiento y calibracion</t>
  </si>
  <si>
    <t>No se evidencian registros de correcciones y acciones para los indicadores y de facturas radicadas y cumplimiento de presupuestos.</t>
  </si>
  <si>
    <t>Realizar cierre e mes para la facturacion que permita que todo lo que se facture quede radicado dentro del mes, asi mismo reajustar el presupuesto mensual de tal manera que permita el logro de los objetivos planeados.</t>
  </si>
  <si>
    <t xml:space="preserve">Reestructurar el formato de verificacion de calibracion de equipo FOR-SAN-013 para llevar un amyor control de los equipos que tengan pendiente un mantenimiento </t>
  </si>
  <si>
    <t>FOR-SAN-013</t>
  </si>
  <si>
    <t>Melissa Charris</t>
  </si>
  <si>
    <t>Cumplimeinto del indicador</t>
  </si>
  <si>
    <r>
      <rPr>
        <sz val="11"/>
        <color theme="1"/>
        <rFont val="Calibri"/>
        <family val="2"/>
        <scheme val="minor"/>
      </rPr>
      <t xml:space="preserve"> La organización garantiza la retroalimentación con su cliente a través del formato de asistencia técnica, sin embargo, se recomienda establecer en dicho formato una breve descripción de la asesoría quirúrgica que le fue soportada en el momento del procedimiento quirúrgico.</t>
    </r>
  </si>
  <si>
    <t>OP</t>
  </si>
  <si>
    <t>Auditoria interna</t>
  </si>
  <si>
    <t>El refuerzo de las respomsabilidades del personal con relacion a las actividades que se realizan, como por ejemplo en lo relacionado a los asesores quirurgicos, para evitar que se deleguen respomsabilidades indelegables.</t>
  </si>
  <si>
    <t>sensibilizacion de los asesores quirurgicos en cuanto a actividades, funciones como asesor quirurgicos, importancia de la firma como responsable de la actividad realizada en un formato, reinduccion en manejo y diligenciamiento de formatos.</t>
  </si>
  <si>
    <t xml:space="preserve">consideracion de colocar fecha de recibido del instrumental y dispositivos medicos en el formato de verificacion de lavado, desinfeccion y entrega de esterelizacion; para evitar confusiones y malas interpretaciones </t>
  </si>
  <si>
    <t xml:space="preserve">adicionar al FOR-AT-007 formato de verificacion de lavado, desinfeccion y entrega de esterilizacion, fecha de recibo del material y dispositivos medicos a esterilizar. </t>
  </si>
  <si>
    <t>Emiro vega</t>
  </si>
  <si>
    <t>Keyla perez</t>
  </si>
  <si>
    <t>La organización garantiza la retroalimentacion con su cliente a traves del formato de asistencia tecnica, sin embargo se recomienda establecer en dicho formato una breve descripcion de la asesoria quirurjica que le fue soportada en el momento del procedimiento quirurgico.</t>
  </si>
  <si>
    <t xml:space="preserve">Adicionar al formato FOR-AT-011 Evaluacion Seq. Ases. Quirugicas una lista de chequeo donde se exprese claramente el paso a paso del acto quirurgico en el cual se selecciona la accion realizada. </t>
  </si>
  <si>
    <t>Se recomienda tener en cuenta para los perfiles de cargo el tipo de formacion especifica que debe tener, es decir establecer esa formacion basica para garantizar las competencia de cada cargo, por ejemplo: para el cargo de auxiliar de almacen, deberia incluirse en el item formacion, conocimientos en SGC y Dispositivos medicos.</t>
  </si>
  <si>
    <t>incluir en el item de formacion conocimientos del SGC y Dispositivos Medicos.</t>
  </si>
  <si>
    <t>Paula de Leon</t>
  </si>
  <si>
    <t>Es conveniente definir claramente el tema de quejas/reclamos y sugerencia, pues la correra clasificacion permitira piorizar y establecer la pertencia de los planes de accion que genere los analisis.</t>
  </si>
  <si>
    <t>Se anexa al formato la palabra sugerencia.</t>
  </si>
  <si>
    <t>Socializar los protoclos de limpieza y desinfeccion de materiales y de areas con los directos responsables de su ejecucion.</t>
  </si>
  <si>
    <t>Socializar los protocolos de limpieza y desinfeccion con todo el personal del almacen y con el respomsable del servicio general de la organización.</t>
  </si>
  <si>
    <t>Reforzar el consolidado de producto no conforme de manera que permita mayor informacion para la toma de desisciones.</t>
  </si>
  <si>
    <t>Establecer un formato que permita reforzar el consolidado de producto/servicio no conforme.</t>
  </si>
  <si>
    <t>Silia Diaz</t>
  </si>
  <si>
    <t>Fortalecer el programa de auditorias de manera que permita la oportunidad en la informacion resultante para la toma de desiciones gerenciales, asi mismo definir el perfil del auditor para la informacion de auditores internos.</t>
  </si>
  <si>
    <t>Anexar en el formato un espacio donde se incluya la informacion de requisitos legales y el del auditor</t>
  </si>
  <si>
    <t>Continuar fortaleciendo el analisis de indicadores de manera que se identifiquen todas las variables que pueden afectar el desempeño de los procesos, tanto positiva como negativamente.</t>
  </si>
  <si>
    <t>Incluir el los indicadores de gestion, un analisis mas profundo con el fin de identificar todas las variables que pueden afectar el desempeño de los procesos y el cumplimiento de los obgetivos trazados de la organizacion.</t>
  </si>
  <si>
    <t>realizar cierre de mes para la facturacion que permita que todo lo que se facture quede radicado dentro del mes, asi mismo reajustar el presupuesto mensual de tal manera que permita el logro de los objetivos planeados.</t>
  </si>
  <si>
    <t>No se evidencia los registros de calibracion de manometros Hall8 y 10 de 2016, en el programa de mantenimiento y calibracion.</t>
  </si>
  <si>
    <t>Restructurar el formato de verificacion de calibracion de equipo FORSAN-013. Para llevar un mayor control de los equipos que tengan pendiente un mantenimiento.</t>
  </si>
  <si>
    <t>Liceth Garcia - Jose Tejeda</t>
  </si>
  <si>
    <t>se evidencia retraso en los procesos de asistencia tecnic, almacen y facturacion con relacion al gasto quirurgicos, debido a que se presentan errores de cobro</t>
  </si>
  <si>
    <t>Implementar el gasto quirurgico de manera digital para con el objetivo de minimizar errores de cobros, optimizar los recursos y agilizar los procesos internos.</t>
  </si>
  <si>
    <t>La organización garantiza retroalimentacion con su cliente a traves del formato de asistencia tecnica, se recomienda establecer en dicho formato una breve descripcion de la asesoria quirurgica que fue soportada en el momento del procedimiento quirurgico.</t>
  </si>
  <si>
    <t>crear un desarrollo tecnologico que nos permita evaluar no solo la habilidad del soporte tecnico, cumplimiento del servicio o las condiciones del dispositivo medico, si no tambien anexar un reporte tecnico por parte del asesor quirurgico. Este se hara atrave de la pagina web de nuestra organizacion la cual iniciara a crearse a inicios del año 2018</t>
  </si>
  <si>
    <t>Diseñar un plan de transicion para las nuevas versiones de las normas ISO 9001 Y 13485, de manera que se incluyan los analicis del contexto y partes interesadas.</t>
  </si>
  <si>
    <t>Diseñar un plan de transicion para actualizar las versiones de las normas 9001 y 13485.</t>
  </si>
  <si>
    <t>B</t>
  </si>
  <si>
    <t>AUDITORIA EXTERNA JULIO 2018</t>
  </si>
  <si>
    <t>COMITÉ DE CALIDAD</t>
  </si>
  <si>
    <t>FECHA</t>
  </si>
  <si>
    <t>EL formato de control de temperatura del almacen FOR-ALM-009  se evidencia temperatura 30.2 y 31,3 el 9 de febrero de 2018,, temperaturas por encima del rango que garantiza las condiciones establecidas por el fabricante de los dispositivos.  Y no se evidencia medidas o planes de contingencia cuando se generó el dato.</t>
  </si>
  <si>
    <t>En el proceso de contratación de Natalia Lazo y Jeins Salas  no se evidencia formato de requisición, prueba de conocimiento, requisitos establecidos en el proceso de gestión humana.</t>
  </si>
  <si>
    <t>El indicador de cumplimiento de capacitaciones no demuestra la realidad de las capacitaciones realizadas, pues al confrontar las hoja de formación versus lo presentado en el indicador no coincide con la fuente de datos.</t>
  </si>
  <si>
    <t>a) las partes interesadas que son pertinentes al sistema de gestión de la calidad; b) los requisitos pertinentes de estas partes interesadas para el sistema de gestión de la calidad.No se tiene identificada las partes interesadas.</t>
  </si>
  <si>
    <t>En el proceso de gerencia, no se evidencia el diligenciamiento del formato  FOR- ADM-01 requisitos de contratación. Registro que se diligencia al momento de realizar nueva contratación; se reviso la contratación con la EAPB AMBUQ. 
En el procedimiento de visita gerencia general no se evidencia acta de reunión realizadas en al año 2018.  Tampoco se evidencian actas de reuniones con los líderes de procesos como lo menciona el procedimiento establecido.; lo cual no se ajusta al procedimiento descrito.</t>
  </si>
  <si>
    <t>Comunicación.  La organización debe determinar las comunicaciones internas y externas pertinentes al sistema de gestión de la calidad.
No se evidencia documentado como se determinan las comunicaciones internas y externas en Biosteel</t>
  </si>
  <si>
    <t>AUDITORIA INTERNA MAYO 2018</t>
  </si>
  <si>
    <t>GH</t>
  </si>
  <si>
    <t>No aplica correccion porque los registros posteriores demuestran mediciones dentro de la conformidad
resocializacion del procedimiento al personal responsable de infraestructura y verificación.
Continuar con las inspecciones planeadas</t>
  </si>
  <si>
    <t>No aplica correccion porque ya estos fueron contratados. Pero di de ahora en adelante toda contratacion que se realice debe tener este formato y esta prueba de conocimiento y para ellos de tomaron estas medidas o acciones:
Enviar memorando a los lideres de procesos recordando el uso del formato de requerimiento.
memorando recordando a los lideres de procesos que la contratacion de nuevo personal solamente se hará despues de realizar la prueba de conocimiento y en casos especiales se debe dejar un registro donde obvie este paso para la contratacion</t>
  </si>
  <si>
    <t>NO aplica correccion  pero se tomaron las sgtes acciones:
Colocar clave de acceso a los archivos del area que solo compete a gestion humana
Establecer fuente de los indicadores
las capacitaciones que se generen en 2018 que no estan planeadas  deben alimentar el cronograma de capacitaciones</t>
  </si>
  <si>
    <t>Modificacion de caraterizacion del  proceso de gerencia administrativa</t>
  </si>
  <si>
    <t>En la caracterizacion del proceso de gerencia administrativa en el item de requisitos de la organización se incluira tambien las partes interesadas y se describiran las mas importantes
cambiar version y controlar documento</t>
  </si>
  <si>
    <t>No aplica, aunque no se evidencian actas si se evidencian correos corporativos que registran los compromisos de dichas reuniones
incluir en el PRO-ADM-006 que la informacion acordada en reuniones erenciales tambien puede ser documentada por correos corporativos sin necesidad de utilizar el formato acta de reunion de generencia general
control de cambios</t>
  </si>
  <si>
    <t>Existe un mecanismo de correos corporativos
crear un procedimiento de comunicaciones
reumnion de lideres para obtener informacion de que necesitan comunicar y los canales que usan
establecer mecanismos de estandarizacion e integrarlos al documento de imagen corporativa
socializar procedimiento.</t>
  </si>
  <si>
    <t>El auditor sugirio que todos los auditados trabajaran cada unode los hallazgos de no conformidades y observacion, a pesar que varios de ellos se repetian como en el caso de las oportunidades lo cual requiere acciones a nivel isntitucional y no solo por procesos. La sugerencia fue para asegurar que todos se apropien de sus responsabilidad en la gestion de  estos hallazgos, pero a nivel practico desde el area de calidad institucional, se unificaran los analisis independientes realizados por los procesos, para establecer las acciones institucionales que involucren a todos los auditados segun corresponda.</t>
  </si>
  <si>
    <t>Documentar todos los planes de accion de mejora que se realizan en la empresa, para el año 2018, no se evidencia documentado ninguno</t>
  </si>
  <si>
    <t>Realizar analisis de los criterios en la evaluacion de desempeño, se evidencia en el ultimo trimestre los items de iniciativa y cantidad de trabajo con  menor calificacion total global, lo cual permitira generar elementos de entrada para el programa de formacion de la empresa</t>
  </si>
  <si>
    <t>Establecer medidas y planes de contingencia para el caso de daño de aire acondicionado en el almacen</t>
  </si>
  <si>
    <t>El trabajo continuo y diario debe ser una cultura institucional y tener compromiso colectivo e individual para presentar todos los dias aspectos de mejora en cada servicio</t>
  </si>
  <si>
    <t>Seguir fortaleciendo el analisis del contexto interno y externo asi como las necesidades de las partes interedas para poder identificar y controlar oportunamente los riesgos y oportunidades que puedan afectar el mantenimiento de la empresa</t>
  </si>
  <si>
    <t>Fortalecer la gestion de riesgo en cuanto a sus controles y planes de mejora</t>
  </si>
  <si>
    <t>Fortalecer el seguimiento de la eficacia, eficiencia y la evaluacion de la efectividad por medio de indicadores, que permita evaluar tendencias de mejora; haciendo comparativos entre años</t>
  </si>
  <si>
    <t>Se sugiere la modificacion del indicador % de incumplimiento de disponibilidad de dispositivos medicos, debido a que no se estaba determinando ningun tipo de informacion que nos permitiera la toma de decisiones de la alta gerencia.</t>
  </si>
  <si>
    <t>Modificar el indicador de % de incumplimiento de disponibilidad de dispositivos medicos, por un indicador donde se pueda medir el tiempo de respuesta desde que se solicita el dispositivo medico hasta que este ingresa a la IPS.</t>
  </si>
  <si>
    <t>Adicionar en el FOR-AT-011 seguimiento de asesorias quirurgicas una lista de chequeo donde se exprese claramente el paso a paso del acto quirurgico en el cual se seleccione la accion realizada</t>
  </si>
  <si>
    <t>Resocializacion de procedimiento de verificacion y condiciones de almacenamiento</t>
  </si>
  <si>
    <t>Comunicado corporativo tratando temas de contratacion de personal y socializando la importancia de utilizacion de formatos (correo electronico)</t>
  </si>
  <si>
    <t>_matriz de despliegue con columna de fuente de datos
_claves de acceso a archivos compartidos</t>
  </si>
  <si>
    <t>Creacion de formato gestion del cambio con instrucciones de diliugenciamiento</t>
  </si>
  <si>
    <t>control documental de cambio de version de procedimiento de visita a gerencia general.</t>
  </si>
  <si>
    <t>NCn</t>
  </si>
  <si>
    <t>Formato de control de consecutivos con casillas sin diligenciar</t>
  </si>
  <si>
    <t>Modificacion de formato d acuerdo a las necesidades actuales</t>
  </si>
  <si>
    <t>modificacion de formato de control de consecutivos
cobtrol documental</t>
  </si>
  <si>
    <t>No se realiza retroalimentacion al proveedor  de las evaluaciones mensuales</t>
  </si>
  <si>
    <t xml:space="preserve">No aplica </t>
  </si>
  <si>
    <t>Reforzar el consolidado de producto no conforme de manera que permita mayor informacion para la toma de decisiones.</t>
  </si>
  <si>
    <t>Se realizo ajuste de salida del inventario de la referencia con el lote 519858, y se e hizo entrada al inventario con el lote S19858</t>
  </si>
  <si>
    <t>No se evidencio que la organización controlara la identificacion del lote del producto, relacionada con la trazabilidad del mismo.</t>
  </si>
  <si>
    <t>No se evidenció que la organización implementara las disposiciones planificadas en las etapas adecuadas, según procedimiento, para verificar que se cumplen los requisitos del producto.</t>
  </si>
  <si>
    <t>Se amplio el alcance del procedimiento en la recepcion, acondicionamiento y almacenamiento de dispositivos medicos.</t>
  </si>
  <si>
    <t>Realizar otro si a la revision por la direccion de Octubre de 2017 incluyendo todas las entradas de las normas 9001 e iso 13485</t>
  </si>
  <si>
    <t>No se evidencio que en la revision por la direccion ultima, se incluyeran todas las entradas y salidas.</t>
  </si>
  <si>
    <t>No se evidencio que la organización determinara algunas partes interesadas que son pertinentes al SGC y los requisitos pertinentes de estas partes interesadas, tampoco la relaizacion del seguimiento y la revision de la informacion sobre estas partes interesadas y sus requisitos.</t>
  </si>
  <si>
    <t>Se incluyo en la caracterizacion del proceso de Gerencia Administrativa los requisitos pertinentes a las partes interesadas.</t>
  </si>
  <si>
    <t>No se evidenció que la organización planificara las acciones para abordar los riesgos y oportunidades, los integrara e implementara dentro del SGC y tampoco hiciera seguimiento a su eficacia.</t>
  </si>
  <si>
    <t>Incluir una columna de seguimiento y recursos a las estrategias DOFA</t>
  </si>
  <si>
    <t>SGC</t>
  </si>
  <si>
    <t>No se evidencio que la organización planificara e implementara un programa de auditoria interna que incluyera todos los requerimientos contemplados</t>
  </si>
  <si>
    <t>Incluir los criterios de frecuencia, responsabilidades y requisitos en el programa de auditoria FOR-GC-</t>
  </si>
  <si>
    <t>Aunque en la consulta de alertas internacionales en pagina INVIMA, no salgan reportados los productos de las marcas que distribuyen,tener en cuenta productos de otras marcas similares reportados, para trabajar acciones preventivas que mitiguen el riesgo de desviacion.</t>
  </si>
  <si>
    <t>El fortalecimiento de la revision de documentos y generacion de registros en el dia a dia a tiempo, para evitar desviaciones que afecten el buen funcionamiento de la organización</t>
  </si>
  <si>
    <t xml:space="preserve">Aunque se colocan algunos requisitos de las normas en el plan, considerar especificar por separado lo requisitos que aplican a cada norma (9001 13485), </t>
  </si>
  <si>
    <t>No se evidencia criterios de comunicación para los procesos de almacén y asistencia técnica</t>
  </si>
  <si>
    <t>Se evidencia que para la medición de humedad para bodega 200 no se cumple con los criterios el día 3 -06-19 con humedad de 61.2 siendo el limite 60.</t>
  </si>
  <si>
    <t>AUDITORIA INTERNA</t>
  </si>
  <si>
    <t>AUDITORIA EXTERNA</t>
  </si>
  <si>
    <t>CALIDAD</t>
  </si>
  <si>
    <t>Fortalecer los protocolos de limpieza y desinfeccion con los directos responsables mas en epoca de la pandemia.</t>
  </si>
  <si>
    <t>Se documenta registro de la ejecucion de limpieza y desinfeccion ademas de desarrollar procedimiento del mismo</t>
  </si>
  <si>
    <t xml:space="preserve">Heisa Buelvas </t>
  </si>
  <si>
    <t xml:space="preserve">asistencia a capacitacion </t>
  </si>
  <si>
    <t>GERENCIA ADMINISTRATIVA</t>
  </si>
  <si>
    <t xml:space="preserve">Fortalecer acta e informe de revision por la direcion </t>
  </si>
  <si>
    <t>Retroalimentar la revision por la direccion de tal manera que sea preve y veraz</t>
  </si>
  <si>
    <t>Informe revision por la direccion</t>
  </si>
  <si>
    <t>GESTION HUMANA</t>
  </si>
  <si>
    <t>Disponer metodologia de evaluacion de la eficacia de las evaluaciones virtuales.</t>
  </si>
  <si>
    <t>Actualizar formato de eficacia de las evaluaciones virtuales a traves de google dirve</t>
  </si>
  <si>
    <t>Heisa Buelvas</t>
  </si>
  <si>
    <t>Gloogle Drive</t>
  </si>
  <si>
    <t>No se visualizan capacitaciones a los asesores quirurgicos y personal que tenga contacto con el cliente en temas como servicio al cliente.</t>
  </si>
  <si>
    <t>Asistencia a capacitaciones</t>
  </si>
  <si>
    <t>ASISTENCIA TECNICA</t>
  </si>
  <si>
    <t xml:space="preserve">Fortalecer formato de asistencia tecnica en donde se visualize el items descripcion </t>
  </si>
  <si>
    <t>keyla Perez</t>
  </si>
  <si>
    <t>No se visualiza verificacion de expediente de titulos, ni referencias laborales.</t>
  </si>
  <si>
    <t>Crear formato que permita verificar expedientes de titulos y experiencia laboral.</t>
  </si>
  <si>
    <t>Formatos y procedimientos</t>
  </si>
  <si>
    <t>ALMACEN</t>
  </si>
  <si>
    <t>Fortalecer los riesgos de producto para el uso y almacenamiento DM</t>
  </si>
  <si>
    <t>Analisis de riesgo de Dm para los procesos misionales, basados en lo identificado en los fabricantes.</t>
  </si>
  <si>
    <t>El considerar ajustar en el procedimiento el ingreso de asesores quirurgicos a sala de cirugia, con relacion a la dotacion y forma en que ingresan, para evitar posibles contaminaciones cruzadas.</t>
  </si>
  <si>
    <t>Tener en cuenta dentro de las capacitaciones, temas relacionados con la toma de conciencia aspectos sociales y psicologicos como ambiente tranquilo, libre conflictos, reduccion de estrés, prevencion del sindrome de agotamiento, cuidado de las emociones; para continuar fortaleciendo y prevenir cualquier desviacion en el futuro. Tambien fortalecer las capacitaciones en temas de calidad a todo el personal, en especial a los nuevos.</t>
  </si>
  <si>
    <t>Considerar ajustar en la meta del indicador de presupuesto, el limite de maximo cumplimiento presupueto y el ajuste en exigencia de la meta de utilidad mensual(resultados muy por encima de la meta) para tener mejores resultados de mejora.</t>
  </si>
  <si>
    <t>AUDITORIA RENOVACION Y ACTUALIZACION
JUNIO 2018</t>
  </si>
  <si>
    <t>El fortalecimiento del manejo y documentacion de los casos de incidentes, para tener a la mano un control de posibles desviaciones.</t>
  </si>
  <si>
    <t>ISO 9001 E ISO 13486</t>
  </si>
  <si>
    <t>ISO 9001 E ISO 13487</t>
  </si>
  <si>
    <t>ISO 9001 E ISO 13488</t>
  </si>
  <si>
    <t>ISO 9001 E ISO 13489</t>
  </si>
  <si>
    <t>ISO 9001 E ISO 13490</t>
  </si>
  <si>
    <t>ISO 9001 E ISO 13491</t>
  </si>
  <si>
    <t>ISO 9001 E ISO 13492</t>
  </si>
  <si>
    <t>ISO 9001 E ISO 13493</t>
  </si>
  <si>
    <t>ISO 9001 E ISO 13494</t>
  </si>
  <si>
    <t>ISO 9001 E ISO 13495</t>
  </si>
  <si>
    <t>ISO 9001 E ISO 13496</t>
  </si>
  <si>
    <t>ISO 9001 E ISO 13497</t>
  </si>
  <si>
    <t>ISO 9001 E ISO 13498</t>
  </si>
  <si>
    <t>ISO 9001 E ISO 13499</t>
  </si>
  <si>
    <t>ISO 9001 E ISO 13500</t>
  </si>
  <si>
    <t>ISO 9001 E ISO 13501</t>
  </si>
  <si>
    <t>ISO 9001 E ISO 13502</t>
  </si>
  <si>
    <t>ISO 9001 E ISO 13503</t>
  </si>
  <si>
    <t>Realizar analisis de causa con debido tratamiento a las oportunidades de mejora con el fin de evitar que en el futuro se conviertan en No conformes.</t>
  </si>
  <si>
    <t>El fortalecimiento del seguimiento y revision de las cuestiones externas e internas estrategicas, para un mejor control.</t>
  </si>
  <si>
    <t>Martha Orozco</t>
  </si>
  <si>
    <t>NO Consultar alertas internacionales  sobre productos reportados de las marcas que distribuyen,como accion preventiva para mitigar desciaciones.</t>
  </si>
  <si>
    <t>ISO 13485:2016</t>
  </si>
  <si>
    <t>No se evidencia registro de mantenimiento, de los materiales de referencia y las mediciones de referencia ni verificacion para que estas se cumplan.</t>
  </si>
  <si>
    <t>Se establecera actualizacion del formato y evaluar su registro .</t>
  </si>
  <si>
    <t>Se crea procedimiento y formato verificacion de mantenimiento a dispositivos medicos.</t>
  </si>
  <si>
    <t xml:space="preserve">Procedimiento y Formato </t>
  </si>
  <si>
    <t>ISO 9001:2015</t>
  </si>
  <si>
    <t>La revision por la direccion no incluye consideraciones sobre: la eficacia de las acciones tomadas para abordar los riesgos y oportunidades.</t>
  </si>
  <si>
    <t>Se incluye en las consideraciones de la revision por la direccion sobre : la eficacia de las acciones tomadas para abordar los riesgos y las oprotunidades.</t>
  </si>
  <si>
    <t xml:space="preserve">Actualizacion de informe de revision por la direccion </t>
  </si>
  <si>
    <t>b</t>
  </si>
  <si>
    <t xml:space="preserve">AUDITORIA EXTERNA </t>
  </si>
  <si>
    <t>La organización No identifica el estado de las salidas  con respecto a los requisitos de seguimiento y medicion a traves de la prestacion del servicio.</t>
  </si>
  <si>
    <t>Actualizar el procedimiento de trazabilidad y crear un check list con respecto a los requisitos de seguimiento del material.</t>
  </si>
  <si>
    <t>Paula De leon</t>
  </si>
  <si>
    <t xml:space="preserve">Check List </t>
  </si>
  <si>
    <t>Se crea procedimiento de comunicaciones deacuerdo a requisito de la norma ISO 9001:2015,en su numeral 7.4</t>
  </si>
  <si>
    <t>Creacion de formato y procedimiento.</t>
  </si>
  <si>
    <t>Se socializa el prcedicmiento al personal responsable de infraestructura y verificacion del cumplimiento de condiciones de la bodega</t>
  </si>
  <si>
    <t xml:space="preserve">Creacion y solicalizacion de procedimiento </t>
  </si>
  <si>
    <t>Informar a la alta gerencia sobre los reportes preventivos que se realizan.</t>
  </si>
  <si>
    <t>Captura de pantalla a soporte de reporte.</t>
  </si>
  <si>
    <t>Adicionar formato de seguimiento de asesorias quirurgicas que exprese calaramente el paso a paso del acto quirurgico.</t>
  </si>
  <si>
    <t xml:space="preserve">Actualizacion de revision por la direccion </t>
  </si>
  <si>
    <t>Socializacion a asesores sobre la importancia de la firma.</t>
  </si>
  <si>
    <t>Publicacion de procedimiento de limpieza.</t>
  </si>
  <si>
    <t xml:space="preserve">Creacion de formato  desinfeccion y entrega de esterilizacion </t>
  </si>
  <si>
    <t>Adicion de formato para evaluacion a asesores quirurgicos.</t>
  </si>
  <si>
    <t xml:space="preserve">Formato de verificacion de calibracion </t>
  </si>
  <si>
    <t>Informe de facturacion.</t>
  </si>
  <si>
    <t>Adicion de formacion.</t>
  </si>
  <si>
    <t>Adicion de palabra.</t>
  </si>
  <si>
    <t>Evidencia de socializacion de protocolo de desinfeccion y limpieza.</t>
  </si>
  <si>
    <t>Creacion de formatos.</t>
  </si>
  <si>
    <t>Creacion de formato de requisitos legales.</t>
  </si>
  <si>
    <t>Inclusion de indicadores.</t>
  </si>
  <si>
    <t>Optimizacion de recursos internos u externos.</t>
  </si>
  <si>
    <t>Desarrollo tecnologico para el coporte tecnico.</t>
  </si>
  <si>
    <t>Plan de transicion para actualizacion.</t>
  </si>
  <si>
    <t>Modificacion de indicadores.</t>
  </si>
  <si>
    <t xml:space="preserve">Creacion de procedimiento de NO conforme  </t>
  </si>
  <si>
    <t>Formato de No conforme.</t>
  </si>
  <si>
    <t>Analisis de causa.</t>
  </si>
  <si>
    <t>30/02/2019</t>
  </si>
  <si>
    <t>Evaluacion de la efectividad por medio de indicadores.</t>
  </si>
  <si>
    <t>Analisis y criterios en la evluacion de desempeño.</t>
  </si>
  <si>
    <t xml:space="preserve">A ctualizacion de Indicadores </t>
  </si>
  <si>
    <t>Evaluaciones de desempeño.</t>
  </si>
  <si>
    <t>Plan y cronograma de contingencia,.</t>
  </si>
  <si>
    <t>Plan de contingencia.</t>
  </si>
  <si>
    <t>Generar programa anual de trabajo.</t>
  </si>
  <si>
    <t>Formato plan de trabajo.</t>
  </si>
  <si>
    <t>Analisis del contexto interno y necesidades de las partes interesadas.</t>
  </si>
  <si>
    <t>Actualizar manual de calidad.</t>
  </si>
  <si>
    <t>Gestion del riesgo</t>
  </si>
  <si>
    <t>Reetroalimentar la gestion del riesgo.</t>
  </si>
  <si>
    <t xml:space="preserve">Reetroalimentar consolidado de producto no conforme </t>
  </si>
  <si>
    <t>Socializar los protocolos de desinfeccion.</t>
  </si>
  <si>
    <t>Se realizo ajuste de controlara.</t>
  </si>
  <si>
    <t>Se amplio el alcance implementara.</t>
  </si>
  <si>
    <t>Incluir una columna de planificara.</t>
  </si>
  <si>
    <t>Incluir los criterios de planificara.</t>
  </si>
  <si>
    <t>Reetroalimentar consolidado de producto NO conforme.</t>
  </si>
  <si>
    <t>Seguimiento de revision sobre las partes interesadas.</t>
  </si>
  <si>
    <t>Se revisara periodicamente la alertas sanitarias d eotras marcas</t>
  </si>
  <si>
    <t>Revision de visita a otras alertas sanitarias.</t>
  </si>
  <si>
    <t>Revision por la direccion.</t>
  </si>
  <si>
    <t xml:space="preserve">Plan de trabajo </t>
  </si>
  <si>
    <t xml:space="preserve">Plan anual de trabajo </t>
  </si>
  <si>
    <t xml:space="preserve">Revison y mayor control </t>
  </si>
  <si>
    <t>Documentacion d elos casos de incidentes.</t>
  </si>
  <si>
    <t>Relacion de dotacion y forma en que ingresan</t>
  </si>
  <si>
    <t>Documentos</t>
  </si>
  <si>
    <t xml:space="preserve">Relacion </t>
  </si>
  <si>
    <t>Capacitaciones y temas relacionados con temas de conciencia.</t>
  </si>
  <si>
    <t>Cronograma de capacitaciones.</t>
  </si>
  <si>
    <t xml:space="preserve">Indicador </t>
  </si>
  <si>
    <t>indicador.</t>
  </si>
  <si>
    <t xml:space="preserve">Formato de reunion, aprobacion de gerencia y cotizacion </t>
  </si>
  <si>
    <t>Considerar la posibilidad de digitalizar la información que forma parte de las actividades asociadas a la
asistencia técnica, de manera que permita al proceso realizar seguimientos vinculados al desarrollo de
las mismas con una mayor oportunidad de cara a un requerimiento por alguna parte interesada.</t>
  </si>
  <si>
    <t>ISO 1348;20165</t>
  </si>
  <si>
    <t>ISO 13485;2016</t>
  </si>
  <si>
    <t>Conviene diseñar una metodología que permita capturar información asociada al soporte técnico en
cuanto a incidentes o eventos adversos, con el fin de mantener un registro oportuno en el tiempo y de
cara a cada momento de la prestación de asistencia técnica.</t>
  </si>
  <si>
    <t>Implementar aplicativo para optimizar el proceso y realizar mejor seguimiento a el desarrollo de actividaes.</t>
  </si>
  <si>
    <t>Diseño e implementacion de metodologia para informacion  por medio de medios tecnologicos.</t>
  </si>
  <si>
    <t>28/08//2021</t>
  </si>
  <si>
    <t>Formato de reunion, aprobacion de gerencia y cotizacion</t>
  </si>
  <si>
    <t>Conviene diferenciar el registro de verificación de condiciones de almacenamiento de las instalaciones de Bio Steel, de las áreas de almacenamiento por consignación de las instituciones donde se encuentran los dispositivos médicos, de manera que cada uno de esos momentos mantenga las pautas correspondientes a cada escenario</t>
  </si>
  <si>
    <t xml:space="preserve">Actualizar Formato toma de temperatura </t>
  </si>
  <si>
    <t xml:space="preserve">Coordinador Logistico </t>
  </si>
  <si>
    <t>Formato toma de temperatura</t>
  </si>
  <si>
    <t>Coordinador de calidad</t>
  </si>
  <si>
    <t>OPORTUNIDAD DE MEJORA</t>
  </si>
  <si>
    <t>Se hace necesario replantear el indicador y manera de tabular la eficacia a las evaluaciones de capacitaciones.</t>
  </si>
  <si>
    <t>Formato consolidado de verificacion</t>
  </si>
  <si>
    <t>Crear Formato consolidado de verificacion de eficacia a la capcitacion</t>
  </si>
  <si>
    <t>Se hace necesario generar estrategias de seguimiento y crecimiento organizacional,que penetren nuevos mercados con la intension de ganar  nuevos clientes</t>
  </si>
  <si>
    <t xml:space="preserve">Ejecutar estrategias que permitan la captura de clientes potenciales atraves de acercamiento comerciales y/o educativo </t>
  </si>
  <si>
    <t>RIESGO RESIDUAL</t>
  </si>
  <si>
    <t>NIVELES DEL RIESGO</t>
  </si>
  <si>
    <t xml:space="preserve">PROBABILIDAD / ESCALA </t>
  </si>
  <si>
    <t>GRAVEDAD</t>
  </si>
  <si>
    <r>
      <rPr>
        <b/>
        <sz val="11"/>
        <color theme="1"/>
        <rFont val="Arial Narrow"/>
        <family val="2"/>
      </rPr>
      <t>1</t>
    </r>
    <r>
      <rPr>
        <sz val="11"/>
        <color theme="1"/>
        <rFont val="Arial Narrow"/>
        <family val="2"/>
      </rPr>
      <t xml:space="preserve">
</t>
    </r>
    <r>
      <rPr>
        <b/>
        <sz val="11"/>
        <color theme="1"/>
        <rFont val="Arial Narrow"/>
        <family val="2"/>
      </rPr>
      <t>(BAJA)</t>
    </r>
  </si>
  <si>
    <r>
      <t xml:space="preserve">Poco problable que ocurra, existen controles efectivos, ningun caso ocurrido hasta la actualidad.
</t>
    </r>
    <r>
      <rPr>
        <b/>
        <u/>
        <sz val="9"/>
        <color theme="1"/>
        <rFont val="Arial Narrow"/>
        <family val="2"/>
      </rPr>
      <t>FRECUENCIA</t>
    </r>
    <r>
      <rPr>
        <sz val="9"/>
        <color theme="1"/>
        <rFont val="Arial Narrow"/>
        <family val="2"/>
      </rPr>
      <t xml:space="preserve">: </t>
    </r>
    <r>
      <rPr>
        <sz val="11"/>
        <color theme="1"/>
        <rFont val="Arial Narrow"/>
        <family val="2"/>
      </rPr>
      <t>No se ha presentado en los ultimos</t>
    </r>
    <r>
      <rPr>
        <sz val="9"/>
        <color theme="1"/>
        <rFont val="Arial Narrow"/>
        <family val="2"/>
      </rPr>
      <t xml:space="preserve"> </t>
    </r>
    <r>
      <rPr>
        <sz val="11"/>
        <color theme="1"/>
        <rFont val="Arial Narrow"/>
        <family val="2"/>
      </rPr>
      <t xml:space="preserve">5 años.
</t>
    </r>
    <r>
      <rPr>
        <sz val="11"/>
        <color theme="1"/>
        <rFont val="Arial Narrow"/>
        <family val="2"/>
      </rPr>
      <t xml:space="preserve">
</t>
    </r>
  </si>
  <si>
    <t>- No ha Interrupción de las operaciones de la Entidad
- No se generan sanciones económicas o administrativas
- No se afecta la Imagen institucional de forma significativa</t>
  </si>
  <si>
    <t>2
(MODERADA)</t>
  </si>
  <si>
    <r>
      <t xml:space="preserve">Podria ocurrir en algun momento                                                                              </t>
    </r>
    <r>
      <rPr>
        <b/>
        <u/>
        <sz val="10"/>
        <color theme="1"/>
        <rFont val="Arial Narrow"/>
        <family val="2"/>
      </rPr>
      <t>FRECUENCIAS</t>
    </r>
    <r>
      <rPr>
        <sz val="11"/>
        <color theme="1"/>
        <rFont val="Arial Narrow"/>
        <family val="2"/>
      </rPr>
      <t xml:space="preserve">: Al menos 1 vez en los ultimos 2 años.                                                                                                                                                        </t>
    </r>
  </si>
  <si>
    <t>- Interrupción de las operaciones de la Entidad por algunas horas
- Reclamaciones o quejas de los usuarios que implican investifaciónes internas disciplinarias
- Imagen institucional afectada localmente por retrasos en la prestación del servicio a los usuarios o ciudadanos</t>
  </si>
  <si>
    <t>3
(MEDIA)</t>
  </si>
  <si>
    <r>
      <t xml:space="preserve">Podria probablemente ocurrir, existen parcialmente controles efectivos
</t>
    </r>
    <r>
      <rPr>
        <b/>
        <u/>
        <sz val="9"/>
        <color theme="1"/>
        <rFont val="Arial Narrow"/>
        <family val="2"/>
      </rPr>
      <t>FRECUENCIA</t>
    </r>
    <r>
      <rPr>
        <sz val="11"/>
        <color theme="1"/>
        <rFont val="Arial Narrow"/>
        <family val="2"/>
      </rPr>
      <t xml:space="preserve">: Al menos 1 vez en el ultimo año.                                                                                                                                                </t>
    </r>
  </si>
  <si>
    <t>- Interrupción de las operaciones de la Entidad por más de un (1) día
- Reclamaciones o quejas de los usuarios que podrían implicar una denuncia ante los entes reguladores o una demanda de largo alcance para la entidad
- Inoportunidad en la información ocasionando retrasos en la atención a los usuarios
- Reproceso de actividades y aumento de carga operativa
- Imagen institucional afectada en el orden nacional o regional por retrasos en la prestación del servicio a los usuarios o ciudadanos
- Investigaciones penales, fiscales o disciplinarias</t>
  </si>
  <si>
    <t>4
(ALTA)</t>
  </si>
  <si>
    <r>
      <t xml:space="preserve">Alta probabilidad que ocurra
</t>
    </r>
    <r>
      <rPr>
        <b/>
        <u/>
        <sz val="9"/>
        <color theme="1"/>
        <rFont val="Arial Narrow"/>
        <family val="2"/>
      </rPr>
      <t>FRECUENCIA</t>
    </r>
    <r>
      <rPr>
        <sz val="11"/>
        <color theme="1"/>
        <rFont val="Arial Narrow"/>
        <family val="2"/>
      </rPr>
      <t xml:space="preserve">: Mas de 2 veces al año.
</t>
    </r>
  </si>
  <si>
    <t>- Interrupción de las operaciones de la Entidad por más de dos (2) días
- Pérdida de información critica que puede ser recuperada de forma parcial o incompleta
- Sanción por parte del ente de control y otro ente regulador
- Incumplimiento en las metas y objetivos institucionales afectando el cumplimiento en las metas de gobierno
- Imagen institucional afectada en el orden nacional o regional por incumplimiento en la prestación del servicio a los usuarios o ciudadanos</t>
  </si>
  <si>
    <t>TRATAMIENTO DEL RIESGO</t>
  </si>
  <si>
    <t>Aceptación del riesgo</t>
  </si>
  <si>
    <t>La empresa asume el riesgo y reduce su impacto a través de estrategias de minimización. Deberá plantearse un plan de contingencia, que intentará paliar los efectos negativos del riesgo, una vez este ya se ha producido.</t>
  </si>
  <si>
    <t>Transferencia</t>
  </si>
  <si>
    <t>Representa el conjunto de procedimientos cuyo objetivo es eliminar el riesgo transfiriéndolo de un lugar a otro. Consiste, por ejemplo, en vender un activo dudoso, asegurar una actividad con importantes riesgos, etc.</t>
  </si>
  <si>
    <t>Reducción</t>
  </si>
  <si>
    <t>Esta estrategia busca, bien reducir la probabilidad de ocurrencia de un riesgo, bien reducir sus consecuencias, o bien lograr ambos objetivos a la vez. La probabilidad de ocurrencia de un riesgo puede reducirse a través de controles de gestión, arreglos organizacionales, y procedimientos encaminados a reducir la frecuencia o la oportunidad de que ocurra un error. Las consecuencias pueden reducirse asegurando o garantizando que todos los controles se encuentren en el lugar apropiado para minimizar cualquier consecuencia adversa.</t>
  </si>
  <si>
    <t>Elusión</t>
  </si>
  <si>
    <t>existen dos opciones para intentar eludir un riesgo: no proceder con el proyecto o la actividad que incorporaría el riesgo, o escoger medios alternativos para la actividad, que logren el mismo resultado y no incorporen el riesgo detectado. El problema de eludir riesgos es que podemos perder oportunidades de negocio, y, además, otros riesgos no identificados inicialmente, pueden volverse más significativos.</t>
  </si>
  <si>
    <t>Diversificación</t>
  </si>
  <si>
    <t>: consiste en intentar extender el riesgo de un área en concreto, a diferentes secciones, con el fin de impedir la pérdida de todo el negocio. Son ejemplos de diversificación orientarse a nuevos mercados y proveedores, diversificar la lista de productos y servicios, etc.</t>
  </si>
  <si>
    <t>P</t>
  </si>
  <si>
    <t>G</t>
  </si>
  <si>
    <t>Evaluacion del riesgo</t>
  </si>
  <si>
    <t>Tratamiento del riesgo</t>
  </si>
  <si>
    <t>No inclusion de nuevos contratos</t>
  </si>
  <si>
    <t>Aceptacion del riesgo</t>
  </si>
  <si>
    <t>Evidencia envio de portafolio a posibles clientes, participacion en eventos comerciales, politica fidelizacion.</t>
  </si>
  <si>
    <t>ACCION DE MEJORA</t>
  </si>
  <si>
    <t>ISO 9001:2016</t>
  </si>
  <si>
    <t>Generar accion de mejora en el informe revision por la direccion que permita analizar de manera estadistica los indicadores anuales demostrados en la misma</t>
  </si>
  <si>
    <t>Crear analisis que permitan visualizar causas y acciones de mejora para los indicadores que no cumplan</t>
  </si>
  <si>
    <t>No toma de decisiones</t>
  </si>
  <si>
    <t>Control documental, actualizacion de informe.</t>
  </si>
  <si>
    <t>Sugerencia : Envian a un asesor de un proveedor que generalmente no usamos y el especialista hace la sugerencia de que el instumentador poseia poca experiencia con el material</t>
  </si>
  <si>
    <t>Notificar al proveedor el evento ocurrido.</t>
  </si>
  <si>
    <t>Percepcion de insatisfaccion por parte del cliente</t>
  </si>
  <si>
    <t>COORDINADOR ASISTENCIAL</t>
  </si>
  <si>
    <t>Notificacion del proveedor y capacitacion a personal de Biosteel.</t>
  </si>
  <si>
    <t>ACCION CORRECTIVA</t>
  </si>
  <si>
    <t>SISTEMA</t>
  </si>
  <si>
    <t>Fallas y caida del software SIESA y asesoria para la mejora del sistema.</t>
  </si>
  <si>
    <t>Generar verificacion del software SIESA para la mejora del sistema</t>
  </si>
  <si>
    <t>Caida total de SIESA</t>
  </si>
  <si>
    <t>Elusion</t>
  </si>
  <si>
    <t>AUXILIAR DE SISTEMAS</t>
  </si>
  <si>
    <t>Acta de incidencias y comunicado a clientes.</t>
  </si>
  <si>
    <t>Alta demanda en el cargo de instrumentador QX en sede de cali y renuncias por el cargo</t>
  </si>
  <si>
    <t>No contratacion de instrumentadores</t>
  </si>
  <si>
    <t>Lider de gestion Humana</t>
  </si>
  <si>
    <t>Por aumento de la demanda y disminucion de profesionales en instrumentacion QX, se propone estrategia salarial</t>
  </si>
  <si>
    <t>Analisis salarial. Informe y actas de reuniones</t>
  </si>
  <si>
    <t>Evaluar la eficacia de las capacitaciones cuyo objetivo es la aprehension de conocimiento a traves de un metodo que permita identificar que el progreso del capacitado respecto al tema ofrecido para la mejora de la competencia</t>
  </si>
  <si>
    <t xml:space="preserve">Actualizar y socializar nueva estrattegia de epre evaluacion y post </t>
  </si>
  <si>
    <t>No evaluacion oportuna</t>
  </si>
  <si>
    <t>Socializacion y control documental</t>
  </si>
  <si>
    <t>Informacion de compras : No se evidnecia carta de referencia comercial que evidencie la experiencia en el sector del proveedor artomed</t>
  </si>
  <si>
    <t>Retroalimentar y actualizar procedimiento de compras ademas de solicitar al proveedor los documentos faltantes</t>
  </si>
  <si>
    <t>Proveedores inadecuados</t>
  </si>
  <si>
    <t>Evidencia de solciitud a proveedores, actualizacion de procemiento y formatos</t>
  </si>
  <si>
    <t>Se evidencia en la encuesta de satisfaccion, puntaje en un tems de 2, sea tenido en cuenta como percepcion del cliente y tomado como queja</t>
  </si>
  <si>
    <t>Fomentar la percepcion del clientre a traves de la actualizacion de procedimiento PQRSF y satisfaccion del cliente para la mejora continua</t>
  </si>
  <si>
    <t>No medicion de percepcion del cliente</t>
  </si>
  <si>
    <t>Socializacion,comunicado a los clientes y control documental</t>
  </si>
  <si>
    <t>No se evidencia que la organización haya aplicado un enfoque basado en el riesgo residual,para controlar los procesos de auditoria interna</t>
  </si>
  <si>
    <t>Actualizar y socializar el riesgo residual en la auditoria interna de la organización</t>
  </si>
  <si>
    <t xml:space="preserve">No medir riesgos </t>
  </si>
  <si>
    <t>Capatacion, entrenamiento y control documental.</t>
  </si>
  <si>
    <t xml:space="preserve">Se evidencia en la encuesta de satisfaccion, puntaje en un items 2, en cuanto a los tiempos de entrega de la facturacion </t>
  </si>
  <si>
    <t>Generar estrategias de seguimiento, verificacion y retroalimentacion de percepcion en la satisfaccion de los clientes de Biosteel de colombia sa.</t>
  </si>
  <si>
    <t xml:space="preserve">No medir de percepcion del cliente </t>
  </si>
  <si>
    <t>Acta de socializacion, comunicado a clientes</t>
  </si>
  <si>
    <t>No se evidencia una adecuada medicion sobre el indicador de capacitaciones en la valoracion de las evaluaciones</t>
  </si>
  <si>
    <t>Se genera una mejora sobre la pre evaluacion y post evaluacion . Lo que ayuda al indicador a actualizarse</t>
  </si>
  <si>
    <t xml:space="preserve">Deficis en la medicion </t>
  </si>
  <si>
    <t>Actualizacion de indicador</t>
  </si>
  <si>
    <t>Contabilidad</t>
  </si>
  <si>
    <t xml:space="preserve">Se evidencia la meta en utilidad  &gt;1.000.000 lo cual desde el 2022 no se ha cumplido </t>
  </si>
  <si>
    <t>Se brinda la suferencia a gerencia que baje la meta, como mejora del proceso de contabilidad</t>
  </si>
  <si>
    <t>No cumplimiento de la meta</t>
  </si>
  <si>
    <t>Lider de contabilidad</t>
  </si>
  <si>
    <t>Cambio de meta de utilidad</t>
  </si>
  <si>
    <t>ISO 9001:2017</t>
  </si>
  <si>
    <t xml:space="preserve">Se hace necesario un aplicativo para el sistema de gestion </t>
  </si>
  <si>
    <t>Cotizacion y pruebas para que la alta gerencia de aprobacion del proyecto.</t>
  </si>
  <si>
    <t>Se hace necesario que la organización cuente con un profesional a cargo de las redes sociales</t>
  </si>
  <si>
    <t>Crear propuesta, contratacion y selección de la persona que estara a cargo de esta actividad</t>
  </si>
  <si>
    <t xml:space="preserve">Acta de reunion, cotizaciones y acta de aprobacion </t>
  </si>
  <si>
    <t xml:space="preserve">Contrato y hojas de vida </t>
  </si>
  <si>
    <t xml:space="preserve">No se evidencia que la organización aplicara metodos  de seguimiento, según la medicion de los procesasos del sistema de gestion </t>
  </si>
  <si>
    <t>Actualizacion del procedimiento y  modificacion sobre la medicion de evaluacion de seguimiento a asesores Qx</t>
  </si>
  <si>
    <t>Fallas en la medicion</t>
  </si>
  <si>
    <t>Coordinador asistencial</t>
  </si>
  <si>
    <t>ISO 9001:2018   NTC ISO:13485</t>
  </si>
  <si>
    <t>No se evidencia que la organización implementara la provision del servicio bajo condiciones controladas en el almacen , en lo relacionado a : G)la implementacion de acciones prar prevenir los errores humanos</t>
  </si>
  <si>
    <t>Actualizacion de procedimiento y correccion de mapa de procesos</t>
  </si>
  <si>
    <t xml:space="preserve">Error Humano </t>
  </si>
  <si>
    <t>Formato evaluacion</t>
  </si>
  <si>
    <t xml:space="preserve">Procedimiento de almacen </t>
  </si>
  <si>
    <t>No se evidencio que la organización implementara las acciones para abordar algunos riesgos y oportunidades identificados en el contexto estratégico, tampoco que se integrara e implementara las acciones en los procesos de sistema de gestión de la calidad y que evaluara la eficacia de las acciones.</t>
  </si>
  <si>
    <t>Desarrollar abordaje del contexto de la organización y evidencias d las mismas</t>
  </si>
  <si>
    <t>No controlar amenazas</t>
  </si>
  <si>
    <t>Evidencias de  reunion y evidencias de abordaje</t>
  </si>
  <si>
    <t>Baja Rotacion de cartera (clientes)</t>
  </si>
  <si>
    <t>Crear estrategias de apalancamiento financiero para cumplir los acuerdos pactados con los proveedores y asi sostener las relaciones comerciales.</t>
  </si>
  <si>
    <t xml:space="preserve">Fallas en los recursos </t>
  </si>
  <si>
    <t>ISO 9001:2018   NTC ISO:13486</t>
  </si>
  <si>
    <t>ISO 9001:2018   NTC ISO:13487</t>
  </si>
  <si>
    <t>No generar acciones preventiva para la implementacion de cambios normativos.</t>
  </si>
  <si>
    <t>Busqueda activa de reglamentacion atraves de paginas oficiales como INVIMA, y de paginas consultoras como consultor salud</t>
  </si>
  <si>
    <t xml:space="preserve">No controlar cambios externos </t>
  </si>
  <si>
    <t xml:space="preserve">Actas de reunion </t>
  </si>
  <si>
    <t>Actas de busqueda activa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</si>
</sst>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0"/>
      <color theme="1"/>
      <name val="Arial"/>
      <family val="2"/>
    </font>
    <font>
      <sz val="11"/>
      <color theme="1"/>
      <name val="Arial"/>
      <family val="2"/>
    </font>
    <font>
      <sz val="8"/>
      <name val="Calibri"/>
      <family val="2"/>
      <scheme val="minor"/>
    </font>
    <font>
      <b/>
      <sz val="11"/>
      <color rgb="FFFFFFFF"/>
      <name val="Arial Narrow"/>
      <family val="2"/>
    </font>
    <font>
      <sz val="11"/>
      <color theme="1"/>
      <name val="Arial Narrow"/>
      <family val="2"/>
    </font>
    <font>
      <b/>
      <sz val="11"/>
      <color theme="1"/>
      <name val="Arial Narrow"/>
      <family val="2"/>
    </font>
    <font>
      <b/>
      <u/>
      <sz val="9"/>
      <color theme="1"/>
      <name val="Arial Narrow"/>
      <family val="2"/>
    </font>
    <font>
      <sz val="9"/>
      <color theme="1"/>
      <name val="Arial Narrow"/>
      <family val="2"/>
    </font>
    <font>
      <sz val="10"/>
      <color theme="1"/>
      <name val="Arial Narrow"/>
      <family val="2"/>
    </font>
    <font>
      <b/>
      <u/>
      <sz val="10"/>
      <color theme="1"/>
      <name val="Arial Narrow"/>
      <family val="2"/>
    </font>
  </fonts>
  <fills count="8">
    <fill>
      <patternFill patternType="none"/>
    </fill>
    <fill>
      <patternFill patternType="gray125"/>
    </fill>
    <fill>
      <patternFill patternType="solid">
        <fgColor theme="0"/>
        <bgColor indexed="64"/>
      </patternFill>
    </fill>
    <fill>
      <patternFill patternType="solid">
        <fgColor rgb="FF1F4E79"/>
        <bgColor rgb="FF003366"/>
      </patternFill>
    </fill>
    <fill>
      <patternFill patternType="solid">
        <fgColor rgb="FFFFFF00"/>
        <bgColor indexed="64"/>
      </patternFill>
    </fill>
    <fill>
      <patternFill patternType="solid">
        <fgColor rgb="FFC00000"/>
        <bgColor indexed="64"/>
      </patternFill>
    </fill>
    <fill>
      <patternFill patternType="solid">
        <fgColor theme="6" tint="-0.499984740745262"/>
        <bgColor indexed="64"/>
      </patternFill>
    </fill>
    <fill>
      <patternFill patternType="solid">
        <fgColor theme="6"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diagonal/>
    </border>
  </borders>
  <cellStyleXfs count="1">
    <xf numFmtId="0" fontId="0" fillId="0" borderId="0"/>
  </cellStyleXfs>
  <cellXfs count="57">
    <xf numFmtId="0" fontId="0" fillId="0" borderId="0" xfId="0"/>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wrapText="1"/>
    </xf>
    <xf numFmtId="0" fontId="0" fillId="0" borderId="1" xfId="0" applyBorder="1"/>
    <xf numFmtId="0" fontId="0" fillId="0" borderId="1" xfId="0" applyBorder="1" applyAlignment="1">
      <alignment horizontal="left" vertical="center" wrapText="1"/>
    </xf>
    <xf numFmtId="0" fontId="0" fillId="0" borderId="1" xfId="0" applyBorder="1" applyAlignment="1">
      <alignment horizontal="center" wrapText="1"/>
    </xf>
    <xf numFmtId="0" fontId="2" fillId="0" borderId="1" xfId="0" applyFont="1" applyBorder="1" applyAlignment="1">
      <alignment horizontal="center" vertical="center" wrapText="1"/>
    </xf>
    <xf numFmtId="14" fontId="0" fillId="0" borderId="1" xfId="0" applyNumberFormat="1" applyBorder="1" applyAlignment="1">
      <alignment horizontal="center" vertical="center"/>
    </xf>
    <xf numFmtId="14" fontId="0" fillId="0" borderId="1" xfId="0" applyNumberFormat="1" applyBorder="1" applyAlignment="1">
      <alignment horizontal="center" vertical="center" wrapText="1"/>
    </xf>
    <xf numFmtId="0" fontId="0" fillId="0" borderId="1" xfId="0" applyBorder="1" applyAlignment="1">
      <alignment vertical="center"/>
    </xf>
    <xf numFmtId="14" fontId="0" fillId="0" borderId="1" xfId="0" applyNumberFormat="1" applyBorder="1" applyAlignment="1">
      <alignment vertical="center"/>
    </xf>
    <xf numFmtId="14" fontId="0" fillId="0" borderId="1" xfId="0" applyNumberFormat="1" applyBorder="1"/>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0" borderId="1" xfId="0" applyBorder="1" applyAlignment="1">
      <alignment horizontal="justify" vertical="center"/>
    </xf>
    <xf numFmtId="0" fontId="1" fillId="0" borderId="1" xfId="0" applyFont="1" applyBorder="1" applyAlignment="1">
      <alignment horizontal="center" vertical="center" wrapText="1"/>
    </xf>
    <xf numFmtId="0" fontId="3" fillId="0" borderId="1" xfId="0" applyFont="1" applyBorder="1" applyAlignment="1">
      <alignment horizontal="justify" vertical="center"/>
    </xf>
    <xf numFmtId="14" fontId="1" fillId="0" borderId="1" xfId="0" applyNumberFormat="1" applyFont="1" applyBorder="1" applyAlignment="1">
      <alignment horizontal="center" vertical="center" wrapText="1"/>
    </xf>
    <xf numFmtId="0" fontId="3" fillId="0" borderId="1" xfId="0" applyFont="1" applyBorder="1" applyAlignment="1">
      <alignment horizontal="justify" vertical="center" wrapText="1"/>
    </xf>
    <xf numFmtId="0" fontId="3" fillId="0" borderId="1" xfId="0" applyFont="1" applyBorder="1" applyAlignment="1">
      <alignment wrapText="1"/>
    </xf>
    <xf numFmtId="0" fontId="3" fillId="0" borderId="1" xfId="0" applyFont="1" applyBorder="1" applyAlignment="1">
      <alignment horizontal="justify"/>
    </xf>
    <xf numFmtId="0" fontId="1"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0" fillId="0" borderId="1" xfId="0" applyBorder="1" applyAlignment="1">
      <alignment horizontal="left"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6" fillId="0" borderId="6" xfId="0" applyFont="1" applyBorder="1" applyAlignment="1">
      <alignment horizontal="left" vertical="top" wrapText="1"/>
    </xf>
    <xf numFmtId="0" fontId="10" fillId="0" borderId="7" xfId="0" applyFont="1" applyBorder="1" applyAlignment="1">
      <alignment horizontal="left" vertical="top" wrapText="1"/>
    </xf>
    <xf numFmtId="0" fontId="6" fillId="0" borderId="8" xfId="0" applyFont="1" applyBorder="1" applyAlignment="1">
      <alignment horizontal="left" vertical="center" wrapText="1"/>
    </xf>
    <xf numFmtId="0" fontId="10" fillId="0" borderId="9" xfId="0" applyFont="1" applyBorder="1" applyAlignment="1">
      <alignment horizontal="left" vertical="top" wrapText="1"/>
    </xf>
    <xf numFmtId="0" fontId="7" fillId="4" borderId="10" xfId="0" applyFont="1" applyFill="1" applyBorder="1" applyAlignment="1">
      <alignment horizontal="center" vertical="center" wrapText="1"/>
    </xf>
    <xf numFmtId="0" fontId="6" fillId="0" borderId="1" xfId="0" applyFont="1" applyBorder="1" applyAlignment="1">
      <alignment vertical="center" wrapText="1"/>
    </xf>
    <xf numFmtId="0" fontId="7" fillId="5" borderId="11" xfId="0" applyFont="1" applyFill="1" applyBorder="1" applyAlignment="1">
      <alignment horizontal="center" vertical="center" wrapText="1"/>
    </xf>
    <xf numFmtId="0" fontId="6" fillId="0" borderId="12" xfId="0" applyFont="1" applyBorder="1" applyAlignment="1">
      <alignment horizontal="left" vertical="center" wrapText="1"/>
    </xf>
    <xf numFmtId="0" fontId="10" fillId="0" borderId="13" xfId="0" applyFont="1" applyBorder="1" applyAlignment="1">
      <alignment horizontal="left" vertical="top" wrapText="1"/>
    </xf>
    <xf numFmtId="0" fontId="6" fillId="0" borderId="15" xfId="0" applyFont="1" applyBorder="1" applyAlignment="1">
      <alignment horizontal="center" vertical="center"/>
    </xf>
    <xf numFmtId="0" fontId="6" fillId="0" borderId="16" xfId="0" applyFont="1" applyBorder="1" applyAlignment="1">
      <alignment vertical="center" wrapText="1"/>
    </xf>
    <xf numFmtId="0" fontId="6" fillId="0" borderId="10" xfId="0" applyFont="1" applyBorder="1" applyAlignment="1">
      <alignment horizontal="center" vertical="center"/>
    </xf>
    <xf numFmtId="0" fontId="6" fillId="0" borderId="9" xfId="0" applyFont="1" applyBorder="1" applyAlignment="1">
      <alignment vertical="center" wrapText="1"/>
    </xf>
    <xf numFmtId="0" fontId="0" fillId="0" borderId="11" xfId="0" applyBorder="1" applyAlignment="1">
      <alignment horizontal="center" vertical="center"/>
    </xf>
    <xf numFmtId="0" fontId="6" fillId="0" borderId="13" xfId="0" applyFont="1" applyBorder="1" applyAlignment="1">
      <alignment vertical="center" wrapText="1"/>
    </xf>
    <xf numFmtId="0" fontId="6" fillId="6" borderId="5" xfId="0" applyFont="1" applyFill="1" applyBorder="1" applyAlignment="1">
      <alignment horizontal="center" vertical="center" wrapText="1"/>
    </xf>
    <xf numFmtId="0" fontId="7" fillId="7" borderId="5" xfId="0" applyFont="1" applyFill="1" applyBorder="1" applyAlignment="1">
      <alignment horizontal="center" vertical="center" wrapText="1"/>
    </xf>
    <xf numFmtId="0" fontId="0" fillId="0" borderId="0" xfId="0" applyAlignment="1">
      <alignment wrapText="1"/>
    </xf>
    <xf numFmtId="0" fontId="1" fillId="0" borderId="2" xfId="0" applyFont="1" applyBorder="1" applyAlignment="1">
      <alignment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wrapText="1"/>
    </xf>
    <xf numFmtId="0" fontId="0" fillId="0" borderId="17" xfId="0" applyBorder="1" applyAlignment="1">
      <alignment vertical="center" wrapText="1"/>
    </xf>
    <xf numFmtId="0" fontId="0" fillId="0" borderId="17" xfId="0" applyBorder="1"/>
    <xf numFmtId="0" fontId="0" fillId="0" borderId="17" xfId="0"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5" fillId="3" borderId="3" xfId="0" applyFont="1" applyFill="1" applyBorder="1" applyAlignment="1">
      <alignment horizontal="center" vertical="center" wrapText="1"/>
    </xf>
    <xf numFmtId="0" fontId="5" fillId="3" borderId="14" xfId="0" applyFont="1" applyFill="1" applyBorder="1" applyAlignment="1">
      <alignment horizontal="center" vertical="center" wrapText="1"/>
    </xf>
  </cellXfs>
  <cellStyles count="1">
    <cellStyle name="Normal" xfId="0" builtinId="0"/>
  </cellStyles>
  <dxfs count="8">
    <dxf>
      <font>
        <color theme="6" tint="-0.499984740745262"/>
      </font>
      <fill>
        <patternFill>
          <bgColor theme="6" tint="-0.499984740745262"/>
        </patternFill>
      </fill>
    </dxf>
    <dxf>
      <font>
        <color theme="6" tint="0.39994506668294322"/>
      </font>
      <fill>
        <patternFill>
          <bgColor theme="6" tint="0.39994506668294322"/>
        </patternFill>
      </fill>
    </dxf>
    <dxf>
      <font>
        <color rgb="FFFFFF00"/>
      </font>
      <fill>
        <patternFill>
          <bgColor rgb="FFFFFF00"/>
        </patternFill>
      </fill>
    </dxf>
    <dxf>
      <font>
        <color rgb="FFC00000"/>
      </font>
      <fill>
        <patternFill>
          <bgColor rgb="FFC00000"/>
        </patternFill>
      </fill>
    </dxf>
    <dxf>
      <font>
        <b/>
        <i val="0"/>
        <color theme="0" tint="-4.9989318521683403E-2"/>
      </font>
      <fill>
        <patternFill>
          <bgColor theme="6" tint="-0.499984740745262"/>
        </patternFill>
      </fill>
    </dxf>
    <dxf>
      <font>
        <b/>
        <i val="0"/>
        <color theme="1"/>
      </font>
      <fill>
        <patternFill>
          <bgColor theme="6" tint="0.39994506668294322"/>
        </patternFill>
      </fill>
    </dxf>
    <dxf>
      <font>
        <b/>
        <i val="0"/>
        <color theme="1"/>
      </font>
      <fill>
        <patternFill>
          <bgColor rgb="FFFFFF00"/>
        </patternFill>
      </fill>
    </dxf>
    <dxf>
      <font>
        <b/>
        <i val="0"/>
        <color theme="0" tint="-4.9989318521683403E-2"/>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3</xdr:col>
          <xdr:colOff>1313089</xdr:colOff>
          <xdr:row>9</xdr:row>
          <xdr:rowOff>161730</xdr:rowOff>
        </xdr:to>
        <xdr:pic>
          <xdr:nvPicPr>
            <xdr:cNvPr id="2" name="Imagen 1">
              <a:extLst>
                <a:ext uri="{FF2B5EF4-FFF2-40B4-BE49-F238E27FC236}">
                  <a16:creationId xmlns:a16="http://schemas.microsoft.com/office/drawing/2014/main" id="{585C629D-E32B-4352-B40D-D7D02E7CE9BA}"/>
                </a:ext>
              </a:extLst>
            </xdr:cNvPr>
            <xdr:cNvPicPr>
              <a:picLocks noChangeAspect="1" noChangeArrowheads="1"/>
              <a:extLst>
                <a:ext uri="{84589F7E-364E-4C9E-8A38-B11213B215E9}">
                  <a14:cameraTool cellRange="[1]Hoja1!$B$3:$F$9" spid="_x0000_s2129"/>
                </a:ext>
              </a:extLst>
            </xdr:cNvPicPr>
          </xdr:nvPicPr>
          <xdr:blipFill>
            <a:blip xmlns:r="http://schemas.openxmlformats.org/officeDocument/2006/relationships" r:embed="rId1"/>
            <a:srcRect/>
            <a:stretch>
              <a:fillRect/>
            </a:stretch>
          </xdr:blipFill>
          <xdr:spPr bwMode="auto">
            <a:xfrm>
              <a:off x="762000" y="381000"/>
              <a:ext cx="5151664" cy="149523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4</xdr:col>
          <xdr:colOff>390525</xdr:colOff>
          <xdr:row>25</xdr:row>
          <xdr:rowOff>180975</xdr:rowOff>
        </xdr:to>
        <xdr:pic>
          <xdr:nvPicPr>
            <xdr:cNvPr id="3" name="Imagen 2">
              <a:extLst>
                <a:ext uri="{FF2B5EF4-FFF2-40B4-BE49-F238E27FC236}">
                  <a16:creationId xmlns:a16="http://schemas.microsoft.com/office/drawing/2014/main" id="{E30E3C56-EC37-44D6-B86D-364FFA006CF8}"/>
                </a:ext>
              </a:extLst>
            </xdr:cNvPr>
            <xdr:cNvPicPr>
              <a:picLocks noChangeAspect="1" noChangeArrowheads="1"/>
              <a:extLst>
                <a:ext uri="{84589F7E-364E-4C9E-8A38-B11213B215E9}">
                  <a14:cameraTool cellRange="[1]Hoja1!$J$19:$L$23" spid="_x0000_s2130"/>
                </a:ext>
              </a:extLst>
            </xdr:cNvPicPr>
          </xdr:nvPicPr>
          <xdr:blipFill>
            <a:blip xmlns:r="http://schemas.openxmlformats.org/officeDocument/2006/relationships" r:embed="rId2"/>
            <a:srcRect/>
            <a:stretch>
              <a:fillRect/>
            </a:stretch>
          </xdr:blipFill>
          <xdr:spPr bwMode="auto">
            <a:xfrm>
              <a:off x="762000" y="2286000"/>
              <a:ext cx="6029325" cy="265747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ISTEMA%20DE%20GESTION%20DE%20CALIDAD/9.MATRIZ%20DE%20RIESGO/Copia%20de%20GESTION%20HUMANA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STION H"/>
      <sheetName val="Matriz de Riesgo.."/>
      <sheetName val="Matriz de Riesgo"/>
      <sheetName val="Calificación y Semaforización"/>
      <sheetName val="Hoja4"/>
      <sheetName val="Hoja3"/>
      <sheetName val="Hoja1"/>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01"/>
  <sheetViews>
    <sheetView showGridLines="0" tabSelected="1" zoomScale="78" zoomScaleNormal="78" workbookViewId="0">
      <pane ySplit="1" topLeftCell="A189" activePane="bottomLeft" state="frozen"/>
      <selection activeCell="B1" sqref="B1"/>
      <selection pane="bottomLeft" activeCell="G194" sqref="G194"/>
    </sheetView>
  </sheetViews>
  <sheetFormatPr baseColWidth="10" defaultRowHeight="15" x14ac:dyDescent="0.25"/>
  <cols>
    <col min="1" max="1" width="4" customWidth="1"/>
    <col min="2" max="2" width="5.140625" customWidth="1"/>
    <col min="3" max="4" width="9.85546875" style="53" customWidth="1"/>
    <col min="5" max="5" width="25.7109375" style="53" customWidth="1"/>
    <col min="6" max="6" width="13.85546875" customWidth="1"/>
    <col min="7" max="7" width="20.140625" style="53" customWidth="1"/>
    <col min="8" max="8" width="52" customWidth="1"/>
    <col min="9" max="9" width="7.7109375" style="53" customWidth="1"/>
    <col min="10" max="10" width="40.5703125" style="45" customWidth="1"/>
    <col min="11" max="11" width="30" style="45" customWidth="1"/>
    <col min="12" max="13" width="6.85546875" style="45" customWidth="1"/>
    <col min="14" max="15" width="11.28515625" style="45" customWidth="1"/>
    <col min="16" max="16" width="19.28515625" style="53" customWidth="1"/>
    <col min="17" max="17" width="19.85546875" style="54" bestFit="1" customWidth="1"/>
    <col min="18" max="18" width="20.140625" style="54" customWidth="1"/>
    <col min="19" max="19" width="64.5703125" style="53" customWidth="1"/>
    <col min="20" max="20" width="12.7109375" style="53" customWidth="1"/>
    <col min="21" max="21" width="12" style="53" customWidth="1"/>
    <col min="22" max="22" width="8.28515625" style="53" customWidth="1"/>
    <col min="23" max="23" width="12.5703125" style="53" customWidth="1"/>
  </cols>
  <sheetData>
    <row r="1" spans="1:23" s="45" customFormat="1" ht="45" x14ac:dyDescent="0.25">
      <c r="A1" s="50"/>
      <c r="B1" s="46" t="s">
        <v>0</v>
      </c>
      <c r="C1" s="17" t="s">
        <v>1</v>
      </c>
      <c r="D1" s="17" t="s">
        <v>426</v>
      </c>
      <c r="E1" s="23" t="s">
        <v>2</v>
      </c>
      <c r="F1" s="17" t="s">
        <v>3</v>
      </c>
      <c r="G1" s="17" t="s">
        <v>4</v>
      </c>
      <c r="H1" s="17" t="s">
        <v>5</v>
      </c>
      <c r="I1" s="17" t="s">
        <v>6</v>
      </c>
      <c r="J1" s="17" t="s">
        <v>7</v>
      </c>
      <c r="K1" s="17" t="s">
        <v>634</v>
      </c>
      <c r="L1" s="17" t="s">
        <v>661</v>
      </c>
      <c r="M1" s="17" t="s">
        <v>662</v>
      </c>
      <c r="N1" s="17" t="s">
        <v>663</v>
      </c>
      <c r="O1" s="17" t="s">
        <v>664</v>
      </c>
      <c r="P1" s="17" t="s">
        <v>8</v>
      </c>
      <c r="Q1" s="19" t="s">
        <v>9</v>
      </c>
      <c r="R1" s="19" t="s">
        <v>10</v>
      </c>
      <c r="S1" s="17" t="s">
        <v>11</v>
      </c>
      <c r="T1" s="17" t="s">
        <v>279</v>
      </c>
      <c r="U1" s="17" t="s">
        <v>282</v>
      </c>
      <c r="V1" s="17" t="s">
        <v>12</v>
      </c>
      <c r="W1" s="17" t="s">
        <v>13</v>
      </c>
    </row>
    <row r="2" spans="1:23" ht="82.5" customHeight="1" x14ac:dyDescent="0.25">
      <c r="A2" s="51"/>
      <c r="B2" s="47">
        <v>1</v>
      </c>
      <c r="C2" s="1" t="s">
        <v>14</v>
      </c>
      <c r="D2" s="1"/>
      <c r="E2" s="14" t="s">
        <v>15</v>
      </c>
      <c r="F2" s="1" t="s">
        <v>16</v>
      </c>
      <c r="G2" s="1" t="s">
        <v>17</v>
      </c>
      <c r="H2" s="8" t="s">
        <v>18</v>
      </c>
      <c r="I2" s="1" t="s">
        <v>19</v>
      </c>
      <c r="J2" s="1" t="s">
        <v>20</v>
      </c>
      <c r="K2" s="1"/>
      <c r="L2" s="1"/>
      <c r="M2" s="1"/>
      <c r="N2" s="1" t="str">
        <f>IF(L2*M2 = 0,"",L2*M2)</f>
        <v/>
      </c>
      <c r="O2" s="1" t="str">
        <f>N2</f>
        <v/>
      </c>
      <c r="P2" s="1" t="s">
        <v>21</v>
      </c>
      <c r="Q2" s="9">
        <v>41440</v>
      </c>
      <c r="R2" s="9">
        <v>41517</v>
      </c>
      <c r="S2" s="1" t="s">
        <v>22</v>
      </c>
      <c r="T2" s="3" t="s">
        <v>23</v>
      </c>
      <c r="U2" s="3" t="s">
        <v>24</v>
      </c>
      <c r="V2" s="3"/>
      <c r="W2" s="3"/>
    </row>
    <row r="3" spans="1:23" ht="48" customHeight="1" x14ac:dyDescent="0.25">
      <c r="A3" s="51"/>
      <c r="B3" s="47">
        <v>2</v>
      </c>
      <c r="C3" s="1" t="s">
        <v>14</v>
      </c>
      <c r="D3" s="1"/>
      <c r="E3" s="14" t="s">
        <v>15</v>
      </c>
      <c r="F3" s="1" t="s">
        <v>16</v>
      </c>
      <c r="G3" s="1" t="s">
        <v>25</v>
      </c>
      <c r="H3" s="8" t="s">
        <v>26</v>
      </c>
      <c r="I3" s="1" t="s">
        <v>19</v>
      </c>
      <c r="J3" s="1" t="s">
        <v>27</v>
      </c>
      <c r="K3" s="1"/>
      <c r="L3" s="1"/>
      <c r="M3" s="1"/>
      <c r="N3" s="1" t="str">
        <f t="shared" ref="N3:N66" si="0">IF(L3*M3 = 0,"",L3*M3)</f>
        <v/>
      </c>
      <c r="O3" s="1" t="str">
        <f t="shared" ref="O3:O66" si="1">N3</f>
        <v/>
      </c>
      <c r="P3" s="1" t="s">
        <v>21</v>
      </c>
      <c r="Q3" s="9">
        <v>41440</v>
      </c>
      <c r="R3" s="9">
        <v>41517</v>
      </c>
      <c r="S3" s="2" t="s">
        <v>28</v>
      </c>
      <c r="T3" s="3" t="s">
        <v>23</v>
      </c>
      <c r="U3" s="3" t="s">
        <v>24</v>
      </c>
      <c r="V3" s="3"/>
      <c r="W3" s="3"/>
    </row>
    <row r="4" spans="1:23" ht="51" customHeight="1" x14ac:dyDescent="0.25">
      <c r="A4" s="51"/>
      <c r="B4" s="47">
        <v>3</v>
      </c>
      <c r="C4" s="1" t="s">
        <v>14</v>
      </c>
      <c r="D4" s="1"/>
      <c r="E4" s="14" t="s">
        <v>15</v>
      </c>
      <c r="F4" s="1" t="s">
        <v>16</v>
      </c>
      <c r="G4" s="1" t="s">
        <v>17</v>
      </c>
      <c r="H4" s="8" t="s">
        <v>29</v>
      </c>
      <c r="I4" s="1" t="s">
        <v>19</v>
      </c>
      <c r="J4" s="1" t="s">
        <v>30</v>
      </c>
      <c r="K4" s="1"/>
      <c r="L4" s="1"/>
      <c r="M4" s="1"/>
      <c r="N4" s="1" t="str">
        <f t="shared" si="0"/>
        <v/>
      </c>
      <c r="O4" s="1" t="str">
        <f t="shared" si="1"/>
        <v/>
      </c>
      <c r="P4" s="1" t="s">
        <v>31</v>
      </c>
      <c r="Q4" s="9">
        <v>41440</v>
      </c>
      <c r="R4" s="9">
        <v>41517</v>
      </c>
      <c r="S4" s="3" t="s">
        <v>32</v>
      </c>
      <c r="T4" s="3" t="s">
        <v>23</v>
      </c>
      <c r="U4" s="3" t="s">
        <v>24</v>
      </c>
      <c r="V4" s="3"/>
      <c r="W4" s="3"/>
    </row>
    <row r="5" spans="1:23" ht="69" customHeight="1" x14ac:dyDescent="0.25">
      <c r="A5" s="51"/>
      <c r="B5" s="47">
        <v>4</v>
      </c>
      <c r="C5" s="1" t="s">
        <v>14</v>
      </c>
      <c r="D5" s="1"/>
      <c r="E5" s="14" t="s">
        <v>15</v>
      </c>
      <c r="F5" s="1" t="s">
        <v>16</v>
      </c>
      <c r="G5" s="1" t="s">
        <v>33</v>
      </c>
      <c r="H5" s="8" t="s">
        <v>34</v>
      </c>
      <c r="I5" s="1" t="s">
        <v>19</v>
      </c>
      <c r="J5" s="1" t="s">
        <v>35</v>
      </c>
      <c r="K5" s="1"/>
      <c r="L5" s="1"/>
      <c r="M5" s="1"/>
      <c r="N5" s="1" t="str">
        <f t="shared" si="0"/>
        <v/>
      </c>
      <c r="O5" s="1" t="str">
        <f t="shared" si="1"/>
        <v/>
      </c>
      <c r="P5" s="1" t="s">
        <v>31</v>
      </c>
      <c r="Q5" s="9">
        <v>41440</v>
      </c>
      <c r="R5" s="9">
        <v>41517</v>
      </c>
      <c r="S5" s="4" t="s">
        <v>36</v>
      </c>
      <c r="T5" s="3" t="s">
        <v>23</v>
      </c>
      <c r="U5" s="3" t="s">
        <v>24</v>
      </c>
      <c r="V5" s="3"/>
      <c r="W5" s="3"/>
    </row>
    <row r="6" spans="1:23" ht="92.25" customHeight="1" x14ac:dyDescent="0.25">
      <c r="A6" s="51"/>
      <c r="B6" s="47">
        <v>5</v>
      </c>
      <c r="C6" s="1" t="s">
        <v>14</v>
      </c>
      <c r="D6" s="1"/>
      <c r="E6" s="14" t="s">
        <v>15</v>
      </c>
      <c r="F6" s="1" t="s">
        <v>16</v>
      </c>
      <c r="G6" s="1" t="s">
        <v>17</v>
      </c>
      <c r="H6" s="8" t="s">
        <v>37</v>
      </c>
      <c r="I6" s="1" t="s">
        <v>19</v>
      </c>
      <c r="J6" s="1" t="s">
        <v>38</v>
      </c>
      <c r="K6" s="1"/>
      <c r="L6" s="1"/>
      <c r="M6" s="1"/>
      <c r="N6" s="1" t="str">
        <f t="shared" si="0"/>
        <v/>
      </c>
      <c r="O6" s="1" t="str">
        <f t="shared" si="1"/>
        <v/>
      </c>
      <c r="P6" s="1" t="s">
        <v>21</v>
      </c>
      <c r="Q6" s="9">
        <v>41440</v>
      </c>
      <c r="R6" s="9">
        <v>41517</v>
      </c>
      <c r="S6" s="1" t="s">
        <v>39</v>
      </c>
      <c r="T6" s="3" t="s">
        <v>23</v>
      </c>
      <c r="U6" s="3" t="s">
        <v>24</v>
      </c>
      <c r="V6" s="3"/>
      <c r="W6" s="3"/>
    </row>
    <row r="7" spans="1:23" ht="42" customHeight="1" x14ac:dyDescent="0.25">
      <c r="A7" s="51"/>
      <c r="B7" s="47">
        <v>6</v>
      </c>
      <c r="C7" s="3" t="s">
        <v>40</v>
      </c>
      <c r="D7" s="3"/>
      <c r="E7" s="14" t="s">
        <v>15</v>
      </c>
      <c r="F7" s="1" t="s">
        <v>16</v>
      </c>
      <c r="G7" s="3" t="s">
        <v>17</v>
      </c>
      <c r="H7" s="8" t="s">
        <v>41</v>
      </c>
      <c r="I7" s="1" t="s">
        <v>42</v>
      </c>
      <c r="J7" s="1" t="s">
        <v>43</v>
      </c>
      <c r="K7" s="1"/>
      <c r="L7" s="1"/>
      <c r="M7" s="1"/>
      <c r="N7" s="1" t="str">
        <f t="shared" si="0"/>
        <v/>
      </c>
      <c r="O7" s="1" t="str">
        <f t="shared" si="1"/>
        <v/>
      </c>
      <c r="P7" s="1" t="s">
        <v>44</v>
      </c>
      <c r="Q7" s="9">
        <v>41440</v>
      </c>
      <c r="R7" s="9">
        <v>41489</v>
      </c>
      <c r="S7" s="1" t="s">
        <v>45</v>
      </c>
      <c r="T7" s="3" t="s">
        <v>23</v>
      </c>
      <c r="U7" s="3" t="s">
        <v>24</v>
      </c>
      <c r="V7" s="3"/>
      <c r="W7" s="3"/>
    </row>
    <row r="8" spans="1:23" ht="63.75" customHeight="1" x14ac:dyDescent="0.25">
      <c r="A8" s="51"/>
      <c r="B8" s="47">
        <v>7</v>
      </c>
      <c r="C8" s="3" t="s">
        <v>40</v>
      </c>
      <c r="D8" s="3"/>
      <c r="E8" s="14" t="s">
        <v>15</v>
      </c>
      <c r="F8" s="1" t="s">
        <v>16</v>
      </c>
      <c r="G8" s="3" t="s">
        <v>17</v>
      </c>
      <c r="H8" s="8" t="s">
        <v>46</v>
      </c>
      <c r="I8" s="1" t="s">
        <v>42</v>
      </c>
      <c r="J8" s="1" t="s">
        <v>47</v>
      </c>
      <c r="K8" s="1"/>
      <c r="L8" s="1"/>
      <c r="M8" s="1"/>
      <c r="N8" s="1" t="str">
        <f t="shared" si="0"/>
        <v/>
      </c>
      <c r="O8" s="1" t="str">
        <f t="shared" si="1"/>
        <v/>
      </c>
      <c r="P8" s="1" t="s">
        <v>48</v>
      </c>
      <c r="Q8" s="9">
        <v>41440</v>
      </c>
      <c r="R8" s="9">
        <v>41489</v>
      </c>
      <c r="S8" s="1" t="s">
        <v>49</v>
      </c>
      <c r="T8" s="3" t="s">
        <v>23</v>
      </c>
      <c r="U8" s="3" t="s">
        <v>24</v>
      </c>
      <c r="V8" s="3"/>
      <c r="W8" s="3"/>
    </row>
    <row r="9" spans="1:23" ht="217.5" customHeight="1" x14ac:dyDescent="0.25">
      <c r="A9" s="51"/>
      <c r="B9" s="47">
        <v>8</v>
      </c>
      <c r="C9" s="3" t="s">
        <v>40</v>
      </c>
      <c r="D9" s="3"/>
      <c r="E9" s="14" t="s">
        <v>15</v>
      </c>
      <c r="F9" s="1" t="s">
        <v>16</v>
      </c>
      <c r="G9" s="3" t="s">
        <v>50</v>
      </c>
      <c r="H9" s="8" t="s">
        <v>51</v>
      </c>
      <c r="I9" s="1" t="s">
        <v>42</v>
      </c>
      <c r="J9" s="1" t="s">
        <v>52</v>
      </c>
      <c r="K9" s="1"/>
      <c r="L9" s="1"/>
      <c r="M9" s="1"/>
      <c r="N9" s="1" t="str">
        <f t="shared" si="0"/>
        <v/>
      </c>
      <c r="O9" s="1" t="str">
        <f t="shared" si="1"/>
        <v/>
      </c>
      <c r="P9" s="1" t="s">
        <v>21</v>
      </c>
      <c r="Q9" s="9">
        <v>41440</v>
      </c>
      <c r="R9" s="9">
        <v>41489</v>
      </c>
      <c r="S9" s="2" t="s">
        <v>53</v>
      </c>
      <c r="T9" s="1" t="s">
        <v>23</v>
      </c>
      <c r="U9" s="3" t="s">
        <v>24</v>
      </c>
      <c r="V9" s="5"/>
      <c r="W9" s="5"/>
    </row>
    <row r="10" spans="1:23" ht="75" customHeight="1" x14ac:dyDescent="0.25">
      <c r="A10" s="51"/>
      <c r="B10" s="47">
        <v>9</v>
      </c>
      <c r="C10" s="3" t="s">
        <v>40</v>
      </c>
      <c r="D10" s="3"/>
      <c r="E10" s="14" t="s">
        <v>15</v>
      </c>
      <c r="F10" s="1" t="s">
        <v>16</v>
      </c>
      <c r="G10" s="3" t="s">
        <v>25</v>
      </c>
      <c r="H10" s="8" t="s">
        <v>54</v>
      </c>
      <c r="I10" s="1" t="s">
        <v>42</v>
      </c>
      <c r="J10" s="1" t="s">
        <v>55</v>
      </c>
      <c r="K10" s="1"/>
      <c r="L10" s="1"/>
      <c r="M10" s="1"/>
      <c r="N10" s="1" t="str">
        <f t="shared" si="0"/>
        <v/>
      </c>
      <c r="O10" s="1" t="str">
        <f t="shared" si="1"/>
        <v/>
      </c>
      <c r="P10" s="1" t="s">
        <v>44</v>
      </c>
      <c r="Q10" s="9">
        <v>41440</v>
      </c>
      <c r="R10" s="9">
        <v>41489</v>
      </c>
      <c r="S10" s="2" t="s">
        <v>56</v>
      </c>
      <c r="T10" s="3" t="s">
        <v>23</v>
      </c>
      <c r="U10" s="3" t="s">
        <v>24</v>
      </c>
      <c r="V10" s="5"/>
      <c r="W10" s="5"/>
    </row>
    <row r="11" spans="1:23" ht="214.5" customHeight="1" x14ac:dyDescent="0.25">
      <c r="A11" s="51"/>
      <c r="B11" s="47">
        <v>10</v>
      </c>
      <c r="C11" s="3" t="s">
        <v>40</v>
      </c>
      <c r="D11" s="3"/>
      <c r="E11" s="14" t="s">
        <v>15</v>
      </c>
      <c r="F11" s="1" t="s">
        <v>16</v>
      </c>
      <c r="G11" s="3" t="s">
        <v>25</v>
      </c>
      <c r="H11" s="8" t="s">
        <v>57</v>
      </c>
      <c r="I11" s="1" t="s">
        <v>42</v>
      </c>
      <c r="J11" s="1" t="s">
        <v>58</v>
      </c>
      <c r="K11" s="1"/>
      <c r="L11" s="1"/>
      <c r="M11" s="1"/>
      <c r="N11" s="1" t="str">
        <f t="shared" si="0"/>
        <v/>
      </c>
      <c r="O11" s="1" t="str">
        <f t="shared" si="1"/>
        <v/>
      </c>
      <c r="P11" s="1" t="s">
        <v>48</v>
      </c>
      <c r="Q11" s="9">
        <v>41440</v>
      </c>
      <c r="R11" s="9">
        <v>41489</v>
      </c>
      <c r="S11" s="2" t="s">
        <v>59</v>
      </c>
      <c r="T11" s="3" t="s">
        <v>23</v>
      </c>
      <c r="U11" s="3" t="s">
        <v>24</v>
      </c>
      <c r="V11" s="3"/>
      <c r="W11" s="5"/>
    </row>
    <row r="12" spans="1:23" ht="120" customHeight="1" x14ac:dyDescent="0.25">
      <c r="A12" s="51"/>
      <c r="B12" s="47">
        <v>11</v>
      </c>
      <c r="C12" s="3" t="s">
        <v>40</v>
      </c>
      <c r="D12" s="3"/>
      <c r="E12" s="14" t="s">
        <v>15</v>
      </c>
      <c r="F12" s="1" t="s">
        <v>16</v>
      </c>
      <c r="G12" s="3" t="s">
        <v>25</v>
      </c>
      <c r="H12" s="8" t="s">
        <v>60</v>
      </c>
      <c r="I12" s="1" t="s">
        <v>42</v>
      </c>
      <c r="J12" s="1" t="s">
        <v>61</v>
      </c>
      <c r="K12" s="1"/>
      <c r="L12" s="1"/>
      <c r="M12" s="1"/>
      <c r="N12" s="1" t="str">
        <f t="shared" si="0"/>
        <v/>
      </c>
      <c r="O12" s="1" t="str">
        <f t="shared" si="1"/>
        <v/>
      </c>
      <c r="P12" s="1" t="s">
        <v>48</v>
      </c>
      <c r="Q12" s="9">
        <v>41440</v>
      </c>
      <c r="R12" s="9">
        <v>41489</v>
      </c>
      <c r="S12" s="4" t="s">
        <v>62</v>
      </c>
      <c r="T12" s="3" t="s">
        <v>23</v>
      </c>
      <c r="U12" s="3" t="s">
        <v>24</v>
      </c>
      <c r="V12" s="5"/>
      <c r="W12" s="5"/>
    </row>
    <row r="13" spans="1:23" ht="120" customHeight="1" x14ac:dyDescent="0.25">
      <c r="A13" s="51"/>
      <c r="B13" s="47">
        <v>12</v>
      </c>
      <c r="C13" s="3" t="s">
        <v>40</v>
      </c>
      <c r="D13" s="3"/>
      <c r="E13" s="14" t="s">
        <v>15</v>
      </c>
      <c r="F13" s="1" t="s">
        <v>16</v>
      </c>
      <c r="G13" s="3" t="s">
        <v>17</v>
      </c>
      <c r="H13" s="8" t="s">
        <v>63</v>
      </c>
      <c r="I13" s="1" t="s">
        <v>42</v>
      </c>
      <c r="J13" s="1" t="s">
        <v>64</v>
      </c>
      <c r="K13" s="1"/>
      <c r="L13" s="1"/>
      <c r="M13" s="1"/>
      <c r="N13" s="1" t="str">
        <f t="shared" si="0"/>
        <v/>
      </c>
      <c r="O13" s="1" t="str">
        <f t="shared" si="1"/>
        <v/>
      </c>
      <c r="P13" s="1" t="s">
        <v>65</v>
      </c>
      <c r="Q13" s="9">
        <v>41440</v>
      </c>
      <c r="R13" s="9">
        <v>41489</v>
      </c>
      <c r="S13" s="1" t="s">
        <v>66</v>
      </c>
      <c r="T13" s="3" t="s">
        <v>23</v>
      </c>
      <c r="U13" s="3" t="s">
        <v>24</v>
      </c>
      <c r="V13" s="3"/>
      <c r="W13" s="3"/>
    </row>
    <row r="14" spans="1:23" ht="102" customHeight="1" x14ac:dyDescent="0.25">
      <c r="A14" s="51"/>
      <c r="B14" s="47">
        <v>13</v>
      </c>
      <c r="C14" s="3" t="s">
        <v>40</v>
      </c>
      <c r="D14" s="3"/>
      <c r="E14" s="14" t="s">
        <v>15</v>
      </c>
      <c r="F14" s="1" t="s">
        <v>16</v>
      </c>
      <c r="G14" s="3" t="s">
        <v>25</v>
      </c>
      <c r="H14" s="8" t="s">
        <v>67</v>
      </c>
      <c r="I14" s="1" t="s">
        <v>42</v>
      </c>
      <c r="J14" s="1" t="s">
        <v>68</v>
      </c>
      <c r="K14" s="1"/>
      <c r="L14" s="1"/>
      <c r="M14" s="1"/>
      <c r="N14" s="1" t="str">
        <f t="shared" si="0"/>
        <v/>
      </c>
      <c r="O14" s="1" t="str">
        <f t="shared" si="1"/>
        <v/>
      </c>
      <c r="P14" s="1" t="s">
        <v>65</v>
      </c>
      <c r="Q14" s="9">
        <v>41440</v>
      </c>
      <c r="R14" s="9">
        <v>41489</v>
      </c>
      <c r="S14" s="2" t="s">
        <v>69</v>
      </c>
      <c r="T14" s="3" t="s">
        <v>23</v>
      </c>
      <c r="U14" s="3" t="s">
        <v>24</v>
      </c>
      <c r="V14" s="3"/>
      <c r="W14" s="5"/>
    </row>
    <row r="15" spans="1:23" ht="140.25" customHeight="1" x14ac:dyDescent="0.25">
      <c r="A15" s="51"/>
      <c r="B15" s="47">
        <v>14</v>
      </c>
      <c r="C15" s="3" t="s">
        <v>40</v>
      </c>
      <c r="D15" s="3"/>
      <c r="E15" s="14" t="s">
        <v>15</v>
      </c>
      <c r="F15" s="1" t="s">
        <v>16</v>
      </c>
      <c r="G15" s="3" t="s">
        <v>70</v>
      </c>
      <c r="H15" s="8" t="s">
        <v>71</v>
      </c>
      <c r="I15" s="1" t="s">
        <v>42</v>
      </c>
      <c r="J15" s="1" t="s">
        <v>72</v>
      </c>
      <c r="K15" s="1"/>
      <c r="L15" s="1"/>
      <c r="M15" s="1"/>
      <c r="N15" s="1" t="str">
        <f t="shared" si="0"/>
        <v/>
      </c>
      <c r="O15" s="1" t="str">
        <f t="shared" si="1"/>
        <v/>
      </c>
      <c r="P15" s="1" t="s">
        <v>73</v>
      </c>
      <c r="Q15" s="9">
        <v>41440</v>
      </c>
      <c r="R15" s="9">
        <v>41489</v>
      </c>
      <c r="S15" s="2" t="s">
        <v>74</v>
      </c>
      <c r="T15" s="3" t="s">
        <v>23</v>
      </c>
      <c r="U15" s="3" t="s">
        <v>24</v>
      </c>
      <c r="V15" s="5"/>
      <c r="W15" s="5"/>
    </row>
    <row r="16" spans="1:23" ht="127.5" customHeight="1" x14ac:dyDescent="0.25">
      <c r="A16" s="51"/>
      <c r="B16" s="47">
        <v>15</v>
      </c>
      <c r="C16" s="3" t="s">
        <v>40</v>
      </c>
      <c r="D16" s="3"/>
      <c r="E16" s="14" t="s">
        <v>15</v>
      </c>
      <c r="F16" s="1" t="s">
        <v>16</v>
      </c>
      <c r="G16" s="3" t="s">
        <v>25</v>
      </c>
      <c r="H16" s="8" t="s">
        <v>75</v>
      </c>
      <c r="I16" s="1" t="s">
        <v>42</v>
      </c>
      <c r="J16" s="1" t="s">
        <v>76</v>
      </c>
      <c r="K16" s="1"/>
      <c r="L16" s="1"/>
      <c r="M16" s="1"/>
      <c r="N16" s="1" t="str">
        <f t="shared" si="0"/>
        <v/>
      </c>
      <c r="O16" s="1" t="str">
        <f t="shared" si="1"/>
        <v/>
      </c>
      <c r="P16" s="1" t="s">
        <v>48</v>
      </c>
      <c r="Q16" s="9">
        <v>41440</v>
      </c>
      <c r="R16" s="9">
        <v>41489</v>
      </c>
      <c r="S16" s="2" t="s">
        <v>77</v>
      </c>
      <c r="T16" s="3" t="s">
        <v>23</v>
      </c>
      <c r="U16" s="3" t="s">
        <v>24</v>
      </c>
      <c r="V16" s="3"/>
      <c r="W16" s="5"/>
    </row>
    <row r="17" spans="1:23" ht="120.75" customHeight="1" x14ac:dyDescent="0.25">
      <c r="A17" s="51"/>
      <c r="B17" s="47">
        <v>16</v>
      </c>
      <c r="C17" s="3" t="s">
        <v>40</v>
      </c>
      <c r="D17" s="3"/>
      <c r="E17" s="14" t="s">
        <v>15</v>
      </c>
      <c r="F17" s="1" t="s">
        <v>16</v>
      </c>
      <c r="G17" s="3" t="s">
        <v>50</v>
      </c>
      <c r="H17" s="8" t="s">
        <v>78</v>
      </c>
      <c r="I17" s="1" t="s">
        <v>42</v>
      </c>
      <c r="J17" s="1" t="s">
        <v>79</v>
      </c>
      <c r="K17" s="1"/>
      <c r="L17" s="1"/>
      <c r="M17" s="1"/>
      <c r="N17" s="1" t="str">
        <f t="shared" si="0"/>
        <v/>
      </c>
      <c r="O17" s="1" t="str">
        <f t="shared" si="1"/>
        <v/>
      </c>
      <c r="P17" s="1" t="s">
        <v>48</v>
      </c>
      <c r="Q17" s="9">
        <v>41440</v>
      </c>
      <c r="R17" s="9">
        <v>41489</v>
      </c>
      <c r="S17" s="4" t="s">
        <v>80</v>
      </c>
      <c r="T17" s="3" t="s">
        <v>23</v>
      </c>
      <c r="U17" s="3" t="s">
        <v>24</v>
      </c>
      <c r="V17" s="5"/>
      <c r="W17" s="5"/>
    </row>
    <row r="18" spans="1:23" ht="102" customHeight="1" x14ac:dyDescent="0.25">
      <c r="A18" s="51"/>
      <c r="B18" s="47">
        <v>17</v>
      </c>
      <c r="C18" s="3" t="s">
        <v>40</v>
      </c>
      <c r="D18" s="3"/>
      <c r="E18" s="14" t="s">
        <v>15</v>
      </c>
      <c r="F18" s="1" t="s">
        <v>16</v>
      </c>
      <c r="G18" s="3" t="s">
        <v>17</v>
      </c>
      <c r="H18" s="8" t="s">
        <v>81</v>
      </c>
      <c r="I18" s="1" t="s">
        <v>42</v>
      </c>
      <c r="J18" s="1" t="s">
        <v>82</v>
      </c>
      <c r="K18" s="1"/>
      <c r="L18" s="1"/>
      <c r="M18" s="1"/>
      <c r="N18" s="1" t="str">
        <f t="shared" si="0"/>
        <v/>
      </c>
      <c r="O18" s="1" t="str">
        <f t="shared" si="1"/>
        <v/>
      </c>
      <c r="P18" s="1" t="s">
        <v>48</v>
      </c>
      <c r="Q18" s="9">
        <v>41440</v>
      </c>
      <c r="R18" s="9">
        <v>41489</v>
      </c>
      <c r="S18" s="1" t="s">
        <v>83</v>
      </c>
      <c r="T18" s="3" t="s">
        <v>23</v>
      </c>
      <c r="U18" s="3" t="s">
        <v>24</v>
      </c>
      <c r="V18" s="3"/>
      <c r="W18" s="3"/>
    </row>
    <row r="19" spans="1:23" ht="120" customHeight="1" x14ac:dyDescent="0.25">
      <c r="A19" s="51"/>
      <c r="B19" s="47">
        <v>18</v>
      </c>
      <c r="C19" s="3" t="s">
        <v>40</v>
      </c>
      <c r="D19" s="3"/>
      <c r="E19" s="14" t="s">
        <v>15</v>
      </c>
      <c r="F19" s="1" t="s">
        <v>16</v>
      </c>
      <c r="G19" s="3" t="s">
        <v>17</v>
      </c>
      <c r="H19" s="8" t="s">
        <v>84</v>
      </c>
      <c r="I19" s="1" t="s">
        <v>42</v>
      </c>
      <c r="J19" s="1" t="s">
        <v>85</v>
      </c>
      <c r="K19" s="1"/>
      <c r="L19" s="1"/>
      <c r="M19" s="1"/>
      <c r="N19" s="1" t="str">
        <f t="shared" si="0"/>
        <v/>
      </c>
      <c r="O19" s="1" t="str">
        <f t="shared" si="1"/>
        <v/>
      </c>
      <c r="P19" s="1" t="s">
        <v>86</v>
      </c>
      <c r="Q19" s="9">
        <v>41440</v>
      </c>
      <c r="R19" s="9">
        <v>41489</v>
      </c>
      <c r="S19" s="1" t="s">
        <v>87</v>
      </c>
      <c r="T19" s="3" t="s">
        <v>23</v>
      </c>
      <c r="U19" s="3" t="s">
        <v>24</v>
      </c>
      <c r="V19" s="3"/>
      <c r="W19" s="3"/>
    </row>
    <row r="20" spans="1:23" ht="75" customHeight="1" x14ac:dyDescent="0.25">
      <c r="A20" s="51"/>
      <c r="B20" s="47">
        <v>19</v>
      </c>
      <c r="C20" s="3" t="s">
        <v>14</v>
      </c>
      <c r="D20" s="3"/>
      <c r="E20" s="14" t="s">
        <v>88</v>
      </c>
      <c r="F20" s="1" t="s">
        <v>89</v>
      </c>
      <c r="G20" s="3" t="s">
        <v>17</v>
      </c>
      <c r="H20" s="8" t="s">
        <v>90</v>
      </c>
      <c r="I20" s="1" t="s">
        <v>19</v>
      </c>
      <c r="J20" s="1" t="s">
        <v>91</v>
      </c>
      <c r="K20" s="1"/>
      <c r="L20" s="1"/>
      <c r="M20" s="1"/>
      <c r="N20" s="1" t="str">
        <f t="shared" si="0"/>
        <v/>
      </c>
      <c r="O20" s="1" t="str">
        <f t="shared" si="1"/>
        <v/>
      </c>
      <c r="P20" s="1" t="s">
        <v>92</v>
      </c>
      <c r="Q20" s="9">
        <v>41440</v>
      </c>
      <c r="R20" s="9">
        <v>41517</v>
      </c>
      <c r="S20" s="3" t="s">
        <v>93</v>
      </c>
      <c r="T20" s="3" t="s">
        <v>23</v>
      </c>
      <c r="U20" s="3" t="s">
        <v>24</v>
      </c>
      <c r="V20" s="3"/>
      <c r="W20" s="3"/>
    </row>
    <row r="21" spans="1:23" ht="75" customHeight="1" x14ac:dyDescent="0.25">
      <c r="A21" s="51"/>
      <c r="B21" s="47">
        <v>20</v>
      </c>
      <c r="C21" s="3" t="s">
        <v>14</v>
      </c>
      <c r="D21" s="3"/>
      <c r="E21" s="14" t="s">
        <v>88</v>
      </c>
      <c r="F21" s="1" t="s">
        <v>94</v>
      </c>
      <c r="G21" s="3" t="s">
        <v>17</v>
      </c>
      <c r="H21" s="8" t="s">
        <v>95</v>
      </c>
      <c r="I21" s="1" t="s">
        <v>19</v>
      </c>
      <c r="J21" s="1" t="s">
        <v>96</v>
      </c>
      <c r="K21" s="1"/>
      <c r="L21" s="1"/>
      <c r="M21" s="1"/>
      <c r="N21" s="1" t="str">
        <f t="shared" si="0"/>
        <v/>
      </c>
      <c r="O21" s="1" t="str">
        <f t="shared" si="1"/>
        <v/>
      </c>
      <c r="P21" s="1" t="s">
        <v>97</v>
      </c>
      <c r="Q21" s="9">
        <v>41440</v>
      </c>
      <c r="R21" s="9">
        <v>41517</v>
      </c>
      <c r="S21" s="1" t="s">
        <v>98</v>
      </c>
      <c r="T21" s="3" t="s">
        <v>23</v>
      </c>
      <c r="U21" s="3" t="s">
        <v>24</v>
      </c>
      <c r="V21" s="3"/>
      <c r="W21" s="3"/>
    </row>
    <row r="22" spans="1:23" ht="75" customHeight="1" x14ac:dyDescent="0.25">
      <c r="A22" s="51"/>
      <c r="B22" s="47">
        <v>21</v>
      </c>
      <c r="C22" s="3" t="s">
        <v>14</v>
      </c>
      <c r="D22" s="3"/>
      <c r="E22" s="14" t="s">
        <v>88</v>
      </c>
      <c r="F22" s="1" t="s">
        <v>94</v>
      </c>
      <c r="G22" s="3" t="s">
        <v>17</v>
      </c>
      <c r="H22" s="1" t="s">
        <v>99</v>
      </c>
      <c r="I22" s="1" t="s">
        <v>19</v>
      </c>
      <c r="J22" s="1" t="s">
        <v>100</v>
      </c>
      <c r="K22" s="1"/>
      <c r="L22" s="1"/>
      <c r="M22" s="1"/>
      <c r="N22" s="1" t="str">
        <f t="shared" si="0"/>
        <v/>
      </c>
      <c r="O22" s="1" t="str">
        <f t="shared" si="1"/>
        <v/>
      </c>
      <c r="P22" s="1" t="s">
        <v>44</v>
      </c>
      <c r="Q22" s="9">
        <v>41440</v>
      </c>
      <c r="R22" s="9">
        <v>41517</v>
      </c>
      <c r="S22" s="1" t="s">
        <v>101</v>
      </c>
      <c r="T22" s="3" t="s">
        <v>23</v>
      </c>
      <c r="U22" s="3" t="s">
        <v>24</v>
      </c>
      <c r="V22" s="3"/>
      <c r="W22" s="3"/>
    </row>
    <row r="23" spans="1:23" ht="75" customHeight="1" x14ac:dyDescent="0.25">
      <c r="A23" s="51"/>
      <c r="B23" s="47">
        <v>22</v>
      </c>
      <c r="C23" s="3" t="s">
        <v>14</v>
      </c>
      <c r="D23" s="3"/>
      <c r="E23" s="14" t="s">
        <v>88</v>
      </c>
      <c r="F23" s="1" t="s">
        <v>94</v>
      </c>
      <c r="G23" s="3" t="s">
        <v>25</v>
      </c>
      <c r="H23" s="8" t="s">
        <v>102</v>
      </c>
      <c r="I23" s="1" t="s">
        <v>19</v>
      </c>
      <c r="J23" s="1" t="s">
        <v>103</v>
      </c>
      <c r="K23" s="1"/>
      <c r="L23" s="1"/>
      <c r="M23" s="1"/>
      <c r="N23" s="1" t="str">
        <f t="shared" si="0"/>
        <v/>
      </c>
      <c r="O23" s="1" t="str">
        <f t="shared" si="1"/>
        <v/>
      </c>
      <c r="P23" s="1" t="s">
        <v>92</v>
      </c>
      <c r="Q23" s="9">
        <v>41440</v>
      </c>
      <c r="R23" s="9">
        <v>41517</v>
      </c>
      <c r="S23" s="1" t="s">
        <v>104</v>
      </c>
      <c r="T23" s="3" t="s">
        <v>23</v>
      </c>
      <c r="U23" s="3" t="s">
        <v>24</v>
      </c>
      <c r="V23" s="3"/>
      <c r="W23" s="3"/>
    </row>
    <row r="24" spans="1:23" ht="75" customHeight="1" x14ac:dyDescent="0.25">
      <c r="A24" s="51"/>
      <c r="B24" s="47">
        <v>23</v>
      </c>
      <c r="C24" s="3" t="s">
        <v>14</v>
      </c>
      <c r="D24" s="3"/>
      <c r="E24" s="14" t="s">
        <v>88</v>
      </c>
      <c r="F24" s="1" t="s">
        <v>105</v>
      </c>
      <c r="G24" s="3" t="s">
        <v>25</v>
      </c>
      <c r="H24" s="8" t="s">
        <v>106</v>
      </c>
      <c r="I24" s="1" t="s">
        <v>19</v>
      </c>
      <c r="J24" s="1" t="s">
        <v>107</v>
      </c>
      <c r="K24" s="1"/>
      <c r="L24" s="1"/>
      <c r="M24" s="1"/>
      <c r="N24" s="1" t="str">
        <f t="shared" si="0"/>
        <v/>
      </c>
      <c r="O24" s="1" t="str">
        <f t="shared" si="1"/>
        <v/>
      </c>
      <c r="P24" s="1" t="s">
        <v>92</v>
      </c>
      <c r="Q24" s="9">
        <v>41440</v>
      </c>
      <c r="R24" s="9">
        <v>41517</v>
      </c>
      <c r="S24" s="1" t="s">
        <v>108</v>
      </c>
      <c r="T24" s="3" t="s">
        <v>23</v>
      </c>
      <c r="U24" s="3" t="s">
        <v>24</v>
      </c>
      <c r="V24" s="3"/>
      <c r="W24" s="3"/>
    </row>
    <row r="25" spans="1:23" ht="90" customHeight="1" x14ac:dyDescent="0.25">
      <c r="A25" s="51"/>
      <c r="B25" s="47">
        <v>24</v>
      </c>
      <c r="C25" s="3" t="s">
        <v>14</v>
      </c>
      <c r="D25" s="3"/>
      <c r="E25" s="14" t="s">
        <v>88</v>
      </c>
      <c r="F25" s="1" t="s">
        <v>94</v>
      </c>
      <c r="G25" s="3" t="s">
        <v>25</v>
      </c>
      <c r="H25" s="8" t="s">
        <v>109</v>
      </c>
      <c r="I25" s="1" t="s">
        <v>19</v>
      </c>
      <c r="J25" s="1" t="s">
        <v>110</v>
      </c>
      <c r="K25" s="1"/>
      <c r="L25" s="1"/>
      <c r="M25" s="1"/>
      <c r="N25" s="1" t="str">
        <f t="shared" si="0"/>
        <v/>
      </c>
      <c r="O25" s="1" t="str">
        <f t="shared" si="1"/>
        <v/>
      </c>
      <c r="P25" s="1" t="s">
        <v>92</v>
      </c>
      <c r="Q25" s="9">
        <v>41440</v>
      </c>
      <c r="R25" s="9">
        <v>41517</v>
      </c>
      <c r="S25" s="7" t="s">
        <v>111</v>
      </c>
      <c r="T25" s="3" t="s">
        <v>23</v>
      </c>
      <c r="U25" s="3" t="s">
        <v>24</v>
      </c>
      <c r="V25" s="3"/>
      <c r="W25" s="3"/>
    </row>
    <row r="26" spans="1:23" ht="75" customHeight="1" x14ac:dyDescent="0.25">
      <c r="A26" s="51"/>
      <c r="B26" s="47">
        <v>25</v>
      </c>
      <c r="C26" s="3" t="s">
        <v>14</v>
      </c>
      <c r="D26" s="3"/>
      <c r="E26" s="14" t="s">
        <v>88</v>
      </c>
      <c r="F26" s="1" t="s">
        <v>94</v>
      </c>
      <c r="G26" s="3" t="s">
        <v>17</v>
      </c>
      <c r="H26" s="8" t="s">
        <v>112</v>
      </c>
      <c r="I26" s="8" t="s">
        <v>19</v>
      </c>
      <c r="J26" s="8" t="s">
        <v>113</v>
      </c>
      <c r="K26" s="8"/>
      <c r="L26" s="8"/>
      <c r="M26" s="8"/>
      <c r="N26" s="1" t="str">
        <f t="shared" si="0"/>
        <v/>
      </c>
      <c r="O26" s="1" t="str">
        <f t="shared" si="1"/>
        <v/>
      </c>
      <c r="P26" s="8" t="s">
        <v>92</v>
      </c>
      <c r="Q26" s="9">
        <v>41440</v>
      </c>
      <c r="R26" s="9">
        <v>41517</v>
      </c>
      <c r="S26" s="1" t="s">
        <v>114</v>
      </c>
      <c r="T26" s="3" t="s">
        <v>23</v>
      </c>
      <c r="U26" s="3" t="s">
        <v>24</v>
      </c>
      <c r="V26" s="3"/>
      <c r="W26" s="3"/>
    </row>
    <row r="27" spans="1:23" ht="105" customHeight="1" x14ac:dyDescent="0.25">
      <c r="A27" s="51"/>
      <c r="B27" s="47">
        <v>26</v>
      </c>
      <c r="C27" s="3" t="s">
        <v>14</v>
      </c>
      <c r="D27" s="3"/>
      <c r="E27" s="14" t="s">
        <v>88</v>
      </c>
      <c r="F27" s="1" t="s">
        <v>94</v>
      </c>
      <c r="G27" s="3" t="s">
        <v>25</v>
      </c>
      <c r="H27" s="8" t="s">
        <v>115</v>
      </c>
      <c r="I27" s="8" t="s">
        <v>19</v>
      </c>
      <c r="J27" s="8" t="s">
        <v>116</v>
      </c>
      <c r="K27" s="8"/>
      <c r="L27" s="8"/>
      <c r="M27" s="8"/>
      <c r="N27" s="1" t="str">
        <f t="shared" si="0"/>
        <v/>
      </c>
      <c r="O27" s="1" t="str">
        <f t="shared" si="1"/>
        <v/>
      </c>
      <c r="P27" s="8" t="s">
        <v>117</v>
      </c>
      <c r="Q27" s="9">
        <v>41440</v>
      </c>
      <c r="R27" s="9">
        <v>41517</v>
      </c>
      <c r="S27" s="4" t="s">
        <v>118</v>
      </c>
      <c r="T27" s="3" t="s">
        <v>23</v>
      </c>
      <c r="U27" s="3" t="s">
        <v>24</v>
      </c>
      <c r="V27" s="3"/>
      <c r="W27" s="3"/>
    </row>
    <row r="28" spans="1:23" ht="75" customHeight="1" x14ac:dyDescent="0.25">
      <c r="A28" s="51"/>
      <c r="B28" s="48">
        <v>27</v>
      </c>
      <c r="C28" s="3" t="s">
        <v>14</v>
      </c>
      <c r="D28" s="3"/>
      <c r="E28" s="14" t="s">
        <v>88</v>
      </c>
      <c r="F28" s="1" t="s">
        <v>94</v>
      </c>
      <c r="G28" s="3" t="s">
        <v>17</v>
      </c>
      <c r="H28" s="8" t="s">
        <v>119</v>
      </c>
      <c r="I28" s="8" t="s">
        <v>19</v>
      </c>
      <c r="J28" s="8" t="s">
        <v>120</v>
      </c>
      <c r="K28" s="8"/>
      <c r="L28" s="8"/>
      <c r="M28" s="8"/>
      <c r="N28" s="1" t="str">
        <f t="shared" si="0"/>
        <v/>
      </c>
      <c r="O28" s="1" t="str">
        <f t="shared" si="1"/>
        <v/>
      </c>
      <c r="P28" s="8" t="s">
        <v>92</v>
      </c>
      <c r="Q28" s="9">
        <v>41440</v>
      </c>
      <c r="R28" s="9">
        <v>41517</v>
      </c>
      <c r="S28" s="1" t="s">
        <v>121</v>
      </c>
      <c r="T28" s="3" t="s">
        <v>23</v>
      </c>
      <c r="U28" s="3" t="s">
        <v>24</v>
      </c>
      <c r="V28" s="3"/>
      <c r="W28" s="3"/>
    </row>
    <row r="29" spans="1:23" ht="165" customHeight="1" x14ac:dyDescent="0.25">
      <c r="A29" s="51"/>
      <c r="B29" s="48">
        <v>28</v>
      </c>
      <c r="C29" s="3" t="s">
        <v>14</v>
      </c>
      <c r="D29" s="3"/>
      <c r="E29" s="14" t="s">
        <v>88</v>
      </c>
      <c r="F29" s="1" t="s">
        <v>94</v>
      </c>
      <c r="G29" s="3" t="s">
        <v>25</v>
      </c>
      <c r="H29" s="8" t="s">
        <v>122</v>
      </c>
      <c r="I29" s="8" t="s">
        <v>19</v>
      </c>
      <c r="J29" s="8" t="s">
        <v>123</v>
      </c>
      <c r="K29" s="8"/>
      <c r="L29" s="8"/>
      <c r="M29" s="8"/>
      <c r="N29" s="1" t="str">
        <f t="shared" si="0"/>
        <v/>
      </c>
      <c r="O29" s="1" t="str">
        <f t="shared" si="1"/>
        <v/>
      </c>
      <c r="P29" s="8" t="s">
        <v>92</v>
      </c>
      <c r="Q29" s="9">
        <v>41440</v>
      </c>
      <c r="R29" s="9">
        <v>41517</v>
      </c>
      <c r="S29" s="4" t="s">
        <v>124</v>
      </c>
      <c r="T29" s="3" t="s">
        <v>23</v>
      </c>
      <c r="U29" s="3" t="s">
        <v>24</v>
      </c>
      <c r="V29" s="3"/>
      <c r="W29" s="3"/>
    </row>
    <row r="30" spans="1:23" ht="30" x14ac:dyDescent="0.25">
      <c r="A30" s="51"/>
      <c r="B30" s="48">
        <v>29</v>
      </c>
      <c r="C30" s="3" t="s">
        <v>14</v>
      </c>
      <c r="D30" s="3"/>
      <c r="E30" s="14" t="s">
        <v>88</v>
      </c>
      <c r="F30" s="1" t="s">
        <v>94</v>
      </c>
      <c r="G30" s="3" t="s">
        <v>125</v>
      </c>
      <c r="H30" s="8" t="s">
        <v>126</v>
      </c>
      <c r="I30" s="8" t="s">
        <v>19</v>
      </c>
      <c r="J30" s="8" t="s">
        <v>127</v>
      </c>
      <c r="K30" s="8"/>
      <c r="L30" s="8"/>
      <c r="M30" s="8"/>
      <c r="N30" s="1" t="str">
        <f t="shared" si="0"/>
        <v/>
      </c>
      <c r="O30" s="1" t="str">
        <f t="shared" si="1"/>
        <v/>
      </c>
      <c r="P30" s="8" t="s">
        <v>92</v>
      </c>
      <c r="Q30" s="9">
        <v>41440</v>
      </c>
      <c r="R30" s="9">
        <v>41517</v>
      </c>
      <c r="S30" s="7" t="s">
        <v>286</v>
      </c>
      <c r="T30" s="3" t="s">
        <v>23</v>
      </c>
      <c r="U30" s="3" t="s">
        <v>24</v>
      </c>
      <c r="V30" s="3"/>
      <c r="W30" s="3"/>
    </row>
    <row r="31" spans="1:23" ht="75" customHeight="1" x14ac:dyDescent="0.25">
      <c r="A31" s="51"/>
      <c r="B31" s="48">
        <v>30</v>
      </c>
      <c r="C31" s="3" t="s">
        <v>14</v>
      </c>
      <c r="D31" s="3"/>
      <c r="E31" s="14" t="s">
        <v>88</v>
      </c>
      <c r="F31" s="1" t="s">
        <v>94</v>
      </c>
      <c r="G31" s="3" t="s">
        <v>70</v>
      </c>
      <c r="H31" s="8" t="s">
        <v>128</v>
      </c>
      <c r="I31" s="8" t="s">
        <v>19</v>
      </c>
      <c r="J31" s="8" t="s">
        <v>129</v>
      </c>
      <c r="K31" s="8"/>
      <c r="L31" s="8"/>
      <c r="M31" s="8"/>
      <c r="N31" s="1" t="str">
        <f t="shared" si="0"/>
        <v/>
      </c>
      <c r="O31" s="1" t="str">
        <f t="shared" si="1"/>
        <v/>
      </c>
      <c r="P31" s="8" t="s">
        <v>92</v>
      </c>
      <c r="Q31" s="9">
        <v>41440</v>
      </c>
      <c r="R31" s="9">
        <v>41517</v>
      </c>
      <c r="S31" s="2" t="s">
        <v>294</v>
      </c>
      <c r="T31" s="3" t="s">
        <v>23</v>
      </c>
      <c r="U31" s="3" t="s">
        <v>24</v>
      </c>
      <c r="V31" s="3"/>
      <c r="W31" s="3"/>
    </row>
    <row r="32" spans="1:23" ht="30" x14ac:dyDescent="0.25">
      <c r="A32" s="51"/>
      <c r="B32" s="48">
        <v>31</v>
      </c>
      <c r="C32" s="3" t="s">
        <v>14</v>
      </c>
      <c r="D32" s="3"/>
      <c r="E32" s="14" t="s">
        <v>88</v>
      </c>
      <c r="F32" s="1" t="s">
        <v>94</v>
      </c>
      <c r="G32" s="3" t="s">
        <v>130</v>
      </c>
      <c r="H32" s="8" t="s">
        <v>131</v>
      </c>
      <c r="I32" s="8" t="s">
        <v>19</v>
      </c>
      <c r="J32" s="8" t="s">
        <v>132</v>
      </c>
      <c r="K32" s="8"/>
      <c r="L32" s="8"/>
      <c r="M32" s="8"/>
      <c r="N32" s="1" t="str">
        <f t="shared" si="0"/>
        <v/>
      </c>
      <c r="O32" s="1" t="str">
        <f t="shared" si="1"/>
        <v/>
      </c>
      <c r="P32" s="8" t="s">
        <v>92</v>
      </c>
      <c r="Q32" s="9">
        <v>41440</v>
      </c>
      <c r="R32" s="9">
        <v>41517</v>
      </c>
      <c r="S32" s="3" t="s">
        <v>290</v>
      </c>
      <c r="T32" s="3" t="s">
        <v>23</v>
      </c>
      <c r="U32" s="3" t="s">
        <v>24</v>
      </c>
      <c r="V32" s="3"/>
      <c r="W32" s="3"/>
    </row>
    <row r="33" spans="1:23" ht="75" customHeight="1" x14ac:dyDescent="0.25">
      <c r="A33" s="51"/>
      <c r="B33" s="48">
        <v>32</v>
      </c>
      <c r="C33" s="3" t="s">
        <v>14</v>
      </c>
      <c r="D33" s="3"/>
      <c r="E33" s="14" t="s">
        <v>88</v>
      </c>
      <c r="F33" s="1" t="s">
        <v>94</v>
      </c>
      <c r="G33" s="3" t="s">
        <v>130</v>
      </c>
      <c r="H33" s="8" t="s">
        <v>133</v>
      </c>
      <c r="I33" s="8" t="s">
        <v>19</v>
      </c>
      <c r="J33" s="8" t="s">
        <v>134</v>
      </c>
      <c r="K33" s="8"/>
      <c r="L33" s="8"/>
      <c r="M33" s="8"/>
      <c r="N33" s="1" t="str">
        <f t="shared" si="0"/>
        <v/>
      </c>
      <c r="O33" s="1" t="str">
        <f t="shared" si="1"/>
        <v/>
      </c>
      <c r="P33" s="8" t="s">
        <v>92</v>
      </c>
      <c r="Q33" s="9">
        <v>41440</v>
      </c>
      <c r="R33" s="9">
        <v>41517</v>
      </c>
      <c r="S33" s="2" t="s">
        <v>135</v>
      </c>
      <c r="T33" s="3" t="s">
        <v>23</v>
      </c>
      <c r="U33" s="3" t="s">
        <v>24</v>
      </c>
      <c r="V33" s="3"/>
      <c r="W33" s="3"/>
    </row>
    <row r="34" spans="1:23" ht="75" customHeight="1" x14ac:dyDescent="0.25">
      <c r="A34" s="51"/>
      <c r="B34" s="48">
        <v>33</v>
      </c>
      <c r="C34" s="3" t="s">
        <v>14</v>
      </c>
      <c r="D34" s="3"/>
      <c r="E34" s="14" t="s">
        <v>88</v>
      </c>
      <c r="F34" s="1" t="s">
        <v>136</v>
      </c>
      <c r="G34" s="3" t="s">
        <v>130</v>
      </c>
      <c r="H34" s="8" t="s">
        <v>137</v>
      </c>
      <c r="I34" s="8" t="s">
        <v>19</v>
      </c>
      <c r="J34" s="8" t="s">
        <v>138</v>
      </c>
      <c r="K34" s="8"/>
      <c r="L34" s="8"/>
      <c r="M34" s="8"/>
      <c r="N34" s="1" t="str">
        <f t="shared" si="0"/>
        <v/>
      </c>
      <c r="O34" s="1" t="str">
        <f t="shared" si="1"/>
        <v/>
      </c>
      <c r="P34" s="8" t="s">
        <v>92</v>
      </c>
      <c r="Q34" s="9">
        <v>41440</v>
      </c>
      <c r="R34" s="9">
        <v>41517</v>
      </c>
      <c r="S34" s="5" t="s">
        <v>561</v>
      </c>
      <c r="T34" s="3" t="s">
        <v>23</v>
      </c>
      <c r="U34" s="3" t="s">
        <v>24</v>
      </c>
      <c r="V34" s="3"/>
      <c r="W34" s="3"/>
    </row>
    <row r="35" spans="1:23" ht="75" customHeight="1" x14ac:dyDescent="0.25">
      <c r="A35" s="51"/>
      <c r="B35" s="48">
        <v>34</v>
      </c>
      <c r="C35" s="3" t="s">
        <v>14</v>
      </c>
      <c r="D35" s="3"/>
      <c r="E35" s="14" t="s">
        <v>88</v>
      </c>
      <c r="F35" s="1" t="s">
        <v>94</v>
      </c>
      <c r="G35" s="3" t="s">
        <v>125</v>
      </c>
      <c r="H35" s="8" t="s">
        <v>139</v>
      </c>
      <c r="I35" s="8" t="s">
        <v>19</v>
      </c>
      <c r="J35" s="8" t="s">
        <v>140</v>
      </c>
      <c r="K35" s="8"/>
      <c r="L35" s="8"/>
      <c r="M35" s="8"/>
      <c r="N35" s="1" t="str">
        <f t="shared" si="0"/>
        <v/>
      </c>
      <c r="O35" s="1" t="str">
        <f t="shared" si="1"/>
        <v/>
      </c>
      <c r="P35" s="8" t="s">
        <v>92</v>
      </c>
      <c r="Q35" s="9">
        <v>41440</v>
      </c>
      <c r="R35" s="9">
        <v>41517</v>
      </c>
      <c r="S35" s="2" t="s">
        <v>293</v>
      </c>
      <c r="T35" s="3" t="s">
        <v>23</v>
      </c>
      <c r="U35" s="3" t="s">
        <v>24</v>
      </c>
      <c r="V35" s="3"/>
      <c r="W35" s="3"/>
    </row>
    <row r="36" spans="1:23" ht="75" customHeight="1" x14ac:dyDescent="0.25">
      <c r="A36" s="51"/>
      <c r="B36" s="48">
        <v>35</v>
      </c>
      <c r="C36" s="3" t="s">
        <v>14</v>
      </c>
      <c r="D36" s="3"/>
      <c r="E36" s="14" t="s">
        <v>88</v>
      </c>
      <c r="F36" s="1" t="s">
        <v>94</v>
      </c>
      <c r="G36" s="3" t="s">
        <v>125</v>
      </c>
      <c r="H36" s="8" t="s">
        <v>141</v>
      </c>
      <c r="I36" s="8" t="s">
        <v>19</v>
      </c>
      <c r="J36" s="8" t="s">
        <v>142</v>
      </c>
      <c r="K36" s="8"/>
      <c r="L36" s="8"/>
      <c r="M36" s="8"/>
      <c r="N36" s="1" t="str">
        <f t="shared" si="0"/>
        <v/>
      </c>
      <c r="O36" s="1" t="str">
        <f t="shared" si="1"/>
        <v/>
      </c>
      <c r="P36" s="8" t="s">
        <v>92</v>
      </c>
      <c r="Q36" s="9">
        <v>41440</v>
      </c>
      <c r="R36" s="9">
        <v>41517</v>
      </c>
      <c r="S36" s="2" t="s">
        <v>292</v>
      </c>
      <c r="T36" s="3" t="s">
        <v>23</v>
      </c>
      <c r="U36" s="3" t="s">
        <v>24</v>
      </c>
      <c r="V36" s="3"/>
      <c r="W36" s="3"/>
    </row>
    <row r="37" spans="1:23" ht="75" customHeight="1" x14ac:dyDescent="0.25">
      <c r="A37" s="51"/>
      <c r="B37" s="48">
        <v>36</v>
      </c>
      <c r="C37" s="3" t="s">
        <v>14</v>
      </c>
      <c r="D37" s="3"/>
      <c r="E37" s="14" t="s">
        <v>88</v>
      </c>
      <c r="F37" s="1" t="s">
        <v>94</v>
      </c>
      <c r="G37" s="3" t="s">
        <v>125</v>
      </c>
      <c r="H37" s="8" t="s">
        <v>143</v>
      </c>
      <c r="I37" s="8" t="s">
        <v>19</v>
      </c>
      <c r="J37" s="8" t="s">
        <v>144</v>
      </c>
      <c r="K37" s="8"/>
      <c r="L37" s="8"/>
      <c r="M37" s="8"/>
      <c r="N37" s="1" t="str">
        <f t="shared" si="0"/>
        <v/>
      </c>
      <c r="O37" s="1" t="str">
        <f t="shared" si="1"/>
        <v/>
      </c>
      <c r="P37" s="8" t="s">
        <v>92</v>
      </c>
      <c r="Q37" s="9">
        <v>41440</v>
      </c>
      <c r="R37" s="9">
        <v>41517</v>
      </c>
      <c r="S37" s="4" t="s">
        <v>145</v>
      </c>
      <c r="T37" s="3" t="s">
        <v>23</v>
      </c>
      <c r="U37" s="3" t="s">
        <v>24</v>
      </c>
      <c r="V37" s="3"/>
      <c r="W37" s="3"/>
    </row>
    <row r="38" spans="1:23" ht="75" customHeight="1" x14ac:dyDescent="0.25">
      <c r="A38" s="51"/>
      <c r="B38" s="48">
        <v>37</v>
      </c>
      <c r="C38" s="3" t="s">
        <v>14</v>
      </c>
      <c r="D38" s="3"/>
      <c r="E38" s="14" t="s">
        <v>88</v>
      </c>
      <c r="F38" s="1" t="s">
        <v>94</v>
      </c>
      <c r="G38" s="3" t="s">
        <v>17</v>
      </c>
      <c r="H38" s="8" t="s">
        <v>146</v>
      </c>
      <c r="I38" s="8" t="s">
        <v>19</v>
      </c>
      <c r="J38" s="8" t="s">
        <v>147</v>
      </c>
      <c r="K38" s="8"/>
      <c r="L38" s="8"/>
      <c r="M38" s="8"/>
      <c r="N38" s="1" t="str">
        <f t="shared" si="0"/>
        <v/>
      </c>
      <c r="O38" s="1" t="str">
        <f t="shared" si="1"/>
        <v/>
      </c>
      <c r="P38" s="8" t="s">
        <v>92</v>
      </c>
      <c r="Q38" s="9">
        <v>41440</v>
      </c>
      <c r="R38" s="9">
        <v>41517</v>
      </c>
      <c r="S38" s="1" t="s">
        <v>148</v>
      </c>
      <c r="T38" s="3" t="s">
        <v>23</v>
      </c>
      <c r="U38" s="3" t="s">
        <v>24</v>
      </c>
      <c r="V38" s="3"/>
      <c r="W38" s="3"/>
    </row>
    <row r="39" spans="1:23" ht="75" customHeight="1" x14ac:dyDescent="0.25">
      <c r="A39" s="51"/>
      <c r="B39" s="48">
        <v>38</v>
      </c>
      <c r="C39" s="3" t="s">
        <v>14</v>
      </c>
      <c r="D39" s="3"/>
      <c r="E39" s="14" t="s">
        <v>88</v>
      </c>
      <c r="F39" s="1" t="s">
        <v>94</v>
      </c>
      <c r="G39" s="3" t="s">
        <v>70</v>
      </c>
      <c r="H39" s="8" t="s">
        <v>149</v>
      </c>
      <c r="I39" s="8" t="s">
        <v>19</v>
      </c>
      <c r="J39" s="8" t="s">
        <v>150</v>
      </c>
      <c r="K39" s="8"/>
      <c r="L39" s="8"/>
      <c r="M39" s="8"/>
      <c r="N39" s="1" t="str">
        <f t="shared" si="0"/>
        <v/>
      </c>
      <c r="O39" s="1" t="str">
        <f t="shared" si="1"/>
        <v/>
      </c>
      <c r="P39" s="8" t="s">
        <v>92</v>
      </c>
      <c r="Q39" s="9">
        <v>41440</v>
      </c>
      <c r="R39" s="9">
        <v>41517</v>
      </c>
      <c r="S39" s="4" t="s">
        <v>151</v>
      </c>
      <c r="T39" s="3" t="s">
        <v>23</v>
      </c>
      <c r="U39" s="3" t="s">
        <v>24</v>
      </c>
      <c r="V39" s="3"/>
      <c r="W39" s="3"/>
    </row>
    <row r="40" spans="1:23" ht="180.75" customHeight="1" x14ac:dyDescent="0.25">
      <c r="A40" s="51"/>
      <c r="B40" s="48">
        <v>39</v>
      </c>
      <c r="C40" s="3" t="s">
        <v>40</v>
      </c>
      <c r="D40" s="3"/>
      <c r="E40" s="14" t="s">
        <v>152</v>
      </c>
      <c r="F40" s="1" t="s">
        <v>153</v>
      </c>
      <c r="G40" s="3" t="s">
        <v>70</v>
      </c>
      <c r="H40" s="8" t="s">
        <v>154</v>
      </c>
      <c r="I40" s="8" t="s">
        <v>42</v>
      </c>
      <c r="J40" s="1" t="s">
        <v>155</v>
      </c>
      <c r="K40" s="1"/>
      <c r="L40" s="1"/>
      <c r="M40" s="1"/>
      <c r="N40" s="1" t="str">
        <f t="shared" si="0"/>
        <v/>
      </c>
      <c r="O40" s="1" t="str">
        <f t="shared" si="1"/>
        <v/>
      </c>
      <c r="P40" s="1" t="s">
        <v>156</v>
      </c>
      <c r="Q40" s="9">
        <v>41552</v>
      </c>
      <c r="R40" s="9">
        <v>41583</v>
      </c>
      <c r="S40" s="6" t="s">
        <v>157</v>
      </c>
      <c r="T40" s="3" t="s">
        <v>23</v>
      </c>
      <c r="U40" s="3" t="s">
        <v>24</v>
      </c>
      <c r="V40" s="3"/>
      <c r="W40" s="3"/>
    </row>
    <row r="41" spans="1:23" ht="52.5" customHeight="1" x14ac:dyDescent="0.25">
      <c r="A41" s="51"/>
      <c r="B41" s="48">
        <v>40</v>
      </c>
      <c r="C41" s="3" t="s">
        <v>14</v>
      </c>
      <c r="D41" s="3"/>
      <c r="E41" s="14" t="s">
        <v>152</v>
      </c>
      <c r="F41" s="1" t="s">
        <v>153</v>
      </c>
      <c r="G41" s="3" t="s">
        <v>70</v>
      </c>
      <c r="H41" s="8" t="s">
        <v>158</v>
      </c>
      <c r="I41" s="8" t="s">
        <v>19</v>
      </c>
      <c r="J41" s="8" t="s">
        <v>159</v>
      </c>
      <c r="K41" s="8"/>
      <c r="L41" s="8"/>
      <c r="M41" s="8"/>
      <c r="N41" s="1" t="str">
        <f t="shared" si="0"/>
        <v/>
      </c>
      <c r="O41" s="1" t="str">
        <f t="shared" si="1"/>
        <v/>
      </c>
      <c r="P41" s="8" t="s">
        <v>48</v>
      </c>
      <c r="Q41" s="9">
        <v>41552</v>
      </c>
      <c r="R41" s="9">
        <v>41583</v>
      </c>
      <c r="S41" s="4" t="s">
        <v>328</v>
      </c>
      <c r="T41" s="3" t="s">
        <v>23</v>
      </c>
      <c r="U41" s="11" t="s">
        <v>24</v>
      </c>
      <c r="V41" s="3"/>
      <c r="W41" s="3"/>
    </row>
    <row r="42" spans="1:23" ht="128.25" customHeight="1" x14ac:dyDescent="0.25">
      <c r="A42" s="51"/>
      <c r="B42" s="48">
        <v>41</v>
      </c>
      <c r="C42" s="3" t="s">
        <v>40</v>
      </c>
      <c r="D42" s="3"/>
      <c r="E42" s="14" t="s">
        <v>152</v>
      </c>
      <c r="F42" s="1" t="s">
        <v>153</v>
      </c>
      <c r="G42" s="3" t="s">
        <v>70</v>
      </c>
      <c r="H42" s="8" t="s">
        <v>160</v>
      </c>
      <c r="I42" s="8" t="s">
        <v>42</v>
      </c>
      <c r="J42" s="1" t="s">
        <v>161</v>
      </c>
      <c r="K42" s="1"/>
      <c r="L42" s="1"/>
      <c r="M42" s="1"/>
      <c r="N42" s="1" t="str">
        <f t="shared" si="0"/>
        <v/>
      </c>
      <c r="O42" s="1" t="str">
        <f t="shared" si="1"/>
        <v/>
      </c>
      <c r="P42" s="8" t="s">
        <v>162</v>
      </c>
      <c r="Q42" s="9">
        <v>41552</v>
      </c>
      <c r="R42" s="9">
        <v>41583</v>
      </c>
      <c r="S42" s="4" t="s">
        <v>163</v>
      </c>
      <c r="T42" s="3" t="s">
        <v>23</v>
      </c>
      <c r="U42" s="3" t="s">
        <v>24</v>
      </c>
      <c r="V42" s="5"/>
      <c r="W42" s="5"/>
    </row>
    <row r="43" spans="1:23" ht="76.5" customHeight="1" x14ac:dyDescent="0.25">
      <c r="A43" s="51"/>
      <c r="B43" s="48">
        <v>42</v>
      </c>
      <c r="C43" s="3" t="s">
        <v>14</v>
      </c>
      <c r="D43" s="3"/>
      <c r="E43" s="14" t="s">
        <v>152</v>
      </c>
      <c r="F43" s="1" t="s">
        <v>153</v>
      </c>
      <c r="G43" s="3" t="s">
        <v>70</v>
      </c>
      <c r="H43" s="8" t="s">
        <v>164</v>
      </c>
      <c r="I43" s="8" t="s">
        <v>19</v>
      </c>
      <c r="J43" s="8" t="s">
        <v>165</v>
      </c>
      <c r="K43" s="8"/>
      <c r="L43" s="8"/>
      <c r="M43" s="8"/>
      <c r="N43" s="1" t="str">
        <f t="shared" si="0"/>
        <v/>
      </c>
      <c r="O43" s="1" t="str">
        <f t="shared" si="1"/>
        <v/>
      </c>
      <c r="P43" s="8" t="s">
        <v>162</v>
      </c>
      <c r="Q43" s="9">
        <v>41552</v>
      </c>
      <c r="R43" s="9">
        <v>41583</v>
      </c>
      <c r="S43" s="4" t="s">
        <v>166</v>
      </c>
      <c r="T43" s="3" t="s">
        <v>23</v>
      </c>
      <c r="U43" s="3" t="s">
        <v>24</v>
      </c>
      <c r="V43" s="5"/>
      <c r="W43" s="5"/>
    </row>
    <row r="44" spans="1:23" ht="38.25" x14ac:dyDescent="0.25">
      <c r="A44" s="51"/>
      <c r="B44" s="48">
        <v>43</v>
      </c>
      <c r="C44" s="3" t="s">
        <v>14</v>
      </c>
      <c r="D44" s="3"/>
      <c r="E44" s="14" t="s">
        <v>88</v>
      </c>
      <c r="F44" s="1" t="s">
        <v>94</v>
      </c>
      <c r="G44" s="3" t="s">
        <v>70</v>
      </c>
      <c r="H44" s="8" t="s">
        <v>167</v>
      </c>
      <c r="I44" s="8" t="s">
        <v>168</v>
      </c>
      <c r="J44" s="8" t="s">
        <v>169</v>
      </c>
      <c r="K44" s="8"/>
      <c r="L44" s="8"/>
      <c r="M44" s="8"/>
      <c r="N44" s="1" t="str">
        <f t="shared" si="0"/>
        <v/>
      </c>
      <c r="O44" s="1" t="str">
        <f t="shared" si="1"/>
        <v/>
      </c>
      <c r="P44" s="1" t="s">
        <v>170</v>
      </c>
      <c r="Q44" s="9">
        <v>41573</v>
      </c>
      <c r="R44" s="9">
        <v>41665</v>
      </c>
      <c r="S44" s="3" t="s">
        <v>291</v>
      </c>
      <c r="T44" s="3" t="s">
        <v>23</v>
      </c>
      <c r="U44" s="3" t="s">
        <v>24</v>
      </c>
      <c r="V44" s="5"/>
      <c r="W44" s="5"/>
    </row>
    <row r="45" spans="1:23" ht="90" x14ac:dyDescent="0.25">
      <c r="A45" s="51"/>
      <c r="B45" s="48">
        <v>44</v>
      </c>
      <c r="C45" s="3" t="s">
        <v>14</v>
      </c>
      <c r="D45" s="3"/>
      <c r="E45" s="14" t="s">
        <v>88</v>
      </c>
      <c r="F45" s="1" t="s">
        <v>153</v>
      </c>
      <c r="G45" s="3" t="s">
        <v>70</v>
      </c>
      <c r="H45" s="8" t="s">
        <v>171</v>
      </c>
      <c r="I45" s="8" t="s">
        <v>19</v>
      </c>
      <c r="J45" s="1" t="s">
        <v>172</v>
      </c>
      <c r="K45" s="1"/>
      <c r="L45" s="1"/>
      <c r="M45" s="1"/>
      <c r="N45" s="1" t="str">
        <f t="shared" si="0"/>
        <v/>
      </c>
      <c r="O45" s="1" t="str">
        <f t="shared" si="1"/>
        <v/>
      </c>
      <c r="P45" s="1" t="s">
        <v>73</v>
      </c>
      <c r="Q45" s="9">
        <v>41585</v>
      </c>
      <c r="R45" s="9">
        <v>41639</v>
      </c>
      <c r="S45" s="4" t="s">
        <v>173</v>
      </c>
      <c r="T45" s="3" t="s">
        <v>23</v>
      </c>
      <c r="U45" s="3" t="s">
        <v>24</v>
      </c>
      <c r="V45" s="3"/>
      <c r="W45" s="5"/>
    </row>
    <row r="46" spans="1:23" ht="102" customHeight="1" x14ac:dyDescent="0.25">
      <c r="A46" s="51"/>
      <c r="B46" s="48">
        <v>45</v>
      </c>
      <c r="C46" s="3" t="s">
        <v>40</v>
      </c>
      <c r="D46" s="3"/>
      <c r="E46" s="14" t="s">
        <v>88</v>
      </c>
      <c r="F46" s="1" t="s">
        <v>174</v>
      </c>
      <c r="G46" s="3" t="s">
        <v>70</v>
      </c>
      <c r="H46" s="8" t="s">
        <v>175</v>
      </c>
      <c r="I46" s="8" t="s">
        <v>42</v>
      </c>
      <c r="J46" s="8" t="s">
        <v>176</v>
      </c>
      <c r="K46" s="8"/>
      <c r="L46" s="8"/>
      <c r="M46" s="8"/>
      <c r="N46" s="1" t="str">
        <f t="shared" si="0"/>
        <v/>
      </c>
      <c r="O46" s="1" t="str">
        <f t="shared" si="1"/>
        <v/>
      </c>
      <c r="P46" s="8" t="s">
        <v>44</v>
      </c>
      <c r="Q46" s="9">
        <v>41585</v>
      </c>
      <c r="R46" s="9">
        <v>41615</v>
      </c>
      <c r="S46" s="4" t="s">
        <v>177</v>
      </c>
      <c r="T46" s="3" t="s">
        <v>23</v>
      </c>
      <c r="U46" s="3" t="s">
        <v>24</v>
      </c>
      <c r="V46" s="5"/>
      <c r="W46" s="5"/>
    </row>
    <row r="47" spans="1:23" ht="102" x14ac:dyDescent="0.25">
      <c r="A47" s="51"/>
      <c r="B47" s="48">
        <v>46</v>
      </c>
      <c r="C47" s="3" t="s">
        <v>40</v>
      </c>
      <c r="D47" s="3"/>
      <c r="E47" s="14" t="s">
        <v>88</v>
      </c>
      <c r="F47" s="1" t="s">
        <v>174</v>
      </c>
      <c r="G47" s="3" t="s">
        <v>25</v>
      </c>
      <c r="H47" s="8" t="s">
        <v>178</v>
      </c>
      <c r="I47" s="8" t="s">
        <v>42</v>
      </c>
      <c r="J47" s="8" t="s">
        <v>179</v>
      </c>
      <c r="K47" s="8"/>
      <c r="L47" s="8"/>
      <c r="M47" s="8"/>
      <c r="N47" s="1" t="str">
        <f t="shared" si="0"/>
        <v/>
      </c>
      <c r="O47" s="1" t="str">
        <f t="shared" si="1"/>
        <v/>
      </c>
      <c r="P47" s="1" t="s">
        <v>180</v>
      </c>
      <c r="Q47" s="9">
        <v>41609</v>
      </c>
      <c r="R47" s="9">
        <v>41796</v>
      </c>
      <c r="S47" s="4" t="s">
        <v>181</v>
      </c>
      <c r="T47" s="3" t="s">
        <v>23</v>
      </c>
      <c r="U47" s="3" t="s">
        <v>24</v>
      </c>
      <c r="V47" s="3"/>
      <c r="W47" s="5"/>
    </row>
    <row r="48" spans="1:23" ht="59.25" customHeight="1" x14ac:dyDescent="0.25">
      <c r="A48" s="51"/>
      <c r="B48" s="48">
        <v>47</v>
      </c>
      <c r="C48" s="3" t="s">
        <v>40</v>
      </c>
      <c r="D48" s="3"/>
      <c r="E48" s="14" t="s">
        <v>182</v>
      </c>
      <c r="F48" s="1" t="s">
        <v>89</v>
      </c>
      <c r="G48" s="3" t="s">
        <v>25</v>
      </c>
      <c r="H48" s="8" t="s">
        <v>183</v>
      </c>
      <c r="I48" s="8" t="s">
        <v>42</v>
      </c>
      <c r="J48" s="1" t="s">
        <v>184</v>
      </c>
      <c r="K48" s="1"/>
      <c r="L48" s="1"/>
      <c r="M48" s="1"/>
      <c r="N48" s="1" t="str">
        <f t="shared" si="0"/>
        <v/>
      </c>
      <c r="O48" s="1" t="str">
        <f t="shared" si="1"/>
        <v/>
      </c>
      <c r="P48" s="1" t="s">
        <v>185</v>
      </c>
      <c r="Q48" s="9">
        <v>41744</v>
      </c>
      <c r="R48" s="9">
        <v>41774</v>
      </c>
      <c r="S48" s="4" t="s">
        <v>186</v>
      </c>
      <c r="T48" s="3" t="s">
        <v>23</v>
      </c>
      <c r="U48" s="3" t="s">
        <v>24</v>
      </c>
      <c r="V48" s="3"/>
      <c r="W48" s="3"/>
    </row>
    <row r="49" spans="1:23" ht="54" customHeight="1" x14ac:dyDescent="0.25">
      <c r="A49" s="51"/>
      <c r="B49" s="48">
        <v>48</v>
      </c>
      <c r="C49" s="3" t="s">
        <v>40</v>
      </c>
      <c r="D49" s="3"/>
      <c r="E49" s="14" t="s">
        <v>182</v>
      </c>
      <c r="F49" s="1" t="s">
        <v>89</v>
      </c>
      <c r="G49" s="3" t="s">
        <v>50</v>
      </c>
      <c r="H49" s="8" t="s">
        <v>187</v>
      </c>
      <c r="I49" s="8" t="s">
        <v>42</v>
      </c>
      <c r="J49" s="8" t="s">
        <v>188</v>
      </c>
      <c r="K49" s="8"/>
      <c r="L49" s="8"/>
      <c r="M49" s="8"/>
      <c r="N49" s="1" t="str">
        <f t="shared" si="0"/>
        <v/>
      </c>
      <c r="O49" s="1" t="str">
        <f t="shared" si="1"/>
        <v/>
      </c>
      <c r="P49" s="1" t="s">
        <v>189</v>
      </c>
      <c r="Q49" s="9">
        <v>41744</v>
      </c>
      <c r="R49" s="9">
        <v>41774</v>
      </c>
      <c r="S49" s="4" t="s">
        <v>190</v>
      </c>
      <c r="T49" s="3" t="s">
        <v>23</v>
      </c>
      <c r="U49" s="3" t="s">
        <v>24</v>
      </c>
      <c r="V49" s="3"/>
      <c r="W49" s="3"/>
    </row>
    <row r="50" spans="1:23" ht="60.75" customHeight="1" x14ac:dyDescent="0.25">
      <c r="A50" s="51"/>
      <c r="B50" s="48">
        <v>49</v>
      </c>
      <c r="C50" s="3" t="s">
        <v>40</v>
      </c>
      <c r="D50" s="3"/>
      <c r="E50" s="14" t="s">
        <v>182</v>
      </c>
      <c r="F50" s="1" t="s">
        <v>89</v>
      </c>
      <c r="G50" s="3" t="s">
        <v>50</v>
      </c>
      <c r="H50" s="8" t="s">
        <v>191</v>
      </c>
      <c r="I50" s="8" t="s">
        <v>42</v>
      </c>
      <c r="J50" s="1" t="s">
        <v>192</v>
      </c>
      <c r="K50" s="1"/>
      <c r="L50" s="1"/>
      <c r="M50" s="1"/>
      <c r="N50" s="1" t="str">
        <f t="shared" si="0"/>
        <v/>
      </c>
      <c r="O50" s="1" t="str">
        <f t="shared" si="1"/>
        <v/>
      </c>
      <c r="P50" s="1" t="s">
        <v>193</v>
      </c>
      <c r="Q50" s="9">
        <v>41744</v>
      </c>
      <c r="R50" s="9">
        <v>41774</v>
      </c>
      <c r="S50" s="4" t="s">
        <v>194</v>
      </c>
      <c r="T50" s="3" t="s">
        <v>23</v>
      </c>
      <c r="U50" s="3" t="s">
        <v>24</v>
      </c>
      <c r="V50" s="3"/>
      <c r="W50" s="3"/>
    </row>
    <row r="51" spans="1:23" ht="65.25" customHeight="1" x14ac:dyDescent="0.25">
      <c r="A51" s="51"/>
      <c r="B51" s="48">
        <v>50</v>
      </c>
      <c r="C51" s="3" t="s">
        <v>40</v>
      </c>
      <c r="D51" s="3"/>
      <c r="E51" s="14" t="s">
        <v>182</v>
      </c>
      <c r="F51" s="1" t="s">
        <v>89</v>
      </c>
      <c r="G51" s="3" t="s">
        <v>50</v>
      </c>
      <c r="H51" s="8" t="s">
        <v>195</v>
      </c>
      <c r="I51" s="8" t="s">
        <v>42</v>
      </c>
      <c r="J51" s="1" t="s">
        <v>196</v>
      </c>
      <c r="K51" s="1"/>
      <c r="L51" s="1"/>
      <c r="M51" s="1"/>
      <c r="N51" s="1" t="str">
        <f t="shared" si="0"/>
        <v/>
      </c>
      <c r="O51" s="1" t="str">
        <f t="shared" si="1"/>
        <v/>
      </c>
      <c r="P51" s="1" t="s">
        <v>92</v>
      </c>
      <c r="Q51" s="9">
        <v>41744</v>
      </c>
      <c r="R51" s="9">
        <v>41774</v>
      </c>
      <c r="S51" s="4" t="s">
        <v>197</v>
      </c>
      <c r="T51" s="3" t="s">
        <v>23</v>
      </c>
      <c r="U51" s="3" t="s">
        <v>24</v>
      </c>
      <c r="V51" s="3"/>
      <c r="W51" s="3"/>
    </row>
    <row r="52" spans="1:23" ht="92.25" customHeight="1" x14ac:dyDescent="0.25">
      <c r="A52" s="51"/>
      <c r="B52" s="48">
        <v>51</v>
      </c>
      <c r="C52" s="3" t="s">
        <v>40</v>
      </c>
      <c r="D52" s="3"/>
      <c r="E52" s="14" t="s">
        <v>182</v>
      </c>
      <c r="F52" s="1" t="s">
        <v>89</v>
      </c>
      <c r="G52" s="3" t="s">
        <v>70</v>
      </c>
      <c r="H52" s="8" t="s">
        <v>198</v>
      </c>
      <c r="I52" s="8" t="s">
        <v>42</v>
      </c>
      <c r="J52" s="1" t="s">
        <v>199</v>
      </c>
      <c r="K52" s="1"/>
      <c r="L52" s="1"/>
      <c r="M52" s="1"/>
      <c r="N52" s="1" t="str">
        <f t="shared" si="0"/>
        <v/>
      </c>
      <c r="O52" s="1" t="str">
        <f t="shared" si="1"/>
        <v/>
      </c>
      <c r="P52" s="1" t="s">
        <v>162</v>
      </c>
      <c r="Q52" s="9">
        <v>41744</v>
      </c>
      <c r="R52" s="9">
        <v>41774</v>
      </c>
      <c r="S52" s="4" t="s">
        <v>200</v>
      </c>
      <c r="T52" s="3" t="s">
        <v>201</v>
      </c>
      <c r="U52" s="3" t="s">
        <v>24</v>
      </c>
      <c r="V52" s="3"/>
      <c r="W52" s="3"/>
    </row>
    <row r="53" spans="1:23" ht="51" customHeight="1" x14ac:dyDescent="0.25">
      <c r="A53" s="51"/>
      <c r="B53" s="48">
        <v>52</v>
      </c>
      <c r="C53" s="3" t="s">
        <v>40</v>
      </c>
      <c r="D53" s="3"/>
      <c r="E53" s="14" t="s">
        <v>182</v>
      </c>
      <c r="F53" s="1" t="s">
        <v>89</v>
      </c>
      <c r="G53" s="3" t="s">
        <v>70</v>
      </c>
      <c r="H53" s="8" t="s">
        <v>202</v>
      </c>
      <c r="I53" s="8" t="s">
        <v>42</v>
      </c>
      <c r="J53" s="1" t="s">
        <v>203</v>
      </c>
      <c r="K53" s="1"/>
      <c r="L53" s="1"/>
      <c r="M53" s="1"/>
      <c r="N53" s="1" t="str">
        <f t="shared" si="0"/>
        <v/>
      </c>
      <c r="O53" s="1" t="str">
        <f t="shared" si="1"/>
        <v/>
      </c>
      <c r="P53" s="1" t="s">
        <v>162</v>
      </c>
      <c r="Q53" s="9">
        <v>41744</v>
      </c>
      <c r="R53" s="9">
        <v>41774</v>
      </c>
      <c r="S53" s="4" t="s">
        <v>204</v>
      </c>
      <c r="T53" s="3" t="s">
        <v>201</v>
      </c>
      <c r="U53" s="3" t="s">
        <v>24</v>
      </c>
      <c r="V53" s="3"/>
      <c r="W53" s="3"/>
    </row>
    <row r="54" spans="1:23" ht="51" customHeight="1" x14ac:dyDescent="0.25">
      <c r="A54" s="51"/>
      <c r="B54" s="48">
        <v>53</v>
      </c>
      <c r="C54" s="3" t="s">
        <v>40</v>
      </c>
      <c r="D54" s="3"/>
      <c r="E54" s="14" t="s">
        <v>182</v>
      </c>
      <c r="F54" s="1" t="s">
        <v>89</v>
      </c>
      <c r="G54" s="3" t="s">
        <v>70</v>
      </c>
      <c r="H54" s="8" t="s">
        <v>205</v>
      </c>
      <c r="I54" s="8" t="s">
        <v>42</v>
      </c>
      <c r="J54" s="1" t="s">
        <v>206</v>
      </c>
      <c r="K54" s="1"/>
      <c r="L54" s="1"/>
      <c r="M54" s="1"/>
      <c r="N54" s="1" t="str">
        <f t="shared" si="0"/>
        <v/>
      </c>
      <c r="O54" s="1" t="str">
        <f t="shared" si="1"/>
        <v/>
      </c>
      <c r="P54" s="1" t="s">
        <v>162</v>
      </c>
      <c r="Q54" s="9">
        <v>41744</v>
      </c>
      <c r="R54" s="9">
        <v>41774</v>
      </c>
      <c r="S54" s="4" t="s">
        <v>207</v>
      </c>
      <c r="T54" s="3" t="s">
        <v>23</v>
      </c>
      <c r="U54" s="3" t="s">
        <v>24</v>
      </c>
      <c r="V54" s="3"/>
      <c r="W54" s="3"/>
    </row>
    <row r="55" spans="1:23" ht="48.75" customHeight="1" x14ac:dyDescent="0.25">
      <c r="A55" s="51"/>
      <c r="B55" s="48">
        <v>54</v>
      </c>
      <c r="C55" s="3" t="s">
        <v>40</v>
      </c>
      <c r="D55" s="3"/>
      <c r="E55" s="14" t="s">
        <v>182</v>
      </c>
      <c r="F55" s="1" t="s">
        <v>89</v>
      </c>
      <c r="G55" s="3" t="s">
        <v>70</v>
      </c>
      <c r="H55" s="8" t="s">
        <v>208</v>
      </c>
      <c r="I55" s="8" t="s">
        <v>42</v>
      </c>
      <c r="J55" s="1" t="s">
        <v>209</v>
      </c>
      <c r="K55" s="1"/>
      <c r="L55" s="1"/>
      <c r="M55" s="1"/>
      <c r="N55" s="1" t="str">
        <f t="shared" si="0"/>
        <v/>
      </c>
      <c r="O55" s="1" t="str">
        <f t="shared" si="1"/>
        <v/>
      </c>
      <c r="P55" s="1" t="s">
        <v>162</v>
      </c>
      <c r="Q55" s="9">
        <v>41744</v>
      </c>
      <c r="R55" s="9">
        <v>41774</v>
      </c>
      <c r="S55" s="4" t="s">
        <v>210</v>
      </c>
      <c r="T55" s="3" t="s">
        <v>23</v>
      </c>
      <c r="U55" s="3" t="s">
        <v>24</v>
      </c>
      <c r="V55" s="3"/>
      <c r="W55" s="3"/>
    </row>
    <row r="56" spans="1:23" ht="46.5" customHeight="1" x14ac:dyDescent="0.25">
      <c r="A56" s="51"/>
      <c r="B56" s="48">
        <v>55</v>
      </c>
      <c r="C56" s="3" t="s">
        <v>40</v>
      </c>
      <c r="D56" s="3"/>
      <c r="E56" s="14" t="s">
        <v>182</v>
      </c>
      <c r="F56" s="1" t="s">
        <v>89</v>
      </c>
      <c r="G56" s="3" t="s">
        <v>70</v>
      </c>
      <c r="H56" s="8" t="s">
        <v>211</v>
      </c>
      <c r="I56" s="8" t="s">
        <v>42</v>
      </c>
      <c r="J56" s="1" t="s">
        <v>212</v>
      </c>
      <c r="K56" s="1"/>
      <c r="L56" s="1"/>
      <c r="M56" s="1"/>
      <c r="N56" s="1" t="str">
        <f t="shared" si="0"/>
        <v/>
      </c>
      <c r="O56" s="1" t="str">
        <f t="shared" si="1"/>
        <v/>
      </c>
      <c r="P56" s="1" t="s">
        <v>213</v>
      </c>
      <c r="Q56" s="9">
        <v>41744</v>
      </c>
      <c r="R56" s="9">
        <v>41774</v>
      </c>
      <c r="S56" s="4" t="s">
        <v>214</v>
      </c>
      <c r="T56" s="3" t="s">
        <v>23</v>
      </c>
      <c r="U56" s="3" t="s">
        <v>24</v>
      </c>
      <c r="V56" s="3"/>
      <c r="W56" s="3"/>
    </row>
    <row r="57" spans="1:23" ht="49.5" customHeight="1" x14ac:dyDescent="0.25">
      <c r="A57" s="51"/>
      <c r="B57" s="48">
        <v>56</v>
      </c>
      <c r="C57" s="3" t="s">
        <v>40</v>
      </c>
      <c r="D57" s="3"/>
      <c r="E57" s="14" t="s">
        <v>182</v>
      </c>
      <c r="F57" s="1" t="s">
        <v>89</v>
      </c>
      <c r="G57" s="3" t="s">
        <v>70</v>
      </c>
      <c r="H57" s="8" t="s">
        <v>215</v>
      </c>
      <c r="I57" s="8" t="s">
        <v>42</v>
      </c>
      <c r="J57" s="1" t="s">
        <v>216</v>
      </c>
      <c r="K57" s="1"/>
      <c r="L57" s="1"/>
      <c r="M57" s="1"/>
      <c r="N57" s="1" t="str">
        <f t="shared" si="0"/>
        <v/>
      </c>
      <c r="O57" s="1" t="str">
        <f t="shared" si="1"/>
        <v/>
      </c>
      <c r="P57" s="1" t="s">
        <v>162</v>
      </c>
      <c r="Q57" s="9">
        <v>41744</v>
      </c>
      <c r="R57" s="9">
        <v>41774</v>
      </c>
      <c r="S57" s="4" t="s">
        <v>217</v>
      </c>
      <c r="T57" s="3" t="s">
        <v>23</v>
      </c>
      <c r="U57" s="3" t="s">
        <v>24</v>
      </c>
      <c r="V57" s="3"/>
      <c r="W57" s="3"/>
    </row>
    <row r="58" spans="1:23" ht="58.5" customHeight="1" x14ac:dyDescent="0.25">
      <c r="A58" s="51"/>
      <c r="B58" s="48">
        <v>57</v>
      </c>
      <c r="C58" s="3" t="s">
        <v>40</v>
      </c>
      <c r="D58" s="3"/>
      <c r="E58" s="14" t="s">
        <v>182</v>
      </c>
      <c r="F58" s="1" t="s">
        <v>89</v>
      </c>
      <c r="G58" s="3" t="s">
        <v>50</v>
      </c>
      <c r="H58" s="8" t="s">
        <v>218</v>
      </c>
      <c r="I58" s="8" t="s">
        <v>42</v>
      </c>
      <c r="J58" s="1" t="s">
        <v>219</v>
      </c>
      <c r="K58" s="1"/>
      <c r="L58" s="1"/>
      <c r="M58" s="1"/>
      <c r="N58" s="1" t="str">
        <f t="shared" si="0"/>
        <v/>
      </c>
      <c r="O58" s="1" t="str">
        <f t="shared" si="1"/>
        <v/>
      </c>
      <c r="P58" s="1" t="s">
        <v>44</v>
      </c>
      <c r="Q58" s="9">
        <v>41744</v>
      </c>
      <c r="R58" s="9">
        <v>41774</v>
      </c>
      <c r="S58" s="4" t="s">
        <v>220</v>
      </c>
      <c r="T58" s="3" t="s">
        <v>23</v>
      </c>
      <c r="U58" s="3" t="s">
        <v>24</v>
      </c>
      <c r="V58" s="3"/>
      <c r="W58" s="3"/>
    </row>
    <row r="59" spans="1:23" ht="56.25" customHeight="1" x14ac:dyDescent="0.25">
      <c r="A59" s="51"/>
      <c r="B59" s="48">
        <v>58</v>
      </c>
      <c r="C59" s="3" t="s">
        <v>40</v>
      </c>
      <c r="D59" s="3"/>
      <c r="E59" s="14" t="s">
        <v>182</v>
      </c>
      <c r="F59" s="1" t="s">
        <v>89</v>
      </c>
      <c r="G59" s="3" t="s">
        <v>70</v>
      </c>
      <c r="H59" s="8" t="s">
        <v>221</v>
      </c>
      <c r="I59" s="8" t="s">
        <v>42</v>
      </c>
      <c r="J59" s="1" t="s">
        <v>222</v>
      </c>
      <c r="K59" s="1"/>
      <c r="L59" s="1"/>
      <c r="M59" s="1"/>
      <c r="N59" s="1" t="str">
        <f t="shared" si="0"/>
        <v/>
      </c>
      <c r="O59" s="1" t="str">
        <f t="shared" si="1"/>
        <v/>
      </c>
      <c r="P59" s="1" t="s">
        <v>162</v>
      </c>
      <c r="Q59" s="9">
        <v>41744</v>
      </c>
      <c r="R59" s="9">
        <v>41774</v>
      </c>
      <c r="S59" s="4" t="s">
        <v>223</v>
      </c>
      <c r="T59" s="3" t="s">
        <v>23</v>
      </c>
      <c r="U59" s="3" t="s">
        <v>24</v>
      </c>
      <c r="V59" s="3"/>
      <c r="W59" s="3"/>
    </row>
    <row r="60" spans="1:23" ht="53.25" customHeight="1" x14ac:dyDescent="0.25">
      <c r="A60" s="51"/>
      <c r="B60" s="48">
        <v>59</v>
      </c>
      <c r="C60" s="3" t="s">
        <v>40</v>
      </c>
      <c r="D60" s="3"/>
      <c r="E60" s="14" t="s">
        <v>182</v>
      </c>
      <c r="F60" s="1" t="s">
        <v>89</v>
      </c>
      <c r="G60" s="3" t="s">
        <v>17</v>
      </c>
      <c r="H60" s="8" t="s">
        <v>224</v>
      </c>
      <c r="I60" s="8" t="s">
        <v>42</v>
      </c>
      <c r="J60" s="1" t="s">
        <v>225</v>
      </c>
      <c r="K60" s="1"/>
      <c r="L60" s="1"/>
      <c r="M60" s="1"/>
      <c r="N60" s="1" t="str">
        <f t="shared" si="0"/>
        <v/>
      </c>
      <c r="O60" s="1" t="str">
        <f t="shared" si="1"/>
        <v/>
      </c>
      <c r="P60" s="1" t="s">
        <v>44</v>
      </c>
      <c r="Q60" s="9">
        <v>41744</v>
      </c>
      <c r="R60" s="9">
        <v>41774</v>
      </c>
      <c r="S60" s="1" t="s">
        <v>226</v>
      </c>
      <c r="T60" s="3" t="s">
        <v>23</v>
      </c>
      <c r="U60" s="3" t="s">
        <v>24</v>
      </c>
      <c r="V60" s="3"/>
      <c r="W60" s="3"/>
    </row>
    <row r="61" spans="1:23" ht="61.5" customHeight="1" x14ac:dyDescent="0.25">
      <c r="A61" s="51"/>
      <c r="B61" s="48">
        <v>60</v>
      </c>
      <c r="C61" s="3" t="s">
        <v>40</v>
      </c>
      <c r="D61" s="3"/>
      <c r="E61" s="14" t="s">
        <v>182</v>
      </c>
      <c r="F61" s="1" t="s">
        <v>89</v>
      </c>
      <c r="G61" s="3" t="s">
        <v>17</v>
      </c>
      <c r="H61" s="8" t="s">
        <v>227</v>
      </c>
      <c r="I61" s="8" t="s">
        <v>42</v>
      </c>
      <c r="J61" s="1" t="s">
        <v>228</v>
      </c>
      <c r="K61" s="1"/>
      <c r="L61" s="1"/>
      <c r="M61" s="1"/>
      <c r="N61" s="1" t="str">
        <f t="shared" si="0"/>
        <v/>
      </c>
      <c r="O61" s="1" t="str">
        <f t="shared" si="1"/>
        <v/>
      </c>
      <c r="P61" s="1" t="s">
        <v>44</v>
      </c>
      <c r="Q61" s="9">
        <v>41744</v>
      </c>
      <c r="R61" s="9">
        <v>41774</v>
      </c>
      <c r="S61" s="1" t="s">
        <v>229</v>
      </c>
      <c r="T61" s="3" t="s">
        <v>23</v>
      </c>
      <c r="U61" s="3" t="s">
        <v>24</v>
      </c>
      <c r="V61" s="3"/>
      <c r="W61" s="3"/>
    </row>
    <row r="62" spans="1:23" ht="72" customHeight="1" x14ac:dyDescent="0.25">
      <c r="A62" s="51"/>
      <c r="B62" s="48">
        <v>61</v>
      </c>
      <c r="C62" s="3" t="s">
        <v>40</v>
      </c>
      <c r="D62" s="3"/>
      <c r="E62" s="14" t="s">
        <v>182</v>
      </c>
      <c r="F62" s="1" t="s">
        <v>89</v>
      </c>
      <c r="G62" s="3" t="s">
        <v>17</v>
      </c>
      <c r="H62" s="8" t="s">
        <v>230</v>
      </c>
      <c r="I62" s="8" t="s">
        <v>42</v>
      </c>
      <c r="J62" s="1" t="s">
        <v>231</v>
      </c>
      <c r="K62" s="1"/>
      <c r="L62" s="1"/>
      <c r="M62" s="1"/>
      <c r="N62" s="1" t="str">
        <f t="shared" si="0"/>
        <v/>
      </c>
      <c r="O62" s="1" t="str">
        <f t="shared" si="1"/>
        <v/>
      </c>
      <c r="P62" s="1" t="s">
        <v>44</v>
      </c>
      <c r="Q62" s="9">
        <v>41744</v>
      </c>
      <c r="R62" s="9">
        <v>41774</v>
      </c>
      <c r="S62" s="1" t="s">
        <v>232</v>
      </c>
      <c r="T62" s="3" t="s">
        <v>23</v>
      </c>
      <c r="U62" s="3" t="s">
        <v>24</v>
      </c>
      <c r="V62" s="3"/>
      <c r="W62" s="3"/>
    </row>
    <row r="63" spans="1:23" ht="61.5" customHeight="1" x14ac:dyDescent="0.25">
      <c r="A63" s="51"/>
      <c r="B63" s="48">
        <v>62</v>
      </c>
      <c r="C63" s="3" t="s">
        <v>40</v>
      </c>
      <c r="D63" s="3"/>
      <c r="E63" s="14" t="s">
        <v>182</v>
      </c>
      <c r="F63" s="1" t="s">
        <v>89</v>
      </c>
      <c r="G63" s="3" t="s">
        <v>17</v>
      </c>
      <c r="H63" s="8" t="s">
        <v>233</v>
      </c>
      <c r="I63" s="8" t="s">
        <v>42</v>
      </c>
      <c r="J63" s="1" t="s">
        <v>234</v>
      </c>
      <c r="K63" s="1"/>
      <c r="L63" s="1"/>
      <c r="M63" s="1"/>
      <c r="N63" s="1" t="str">
        <f t="shared" si="0"/>
        <v/>
      </c>
      <c r="O63" s="1" t="str">
        <f t="shared" si="1"/>
        <v/>
      </c>
      <c r="P63" s="1" t="s">
        <v>44</v>
      </c>
      <c r="Q63" s="9">
        <v>41744</v>
      </c>
      <c r="R63" s="9">
        <v>41774</v>
      </c>
      <c r="S63" s="1" t="s">
        <v>229</v>
      </c>
      <c r="T63" s="3" t="s">
        <v>23</v>
      </c>
      <c r="U63" s="3" t="s">
        <v>24</v>
      </c>
      <c r="V63" s="3"/>
      <c r="W63" s="3"/>
    </row>
    <row r="64" spans="1:23" ht="56.25" customHeight="1" x14ac:dyDescent="0.25">
      <c r="A64" s="51"/>
      <c r="B64" s="48">
        <v>63</v>
      </c>
      <c r="C64" s="3" t="s">
        <v>40</v>
      </c>
      <c r="D64" s="3"/>
      <c r="E64" s="14" t="s">
        <v>182</v>
      </c>
      <c r="F64" s="1" t="s">
        <v>89</v>
      </c>
      <c r="G64" s="3" t="s">
        <v>17</v>
      </c>
      <c r="H64" s="8" t="s">
        <v>235</v>
      </c>
      <c r="I64" s="8" t="s">
        <v>42</v>
      </c>
      <c r="J64" s="1" t="s">
        <v>236</v>
      </c>
      <c r="K64" s="1"/>
      <c r="L64" s="1"/>
      <c r="M64" s="1"/>
      <c r="N64" s="1" t="str">
        <f t="shared" si="0"/>
        <v/>
      </c>
      <c r="O64" s="1" t="str">
        <f t="shared" si="1"/>
        <v/>
      </c>
      <c r="P64" s="1" t="s">
        <v>44</v>
      </c>
      <c r="Q64" s="9">
        <v>41744</v>
      </c>
      <c r="R64" s="9">
        <v>41774</v>
      </c>
      <c r="S64" s="1" t="s">
        <v>237</v>
      </c>
      <c r="T64" s="3" t="s">
        <v>201</v>
      </c>
      <c r="U64" s="3" t="s">
        <v>24</v>
      </c>
      <c r="V64" s="3"/>
      <c r="W64" s="3"/>
    </row>
    <row r="65" spans="1:23" ht="56.25" customHeight="1" x14ac:dyDescent="0.25">
      <c r="A65" s="51"/>
      <c r="B65" s="48">
        <v>64</v>
      </c>
      <c r="C65" s="3" t="s">
        <v>40</v>
      </c>
      <c r="D65" s="3"/>
      <c r="E65" s="14" t="s">
        <v>182</v>
      </c>
      <c r="F65" s="1" t="s">
        <v>89</v>
      </c>
      <c r="G65" s="3" t="s">
        <v>17</v>
      </c>
      <c r="H65" s="8" t="s">
        <v>238</v>
      </c>
      <c r="I65" s="8" t="s">
        <v>42</v>
      </c>
      <c r="J65" s="1" t="s">
        <v>239</v>
      </c>
      <c r="K65" s="1"/>
      <c r="L65" s="1"/>
      <c r="M65" s="1"/>
      <c r="N65" s="1" t="str">
        <f t="shared" si="0"/>
        <v/>
      </c>
      <c r="O65" s="1" t="str">
        <f t="shared" si="1"/>
        <v/>
      </c>
      <c r="P65" s="1" t="s">
        <v>44</v>
      </c>
      <c r="Q65" s="9">
        <v>41744</v>
      </c>
      <c r="R65" s="9">
        <v>41774</v>
      </c>
      <c r="S65" s="1" t="s">
        <v>240</v>
      </c>
      <c r="T65" s="3" t="s">
        <v>23</v>
      </c>
      <c r="U65" s="3" t="s">
        <v>24</v>
      </c>
      <c r="V65" s="3"/>
      <c r="W65" s="3"/>
    </row>
    <row r="66" spans="1:23" ht="49.5" customHeight="1" x14ac:dyDescent="0.25">
      <c r="A66" s="51"/>
      <c r="B66" s="48">
        <v>65</v>
      </c>
      <c r="C66" s="3" t="s">
        <v>40</v>
      </c>
      <c r="D66" s="3"/>
      <c r="E66" s="14" t="s">
        <v>182</v>
      </c>
      <c r="F66" s="1" t="s">
        <v>89</v>
      </c>
      <c r="G66" s="3" t="s">
        <v>50</v>
      </c>
      <c r="H66" s="8" t="s">
        <v>241</v>
      </c>
      <c r="I66" s="8" t="s">
        <v>42</v>
      </c>
      <c r="J66" s="1" t="s">
        <v>242</v>
      </c>
      <c r="K66" s="1"/>
      <c r="L66" s="1"/>
      <c r="M66" s="1"/>
      <c r="N66" s="1" t="str">
        <f t="shared" si="0"/>
        <v/>
      </c>
      <c r="O66" s="1" t="str">
        <f t="shared" si="1"/>
        <v/>
      </c>
      <c r="P66" s="1" t="s">
        <v>92</v>
      </c>
      <c r="Q66" s="9">
        <v>41744</v>
      </c>
      <c r="R66" s="9">
        <v>41774</v>
      </c>
      <c r="S66" s="4" t="s">
        <v>243</v>
      </c>
      <c r="T66" s="3" t="s">
        <v>23</v>
      </c>
      <c r="U66" s="3" t="s">
        <v>24</v>
      </c>
      <c r="V66" s="3"/>
      <c r="W66" s="3"/>
    </row>
    <row r="67" spans="1:23" ht="49.5" customHeight="1" x14ac:dyDescent="0.25">
      <c r="A67" s="51"/>
      <c r="B67" s="48">
        <v>66</v>
      </c>
      <c r="C67" s="3" t="s">
        <v>40</v>
      </c>
      <c r="D67" s="3"/>
      <c r="E67" s="14" t="s">
        <v>182</v>
      </c>
      <c r="F67" s="1" t="s">
        <v>89</v>
      </c>
      <c r="G67" s="3" t="s">
        <v>50</v>
      </c>
      <c r="H67" s="8" t="s">
        <v>244</v>
      </c>
      <c r="I67" s="8" t="s">
        <v>42</v>
      </c>
      <c r="J67" s="1" t="s">
        <v>245</v>
      </c>
      <c r="K67" s="1"/>
      <c r="L67" s="1"/>
      <c r="M67" s="1"/>
      <c r="N67" s="1" t="str">
        <f t="shared" ref="N67:N130" si="2">IF(L67*M67 = 0,"",L67*M67)</f>
        <v/>
      </c>
      <c r="O67" s="1" t="str">
        <f t="shared" ref="O67:O130" si="3">N67</f>
        <v/>
      </c>
      <c r="P67" s="1" t="s">
        <v>92</v>
      </c>
      <c r="Q67" s="9">
        <v>41744</v>
      </c>
      <c r="R67" s="9">
        <v>41774</v>
      </c>
      <c r="S67" s="4" t="s">
        <v>243</v>
      </c>
      <c r="T67" s="3" t="s">
        <v>23</v>
      </c>
      <c r="U67" s="3" t="s">
        <v>24</v>
      </c>
      <c r="V67" s="3"/>
      <c r="W67" s="3"/>
    </row>
    <row r="68" spans="1:23" ht="51" customHeight="1" x14ac:dyDescent="0.25">
      <c r="A68" s="51"/>
      <c r="B68" s="48">
        <v>67</v>
      </c>
      <c r="C68" s="3" t="s">
        <v>40</v>
      </c>
      <c r="D68" s="3"/>
      <c r="E68" s="14" t="s">
        <v>182</v>
      </c>
      <c r="F68" s="1" t="s">
        <v>89</v>
      </c>
      <c r="G68" s="3" t="s">
        <v>246</v>
      </c>
      <c r="H68" s="1" t="s">
        <v>247</v>
      </c>
      <c r="I68" s="8" t="s">
        <v>42</v>
      </c>
      <c r="J68" s="1" t="s">
        <v>248</v>
      </c>
      <c r="K68" s="1"/>
      <c r="L68" s="1"/>
      <c r="M68" s="1"/>
      <c r="N68" s="1" t="str">
        <f t="shared" si="2"/>
        <v/>
      </c>
      <c r="O68" s="1" t="str">
        <f t="shared" si="3"/>
        <v/>
      </c>
      <c r="P68" s="1" t="s">
        <v>249</v>
      </c>
      <c r="Q68" s="9">
        <v>41744</v>
      </c>
      <c r="R68" s="9">
        <v>41774</v>
      </c>
      <c r="S68" s="4" t="s">
        <v>250</v>
      </c>
      <c r="T68" s="3" t="s">
        <v>23</v>
      </c>
      <c r="U68" s="3" t="s">
        <v>24</v>
      </c>
      <c r="V68" s="3"/>
      <c r="W68" s="3"/>
    </row>
    <row r="69" spans="1:23" ht="75" x14ac:dyDescent="0.25">
      <c r="A69" s="51"/>
      <c r="B69" s="48">
        <v>68</v>
      </c>
      <c r="C69" s="3" t="s">
        <v>40</v>
      </c>
      <c r="D69" s="3"/>
      <c r="E69" s="14" t="s">
        <v>182</v>
      </c>
      <c r="F69" s="1" t="s">
        <v>89</v>
      </c>
      <c r="G69" s="3" t="s">
        <v>246</v>
      </c>
      <c r="H69" s="1" t="s">
        <v>251</v>
      </c>
      <c r="I69" s="8" t="s">
        <v>42</v>
      </c>
      <c r="J69" s="1" t="s">
        <v>252</v>
      </c>
      <c r="K69" s="1"/>
      <c r="L69" s="1"/>
      <c r="M69" s="1"/>
      <c r="N69" s="1" t="str">
        <f t="shared" si="2"/>
        <v/>
      </c>
      <c r="O69" s="1" t="str">
        <f t="shared" si="3"/>
        <v/>
      </c>
      <c r="P69" s="1" t="s">
        <v>249</v>
      </c>
      <c r="Q69" s="9">
        <v>41744</v>
      </c>
      <c r="R69" s="9">
        <v>41774</v>
      </c>
      <c r="S69" s="4" t="s">
        <v>253</v>
      </c>
      <c r="T69" s="3" t="s">
        <v>23</v>
      </c>
      <c r="U69" s="3" t="s">
        <v>24</v>
      </c>
      <c r="V69" s="3"/>
      <c r="W69" s="3"/>
    </row>
    <row r="70" spans="1:23" ht="45" x14ac:dyDescent="0.25">
      <c r="A70" s="51"/>
      <c r="B70" s="48">
        <v>69</v>
      </c>
      <c r="C70" s="3" t="s">
        <v>40</v>
      </c>
      <c r="D70" s="3"/>
      <c r="E70" s="14" t="s">
        <v>182</v>
      </c>
      <c r="F70" s="1" t="s">
        <v>89</v>
      </c>
      <c r="G70" s="3" t="s">
        <v>17</v>
      </c>
      <c r="H70" s="1" t="s">
        <v>254</v>
      </c>
      <c r="I70" s="8" t="s">
        <v>42</v>
      </c>
      <c r="J70" s="1" t="s">
        <v>255</v>
      </c>
      <c r="K70" s="1"/>
      <c r="L70" s="1"/>
      <c r="M70" s="1"/>
      <c r="N70" s="1" t="str">
        <f t="shared" si="2"/>
        <v/>
      </c>
      <c r="O70" s="1" t="str">
        <f t="shared" si="3"/>
        <v/>
      </c>
      <c r="P70" s="1" t="s">
        <v>44</v>
      </c>
      <c r="Q70" s="9">
        <v>41744</v>
      </c>
      <c r="R70" s="9">
        <v>41774</v>
      </c>
      <c r="S70" s="1" t="s">
        <v>283</v>
      </c>
      <c r="T70" s="3" t="s">
        <v>23</v>
      </c>
      <c r="U70" s="3" t="s">
        <v>24</v>
      </c>
      <c r="V70" s="3"/>
      <c r="W70" s="3"/>
    </row>
    <row r="71" spans="1:23" ht="60" x14ac:dyDescent="0.25">
      <c r="A71" s="51"/>
      <c r="B71" s="48">
        <v>70</v>
      </c>
      <c r="C71" s="3" t="s">
        <v>40</v>
      </c>
      <c r="D71" s="3"/>
      <c r="E71" s="14" t="s">
        <v>182</v>
      </c>
      <c r="F71" s="1" t="s">
        <v>89</v>
      </c>
      <c r="G71" s="3" t="s">
        <v>17</v>
      </c>
      <c r="H71" s="1" t="s">
        <v>256</v>
      </c>
      <c r="I71" s="8" t="s">
        <v>42</v>
      </c>
      <c r="J71" s="1" t="s">
        <v>257</v>
      </c>
      <c r="K71" s="1"/>
      <c r="L71" s="1"/>
      <c r="M71" s="1"/>
      <c r="N71" s="1" t="str">
        <f t="shared" si="2"/>
        <v/>
      </c>
      <c r="O71" s="1" t="str">
        <f t="shared" si="3"/>
        <v/>
      </c>
      <c r="P71" s="1" t="s">
        <v>44</v>
      </c>
      <c r="Q71" s="9">
        <v>41744</v>
      </c>
      <c r="R71" s="9">
        <v>41774</v>
      </c>
      <c r="S71" s="1" t="s">
        <v>258</v>
      </c>
      <c r="T71" s="3" t="s">
        <v>23</v>
      </c>
      <c r="U71" s="3" t="s">
        <v>24</v>
      </c>
      <c r="V71" s="3"/>
      <c r="W71" s="3"/>
    </row>
    <row r="72" spans="1:23" ht="75" x14ac:dyDescent="0.25">
      <c r="A72" s="51"/>
      <c r="B72" s="48">
        <v>71</v>
      </c>
      <c r="C72" s="3" t="s">
        <v>40</v>
      </c>
      <c r="D72" s="3"/>
      <c r="E72" s="14" t="s">
        <v>182</v>
      </c>
      <c r="F72" s="1" t="s">
        <v>89</v>
      </c>
      <c r="G72" s="3" t="s">
        <v>17</v>
      </c>
      <c r="H72" s="1" t="s">
        <v>259</v>
      </c>
      <c r="I72" s="8" t="s">
        <v>42</v>
      </c>
      <c r="J72" s="1" t="s">
        <v>260</v>
      </c>
      <c r="K72" s="1"/>
      <c r="L72" s="1"/>
      <c r="M72" s="1"/>
      <c r="N72" s="1" t="str">
        <f t="shared" si="2"/>
        <v/>
      </c>
      <c r="O72" s="1" t="str">
        <f t="shared" si="3"/>
        <v/>
      </c>
      <c r="P72" s="1" t="s">
        <v>44</v>
      </c>
      <c r="Q72" s="9">
        <v>41744</v>
      </c>
      <c r="R72" s="9">
        <v>41774</v>
      </c>
      <c r="S72" s="1" t="s">
        <v>283</v>
      </c>
      <c r="T72" s="3" t="s">
        <v>23</v>
      </c>
      <c r="U72" s="3" t="s">
        <v>24</v>
      </c>
      <c r="V72" s="3"/>
      <c r="W72" s="3"/>
    </row>
    <row r="73" spans="1:23" ht="105" x14ac:dyDescent="0.25">
      <c r="A73" s="51"/>
      <c r="B73" s="48">
        <v>72</v>
      </c>
      <c r="C73" s="3" t="s">
        <v>40</v>
      </c>
      <c r="D73" s="3"/>
      <c r="E73" s="14" t="s">
        <v>182</v>
      </c>
      <c r="F73" s="1" t="s">
        <v>89</v>
      </c>
      <c r="G73" s="3" t="s">
        <v>17</v>
      </c>
      <c r="H73" s="1" t="s">
        <v>261</v>
      </c>
      <c r="I73" s="8" t="s">
        <v>42</v>
      </c>
      <c r="J73" s="1" t="s">
        <v>262</v>
      </c>
      <c r="K73" s="1"/>
      <c r="L73" s="1"/>
      <c r="M73" s="1"/>
      <c r="N73" s="1" t="str">
        <f t="shared" si="2"/>
        <v/>
      </c>
      <c r="O73" s="1" t="str">
        <f t="shared" si="3"/>
        <v/>
      </c>
      <c r="P73" s="1" t="s">
        <v>44</v>
      </c>
      <c r="Q73" s="9">
        <v>41744</v>
      </c>
      <c r="R73" s="9">
        <v>41774</v>
      </c>
      <c r="S73" s="1" t="s">
        <v>263</v>
      </c>
      <c r="T73" s="3" t="s">
        <v>23</v>
      </c>
      <c r="U73" s="3" t="s">
        <v>24</v>
      </c>
      <c r="V73" s="3"/>
      <c r="W73" s="3"/>
    </row>
    <row r="74" spans="1:23" ht="105" x14ac:dyDescent="0.25">
      <c r="A74" s="51"/>
      <c r="B74" s="48">
        <v>73</v>
      </c>
      <c r="C74" s="3" t="s">
        <v>40</v>
      </c>
      <c r="D74" s="3"/>
      <c r="E74" s="14" t="s">
        <v>182</v>
      </c>
      <c r="F74" s="1" t="s">
        <v>89</v>
      </c>
      <c r="G74" s="3" t="s">
        <v>17</v>
      </c>
      <c r="H74" s="1" t="s">
        <v>261</v>
      </c>
      <c r="I74" s="8" t="s">
        <v>42</v>
      </c>
      <c r="J74" s="1" t="s">
        <v>264</v>
      </c>
      <c r="K74" s="1"/>
      <c r="L74" s="1"/>
      <c r="M74" s="1"/>
      <c r="N74" s="1" t="str">
        <f t="shared" si="2"/>
        <v/>
      </c>
      <c r="O74" s="1" t="str">
        <f t="shared" si="3"/>
        <v/>
      </c>
      <c r="P74" s="3" t="s">
        <v>44</v>
      </c>
      <c r="Q74" s="9">
        <v>41744</v>
      </c>
      <c r="R74" s="9">
        <v>41774</v>
      </c>
      <c r="S74" s="1" t="s">
        <v>263</v>
      </c>
      <c r="T74" s="3" t="s">
        <v>23</v>
      </c>
      <c r="U74" s="3" t="s">
        <v>24</v>
      </c>
      <c r="V74" s="3"/>
      <c r="W74" s="3"/>
    </row>
    <row r="75" spans="1:23" ht="90" x14ac:dyDescent="0.25">
      <c r="A75" s="51"/>
      <c r="B75" s="48">
        <v>74</v>
      </c>
      <c r="C75" s="3" t="s">
        <v>40</v>
      </c>
      <c r="D75" s="3"/>
      <c r="E75" s="14" t="s">
        <v>182</v>
      </c>
      <c r="F75" s="1" t="s">
        <v>89</v>
      </c>
      <c r="G75" s="3" t="s">
        <v>17</v>
      </c>
      <c r="H75" s="1" t="s">
        <v>265</v>
      </c>
      <c r="I75" s="8" t="s">
        <v>42</v>
      </c>
      <c r="J75" s="1" t="s">
        <v>266</v>
      </c>
      <c r="K75" s="1"/>
      <c r="L75" s="1"/>
      <c r="M75" s="1"/>
      <c r="N75" s="1" t="str">
        <f t="shared" si="2"/>
        <v/>
      </c>
      <c r="O75" s="1" t="str">
        <f t="shared" si="3"/>
        <v/>
      </c>
      <c r="P75" s="3" t="s">
        <v>44</v>
      </c>
      <c r="Q75" s="9">
        <v>41744</v>
      </c>
      <c r="R75" s="9">
        <v>41774</v>
      </c>
      <c r="S75" s="1" t="s">
        <v>263</v>
      </c>
      <c r="T75" s="3" t="s">
        <v>23</v>
      </c>
      <c r="U75" s="3" t="s">
        <v>24</v>
      </c>
      <c r="V75" s="3"/>
      <c r="W75" s="3"/>
    </row>
    <row r="76" spans="1:23" ht="60" x14ac:dyDescent="0.25">
      <c r="A76" s="51"/>
      <c r="B76" s="48">
        <v>75</v>
      </c>
      <c r="C76" s="3" t="s">
        <v>40</v>
      </c>
      <c r="D76" s="3"/>
      <c r="E76" s="14" t="s">
        <v>267</v>
      </c>
      <c r="F76" s="1" t="s">
        <v>89</v>
      </c>
      <c r="G76" s="3" t="s">
        <v>17</v>
      </c>
      <c r="H76" s="1" t="s">
        <v>268</v>
      </c>
      <c r="I76" s="8" t="s">
        <v>42</v>
      </c>
      <c r="J76" s="1" t="s">
        <v>284</v>
      </c>
      <c r="K76" s="1"/>
      <c r="L76" s="1"/>
      <c r="M76" s="1"/>
      <c r="N76" s="1" t="str">
        <f t="shared" si="2"/>
        <v/>
      </c>
      <c r="O76" s="1" t="str">
        <f t="shared" si="3"/>
        <v/>
      </c>
      <c r="P76" s="3" t="s">
        <v>73</v>
      </c>
      <c r="Q76" s="9">
        <v>41922</v>
      </c>
      <c r="R76" s="9">
        <v>41927</v>
      </c>
      <c r="S76" s="1" t="s">
        <v>285</v>
      </c>
      <c r="T76" s="3" t="s">
        <v>23</v>
      </c>
      <c r="U76" s="3" t="s">
        <v>24</v>
      </c>
      <c r="V76" s="3"/>
      <c r="W76" s="3"/>
    </row>
    <row r="77" spans="1:23" ht="195" x14ac:dyDescent="0.25">
      <c r="A77" s="51"/>
      <c r="B77" s="48">
        <v>76</v>
      </c>
      <c r="C77" s="3" t="s">
        <v>40</v>
      </c>
      <c r="D77" s="3"/>
      <c r="E77" s="14" t="s">
        <v>267</v>
      </c>
      <c r="F77" s="1" t="s">
        <v>89</v>
      </c>
      <c r="G77" s="3" t="s">
        <v>17</v>
      </c>
      <c r="H77" s="1" t="s">
        <v>269</v>
      </c>
      <c r="I77" s="8" t="s">
        <v>42</v>
      </c>
      <c r="J77" s="1" t="s">
        <v>280</v>
      </c>
      <c r="K77" s="1"/>
      <c r="L77" s="1"/>
      <c r="M77" s="1"/>
      <c r="N77" s="1" t="str">
        <f t="shared" si="2"/>
        <v/>
      </c>
      <c r="O77" s="1" t="str">
        <f t="shared" si="3"/>
        <v/>
      </c>
      <c r="P77" s="3" t="s">
        <v>73</v>
      </c>
      <c r="Q77" s="10">
        <v>41855</v>
      </c>
      <c r="R77" s="10">
        <v>41920</v>
      </c>
      <c r="S77" s="1" t="s">
        <v>281</v>
      </c>
      <c r="T77" s="1" t="s">
        <v>23</v>
      </c>
      <c r="U77" s="1" t="s">
        <v>24</v>
      </c>
      <c r="V77" s="1"/>
      <c r="W77" s="1"/>
    </row>
    <row r="78" spans="1:23" ht="285" x14ac:dyDescent="0.25">
      <c r="A78" s="51"/>
      <c r="B78" s="48">
        <v>77</v>
      </c>
      <c r="C78" s="3" t="s">
        <v>40</v>
      </c>
      <c r="D78" s="3"/>
      <c r="E78" s="14" t="s">
        <v>267</v>
      </c>
      <c r="F78" s="1" t="s">
        <v>89</v>
      </c>
      <c r="G78" s="3" t="s">
        <v>25</v>
      </c>
      <c r="H78" s="1" t="s">
        <v>270</v>
      </c>
      <c r="I78" s="8" t="s">
        <v>42</v>
      </c>
      <c r="J78" s="1" t="s">
        <v>299</v>
      </c>
      <c r="K78" s="1"/>
      <c r="L78" s="1"/>
      <c r="M78" s="1"/>
      <c r="N78" s="1" t="str">
        <f t="shared" si="2"/>
        <v/>
      </c>
      <c r="O78" s="1" t="str">
        <f t="shared" si="3"/>
        <v/>
      </c>
      <c r="P78" s="1" t="s">
        <v>298</v>
      </c>
      <c r="Q78" s="9">
        <v>41913</v>
      </c>
      <c r="R78" s="13"/>
      <c r="S78" s="5"/>
      <c r="T78" s="3" t="s">
        <v>23</v>
      </c>
      <c r="U78" s="3" t="s">
        <v>24</v>
      </c>
      <c r="V78" s="3"/>
      <c r="W78" s="5"/>
    </row>
    <row r="79" spans="1:23" ht="75" x14ac:dyDescent="0.25">
      <c r="A79" s="51"/>
      <c r="B79" s="48">
        <v>78</v>
      </c>
      <c r="C79" s="3" t="s">
        <v>40</v>
      </c>
      <c r="D79" s="3"/>
      <c r="E79" s="14" t="s">
        <v>267</v>
      </c>
      <c r="F79" s="1" t="s">
        <v>89</v>
      </c>
      <c r="G79" s="3" t="s">
        <v>70</v>
      </c>
      <c r="H79" s="1" t="s">
        <v>271</v>
      </c>
      <c r="I79" s="8" t="s">
        <v>42</v>
      </c>
      <c r="J79" s="1" t="s">
        <v>289</v>
      </c>
      <c r="K79" s="1"/>
      <c r="L79" s="1"/>
      <c r="M79" s="1"/>
      <c r="N79" s="1" t="str">
        <f t="shared" si="2"/>
        <v/>
      </c>
      <c r="O79" s="1" t="str">
        <f t="shared" si="3"/>
        <v/>
      </c>
      <c r="P79" s="11" t="s">
        <v>287</v>
      </c>
      <c r="Q79" s="12">
        <v>41913</v>
      </c>
      <c r="R79" s="12">
        <v>41943</v>
      </c>
      <c r="S79" s="4" t="s">
        <v>288</v>
      </c>
      <c r="T79" s="3" t="s">
        <v>23</v>
      </c>
      <c r="U79" s="3" t="s">
        <v>24</v>
      </c>
      <c r="V79" s="5"/>
      <c r="W79" s="5"/>
    </row>
    <row r="80" spans="1:23" ht="105" x14ac:dyDescent="0.25">
      <c r="A80" s="51"/>
      <c r="B80" s="48">
        <v>79</v>
      </c>
      <c r="C80" s="3" t="s">
        <v>40</v>
      </c>
      <c r="D80" s="3"/>
      <c r="E80" s="14" t="s">
        <v>267</v>
      </c>
      <c r="F80" s="1" t="s">
        <v>89</v>
      </c>
      <c r="G80" s="3" t="s">
        <v>25</v>
      </c>
      <c r="H80" s="1" t="s">
        <v>272</v>
      </c>
      <c r="I80" s="8" t="s">
        <v>42</v>
      </c>
      <c r="J80" s="1" t="s">
        <v>295</v>
      </c>
      <c r="K80" s="1"/>
      <c r="L80" s="1"/>
      <c r="M80" s="1"/>
      <c r="N80" s="1" t="str">
        <f t="shared" si="2"/>
        <v/>
      </c>
      <c r="O80" s="1" t="str">
        <f t="shared" si="3"/>
        <v/>
      </c>
      <c r="P80" s="1" t="s">
        <v>296</v>
      </c>
      <c r="Q80" s="9">
        <v>41953</v>
      </c>
      <c r="R80" s="9">
        <v>41953</v>
      </c>
      <c r="S80" s="1" t="s">
        <v>297</v>
      </c>
      <c r="T80" s="3" t="s">
        <v>23</v>
      </c>
      <c r="U80" s="3" t="s">
        <v>24</v>
      </c>
      <c r="V80" s="5"/>
      <c r="W80" s="5"/>
    </row>
    <row r="81" spans="1:23" ht="105" x14ac:dyDescent="0.25">
      <c r="A81" s="51"/>
      <c r="B81" s="48">
        <v>80</v>
      </c>
      <c r="C81" s="3" t="s">
        <v>40</v>
      </c>
      <c r="D81" s="3"/>
      <c r="E81" s="14" t="s">
        <v>267</v>
      </c>
      <c r="F81" s="1" t="s">
        <v>89</v>
      </c>
      <c r="G81" s="3" t="s">
        <v>25</v>
      </c>
      <c r="H81" s="1" t="s">
        <v>273</v>
      </c>
      <c r="I81" s="8" t="s">
        <v>42</v>
      </c>
      <c r="J81" s="1" t="s">
        <v>300</v>
      </c>
      <c r="K81" s="1"/>
      <c r="L81" s="1"/>
      <c r="M81" s="1"/>
      <c r="N81" s="1" t="str">
        <f t="shared" si="2"/>
        <v/>
      </c>
      <c r="O81" s="1" t="str">
        <f t="shared" si="3"/>
        <v/>
      </c>
      <c r="P81" s="3" t="s">
        <v>301</v>
      </c>
      <c r="Q81" s="9">
        <v>41929</v>
      </c>
      <c r="R81" s="9">
        <v>41927</v>
      </c>
      <c r="S81" s="1" t="s">
        <v>302</v>
      </c>
      <c r="T81" s="3" t="s">
        <v>23</v>
      </c>
      <c r="U81" s="3" t="s">
        <v>24</v>
      </c>
      <c r="V81" s="5"/>
      <c r="W81" s="5"/>
    </row>
    <row r="82" spans="1:23" ht="105" x14ac:dyDescent="0.25">
      <c r="A82" s="51"/>
      <c r="B82" s="48">
        <v>81</v>
      </c>
      <c r="C82" s="3" t="s">
        <v>276</v>
      </c>
      <c r="D82" s="3"/>
      <c r="E82" s="14" t="s">
        <v>267</v>
      </c>
      <c r="F82" s="1" t="s">
        <v>89</v>
      </c>
      <c r="G82" s="3" t="s">
        <v>17</v>
      </c>
      <c r="H82" s="1" t="s">
        <v>274</v>
      </c>
      <c r="I82" s="8" t="s">
        <v>19</v>
      </c>
      <c r="J82" s="2" t="s">
        <v>277</v>
      </c>
      <c r="K82" s="2"/>
      <c r="L82" s="2"/>
      <c r="M82" s="2"/>
      <c r="N82" s="1" t="str">
        <f t="shared" si="2"/>
        <v/>
      </c>
      <c r="O82" s="1" t="str">
        <f t="shared" si="3"/>
        <v/>
      </c>
      <c r="P82" s="3" t="s">
        <v>73</v>
      </c>
      <c r="Q82" s="9">
        <v>41855</v>
      </c>
      <c r="R82" s="9">
        <v>41886</v>
      </c>
      <c r="S82" s="1" t="s">
        <v>278</v>
      </c>
      <c r="T82" s="3" t="s">
        <v>23</v>
      </c>
      <c r="U82" s="3" t="s">
        <v>24</v>
      </c>
      <c r="V82" s="3"/>
      <c r="W82" s="3"/>
    </row>
    <row r="83" spans="1:23" ht="165" x14ac:dyDescent="0.25">
      <c r="A83" s="51"/>
      <c r="B83" s="48">
        <v>82</v>
      </c>
      <c r="C83" s="3" t="s">
        <v>276</v>
      </c>
      <c r="D83" s="3"/>
      <c r="E83" s="14" t="s">
        <v>267</v>
      </c>
      <c r="F83" s="1" t="s">
        <v>89</v>
      </c>
      <c r="G83" s="3" t="s">
        <v>25</v>
      </c>
      <c r="H83" s="1" t="s">
        <v>275</v>
      </c>
      <c r="I83" s="8" t="s">
        <v>19</v>
      </c>
      <c r="J83" s="1" t="s">
        <v>303</v>
      </c>
      <c r="K83" s="1"/>
      <c r="L83" s="1"/>
      <c r="M83" s="1"/>
      <c r="N83" s="1" t="str">
        <f t="shared" si="2"/>
        <v/>
      </c>
      <c r="O83" s="1" t="str">
        <f t="shared" si="3"/>
        <v/>
      </c>
      <c r="P83" s="1" t="s">
        <v>298</v>
      </c>
      <c r="Q83" s="10">
        <v>41919</v>
      </c>
      <c r="R83" s="10">
        <v>41950</v>
      </c>
      <c r="S83" s="1" t="s">
        <v>329</v>
      </c>
      <c r="T83" s="1" t="s">
        <v>23</v>
      </c>
      <c r="U83" s="1" t="s">
        <v>24</v>
      </c>
      <c r="V83" s="1"/>
      <c r="W83" s="5"/>
    </row>
    <row r="84" spans="1:23" ht="45" x14ac:dyDescent="0.25">
      <c r="A84" s="51"/>
      <c r="B84" s="48">
        <v>83</v>
      </c>
      <c r="C84" s="3" t="s">
        <v>40</v>
      </c>
      <c r="D84" s="3"/>
      <c r="E84" s="14" t="s">
        <v>304</v>
      </c>
      <c r="F84" s="1" t="s">
        <v>305</v>
      </c>
      <c r="G84" s="3" t="s">
        <v>17</v>
      </c>
      <c r="H84" s="1" t="s">
        <v>306</v>
      </c>
      <c r="I84" s="8" t="s">
        <v>42</v>
      </c>
      <c r="J84" s="2" t="s">
        <v>307</v>
      </c>
      <c r="K84" s="2"/>
      <c r="L84" s="2"/>
      <c r="M84" s="2"/>
      <c r="N84" s="1" t="str">
        <f t="shared" si="2"/>
        <v/>
      </c>
      <c r="O84" s="1" t="str">
        <f t="shared" si="3"/>
        <v/>
      </c>
      <c r="P84" s="3" t="s">
        <v>73</v>
      </c>
      <c r="Q84" s="9">
        <v>41989</v>
      </c>
      <c r="R84" s="9">
        <v>41990</v>
      </c>
      <c r="S84" s="1" t="s">
        <v>330</v>
      </c>
      <c r="T84" s="3" t="s">
        <v>23</v>
      </c>
      <c r="U84" s="3" t="s">
        <v>24</v>
      </c>
      <c r="V84" s="3"/>
      <c r="W84" s="3"/>
    </row>
    <row r="85" spans="1:23" ht="60" x14ac:dyDescent="0.25">
      <c r="A85" s="51"/>
      <c r="B85" s="48">
        <v>84</v>
      </c>
      <c r="C85" s="3" t="s">
        <v>40</v>
      </c>
      <c r="D85" s="3"/>
      <c r="E85" s="14" t="s">
        <v>304</v>
      </c>
      <c r="F85" s="1" t="s">
        <v>305</v>
      </c>
      <c r="G85" s="3" t="s">
        <v>25</v>
      </c>
      <c r="H85" s="1" t="s">
        <v>308</v>
      </c>
      <c r="I85" s="8" t="s">
        <v>42</v>
      </c>
      <c r="J85" s="1" t="s">
        <v>342</v>
      </c>
      <c r="K85" s="1"/>
      <c r="L85" s="1"/>
      <c r="M85" s="1"/>
      <c r="N85" s="1" t="str">
        <f t="shared" si="2"/>
        <v/>
      </c>
      <c r="O85" s="1" t="str">
        <f t="shared" si="3"/>
        <v/>
      </c>
      <c r="P85" s="3" t="s">
        <v>301</v>
      </c>
      <c r="Q85" s="9">
        <v>42101</v>
      </c>
      <c r="R85" s="9">
        <v>42129</v>
      </c>
      <c r="S85" s="1" t="s">
        <v>343</v>
      </c>
      <c r="T85" s="3" t="s">
        <v>23</v>
      </c>
      <c r="U85" s="3" t="s">
        <v>24</v>
      </c>
      <c r="V85" s="3"/>
      <c r="W85" s="3"/>
    </row>
    <row r="86" spans="1:23" ht="30" x14ac:dyDescent="0.25">
      <c r="A86" s="51"/>
      <c r="B86" s="48">
        <v>85</v>
      </c>
      <c r="C86" s="3" t="s">
        <v>40</v>
      </c>
      <c r="D86" s="3"/>
      <c r="E86" s="14" t="s">
        <v>304</v>
      </c>
      <c r="F86" s="1" t="s">
        <v>305</v>
      </c>
      <c r="G86" s="3" t="s">
        <v>17</v>
      </c>
      <c r="H86" s="1" t="s">
        <v>309</v>
      </c>
      <c r="I86" s="8" t="s">
        <v>42</v>
      </c>
      <c r="J86" s="1" t="s">
        <v>331</v>
      </c>
      <c r="K86" s="1"/>
      <c r="L86" s="1"/>
      <c r="M86" s="1"/>
      <c r="N86" s="1" t="str">
        <f t="shared" si="2"/>
        <v/>
      </c>
      <c r="O86" s="1" t="str">
        <f t="shared" si="3"/>
        <v/>
      </c>
      <c r="P86" s="3" t="s">
        <v>73</v>
      </c>
      <c r="Q86" s="9">
        <v>41982</v>
      </c>
      <c r="R86" s="9">
        <v>42020</v>
      </c>
      <c r="S86" s="3" t="s">
        <v>332</v>
      </c>
      <c r="T86" s="3" t="s">
        <v>23</v>
      </c>
      <c r="U86" s="3" t="s">
        <v>24</v>
      </c>
      <c r="V86" s="3"/>
      <c r="W86" s="3"/>
    </row>
    <row r="87" spans="1:23" ht="75" x14ac:dyDescent="0.25">
      <c r="A87" s="51"/>
      <c r="B87" s="48">
        <v>86</v>
      </c>
      <c r="C87" s="3" t="s">
        <v>40</v>
      </c>
      <c r="D87" s="3"/>
      <c r="E87" s="14" t="s">
        <v>304</v>
      </c>
      <c r="F87" s="1" t="s">
        <v>305</v>
      </c>
      <c r="G87" s="3" t="s">
        <v>50</v>
      </c>
      <c r="H87" s="1" t="s">
        <v>310</v>
      </c>
      <c r="I87" s="8" t="s">
        <v>42</v>
      </c>
      <c r="J87" s="1" t="s">
        <v>344</v>
      </c>
      <c r="K87" s="1"/>
      <c r="L87" s="1"/>
      <c r="M87" s="1"/>
      <c r="N87" s="1" t="str">
        <f t="shared" si="2"/>
        <v/>
      </c>
      <c r="O87" s="1" t="str">
        <f t="shared" si="3"/>
        <v/>
      </c>
      <c r="P87" s="3" t="s">
        <v>326</v>
      </c>
      <c r="Q87" s="9">
        <v>42020</v>
      </c>
      <c r="R87" s="9">
        <v>42047</v>
      </c>
      <c r="S87" s="1" t="s">
        <v>345</v>
      </c>
      <c r="T87" s="3" t="s">
        <v>23</v>
      </c>
      <c r="U87" s="3" t="s">
        <v>24</v>
      </c>
      <c r="V87" s="3"/>
      <c r="W87" s="3"/>
    </row>
    <row r="88" spans="1:23" ht="45" x14ac:dyDescent="0.25">
      <c r="A88" s="51"/>
      <c r="B88" s="48">
        <v>87</v>
      </c>
      <c r="C88" s="3" t="s">
        <v>40</v>
      </c>
      <c r="D88" s="3"/>
      <c r="E88" s="14" t="s">
        <v>304</v>
      </c>
      <c r="F88" s="1" t="s">
        <v>305</v>
      </c>
      <c r="G88" s="3" t="s">
        <v>246</v>
      </c>
      <c r="H88" s="1" t="s">
        <v>312</v>
      </c>
      <c r="I88" s="8" t="s">
        <v>42</v>
      </c>
      <c r="J88" s="4" t="s">
        <v>333</v>
      </c>
      <c r="K88" s="4"/>
      <c r="L88" s="4"/>
      <c r="M88" s="4"/>
      <c r="N88" s="1" t="str">
        <f t="shared" si="2"/>
        <v/>
      </c>
      <c r="O88" s="1" t="str">
        <f t="shared" si="3"/>
        <v/>
      </c>
      <c r="P88" s="1" t="s">
        <v>334</v>
      </c>
      <c r="Q88" s="9">
        <v>42094</v>
      </c>
      <c r="R88" s="9">
        <v>42095</v>
      </c>
      <c r="S88" s="1" t="s">
        <v>335</v>
      </c>
      <c r="T88" s="3" t="s">
        <v>23</v>
      </c>
      <c r="U88" s="3" t="s">
        <v>24</v>
      </c>
      <c r="V88" s="3"/>
      <c r="W88" s="3"/>
    </row>
    <row r="89" spans="1:23" ht="45" x14ac:dyDescent="0.25">
      <c r="A89" s="51"/>
      <c r="B89" s="48">
        <v>88</v>
      </c>
      <c r="C89" s="3" t="s">
        <v>40</v>
      </c>
      <c r="D89" s="3"/>
      <c r="E89" s="14" t="s">
        <v>304</v>
      </c>
      <c r="F89" s="1" t="s">
        <v>305</v>
      </c>
      <c r="G89" s="3" t="s">
        <v>17</v>
      </c>
      <c r="H89" s="1" t="s">
        <v>311</v>
      </c>
      <c r="I89" s="8" t="s">
        <v>42</v>
      </c>
      <c r="J89" s="4" t="s">
        <v>346</v>
      </c>
      <c r="K89" s="4"/>
      <c r="L89" s="4"/>
      <c r="M89" s="4"/>
      <c r="N89" s="1" t="str">
        <f t="shared" si="2"/>
        <v/>
      </c>
      <c r="O89" s="1" t="str">
        <f t="shared" si="3"/>
        <v/>
      </c>
      <c r="P89" s="3" t="s">
        <v>73</v>
      </c>
      <c r="Q89" s="9">
        <v>41984</v>
      </c>
      <c r="R89" s="9">
        <v>42015</v>
      </c>
      <c r="S89" s="3" t="s">
        <v>347</v>
      </c>
      <c r="T89" s="3" t="s">
        <v>23</v>
      </c>
      <c r="U89" s="3" t="s">
        <v>24</v>
      </c>
      <c r="V89" s="3"/>
      <c r="W89" s="3"/>
    </row>
    <row r="90" spans="1:23" ht="30" x14ac:dyDescent="0.25">
      <c r="A90" s="51"/>
      <c r="B90" s="48">
        <v>89</v>
      </c>
      <c r="C90" s="3" t="s">
        <v>40</v>
      </c>
      <c r="D90" s="3"/>
      <c r="E90" s="14" t="s">
        <v>304</v>
      </c>
      <c r="F90" s="1" t="s">
        <v>305</v>
      </c>
      <c r="G90" s="3" t="s">
        <v>25</v>
      </c>
      <c r="H90" s="1" t="s">
        <v>313</v>
      </c>
      <c r="I90" s="8" t="s">
        <v>42</v>
      </c>
      <c r="J90" s="1" t="s">
        <v>358</v>
      </c>
      <c r="K90" s="1"/>
      <c r="L90" s="1"/>
      <c r="M90" s="1"/>
      <c r="N90" s="1" t="str">
        <f t="shared" si="2"/>
        <v/>
      </c>
      <c r="O90" s="1" t="str">
        <f t="shared" si="3"/>
        <v/>
      </c>
      <c r="P90" s="3" t="s">
        <v>301</v>
      </c>
      <c r="Q90" s="9">
        <v>42009</v>
      </c>
      <c r="R90" s="9">
        <v>42104</v>
      </c>
      <c r="S90" s="1" t="s">
        <v>359</v>
      </c>
      <c r="T90" s="3" t="s">
        <v>23</v>
      </c>
      <c r="U90" s="3" t="s">
        <v>24</v>
      </c>
      <c r="V90" s="3"/>
      <c r="W90" s="3"/>
    </row>
    <row r="91" spans="1:23" ht="45" x14ac:dyDescent="0.25">
      <c r="A91" s="51"/>
      <c r="B91" s="48">
        <v>90</v>
      </c>
      <c r="C91" s="3" t="s">
        <v>40</v>
      </c>
      <c r="D91" s="3"/>
      <c r="E91" s="14" t="s">
        <v>304</v>
      </c>
      <c r="F91" s="1" t="s">
        <v>305</v>
      </c>
      <c r="G91" s="3" t="s">
        <v>17</v>
      </c>
      <c r="H91" s="1" t="s">
        <v>314</v>
      </c>
      <c r="I91" s="8" t="s">
        <v>42</v>
      </c>
      <c r="J91" s="4" t="s">
        <v>348</v>
      </c>
      <c r="K91" s="4"/>
      <c r="L91" s="4"/>
      <c r="M91" s="4"/>
      <c r="N91" s="1" t="str">
        <f t="shared" si="2"/>
        <v/>
      </c>
      <c r="O91" s="1" t="str">
        <f t="shared" si="3"/>
        <v/>
      </c>
      <c r="P91" s="3" t="s">
        <v>287</v>
      </c>
      <c r="Q91" s="9">
        <v>42082</v>
      </c>
      <c r="R91" s="9">
        <v>42082</v>
      </c>
      <c r="S91" s="1" t="s">
        <v>349</v>
      </c>
      <c r="T91" s="3" t="s">
        <v>23</v>
      </c>
      <c r="U91" s="3" t="s">
        <v>24</v>
      </c>
      <c r="V91" s="3"/>
      <c r="W91" s="3"/>
    </row>
    <row r="92" spans="1:23" ht="60" x14ac:dyDescent="0.25">
      <c r="A92" s="51"/>
      <c r="B92" s="48">
        <v>91</v>
      </c>
      <c r="C92" s="3" t="s">
        <v>40</v>
      </c>
      <c r="D92" s="3"/>
      <c r="E92" s="14" t="s">
        <v>304</v>
      </c>
      <c r="F92" s="1" t="s">
        <v>305</v>
      </c>
      <c r="G92" s="3" t="s">
        <v>25</v>
      </c>
      <c r="H92" s="1" t="s">
        <v>315</v>
      </c>
      <c r="I92" s="8" t="s">
        <v>42</v>
      </c>
      <c r="J92" s="1" t="s">
        <v>336</v>
      </c>
      <c r="K92" s="1"/>
      <c r="L92" s="1"/>
      <c r="M92" s="1"/>
      <c r="N92" s="1" t="str">
        <f t="shared" si="2"/>
        <v/>
      </c>
      <c r="O92" s="1" t="str">
        <f t="shared" si="3"/>
        <v/>
      </c>
      <c r="P92" s="1" t="s">
        <v>337</v>
      </c>
      <c r="Q92" s="9">
        <v>41983</v>
      </c>
      <c r="R92" s="9">
        <v>42014</v>
      </c>
      <c r="S92" s="1" t="s">
        <v>338</v>
      </c>
      <c r="T92" s="3" t="s">
        <v>23</v>
      </c>
      <c r="U92" s="3" t="s">
        <v>24</v>
      </c>
      <c r="V92" s="3"/>
      <c r="W92" s="3"/>
    </row>
    <row r="93" spans="1:23" ht="45" x14ac:dyDescent="0.25">
      <c r="A93" s="51"/>
      <c r="B93" s="48">
        <v>92</v>
      </c>
      <c r="C93" s="3" t="s">
        <v>40</v>
      </c>
      <c r="D93" s="3"/>
      <c r="E93" s="14" t="s">
        <v>304</v>
      </c>
      <c r="F93" s="1" t="s">
        <v>305</v>
      </c>
      <c r="G93" s="3" t="s">
        <v>17</v>
      </c>
      <c r="H93" s="1" t="s">
        <v>316</v>
      </c>
      <c r="I93" s="8" t="s">
        <v>42</v>
      </c>
      <c r="J93" s="4" t="s">
        <v>360</v>
      </c>
      <c r="K93" s="4"/>
      <c r="L93" s="4"/>
      <c r="M93" s="4"/>
      <c r="N93" s="1" t="str">
        <f t="shared" si="2"/>
        <v/>
      </c>
      <c r="O93" s="1" t="str">
        <f t="shared" si="3"/>
        <v/>
      </c>
      <c r="P93" s="3" t="s">
        <v>73</v>
      </c>
      <c r="Q93" s="9">
        <v>41988</v>
      </c>
      <c r="R93" s="9">
        <v>42050</v>
      </c>
      <c r="S93" s="1" t="s">
        <v>278</v>
      </c>
      <c r="T93" s="3" t="s">
        <v>23</v>
      </c>
      <c r="U93" s="3" t="s">
        <v>24</v>
      </c>
      <c r="V93" s="3"/>
      <c r="W93" s="3"/>
    </row>
    <row r="94" spans="1:23" ht="60" x14ac:dyDescent="0.25">
      <c r="A94" s="51"/>
      <c r="B94" s="48">
        <v>93</v>
      </c>
      <c r="C94" s="3" t="s">
        <v>40</v>
      </c>
      <c r="D94" s="3"/>
      <c r="E94" s="14" t="s">
        <v>304</v>
      </c>
      <c r="F94" s="1" t="s">
        <v>305</v>
      </c>
      <c r="G94" s="3" t="s">
        <v>17</v>
      </c>
      <c r="H94" s="1" t="s">
        <v>317</v>
      </c>
      <c r="I94" s="8" t="s">
        <v>42</v>
      </c>
      <c r="J94" s="1" t="s">
        <v>341</v>
      </c>
      <c r="K94" s="1"/>
      <c r="L94" s="1"/>
      <c r="M94" s="1"/>
      <c r="N94" s="1" t="str">
        <f t="shared" si="2"/>
        <v/>
      </c>
      <c r="O94" s="1" t="str">
        <f t="shared" si="3"/>
        <v/>
      </c>
      <c r="P94" s="3" t="s">
        <v>73</v>
      </c>
      <c r="Q94" s="9">
        <v>41983</v>
      </c>
      <c r="R94" s="9">
        <v>42041</v>
      </c>
      <c r="S94" s="1" t="s">
        <v>339</v>
      </c>
      <c r="T94" s="3" t="s">
        <v>23</v>
      </c>
      <c r="U94" s="3" t="s">
        <v>24</v>
      </c>
      <c r="V94" s="3"/>
      <c r="W94" s="3"/>
    </row>
    <row r="95" spans="1:23" ht="120" x14ac:dyDescent="0.25">
      <c r="A95" s="51"/>
      <c r="B95" s="48">
        <v>94</v>
      </c>
      <c r="C95" s="3" t="s">
        <v>40</v>
      </c>
      <c r="D95" s="3"/>
      <c r="E95" s="14" t="s">
        <v>304</v>
      </c>
      <c r="F95" s="1" t="s">
        <v>305</v>
      </c>
      <c r="G95" s="3" t="s">
        <v>25</v>
      </c>
      <c r="H95" s="1" t="s">
        <v>318</v>
      </c>
      <c r="I95" s="8" t="s">
        <v>42</v>
      </c>
      <c r="J95" s="1" t="s">
        <v>356</v>
      </c>
      <c r="K95" s="1"/>
      <c r="L95" s="1"/>
      <c r="M95" s="1"/>
      <c r="N95" s="1" t="str">
        <f t="shared" si="2"/>
        <v/>
      </c>
      <c r="O95" s="1" t="str">
        <f t="shared" si="3"/>
        <v/>
      </c>
      <c r="P95" s="3" t="s">
        <v>301</v>
      </c>
      <c r="Q95" s="9">
        <v>42194</v>
      </c>
      <c r="R95" s="9">
        <v>42198</v>
      </c>
      <c r="S95" s="1" t="s">
        <v>357</v>
      </c>
      <c r="T95" s="3" t="s">
        <v>23</v>
      </c>
      <c r="U95" s="3" t="s">
        <v>24</v>
      </c>
      <c r="V95" s="3"/>
      <c r="W95" s="3"/>
    </row>
    <row r="96" spans="1:23" ht="75" x14ac:dyDescent="0.25">
      <c r="A96" s="52"/>
      <c r="B96" s="47">
        <v>95</v>
      </c>
      <c r="C96" s="1" t="s">
        <v>40</v>
      </c>
      <c r="D96" s="1"/>
      <c r="E96" s="14" t="s">
        <v>304</v>
      </c>
      <c r="F96" s="1" t="s">
        <v>305</v>
      </c>
      <c r="G96" s="1" t="s">
        <v>25</v>
      </c>
      <c r="H96" s="1" t="s">
        <v>319</v>
      </c>
      <c r="I96" s="1" t="s">
        <v>42</v>
      </c>
      <c r="J96" s="1" t="s">
        <v>350</v>
      </c>
      <c r="K96" s="1"/>
      <c r="L96" s="1"/>
      <c r="M96" s="1"/>
      <c r="N96" s="1" t="str">
        <f t="shared" si="2"/>
        <v/>
      </c>
      <c r="O96" s="1" t="str">
        <f t="shared" si="3"/>
        <v/>
      </c>
      <c r="P96" s="1" t="s">
        <v>73</v>
      </c>
      <c r="Q96" s="10">
        <v>42062</v>
      </c>
      <c r="R96" s="10">
        <v>42122</v>
      </c>
      <c r="S96" s="1" t="s">
        <v>351</v>
      </c>
      <c r="T96" s="1" t="s">
        <v>23</v>
      </c>
      <c r="U96" s="1" t="s">
        <v>24</v>
      </c>
      <c r="V96" s="1"/>
      <c r="W96" s="1"/>
    </row>
    <row r="97" spans="1:23" ht="45" x14ac:dyDescent="0.25">
      <c r="A97" s="52"/>
      <c r="B97" s="47">
        <v>96</v>
      </c>
      <c r="C97" s="1" t="s">
        <v>40</v>
      </c>
      <c r="D97" s="1"/>
      <c r="E97" s="14" t="s">
        <v>304</v>
      </c>
      <c r="F97" s="1" t="s">
        <v>305</v>
      </c>
      <c r="G97" s="1" t="s">
        <v>70</v>
      </c>
      <c r="H97" s="1" t="s">
        <v>320</v>
      </c>
      <c r="I97" s="1" t="s">
        <v>42</v>
      </c>
      <c r="J97" s="1" t="s">
        <v>340</v>
      </c>
      <c r="K97" s="1"/>
      <c r="L97" s="1"/>
      <c r="M97" s="1"/>
      <c r="N97" s="1" t="str">
        <f t="shared" si="2"/>
        <v/>
      </c>
      <c r="O97" s="1" t="str">
        <f t="shared" si="3"/>
        <v/>
      </c>
      <c r="P97" s="1" t="s">
        <v>287</v>
      </c>
      <c r="Q97" s="10">
        <v>41995</v>
      </c>
      <c r="R97" s="10">
        <v>42026</v>
      </c>
      <c r="S97" s="1" t="s">
        <v>352</v>
      </c>
      <c r="T97" s="1" t="s">
        <v>23</v>
      </c>
      <c r="U97" s="1" t="s">
        <v>24</v>
      </c>
      <c r="V97" s="1"/>
      <c r="W97" s="1"/>
    </row>
    <row r="98" spans="1:23" ht="45" x14ac:dyDescent="0.25">
      <c r="A98" s="52"/>
      <c r="B98" s="47">
        <v>97</v>
      </c>
      <c r="C98" s="1" t="s">
        <v>40</v>
      </c>
      <c r="D98" s="1"/>
      <c r="E98" s="14" t="s">
        <v>304</v>
      </c>
      <c r="F98" s="1" t="s">
        <v>305</v>
      </c>
      <c r="G98" s="1" t="s">
        <v>50</v>
      </c>
      <c r="H98" s="1" t="s">
        <v>321</v>
      </c>
      <c r="I98" s="1" t="s">
        <v>42</v>
      </c>
      <c r="J98" s="1" t="s">
        <v>361</v>
      </c>
      <c r="K98" s="1"/>
      <c r="L98" s="1"/>
      <c r="M98" s="1"/>
      <c r="N98" s="1" t="str">
        <f t="shared" si="2"/>
        <v/>
      </c>
      <c r="O98" s="1" t="str">
        <f t="shared" si="3"/>
        <v/>
      </c>
      <c r="P98" s="1" t="s">
        <v>326</v>
      </c>
      <c r="Q98" s="10">
        <v>42020</v>
      </c>
      <c r="R98" s="10">
        <v>42080</v>
      </c>
      <c r="S98" s="1" t="s">
        <v>362</v>
      </c>
      <c r="T98" s="1" t="s">
        <v>23</v>
      </c>
      <c r="U98" s="1" t="s">
        <v>24</v>
      </c>
      <c r="V98" s="1"/>
      <c r="W98" s="1"/>
    </row>
    <row r="99" spans="1:23" ht="60" x14ac:dyDescent="0.25">
      <c r="A99" s="52"/>
      <c r="B99" s="47">
        <v>98</v>
      </c>
      <c r="C99" s="1" t="s">
        <v>40</v>
      </c>
      <c r="D99" s="1"/>
      <c r="E99" s="14" t="s">
        <v>304</v>
      </c>
      <c r="F99" s="1" t="s">
        <v>305</v>
      </c>
      <c r="G99" s="1" t="s">
        <v>17</v>
      </c>
      <c r="H99" s="1" t="s">
        <v>322</v>
      </c>
      <c r="I99" s="1" t="s">
        <v>42</v>
      </c>
      <c r="J99" s="1" t="s">
        <v>353</v>
      </c>
      <c r="K99" s="1"/>
      <c r="L99" s="1"/>
      <c r="M99" s="1"/>
      <c r="N99" s="1" t="str">
        <f t="shared" si="2"/>
        <v/>
      </c>
      <c r="O99" s="1" t="str">
        <f t="shared" si="3"/>
        <v/>
      </c>
      <c r="P99" s="1" t="s">
        <v>73</v>
      </c>
      <c r="Q99" s="10">
        <v>42062</v>
      </c>
      <c r="R99" s="10">
        <v>42122</v>
      </c>
      <c r="S99" s="1" t="s">
        <v>351</v>
      </c>
      <c r="T99" s="1" t="s">
        <v>23</v>
      </c>
      <c r="U99" s="1" t="s">
        <v>24</v>
      </c>
      <c r="V99" s="1"/>
      <c r="W99" s="1"/>
    </row>
    <row r="100" spans="1:23" ht="45" x14ac:dyDescent="0.25">
      <c r="A100" s="52"/>
      <c r="B100" s="47">
        <v>99</v>
      </c>
      <c r="C100" s="1" t="s">
        <v>40</v>
      </c>
      <c r="D100" s="1"/>
      <c r="E100" s="14" t="s">
        <v>304</v>
      </c>
      <c r="F100" s="1" t="s">
        <v>305</v>
      </c>
      <c r="G100" s="1" t="s">
        <v>50</v>
      </c>
      <c r="H100" s="1" t="s">
        <v>324</v>
      </c>
      <c r="I100" s="1" t="s">
        <v>42</v>
      </c>
      <c r="J100" s="1" t="s">
        <v>325</v>
      </c>
      <c r="K100" s="1"/>
      <c r="L100" s="1"/>
      <c r="M100" s="1"/>
      <c r="N100" s="1" t="str">
        <f t="shared" si="2"/>
        <v/>
      </c>
      <c r="O100" s="1" t="str">
        <f t="shared" si="3"/>
        <v/>
      </c>
      <c r="P100" s="1" t="s">
        <v>326</v>
      </c>
      <c r="Q100" s="10">
        <v>42020</v>
      </c>
      <c r="R100" s="10">
        <v>42111</v>
      </c>
      <c r="S100" s="1" t="s">
        <v>327</v>
      </c>
      <c r="T100" s="1" t="s">
        <v>23</v>
      </c>
      <c r="U100" s="1" t="s">
        <v>24</v>
      </c>
      <c r="V100" s="1"/>
      <c r="W100" s="1"/>
    </row>
    <row r="101" spans="1:23" ht="45" x14ac:dyDescent="0.25">
      <c r="A101" s="52"/>
      <c r="B101" s="47">
        <v>100</v>
      </c>
      <c r="C101" s="1" t="s">
        <v>40</v>
      </c>
      <c r="D101" s="1"/>
      <c r="E101" s="14" t="s">
        <v>304</v>
      </c>
      <c r="F101" s="1" t="s">
        <v>305</v>
      </c>
      <c r="G101" s="1" t="s">
        <v>50</v>
      </c>
      <c r="H101" s="1" t="s">
        <v>323</v>
      </c>
      <c r="I101" s="1" t="s">
        <v>42</v>
      </c>
      <c r="J101" s="1" t="s">
        <v>354</v>
      </c>
      <c r="K101" s="1"/>
      <c r="L101" s="1"/>
      <c r="M101" s="1"/>
      <c r="N101" s="1" t="str">
        <f t="shared" si="2"/>
        <v/>
      </c>
      <c r="O101" s="1" t="str">
        <f t="shared" si="3"/>
        <v/>
      </c>
      <c r="P101" s="1" t="s">
        <v>326</v>
      </c>
      <c r="Q101" s="10">
        <v>42020</v>
      </c>
      <c r="R101" s="10">
        <v>42128</v>
      </c>
      <c r="S101" s="1" t="s">
        <v>355</v>
      </c>
      <c r="T101" s="1" t="s">
        <v>23</v>
      </c>
      <c r="U101" s="1" t="s">
        <v>24</v>
      </c>
      <c r="V101" s="1"/>
      <c r="W101" s="1"/>
    </row>
    <row r="102" spans="1:23" ht="135" x14ac:dyDescent="0.25">
      <c r="A102" s="52"/>
      <c r="B102" s="47">
        <v>101</v>
      </c>
      <c r="C102" s="1" t="s">
        <v>363</v>
      </c>
      <c r="D102" s="1"/>
      <c r="E102" s="14" t="s">
        <v>364</v>
      </c>
      <c r="F102" s="1" t="s">
        <v>305</v>
      </c>
      <c r="G102" s="1" t="s">
        <v>70</v>
      </c>
      <c r="H102" s="1" t="s">
        <v>365</v>
      </c>
      <c r="I102" s="1" t="s">
        <v>42</v>
      </c>
      <c r="J102" s="1" t="s">
        <v>367</v>
      </c>
      <c r="K102" s="1"/>
      <c r="L102" s="1"/>
      <c r="M102" s="1"/>
      <c r="N102" s="1" t="str">
        <f t="shared" si="2"/>
        <v/>
      </c>
      <c r="O102" s="1" t="str">
        <f t="shared" si="3"/>
        <v/>
      </c>
      <c r="P102" s="1" t="s">
        <v>287</v>
      </c>
      <c r="Q102" s="10">
        <v>42228</v>
      </c>
      <c r="R102" s="10">
        <v>42341</v>
      </c>
      <c r="S102" s="1" t="s">
        <v>368</v>
      </c>
      <c r="T102" s="1" t="s">
        <v>23</v>
      </c>
      <c r="U102" s="1" t="s">
        <v>24</v>
      </c>
      <c r="V102" s="1"/>
      <c r="W102" s="1"/>
    </row>
    <row r="103" spans="1:23" ht="165" x14ac:dyDescent="0.25">
      <c r="A103" s="52"/>
      <c r="B103" s="47">
        <v>102</v>
      </c>
      <c r="C103" s="1" t="s">
        <v>363</v>
      </c>
      <c r="D103" s="1"/>
      <c r="E103" s="14" t="s">
        <v>364</v>
      </c>
      <c r="F103" s="1" t="s">
        <v>305</v>
      </c>
      <c r="G103" s="1" t="s">
        <v>33</v>
      </c>
      <c r="H103" s="1" t="s">
        <v>366</v>
      </c>
      <c r="I103" s="1" t="s">
        <v>42</v>
      </c>
      <c r="J103" s="1" t="s">
        <v>369</v>
      </c>
      <c r="K103" s="1"/>
      <c r="L103" s="1"/>
      <c r="M103" s="1"/>
      <c r="N103" s="1" t="str">
        <f t="shared" si="2"/>
        <v/>
      </c>
      <c r="O103" s="1" t="str">
        <f t="shared" si="3"/>
        <v/>
      </c>
      <c r="P103" s="1" t="s">
        <v>73</v>
      </c>
      <c r="Q103" s="10">
        <v>42221</v>
      </c>
      <c r="R103" s="10">
        <v>42284</v>
      </c>
      <c r="S103" s="1" t="s">
        <v>370</v>
      </c>
      <c r="T103" s="1" t="s">
        <v>23</v>
      </c>
      <c r="U103" s="1" t="s">
        <v>24</v>
      </c>
      <c r="V103" s="1"/>
      <c r="W103" s="1"/>
    </row>
    <row r="104" spans="1:23" ht="75" x14ac:dyDescent="0.25">
      <c r="A104" s="52"/>
      <c r="B104" s="47">
        <v>103</v>
      </c>
      <c r="C104" s="1" t="s">
        <v>363</v>
      </c>
      <c r="D104" s="1"/>
      <c r="E104" s="14" t="s">
        <v>371</v>
      </c>
      <c r="F104" s="1" t="s">
        <v>305</v>
      </c>
      <c r="G104" s="1" t="s">
        <v>70</v>
      </c>
      <c r="H104" s="1" t="s">
        <v>375</v>
      </c>
      <c r="I104" s="1" t="s">
        <v>42</v>
      </c>
      <c r="J104" s="1" t="s">
        <v>373</v>
      </c>
      <c r="K104" s="1"/>
      <c r="L104" s="1"/>
      <c r="M104" s="1"/>
      <c r="N104" s="1" t="str">
        <f t="shared" si="2"/>
        <v/>
      </c>
      <c r="O104" s="1" t="str">
        <f t="shared" si="3"/>
        <v/>
      </c>
      <c r="P104" s="1" t="s">
        <v>287</v>
      </c>
      <c r="Q104" s="10">
        <v>42591</v>
      </c>
      <c r="R104" s="10">
        <v>42653</v>
      </c>
      <c r="S104" s="1" t="s">
        <v>376</v>
      </c>
      <c r="T104" s="1" t="s">
        <v>201</v>
      </c>
      <c r="U104" s="1" t="s">
        <v>24</v>
      </c>
      <c r="V104" s="1"/>
      <c r="W104" s="1"/>
    </row>
    <row r="105" spans="1:23" ht="75" x14ac:dyDescent="0.25">
      <c r="A105" s="52"/>
      <c r="B105" s="47">
        <v>104</v>
      </c>
      <c r="C105" s="1" t="s">
        <v>363</v>
      </c>
      <c r="D105" s="1">
        <v>2016</v>
      </c>
      <c r="E105" s="14" t="s">
        <v>371</v>
      </c>
      <c r="F105" s="1" t="s">
        <v>305</v>
      </c>
      <c r="G105" s="1" t="s">
        <v>25</v>
      </c>
      <c r="H105" s="1" t="s">
        <v>372</v>
      </c>
      <c r="I105" s="1" t="s">
        <v>42</v>
      </c>
      <c r="J105" s="1" t="s">
        <v>374</v>
      </c>
      <c r="K105" s="1"/>
      <c r="L105" s="1"/>
      <c r="M105" s="1"/>
      <c r="N105" s="1" t="str">
        <f t="shared" si="2"/>
        <v/>
      </c>
      <c r="O105" s="1" t="str">
        <f t="shared" si="3"/>
        <v/>
      </c>
      <c r="P105" s="1" t="s">
        <v>301</v>
      </c>
      <c r="Q105" s="10">
        <v>42588</v>
      </c>
      <c r="R105" s="10">
        <v>42653</v>
      </c>
      <c r="S105" s="1" t="s">
        <v>559</v>
      </c>
      <c r="T105" s="1" t="s">
        <v>201</v>
      </c>
      <c r="U105" s="1" t="s">
        <v>24</v>
      </c>
      <c r="V105" s="1"/>
      <c r="W105" s="1"/>
    </row>
    <row r="106" spans="1:23" ht="60" x14ac:dyDescent="0.25">
      <c r="A106" s="51"/>
      <c r="B106" s="47">
        <v>105</v>
      </c>
      <c r="C106" s="1" t="s">
        <v>377</v>
      </c>
      <c r="D106" s="1">
        <v>2017</v>
      </c>
      <c r="E106" s="14" t="s">
        <v>378</v>
      </c>
      <c r="F106" s="1" t="s">
        <v>305</v>
      </c>
      <c r="G106" s="1" t="s">
        <v>33</v>
      </c>
      <c r="H106" s="4" t="s">
        <v>381</v>
      </c>
      <c r="I106" s="1" t="s">
        <v>42</v>
      </c>
      <c r="J106" s="4" t="s">
        <v>384</v>
      </c>
      <c r="K106" s="4"/>
      <c r="L106" s="4"/>
      <c r="M106" s="4"/>
      <c r="N106" s="1" t="str">
        <f t="shared" si="2"/>
        <v/>
      </c>
      <c r="O106" s="1" t="str">
        <f t="shared" si="3"/>
        <v/>
      </c>
      <c r="P106" s="14" t="s">
        <v>380</v>
      </c>
      <c r="Q106" s="15">
        <v>42916</v>
      </c>
      <c r="R106" s="9">
        <v>42926</v>
      </c>
      <c r="S106" s="15" t="s">
        <v>385</v>
      </c>
      <c r="T106" s="14" t="s">
        <v>201</v>
      </c>
      <c r="U106" s="14" t="s">
        <v>24</v>
      </c>
      <c r="V106" s="14" t="s">
        <v>201</v>
      </c>
      <c r="W106" s="14"/>
    </row>
    <row r="107" spans="1:23" ht="90" x14ac:dyDescent="0.25">
      <c r="A107" s="51"/>
      <c r="B107" s="47">
        <v>106</v>
      </c>
      <c r="C107" s="1" t="s">
        <v>377</v>
      </c>
      <c r="D107" s="1">
        <v>2017</v>
      </c>
      <c r="E107" s="14" t="s">
        <v>378</v>
      </c>
      <c r="F107" s="1" t="s">
        <v>305</v>
      </c>
      <c r="G107" s="1" t="s">
        <v>379</v>
      </c>
      <c r="H107" s="4" t="s">
        <v>382</v>
      </c>
      <c r="I107" s="1" t="s">
        <v>42</v>
      </c>
      <c r="J107" s="4" t="s">
        <v>383</v>
      </c>
      <c r="K107" s="4"/>
      <c r="L107" s="4"/>
      <c r="M107" s="4"/>
      <c r="N107" s="1" t="str">
        <f t="shared" si="2"/>
        <v/>
      </c>
      <c r="O107" s="1" t="str">
        <f t="shared" si="3"/>
        <v/>
      </c>
      <c r="P107" s="14" t="s">
        <v>386</v>
      </c>
      <c r="Q107" s="15">
        <v>42882</v>
      </c>
      <c r="R107" s="15">
        <v>42889</v>
      </c>
      <c r="S107" s="14" t="s">
        <v>387</v>
      </c>
      <c r="T107" s="14" t="s">
        <v>23</v>
      </c>
      <c r="U107" s="14" t="s">
        <v>24</v>
      </c>
      <c r="V107" s="14"/>
      <c r="W107" s="14"/>
    </row>
    <row r="108" spans="1:23" ht="90" x14ac:dyDescent="0.25">
      <c r="A108" s="51"/>
      <c r="B108" s="47">
        <v>107</v>
      </c>
      <c r="C108" s="1"/>
      <c r="D108" s="1">
        <v>2017</v>
      </c>
      <c r="E108" s="14" t="s">
        <v>378</v>
      </c>
      <c r="F108" s="1" t="s">
        <v>305</v>
      </c>
      <c r="G108" s="1"/>
      <c r="H108" s="16" t="s">
        <v>388</v>
      </c>
      <c r="I108" s="1" t="s">
        <v>389</v>
      </c>
      <c r="J108" s="4" t="s">
        <v>452</v>
      </c>
      <c r="K108" s="4"/>
      <c r="L108" s="4"/>
      <c r="M108" s="4"/>
      <c r="N108" s="1" t="str">
        <f t="shared" si="2"/>
        <v/>
      </c>
      <c r="O108" s="1" t="str">
        <f t="shared" si="3"/>
        <v/>
      </c>
      <c r="P108" s="3" t="s">
        <v>396</v>
      </c>
      <c r="Q108" s="10">
        <v>42882</v>
      </c>
      <c r="R108" s="10">
        <v>46541</v>
      </c>
      <c r="S108" s="1" t="s">
        <v>558</v>
      </c>
      <c r="T108" s="1" t="s">
        <v>201</v>
      </c>
      <c r="U108" s="1" t="s">
        <v>24</v>
      </c>
      <c r="V108" s="1"/>
      <c r="W108" s="1"/>
    </row>
    <row r="109" spans="1:23" ht="90" x14ac:dyDescent="0.25">
      <c r="A109" s="51"/>
      <c r="B109" s="47">
        <v>108</v>
      </c>
      <c r="C109" s="1"/>
      <c r="D109" s="1">
        <v>2017</v>
      </c>
      <c r="E109" s="14" t="s">
        <v>390</v>
      </c>
      <c r="F109" s="1" t="s">
        <v>305</v>
      </c>
      <c r="G109" s="1" t="s">
        <v>33</v>
      </c>
      <c r="H109" s="4" t="s">
        <v>391</v>
      </c>
      <c r="I109" s="1" t="s">
        <v>389</v>
      </c>
      <c r="J109" s="4" t="s">
        <v>392</v>
      </c>
      <c r="K109" s="4"/>
      <c r="L109" s="4"/>
      <c r="M109" s="4"/>
      <c r="N109" s="1" t="str">
        <f t="shared" si="2"/>
        <v/>
      </c>
      <c r="O109" s="1" t="str">
        <f t="shared" si="3"/>
        <v/>
      </c>
      <c r="P109" s="1" t="s">
        <v>416</v>
      </c>
      <c r="Q109" s="10">
        <v>42882</v>
      </c>
      <c r="R109" s="10">
        <v>42889</v>
      </c>
      <c r="S109" s="1" t="s">
        <v>560</v>
      </c>
      <c r="T109" s="1" t="s">
        <v>23</v>
      </c>
      <c r="U109" s="1" t="s">
        <v>24</v>
      </c>
      <c r="V109" s="1"/>
      <c r="W109" s="1"/>
    </row>
    <row r="110" spans="1:23" ht="75" x14ac:dyDescent="0.25">
      <c r="A110" s="51"/>
      <c r="B110" s="47">
        <v>109</v>
      </c>
      <c r="C110" s="1"/>
      <c r="D110" s="1">
        <v>2017</v>
      </c>
      <c r="E110" s="14" t="s">
        <v>390</v>
      </c>
      <c r="F110" s="1" t="s">
        <v>305</v>
      </c>
      <c r="G110" s="1" t="s">
        <v>33</v>
      </c>
      <c r="H110" s="4" t="s">
        <v>393</v>
      </c>
      <c r="I110" s="1" t="s">
        <v>389</v>
      </c>
      <c r="J110" s="4" t="s">
        <v>394</v>
      </c>
      <c r="K110" s="4"/>
      <c r="L110" s="4"/>
      <c r="M110" s="4"/>
      <c r="N110" s="1" t="str">
        <f t="shared" si="2"/>
        <v/>
      </c>
      <c r="O110" s="1" t="str">
        <f t="shared" si="3"/>
        <v/>
      </c>
      <c r="P110" s="3" t="s">
        <v>396</v>
      </c>
      <c r="Q110" s="10">
        <v>43038</v>
      </c>
      <c r="R110" s="10">
        <v>42889</v>
      </c>
      <c r="S110" s="1" t="s">
        <v>562</v>
      </c>
      <c r="T110" s="1" t="s">
        <v>23</v>
      </c>
      <c r="U110" s="1" t="s">
        <v>24</v>
      </c>
      <c r="V110" s="1"/>
      <c r="W110" s="1"/>
    </row>
    <row r="111" spans="1:23" ht="90" x14ac:dyDescent="0.25">
      <c r="A111" s="51"/>
      <c r="B111" s="47">
        <v>110</v>
      </c>
      <c r="C111" s="1"/>
      <c r="D111" s="1">
        <v>2017</v>
      </c>
      <c r="E111" s="14" t="s">
        <v>390</v>
      </c>
      <c r="F111" s="1" t="s">
        <v>305</v>
      </c>
      <c r="G111" s="1" t="s">
        <v>33</v>
      </c>
      <c r="H111" s="4" t="s">
        <v>397</v>
      </c>
      <c r="I111" s="1" t="s">
        <v>389</v>
      </c>
      <c r="J111" s="4" t="s">
        <v>398</v>
      </c>
      <c r="K111" s="4"/>
      <c r="L111" s="4"/>
      <c r="M111" s="4"/>
      <c r="N111" s="1" t="str">
        <f t="shared" si="2"/>
        <v/>
      </c>
      <c r="O111" s="1" t="str">
        <f t="shared" si="3"/>
        <v/>
      </c>
      <c r="P111" s="1" t="s">
        <v>395</v>
      </c>
      <c r="Q111" s="10">
        <v>42888</v>
      </c>
      <c r="R111" s="10">
        <v>43006</v>
      </c>
      <c r="S111" s="1" t="s">
        <v>563</v>
      </c>
      <c r="T111" s="1" t="s">
        <v>201</v>
      </c>
      <c r="U111" s="1" t="s">
        <v>24</v>
      </c>
      <c r="V111" s="1" t="s">
        <v>423</v>
      </c>
      <c r="W111" s="1"/>
    </row>
    <row r="112" spans="1:23" ht="60" x14ac:dyDescent="0.25">
      <c r="A112" s="51"/>
      <c r="B112" s="47">
        <v>111</v>
      </c>
      <c r="C112" s="3"/>
      <c r="D112" s="1">
        <v>2017</v>
      </c>
      <c r="E112" s="14" t="s">
        <v>390</v>
      </c>
      <c r="F112" s="1" t="s">
        <v>305</v>
      </c>
      <c r="G112" s="3" t="s">
        <v>33</v>
      </c>
      <c r="H112" s="4" t="s">
        <v>414</v>
      </c>
      <c r="I112" s="1" t="s">
        <v>42</v>
      </c>
      <c r="J112" s="4" t="s">
        <v>415</v>
      </c>
      <c r="K112" s="4"/>
      <c r="L112" s="4"/>
      <c r="M112" s="4"/>
      <c r="N112" s="1" t="str">
        <f t="shared" si="2"/>
        <v/>
      </c>
      <c r="O112" s="1" t="str">
        <f t="shared" si="3"/>
        <v/>
      </c>
      <c r="P112" s="3" t="s">
        <v>380</v>
      </c>
      <c r="Q112" s="9">
        <v>42882</v>
      </c>
      <c r="R112" s="9">
        <v>43006</v>
      </c>
      <c r="S112" s="3" t="s">
        <v>564</v>
      </c>
      <c r="T112" s="3" t="s">
        <v>23</v>
      </c>
      <c r="U112" s="3" t="s">
        <v>24</v>
      </c>
      <c r="V112" s="3"/>
      <c r="W112" s="3"/>
    </row>
    <row r="113" spans="1:23" ht="90" x14ac:dyDescent="0.25">
      <c r="A113" s="51"/>
      <c r="B113" s="47">
        <v>112</v>
      </c>
      <c r="C113" s="3"/>
      <c r="D113" s="1">
        <v>2017</v>
      </c>
      <c r="E113" s="14" t="s">
        <v>390</v>
      </c>
      <c r="F113" s="1" t="s">
        <v>305</v>
      </c>
      <c r="G113" s="3" t="s">
        <v>70</v>
      </c>
      <c r="H113" s="4" t="s">
        <v>382</v>
      </c>
      <c r="I113" s="1" t="s">
        <v>42</v>
      </c>
      <c r="J113" s="4" t="s">
        <v>413</v>
      </c>
      <c r="K113" s="4"/>
      <c r="L113" s="4"/>
      <c r="M113" s="4"/>
      <c r="N113" s="1" t="str">
        <f t="shared" si="2"/>
        <v/>
      </c>
      <c r="O113" s="1" t="str">
        <f t="shared" si="3"/>
        <v/>
      </c>
      <c r="P113" s="3" t="s">
        <v>386</v>
      </c>
      <c r="Q113" s="9">
        <v>42870</v>
      </c>
      <c r="R113" s="9">
        <v>43006</v>
      </c>
      <c r="S113" s="3" t="s">
        <v>565</v>
      </c>
      <c r="T113" s="3" t="s">
        <v>23</v>
      </c>
      <c r="U113" s="3" t="s">
        <v>24</v>
      </c>
      <c r="V113" s="3"/>
      <c r="W113" s="3"/>
    </row>
    <row r="114" spans="1:23" ht="105" x14ac:dyDescent="0.25">
      <c r="A114" s="51"/>
      <c r="B114" s="47">
        <v>113</v>
      </c>
      <c r="C114" s="1"/>
      <c r="D114" s="1">
        <v>2017</v>
      </c>
      <c r="E114" s="14" t="s">
        <v>390</v>
      </c>
      <c r="F114" s="1" t="s">
        <v>305</v>
      </c>
      <c r="G114" s="1" t="s">
        <v>70</v>
      </c>
      <c r="H114" s="4" t="s">
        <v>399</v>
      </c>
      <c r="I114" s="1" t="s">
        <v>389</v>
      </c>
      <c r="J114" s="4" t="s">
        <v>400</v>
      </c>
      <c r="K114" s="4"/>
      <c r="L114" s="4"/>
      <c r="M114" s="4"/>
      <c r="N114" s="1" t="str">
        <f t="shared" si="2"/>
        <v/>
      </c>
      <c r="O114" s="1" t="str">
        <f t="shared" si="3"/>
        <v/>
      </c>
      <c r="P114" s="1" t="s">
        <v>401</v>
      </c>
      <c r="Q114" s="10">
        <v>42889</v>
      </c>
      <c r="R114" s="10">
        <v>42975</v>
      </c>
      <c r="S114" s="1" t="s">
        <v>566</v>
      </c>
      <c r="T114" s="1" t="s">
        <v>23</v>
      </c>
      <c r="U114" s="1" t="s">
        <v>24</v>
      </c>
      <c r="V114" s="1"/>
      <c r="W114" s="1"/>
    </row>
    <row r="115" spans="1:23" ht="60" x14ac:dyDescent="0.25">
      <c r="A115" s="51"/>
      <c r="B115" s="47">
        <v>114</v>
      </c>
      <c r="C115" s="1"/>
      <c r="D115" s="1">
        <v>2017</v>
      </c>
      <c r="E115" s="14" t="s">
        <v>390</v>
      </c>
      <c r="F115" s="1" t="s">
        <v>305</v>
      </c>
      <c r="G115" s="1" t="s">
        <v>33</v>
      </c>
      <c r="H115" s="4" t="s">
        <v>402</v>
      </c>
      <c r="I115" s="1" t="s">
        <v>389</v>
      </c>
      <c r="J115" s="4" t="s">
        <v>403</v>
      </c>
      <c r="K115" s="4"/>
      <c r="L115" s="4"/>
      <c r="M115" s="4"/>
      <c r="N115" s="1" t="str">
        <f t="shared" si="2"/>
        <v/>
      </c>
      <c r="O115" s="1" t="str">
        <f t="shared" si="3"/>
        <v/>
      </c>
      <c r="P115" s="1" t="s">
        <v>380</v>
      </c>
      <c r="Q115" s="10">
        <v>42888</v>
      </c>
      <c r="R115" s="10">
        <v>42975</v>
      </c>
      <c r="S115" s="1" t="s">
        <v>567</v>
      </c>
      <c r="T115" s="1" t="s">
        <v>23</v>
      </c>
      <c r="U115" s="1" t="s">
        <v>24</v>
      </c>
      <c r="V115" s="1"/>
      <c r="W115" s="1"/>
    </row>
    <row r="116" spans="1:23" ht="60" x14ac:dyDescent="0.25">
      <c r="A116" s="51"/>
      <c r="B116" s="49">
        <v>115</v>
      </c>
      <c r="C116" s="1"/>
      <c r="D116" s="1">
        <v>2017</v>
      </c>
      <c r="E116" s="14" t="s">
        <v>390</v>
      </c>
      <c r="F116" s="1" t="s">
        <v>305</v>
      </c>
      <c r="G116" s="1" t="s">
        <v>70</v>
      </c>
      <c r="H116" s="4" t="s">
        <v>404</v>
      </c>
      <c r="I116" s="1" t="s">
        <v>389</v>
      </c>
      <c r="J116" s="4" t="s">
        <v>405</v>
      </c>
      <c r="K116" s="4"/>
      <c r="L116" s="4"/>
      <c r="M116" s="4"/>
      <c r="N116" s="1" t="str">
        <f t="shared" si="2"/>
        <v/>
      </c>
      <c r="O116" s="1" t="str">
        <f t="shared" si="3"/>
        <v/>
      </c>
      <c r="P116" s="1" t="s">
        <v>287</v>
      </c>
      <c r="Q116" s="10">
        <v>42881</v>
      </c>
      <c r="R116" s="10">
        <v>42975</v>
      </c>
      <c r="S116" s="1" t="s">
        <v>568</v>
      </c>
      <c r="T116" s="1" t="s">
        <v>23</v>
      </c>
      <c r="U116" s="1" t="s">
        <v>24</v>
      </c>
      <c r="V116" s="1"/>
      <c r="W116" s="1"/>
    </row>
    <row r="117" spans="1:23" ht="45" x14ac:dyDescent="0.25">
      <c r="A117" s="51"/>
      <c r="B117" s="47">
        <v>116</v>
      </c>
      <c r="C117" s="3"/>
      <c r="D117" s="1">
        <v>2017</v>
      </c>
      <c r="E117" s="14" t="s">
        <v>390</v>
      </c>
      <c r="F117" s="1" t="s">
        <v>305</v>
      </c>
      <c r="G117" s="3" t="s">
        <v>17</v>
      </c>
      <c r="H117" s="4" t="s">
        <v>406</v>
      </c>
      <c r="I117" s="1" t="s">
        <v>389</v>
      </c>
      <c r="J117" s="4" t="s">
        <v>407</v>
      </c>
      <c r="K117" s="4"/>
      <c r="L117" s="4"/>
      <c r="M117" s="4"/>
      <c r="N117" s="1" t="str">
        <f t="shared" si="2"/>
        <v/>
      </c>
      <c r="O117" s="1" t="str">
        <f t="shared" si="3"/>
        <v/>
      </c>
      <c r="P117" s="3" t="s">
        <v>408</v>
      </c>
      <c r="Q117" s="9">
        <v>42874</v>
      </c>
      <c r="R117" s="9">
        <v>42975</v>
      </c>
      <c r="S117" s="3" t="s">
        <v>569</v>
      </c>
      <c r="T117" s="3" t="s">
        <v>23</v>
      </c>
      <c r="U117" s="3" t="s">
        <v>24</v>
      </c>
      <c r="V117" s="3"/>
      <c r="W117" s="3"/>
    </row>
    <row r="118" spans="1:23" ht="75" x14ac:dyDescent="0.25">
      <c r="A118" s="51"/>
      <c r="B118" s="47">
        <v>117</v>
      </c>
      <c r="C118" s="3"/>
      <c r="D118" s="1">
        <v>2017</v>
      </c>
      <c r="E118" s="14" t="s">
        <v>390</v>
      </c>
      <c r="F118" s="1" t="s">
        <v>305</v>
      </c>
      <c r="G118" s="3" t="s">
        <v>17</v>
      </c>
      <c r="H118" s="4" t="s">
        <v>409</v>
      </c>
      <c r="I118" s="1" t="s">
        <v>389</v>
      </c>
      <c r="J118" s="4" t="s">
        <v>410</v>
      </c>
      <c r="K118" s="4"/>
      <c r="L118" s="4"/>
      <c r="M118" s="4"/>
      <c r="N118" s="1" t="str">
        <f t="shared" si="2"/>
        <v/>
      </c>
      <c r="O118" s="1" t="str">
        <f t="shared" si="3"/>
        <v/>
      </c>
      <c r="P118" s="3" t="s">
        <v>408</v>
      </c>
      <c r="Q118" s="9">
        <v>42889</v>
      </c>
      <c r="R118" s="9">
        <v>42975</v>
      </c>
      <c r="S118" s="3" t="s">
        <v>570</v>
      </c>
      <c r="T118" s="3" t="s">
        <v>23</v>
      </c>
      <c r="U118" s="3" t="s">
        <v>24</v>
      </c>
      <c r="V118" s="3"/>
      <c r="W118" s="3"/>
    </row>
    <row r="119" spans="1:23" ht="90" x14ac:dyDescent="0.25">
      <c r="A119" s="51"/>
      <c r="B119" s="47">
        <v>118</v>
      </c>
      <c r="C119" s="3"/>
      <c r="D119" s="1">
        <v>2017</v>
      </c>
      <c r="E119" s="14" t="s">
        <v>390</v>
      </c>
      <c r="F119" s="1" t="s">
        <v>305</v>
      </c>
      <c r="G119" s="3" t="s">
        <v>17</v>
      </c>
      <c r="H119" s="4" t="s">
        <v>411</v>
      </c>
      <c r="I119" s="1" t="s">
        <v>389</v>
      </c>
      <c r="J119" s="4" t="s">
        <v>412</v>
      </c>
      <c r="K119" s="4"/>
      <c r="L119" s="4"/>
      <c r="M119" s="4"/>
      <c r="N119" s="1" t="str">
        <f t="shared" si="2"/>
        <v/>
      </c>
      <c r="O119" s="1" t="str">
        <f t="shared" si="3"/>
        <v/>
      </c>
      <c r="P119" s="3" t="s">
        <v>408</v>
      </c>
      <c r="Q119" s="9">
        <v>42910</v>
      </c>
      <c r="R119" s="9">
        <v>42975</v>
      </c>
      <c r="S119" s="3" t="s">
        <v>571</v>
      </c>
      <c r="T119" s="3" t="s">
        <v>23</v>
      </c>
      <c r="U119" s="3" t="s">
        <v>24</v>
      </c>
      <c r="V119" s="3"/>
      <c r="W119" s="3"/>
    </row>
    <row r="120" spans="1:23" ht="60" x14ac:dyDescent="0.25">
      <c r="A120" s="51"/>
      <c r="B120" s="47">
        <v>119</v>
      </c>
      <c r="C120" s="3"/>
      <c r="D120" s="1">
        <v>2017</v>
      </c>
      <c r="E120" s="14" t="s">
        <v>425</v>
      </c>
      <c r="F120" s="1" t="s">
        <v>305</v>
      </c>
      <c r="G120" s="3" t="s">
        <v>70</v>
      </c>
      <c r="H120" s="4" t="s">
        <v>417</v>
      </c>
      <c r="I120" s="1" t="s">
        <v>389</v>
      </c>
      <c r="J120" s="4" t="s">
        <v>418</v>
      </c>
      <c r="K120" s="4"/>
      <c r="L120" s="4"/>
      <c r="M120" s="4"/>
      <c r="N120" s="1" t="str">
        <f t="shared" si="2"/>
        <v/>
      </c>
      <c r="O120" s="1" t="str">
        <f t="shared" si="3"/>
        <v/>
      </c>
      <c r="P120" s="3" t="s">
        <v>287</v>
      </c>
      <c r="Q120" s="9">
        <v>43013</v>
      </c>
      <c r="R120" s="9">
        <v>42975</v>
      </c>
      <c r="S120" s="3" t="s">
        <v>572</v>
      </c>
      <c r="T120" s="3" t="s">
        <v>23</v>
      </c>
      <c r="U120" s="3" t="s">
        <v>24</v>
      </c>
      <c r="V120" s="3"/>
      <c r="W120" s="3"/>
    </row>
    <row r="121" spans="1:23" ht="135" x14ac:dyDescent="0.25">
      <c r="A121" s="51"/>
      <c r="B121" s="47">
        <v>120</v>
      </c>
      <c r="C121" s="3"/>
      <c r="D121" s="1">
        <v>2017</v>
      </c>
      <c r="E121" s="14" t="s">
        <v>424</v>
      </c>
      <c r="F121" s="1" t="s">
        <v>305</v>
      </c>
      <c r="G121" s="3" t="s">
        <v>33</v>
      </c>
      <c r="H121" s="4" t="s">
        <v>419</v>
      </c>
      <c r="I121" s="1" t="s">
        <v>389</v>
      </c>
      <c r="J121" s="4" t="s">
        <v>420</v>
      </c>
      <c r="K121" s="4"/>
      <c r="L121" s="4"/>
      <c r="M121" s="4"/>
      <c r="N121" s="1" t="str">
        <f t="shared" si="2"/>
        <v/>
      </c>
      <c r="O121" s="1" t="str">
        <f t="shared" si="3"/>
        <v/>
      </c>
      <c r="P121" s="3" t="s">
        <v>380</v>
      </c>
      <c r="Q121" s="9">
        <v>43013</v>
      </c>
      <c r="R121" s="9">
        <v>43038</v>
      </c>
      <c r="S121" s="3" t="s">
        <v>573</v>
      </c>
      <c r="T121" s="3" t="s">
        <v>23</v>
      </c>
      <c r="U121" s="3" t="s">
        <v>24</v>
      </c>
      <c r="V121" s="3"/>
      <c r="W121" s="3"/>
    </row>
    <row r="122" spans="1:23" ht="45" x14ac:dyDescent="0.25">
      <c r="A122" s="51"/>
      <c r="B122" s="47">
        <v>121</v>
      </c>
      <c r="C122" s="3"/>
      <c r="D122" s="1">
        <v>2017</v>
      </c>
      <c r="E122" s="14" t="s">
        <v>424</v>
      </c>
      <c r="F122" s="1" t="s">
        <v>305</v>
      </c>
      <c r="G122" s="3" t="s">
        <v>17</v>
      </c>
      <c r="H122" s="4" t="s">
        <v>421</v>
      </c>
      <c r="I122" s="1" t="s">
        <v>389</v>
      </c>
      <c r="J122" s="4" t="s">
        <v>422</v>
      </c>
      <c r="K122" s="4"/>
      <c r="L122" s="4"/>
      <c r="M122" s="4"/>
      <c r="N122" s="1" t="str">
        <f t="shared" si="2"/>
        <v/>
      </c>
      <c r="O122" s="1" t="str">
        <f t="shared" si="3"/>
        <v/>
      </c>
      <c r="P122" s="3" t="s">
        <v>408</v>
      </c>
      <c r="Q122" s="9">
        <v>42943</v>
      </c>
      <c r="R122" s="9">
        <v>43038</v>
      </c>
      <c r="S122" s="3" t="s">
        <v>574</v>
      </c>
      <c r="T122" s="3" t="s">
        <v>201</v>
      </c>
      <c r="U122" s="3"/>
      <c r="V122" s="3" t="s">
        <v>423</v>
      </c>
      <c r="W122" s="3"/>
    </row>
    <row r="123" spans="1:23" ht="105" x14ac:dyDescent="0.25">
      <c r="A123" s="51"/>
      <c r="B123" s="47">
        <v>122</v>
      </c>
      <c r="C123" s="3" t="s">
        <v>14</v>
      </c>
      <c r="D123" s="1">
        <v>2018</v>
      </c>
      <c r="E123" s="14" t="s">
        <v>425</v>
      </c>
      <c r="F123" s="1" t="s">
        <v>305</v>
      </c>
      <c r="G123" s="3" t="s">
        <v>33</v>
      </c>
      <c r="H123" s="4" t="s">
        <v>450</v>
      </c>
      <c r="I123" s="1" t="s">
        <v>14</v>
      </c>
      <c r="J123" s="4" t="s">
        <v>451</v>
      </c>
      <c r="K123" s="4"/>
      <c r="L123" s="4"/>
      <c r="M123" s="4"/>
      <c r="N123" s="1" t="str">
        <f t="shared" si="2"/>
        <v/>
      </c>
      <c r="O123" s="1" t="str">
        <f t="shared" si="3"/>
        <v/>
      </c>
      <c r="P123" s="3" t="s">
        <v>396</v>
      </c>
      <c r="Q123" s="9">
        <v>42943</v>
      </c>
      <c r="R123" s="9">
        <v>43038</v>
      </c>
      <c r="S123" s="3" t="s">
        <v>575</v>
      </c>
      <c r="T123" s="3" t="s">
        <v>201</v>
      </c>
      <c r="U123" s="3"/>
      <c r="V123" s="3" t="s">
        <v>423</v>
      </c>
      <c r="W123" s="3"/>
    </row>
    <row r="124" spans="1:23" ht="105" x14ac:dyDescent="0.25">
      <c r="A124" s="51"/>
      <c r="B124" s="47">
        <v>123</v>
      </c>
      <c r="C124" s="3" t="s">
        <v>363</v>
      </c>
      <c r="D124" s="1">
        <v>2018</v>
      </c>
      <c r="E124" s="14" t="s">
        <v>433</v>
      </c>
      <c r="F124" s="1" t="s">
        <v>305</v>
      </c>
      <c r="G124" s="3" t="s">
        <v>70</v>
      </c>
      <c r="H124" s="4" t="s">
        <v>427</v>
      </c>
      <c r="I124" s="3" t="s">
        <v>40</v>
      </c>
      <c r="J124" s="4" t="s">
        <v>435</v>
      </c>
      <c r="K124" s="4"/>
      <c r="L124" s="4"/>
      <c r="M124" s="4"/>
      <c r="N124" s="1" t="str">
        <f t="shared" si="2"/>
        <v/>
      </c>
      <c r="O124" s="1" t="str">
        <f t="shared" si="3"/>
        <v/>
      </c>
      <c r="P124" s="3" t="s">
        <v>287</v>
      </c>
      <c r="Q124" s="9">
        <v>43267</v>
      </c>
      <c r="R124" s="9">
        <v>43267</v>
      </c>
      <c r="S124" s="1" t="s">
        <v>453</v>
      </c>
      <c r="T124" s="3" t="s">
        <v>201</v>
      </c>
      <c r="U124" s="3" t="s">
        <v>24</v>
      </c>
      <c r="V124" s="3"/>
      <c r="W124" s="3"/>
    </row>
    <row r="125" spans="1:23" ht="225" x14ac:dyDescent="0.25">
      <c r="A125" s="51"/>
      <c r="B125" s="47">
        <v>123</v>
      </c>
      <c r="C125" s="3" t="s">
        <v>363</v>
      </c>
      <c r="D125" s="3">
        <v>2018</v>
      </c>
      <c r="E125" s="14" t="s">
        <v>433</v>
      </c>
      <c r="F125" s="1" t="s">
        <v>305</v>
      </c>
      <c r="G125" s="3" t="s">
        <v>434</v>
      </c>
      <c r="H125" s="18" t="s">
        <v>428</v>
      </c>
      <c r="I125" s="3" t="s">
        <v>40</v>
      </c>
      <c r="J125" s="4" t="s">
        <v>436</v>
      </c>
      <c r="K125" s="4"/>
      <c r="L125" s="4"/>
      <c r="M125" s="4"/>
      <c r="N125" s="1" t="str">
        <f t="shared" si="2"/>
        <v/>
      </c>
      <c r="O125" s="1" t="str">
        <f t="shared" si="3"/>
        <v/>
      </c>
      <c r="P125" s="3" t="s">
        <v>408</v>
      </c>
      <c r="Q125" s="9">
        <v>43265</v>
      </c>
      <c r="R125" s="9">
        <v>43265</v>
      </c>
      <c r="S125" s="1" t="s">
        <v>454</v>
      </c>
      <c r="T125" s="3" t="s">
        <v>201</v>
      </c>
      <c r="U125" s="3" t="s">
        <v>24</v>
      </c>
      <c r="V125" s="3"/>
      <c r="W125" s="3"/>
    </row>
    <row r="126" spans="1:23" ht="120" x14ac:dyDescent="0.25">
      <c r="A126" s="51"/>
      <c r="B126" s="47">
        <v>124</v>
      </c>
      <c r="C126" s="3" t="s">
        <v>363</v>
      </c>
      <c r="D126" s="1">
        <v>2018</v>
      </c>
      <c r="E126" s="14" t="s">
        <v>433</v>
      </c>
      <c r="F126" s="1" t="s">
        <v>305</v>
      </c>
      <c r="G126" s="3" t="s">
        <v>434</v>
      </c>
      <c r="H126" s="18" t="s">
        <v>429</v>
      </c>
      <c r="I126" s="3" t="s">
        <v>40</v>
      </c>
      <c r="J126" s="4" t="s">
        <v>437</v>
      </c>
      <c r="K126" s="4"/>
      <c r="L126" s="4"/>
      <c r="M126" s="4"/>
      <c r="N126" s="1" t="str">
        <f t="shared" si="2"/>
        <v/>
      </c>
      <c r="O126" s="1" t="str">
        <f t="shared" si="3"/>
        <v/>
      </c>
      <c r="P126" s="3" t="s">
        <v>408</v>
      </c>
      <c r="Q126" s="9">
        <v>43273</v>
      </c>
      <c r="R126" s="9">
        <v>43270</v>
      </c>
      <c r="S126" s="1" t="s">
        <v>455</v>
      </c>
      <c r="T126" s="3" t="s">
        <v>201</v>
      </c>
      <c r="U126" s="3" t="s">
        <v>24</v>
      </c>
      <c r="V126" s="3"/>
      <c r="W126" s="3"/>
    </row>
    <row r="127" spans="1:23" ht="90" x14ac:dyDescent="0.25">
      <c r="A127" s="51"/>
      <c r="B127" s="47">
        <v>125</v>
      </c>
      <c r="C127" s="3" t="s">
        <v>363</v>
      </c>
      <c r="D127" s="3">
        <v>2018</v>
      </c>
      <c r="E127" s="14" t="s">
        <v>433</v>
      </c>
      <c r="F127" s="1" t="s">
        <v>305</v>
      </c>
      <c r="G127" s="3" t="s">
        <v>25</v>
      </c>
      <c r="H127" s="18" t="s">
        <v>430</v>
      </c>
      <c r="I127" s="3" t="s">
        <v>40</v>
      </c>
      <c r="J127" s="4" t="s">
        <v>439</v>
      </c>
      <c r="K127" s="4"/>
      <c r="L127" s="4"/>
      <c r="M127" s="4"/>
      <c r="N127" s="1" t="str">
        <f t="shared" si="2"/>
        <v/>
      </c>
      <c r="O127" s="1" t="str">
        <f t="shared" si="3"/>
        <v/>
      </c>
      <c r="P127" s="3" t="s">
        <v>301</v>
      </c>
      <c r="Q127" s="9">
        <v>43265</v>
      </c>
      <c r="R127" s="9">
        <v>43273</v>
      </c>
      <c r="S127" s="1" t="s">
        <v>438</v>
      </c>
      <c r="T127" s="3" t="s">
        <v>201</v>
      </c>
      <c r="U127" s="3" t="s">
        <v>24</v>
      </c>
      <c r="V127" s="3"/>
      <c r="W127" s="3"/>
    </row>
    <row r="128" spans="1:23" ht="171" x14ac:dyDescent="0.25">
      <c r="A128" s="51"/>
      <c r="B128" s="47">
        <v>126</v>
      </c>
      <c r="C128" s="3" t="s">
        <v>363</v>
      </c>
      <c r="D128" s="3">
        <v>2018</v>
      </c>
      <c r="E128" s="14" t="s">
        <v>433</v>
      </c>
      <c r="F128" s="1" t="s">
        <v>305</v>
      </c>
      <c r="G128" s="3" t="s">
        <v>25</v>
      </c>
      <c r="H128" s="20" t="s">
        <v>431</v>
      </c>
      <c r="I128" s="3" t="s">
        <v>40</v>
      </c>
      <c r="J128" s="6" t="s">
        <v>440</v>
      </c>
      <c r="K128" s="6"/>
      <c r="L128" s="6"/>
      <c r="M128" s="6"/>
      <c r="N128" s="1" t="str">
        <f t="shared" si="2"/>
        <v/>
      </c>
      <c r="O128" s="1" t="str">
        <f t="shared" si="3"/>
        <v/>
      </c>
      <c r="P128" s="3" t="s">
        <v>301</v>
      </c>
      <c r="Q128" s="9">
        <v>43265</v>
      </c>
      <c r="R128" s="9">
        <v>43266</v>
      </c>
      <c r="S128" s="1" t="s">
        <v>457</v>
      </c>
      <c r="T128" s="3" t="s">
        <v>201</v>
      </c>
      <c r="U128" s="3" t="s">
        <v>24</v>
      </c>
      <c r="V128" s="3"/>
      <c r="W128" s="3"/>
    </row>
    <row r="129" spans="1:23" ht="150" x14ac:dyDescent="0.25">
      <c r="A129" s="51"/>
      <c r="B129" s="47">
        <v>127</v>
      </c>
      <c r="C129" s="3" t="s">
        <v>363</v>
      </c>
      <c r="D129" s="1">
        <v>2018</v>
      </c>
      <c r="E129" s="14" t="s">
        <v>433</v>
      </c>
      <c r="F129" s="1" t="s">
        <v>305</v>
      </c>
      <c r="G129" s="3" t="s">
        <v>434</v>
      </c>
      <c r="H129" s="21" t="s">
        <v>432</v>
      </c>
      <c r="I129" s="3" t="s">
        <v>40</v>
      </c>
      <c r="J129" s="4" t="s">
        <v>441</v>
      </c>
      <c r="K129" s="4"/>
      <c r="L129" s="4"/>
      <c r="M129" s="4"/>
      <c r="N129" s="1" t="str">
        <f t="shared" si="2"/>
        <v/>
      </c>
      <c r="O129" s="1" t="str">
        <f t="shared" si="3"/>
        <v/>
      </c>
      <c r="P129" s="3" t="s">
        <v>301</v>
      </c>
      <c r="Q129" s="9">
        <v>43271</v>
      </c>
      <c r="R129" s="9">
        <v>43277</v>
      </c>
      <c r="S129" s="1" t="s">
        <v>456</v>
      </c>
      <c r="T129" s="3" t="s">
        <v>201</v>
      </c>
      <c r="U129" s="3" t="s">
        <v>24</v>
      </c>
      <c r="V129" s="3"/>
      <c r="W129" s="3"/>
    </row>
    <row r="130" spans="1:23" ht="30" x14ac:dyDescent="0.25">
      <c r="A130" s="51"/>
      <c r="B130" s="47">
        <v>128</v>
      </c>
      <c r="C130" s="3" t="s">
        <v>458</v>
      </c>
      <c r="D130" s="1">
        <v>2018</v>
      </c>
      <c r="E130" s="14" t="s">
        <v>425</v>
      </c>
      <c r="F130" s="1" t="s">
        <v>305</v>
      </c>
      <c r="G130" s="3" t="s">
        <v>33</v>
      </c>
      <c r="H130" s="21" t="s">
        <v>459</v>
      </c>
      <c r="I130" s="3" t="s">
        <v>42</v>
      </c>
      <c r="J130" s="4" t="s">
        <v>460</v>
      </c>
      <c r="K130" s="4"/>
      <c r="L130" s="4"/>
      <c r="M130" s="4"/>
      <c r="N130" s="1" t="str">
        <f t="shared" si="2"/>
        <v/>
      </c>
      <c r="O130" s="1" t="str">
        <f t="shared" si="3"/>
        <v/>
      </c>
      <c r="P130" s="3" t="s">
        <v>396</v>
      </c>
      <c r="Q130" s="9">
        <v>43266</v>
      </c>
      <c r="R130" s="9">
        <v>43265</v>
      </c>
      <c r="S130" s="1" t="s">
        <v>461</v>
      </c>
      <c r="T130" s="3" t="s">
        <v>201</v>
      </c>
      <c r="U130" s="3" t="s">
        <v>24</v>
      </c>
      <c r="V130" s="3"/>
      <c r="W130" s="3"/>
    </row>
    <row r="131" spans="1:23" ht="171" x14ac:dyDescent="0.25">
      <c r="A131" s="51"/>
      <c r="B131" s="47">
        <v>128</v>
      </c>
      <c r="C131" s="3" t="s">
        <v>14</v>
      </c>
      <c r="D131" s="3">
        <v>2018</v>
      </c>
      <c r="E131" s="14" t="s">
        <v>433</v>
      </c>
      <c r="F131" s="1" t="s">
        <v>305</v>
      </c>
      <c r="G131" s="3" t="s">
        <v>17</v>
      </c>
      <c r="H131" s="18" t="s">
        <v>442</v>
      </c>
      <c r="I131" s="3" t="s">
        <v>389</v>
      </c>
      <c r="J131" s="4" t="s">
        <v>576</v>
      </c>
      <c r="K131" s="4"/>
      <c r="L131" s="4"/>
      <c r="M131" s="4"/>
      <c r="N131" s="1" t="str">
        <f t="shared" ref="N131:N197" si="4">IF(L131*M131 = 0,"",L131*M131)</f>
        <v/>
      </c>
      <c r="O131" s="1" t="str">
        <f t="shared" ref="O131:O172" si="5">N131</f>
        <v/>
      </c>
      <c r="P131" s="3" t="s">
        <v>408</v>
      </c>
      <c r="Q131" s="9">
        <v>43266</v>
      </c>
      <c r="R131" s="9">
        <v>43401</v>
      </c>
      <c r="S131" s="3" t="s">
        <v>577</v>
      </c>
      <c r="T131" s="3" t="s">
        <v>201</v>
      </c>
      <c r="U131" s="3"/>
      <c r="V131" s="3"/>
      <c r="W131" s="3"/>
    </row>
    <row r="132" spans="1:23" ht="60" x14ac:dyDescent="0.25">
      <c r="A132" s="51"/>
      <c r="B132" s="47">
        <v>129</v>
      </c>
      <c r="C132" s="3" t="s">
        <v>14</v>
      </c>
      <c r="D132" s="3">
        <v>2018</v>
      </c>
      <c r="E132" s="14" t="s">
        <v>433</v>
      </c>
      <c r="F132" s="1" t="s">
        <v>305</v>
      </c>
      <c r="G132" s="3" t="s">
        <v>17</v>
      </c>
      <c r="H132" s="18" t="s">
        <v>443</v>
      </c>
      <c r="I132" s="3" t="s">
        <v>389</v>
      </c>
      <c r="J132" s="4" t="s">
        <v>533</v>
      </c>
      <c r="K132" s="4"/>
      <c r="L132" s="4"/>
      <c r="M132" s="4"/>
      <c r="N132" s="1" t="str">
        <f t="shared" si="4"/>
        <v/>
      </c>
      <c r="O132" s="1" t="str">
        <f t="shared" si="5"/>
        <v/>
      </c>
      <c r="P132" s="3" t="s">
        <v>408</v>
      </c>
      <c r="Q132" s="9">
        <v>43338</v>
      </c>
      <c r="R132" s="9">
        <v>43419</v>
      </c>
      <c r="S132" s="3" t="s">
        <v>578</v>
      </c>
      <c r="T132" s="3" t="s">
        <v>201</v>
      </c>
      <c r="U132" s="3"/>
      <c r="V132" s="3"/>
      <c r="W132" s="3"/>
    </row>
    <row r="133" spans="1:23" ht="57" x14ac:dyDescent="0.25">
      <c r="A133" s="51"/>
      <c r="B133" s="47">
        <v>130</v>
      </c>
      <c r="C133" s="3" t="s">
        <v>14</v>
      </c>
      <c r="D133" s="1">
        <v>2018</v>
      </c>
      <c r="E133" s="14" t="s">
        <v>433</v>
      </c>
      <c r="F133" s="1" t="s">
        <v>305</v>
      </c>
      <c r="G133" s="3" t="s">
        <v>434</v>
      </c>
      <c r="H133" s="18" t="s">
        <v>449</v>
      </c>
      <c r="I133" s="3" t="s">
        <v>389</v>
      </c>
      <c r="J133" s="4" t="s">
        <v>580</v>
      </c>
      <c r="K133" s="4"/>
      <c r="L133" s="4"/>
      <c r="M133" s="4"/>
      <c r="N133" s="1" t="str">
        <f t="shared" si="4"/>
        <v/>
      </c>
      <c r="O133" s="1" t="str">
        <f t="shared" si="5"/>
        <v/>
      </c>
      <c r="P133" s="3" t="s">
        <v>408</v>
      </c>
      <c r="Q133" s="9">
        <v>43338</v>
      </c>
      <c r="R133" s="9">
        <v>43419</v>
      </c>
      <c r="S133" s="3" t="s">
        <v>582</v>
      </c>
      <c r="T133" s="3" t="s">
        <v>201</v>
      </c>
      <c r="U133" s="3"/>
      <c r="V133" s="3"/>
      <c r="W133" s="3"/>
    </row>
    <row r="134" spans="1:23" ht="85.5" x14ac:dyDescent="0.25">
      <c r="A134" s="51"/>
      <c r="B134" s="47">
        <v>131</v>
      </c>
      <c r="C134" s="3" t="s">
        <v>14</v>
      </c>
      <c r="D134" s="3">
        <v>2018</v>
      </c>
      <c r="E134" s="14" t="s">
        <v>433</v>
      </c>
      <c r="F134" s="1" t="s">
        <v>305</v>
      </c>
      <c r="G134" s="3" t="s">
        <v>434</v>
      </c>
      <c r="H134" s="18" t="s">
        <v>444</v>
      </c>
      <c r="I134" s="3" t="s">
        <v>389</v>
      </c>
      <c r="J134" s="4" t="s">
        <v>581</v>
      </c>
      <c r="K134" s="4"/>
      <c r="L134" s="4"/>
      <c r="M134" s="4"/>
      <c r="N134" s="1" t="str">
        <f t="shared" si="4"/>
        <v/>
      </c>
      <c r="O134" s="1" t="str">
        <f t="shared" si="5"/>
        <v/>
      </c>
      <c r="P134" s="3" t="s">
        <v>408</v>
      </c>
      <c r="Q134" s="9">
        <v>43338</v>
      </c>
      <c r="R134" s="9">
        <v>43419</v>
      </c>
      <c r="S134" s="3" t="s">
        <v>583</v>
      </c>
      <c r="T134" s="3" t="s">
        <v>201</v>
      </c>
      <c r="U134" s="3"/>
      <c r="V134" s="3"/>
      <c r="W134" s="3"/>
    </row>
    <row r="135" spans="1:23" ht="30" x14ac:dyDescent="0.25">
      <c r="A135" s="51"/>
      <c r="B135" s="47">
        <v>132</v>
      </c>
      <c r="C135" s="3" t="s">
        <v>14</v>
      </c>
      <c r="D135" s="3">
        <v>2018</v>
      </c>
      <c r="E135" s="14" t="s">
        <v>433</v>
      </c>
      <c r="F135" s="1" t="s">
        <v>305</v>
      </c>
      <c r="G135" s="3" t="s">
        <v>70</v>
      </c>
      <c r="H135" s="18" t="s">
        <v>445</v>
      </c>
      <c r="I135" s="3" t="s">
        <v>389</v>
      </c>
      <c r="J135" s="4" t="s">
        <v>585</v>
      </c>
      <c r="K135" s="4"/>
      <c r="L135" s="4"/>
      <c r="M135" s="4"/>
      <c r="N135" s="1" t="str">
        <f t="shared" si="4"/>
        <v/>
      </c>
      <c r="O135" s="1" t="str">
        <f t="shared" si="5"/>
        <v/>
      </c>
      <c r="P135" s="3" t="s">
        <v>287</v>
      </c>
      <c r="Q135" s="9">
        <v>43338</v>
      </c>
      <c r="R135" s="9">
        <v>43419</v>
      </c>
      <c r="S135" s="3" t="s">
        <v>584</v>
      </c>
      <c r="T135" s="3" t="s">
        <v>201</v>
      </c>
      <c r="U135" s="3"/>
      <c r="V135" s="3"/>
      <c r="W135" s="3"/>
    </row>
    <row r="136" spans="1:23" ht="57" x14ac:dyDescent="0.25">
      <c r="A136" s="51"/>
      <c r="B136" s="47">
        <v>133</v>
      </c>
      <c r="C136" s="3" t="s">
        <v>14</v>
      </c>
      <c r="D136" s="1">
        <v>2018</v>
      </c>
      <c r="E136" s="14" t="s">
        <v>433</v>
      </c>
      <c r="F136" s="1" t="s">
        <v>305</v>
      </c>
      <c r="G136" s="3" t="s">
        <v>25</v>
      </c>
      <c r="H136" s="18" t="s">
        <v>446</v>
      </c>
      <c r="I136" s="3" t="s">
        <v>389</v>
      </c>
      <c r="J136" s="4" t="s">
        <v>586</v>
      </c>
      <c r="K136" s="4"/>
      <c r="L136" s="4"/>
      <c r="M136" s="4"/>
      <c r="N136" s="1" t="str">
        <f t="shared" si="4"/>
        <v/>
      </c>
      <c r="O136" s="1" t="str">
        <f t="shared" si="5"/>
        <v/>
      </c>
      <c r="P136" s="3" t="s">
        <v>301</v>
      </c>
      <c r="Q136" s="9">
        <v>43338</v>
      </c>
      <c r="R136" s="9">
        <v>43419</v>
      </c>
      <c r="S136" s="3" t="s">
        <v>587</v>
      </c>
      <c r="T136" s="3" t="s">
        <v>201</v>
      </c>
      <c r="U136" s="3"/>
      <c r="V136" s="3"/>
      <c r="W136" s="3"/>
    </row>
    <row r="137" spans="1:23" ht="71.25" x14ac:dyDescent="0.25">
      <c r="A137" s="51"/>
      <c r="B137" s="47">
        <v>134</v>
      </c>
      <c r="C137" s="3" t="s">
        <v>14</v>
      </c>
      <c r="D137" s="3">
        <v>2018</v>
      </c>
      <c r="E137" s="14" t="s">
        <v>433</v>
      </c>
      <c r="F137" s="1" t="s">
        <v>305</v>
      </c>
      <c r="G137" s="3" t="s">
        <v>25</v>
      </c>
      <c r="H137" s="18" t="s">
        <v>447</v>
      </c>
      <c r="I137" s="3" t="s">
        <v>389</v>
      </c>
      <c r="J137" s="4" t="s">
        <v>588</v>
      </c>
      <c r="K137" s="4"/>
      <c r="L137" s="4"/>
      <c r="M137" s="4"/>
      <c r="N137" s="1" t="str">
        <f t="shared" si="4"/>
        <v/>
      </c>
      <c r="O137" s="1" t="str">
        <f t="shared" si="5"/>
        <v/>
      </c>
      <c r="P137" s="3" t="s">
        <v>301</v>
      </c>
      <c r="Q137" s="9">
        <v>43338</v>
      </c>
      <c r="R137" s="9">
        <v>43419</v>
      </c>
      <c r="S137" s="3" t="s">
        <v>589</v>
      </c>
      <c r="T137" s="3" t="s">
        <v>201</v>
      </c>
      <c r="U137" s="3"/>
      <c r="V137" s="3"/>
      <c r="W137" s="3"/>
    </row>
    <row r="138" spans="1:23" ht="30" x14ac:dyDescent="0.25">
      <c r="A138" s="51"/>
      <c r="B138" s="47">
        <v>135</v>
      </c>
      <c r="C138" s="3" t="s">
        <v>14</v>
      </c>
      <c r="D138" s="3">
        <v>2018</v>
      </c>
      <c r="E138" s="14" t="s">
        <v>433</v>
      </c>
      <c r="F138" s="1" t="s">
        <v>305</v>
      </c>
      <c r="G138" s="3" t="s">
        <v>17</v>
      </c>
      <c r="H138" s="18" t="s">
        <v>448</v>
      </c>
      <c r="I138" s="3" t="s">
        <v>389</v>
      </c>
      <c r="J138" s="4" t="s">
        <v>590</v>
      </c>
      <c r="K138" s="4"/>
      <c r="L138" s="4"/>
      <c r="M138" s="4"/>
      <c r="N138" s="1" t="str">
        <f t="shared" si="4"/>
        <v/>
      </c>
      <c r="O138" s="1" t="str">
        <f t="shared" si="5"/>
        <v/>
      </c>
      <c r="P138" s="3" t="s">
        <v>408</v>
      </c>
      <c r="Q138" s="9">
        <v>43338</v>
      </c>
      <c r="R138" s="9">
        <v>43419</v>
      </c>
      <c r="S138" s="3" t="s">
        <v>591</v>
      </c>
      <c r="T138" s="3" t="s">
        <v>201</v>
      </c>
      <c r="U138" s="3"/>
      <c r="V138" s="3"/>
      <c r="W138" s="3"/>
    </row>
    <row r="139" spans="1:23" ht="67.5" customHeight="1" x14ac:dyDescent="0.25">
      <c r="A139" s="51"/>
      <c r="B139" s="47">
        <v>136</v>
      </c>
      <c r="C139" s="3" t="s">
        <v>14</v>
      </c>
      <c r="D139" s="1">
        <v>2018</v>
      </c>
      <c r="E139" s="14" t="s">
        <v>433</v>
      </c>
      <c r="F139" s="1" t="s">
        <v>305</v>
      </c>
      <c r="G139" s="3" t="s">
        <v>70</v>
      </c>
      <c r="H139" s="18" t="s">
        <v>404</v>
      </c>
      <c r="I139" s="3" t="s">
        <v>389</v>
      </c>
      <c r="J139" s="4" t="s">
        <v>405</v>
      </c>
      <c r="K139" s="4"/>
      <c r="L139" s="4"/>
      <c r="M139" s="4"/>
      <c r="N139" s="1" t="str">
        <f t="shared" si="4"/>
        <v/>
      </c>
      <c r="O139" s="1" t="str">
        <f t="shared" si="5"/>
        <v/>
      </c>
      <c r="P139" s="3" t="s">
        <v>287</v>
      </c>
      <c r="Q139" s="9">
        <v>43338</v>
      </c>
      <c r="R139" s="9">
        <v>43419</v>
      </c>
      <c r="S139" s="3" t="s">
        <v>593</v>
      </c>
      <c r="T139" s="3" t="s">
        <v>201</v>
      </c>
      <c r="U139" s="3"/>
      <c r="V139" s="3"/>
      <c r="W139" s="3"/>
    </row>
    <row r="140" spans="1:23" ht="44.25" customHeight="1" x14ac:dyDescent="0.25">
      <c r="A140" s="51"/>
      <c r="B140" s="47">
        <v>137</v>
      </c>
      <c r="C140" s="3" t="s">
        <v>14</v>
      </c>
      <c r="D140" s="3">
        <v>2018</v>
      </c>
      <c r="E140" s="14" t="s">
        <v>433</v>
      </c>
      <c r="F140" s="1" t="s">
        <v>305</v>
      </c>
      <c r="G140" s="3" t="s">
        <v>70</v>
      </c>
      <c r="H140" s="18" t="s">
        <v>464</v>
      </c>
      <c r="I140" s="3" t="s">
        <v>389</v>
      </c>
      <c r="J140" s="4" t="s">
        <v>592</v>
      </c>
      <c r="K140" s="4"/>
      <c r="L140" s="4"/>
      <c r="M140" s="4"/>
      <c r="N140" s="1" t="str">
        <f t="shared" si="4"/>
        <v/>
      </c>
      <c r="O140" s="1" t="str">
        <f t="shared" si="5"/>
        <v/>
      </c>
      <c r="P140" s="3" t="s">
        <v>287</v>
      </c>
      <c r="Q140" s="9">
        <v>43338</v>
      </c>
      <c r="R140" s="9">
        <v>43419</v>
      </c>
      <c r="S140" s="3" t="s">
        <v>598</v>
      </c>
      <c r="T140" s="3" t="s">
        <v>201</v>
      </c>
      <c r="U140" s="3"/>
      <c r="V140" s="3"/>
      <c r="W140" s="3"/>
    </row>
    <row r="141" spans="1:23" ht="30" x14ac:dyDescent="0.25">
      <c r="A141" s="51"/>
      <c r="B141" s="47">
        <v>138</v>
      </c>
      <c r="C141" s="3" t="s">
        <v>40</v>
      </c>
      <c r="D141" s="3">
        <v>2018</v>
      </c>
      <c r="E141" s="14" t="s">
        <v>425</v>
      </c>
      <c r="F141" s="1" t="s">
        <v>305</v>
      </c>
      <c r="G141" s="3" t="s">
        <v>70</v>
      </c>
      <c r="H141" s="18" t="s">
        <v>462</v>
      </c>
      <c r="I141" s="3" t="s">
        <v>42</v>
      </c>
      <c r="J141" s="4" t="s">
        <v>463</v>
      </c>
      <c r="K141" s="4"/>
      <c r="L141" s="4"/>
      <c r="M141" s="4"/>
      <c r="N141" s="1" t="str">
        <f t="shared" si="4"/>
        <v/>
      </c>
      <c r="O141" s="1" t="str">
        <f t="shared" si="5"/>
        <v/>
      </c>
      <c r="P141" s="3" t="s">
        <v>287</v>
      </c>
      <c r="Q141" s="9">
        <v>43338</v>
      </c>
      <c r="R141" s="9">
        <v>43419</v>
      </c>
      <c r="S141" s="3" t="s">
        <v>93</v>
      </c>
      <c r="T141" s="3" t="s">
        <v>201</v>
      </c>
      <c r="U141" s="3"/>
      <c r="V141" s="3"/>
      <c r="W141" s="3"/>
    </row>
    <row r="142" spans="1:23" ht="57" x14ac:dyDescent="0.25">
      <c r="A142" s="51"/>
      <c r="B142" s="47">
        <v>139</v>
      </c>
      <c r="C142" s="3" t="s">
        <v>40</v>
      </c>
      <c r="D142" s="3">
        <v>2018</v>
      </c>
      <c r="E142" s="14" t="s">
        <v>513</v>
      </c>
      <c r="F142" s="1" t="s">
        <v>305</v>
      </c>
      <c r="G142" s="3" t="s">
        <v>70</v>
      </c>
      <c r="H142" s="18" t="s">
        <v>466</v>
      </c>
      <c r="I142" s="3"/>
      <c r="J142" s="18" t="s">
        <v>465</v>
      </c>
      <c r="K142" s="18"/>
      <c r="L142" s="18"/>
      <c r="M142" s="18"/>
      <c r="N142" s="1" t="str">
        <f t="shared" si="4"/>
        <v/>
      </c>
      <c r="O142" s="1" t="str">
        <f t="shared" si="5"/>
        <v/>
      </c>
      <c r="P142" s="3" t="s">
        <v>287</v>
      </c>
      <c r="Q142" s="9">
        <v>43338</v>
      </c>
      <c r="R142" s="9">
        <v>43668</v>
      </c>
      <c r="S142" s="3" t="s">
        <v>594</v>
      </c>
      <c r="T142" s="3" t="s">
        <v>201</v>
      </c>
      <c r="U142" s="3" t="s">
        <v>201</v>
      </c>
      <c r="V142" s="3"/>
      <c r="W142" s="3"/>
    </row>
    <row r="143" spans="1:23" ht="57" x14ac:dyDescent="0.25">
      <c r="A143" s="51"/>
      <c r="B143" s="47">
        <v>140</v>
      </c>
      <c r="C143" s="3" t="s">
        <v>40</v>
      </c>
      <c r="D143" s="3">
        <v>2018</v>
      </c>
      <c r="E143" s="14" t="s">
        <v>513</v>
      </c>
      <c r="F143" s="1" t="s">
        <v>305</v>
      </c>
      <c r="G143" s="3" t="s">
        <v>70</v>
      </c>
      <c r="H143" s="18" t="s">
        <v>467</v>
      </c>
      <c r="I143" s="3" t="s">
        <v>42</v>
      </c>
      <c r="J143" s="18" t="s">
        <v>468</v>
      </c>
      <c r="K143" s="18"/>
      <c r="L143" s="18"/>
      <c r="M143" s="18"/>
      <c r="N143" s="1" t="str">
        <f t="shared" si="4"/>
        <v/>
      </c>
      <c r="O143" s="1" t="str">
        <f t="shared" si="5"/>
        <v/>
      </c>
      <c r="P143" s="3" t="s">
        <v>287</v>
      </c>
      <c r="Q143" s="9">
        <v>43338</v>
      </c>
      <c r="R143" s="9">
        <v>43668</v>
      </c>
      <c r="S143" s="3" t="s">
        <v>595</v>
      </c>
      <c r="T143" s="3" t="s">
        <v>201</v>
      </c>
      <c r="U143" s="3" t="s">
        <v>201</v>
      </c>
      <c r="V143" s="3"/>
      <c r="W143" s="3"/>
    </row>
    <row r="144" spans="1:23" ht="57" x14ac:dyDescent="0.25">
      <c r="A144" s="51"/>
      <c r="B144" s="47">
        <v>141</v>
      </c>
      <c r="C144" s="3" t="s">
        <v>40</v>
      </c>
      <c r="D144" s="3">
        <v>2018</v>
      </c>
      <c r="E144" s="14" t="s">
        <v>513</v>
      </c>
      <c r="F144" s="1" t="s">
        <v>305</v>
      </c>
      <c r="G144" s="3" t="s">
        <v>25</v>
      </c>
      <c r="H144" s="18" t="s">
        <v>470</v>
      </c>
      <c r="I144" s="3" t="s">
        <v>42</v>
      </c>
      <c r="J144" s="18" t="s">
        <v>469</v>
      </c>
      <c r="K144" s="18"/>
      <c r="L144" s="18"/>
      <c r="M144" s="18"/>
      <c r="N144" s="1" t="str">
        <f t="shared" si="4"/>
        <v/>
      </c>
      <c r="O144" s="1" t="str">
        <f t="shared" si="5"/>
        <v/>
      </c>
      <c r="P144" s="3" t="s">
        <v>301</v>
      </c>
      <c r="Q144" s="9">
        <v>43799</v>
      </c>
      <c r="R144" s="9">
        <v>43668</v>
      </c>
      <c r="S144" s="3" t="s">
        <v>598</v>
      </c>
      <c r="T144" s="3" t="s">
        <v>201</v>
      </c>
      <c r="U144" s="3" t="s">
        <v>23</v>
      </c>
      <c r="V144" s="3"/>
      <c r="W144" s="3"/>
    </row>
    <row r="145" spans="1:23" ht="85.5" x14ac:dyDescent="0.25">
      <c r="A145" s="51"/>
      <c r="B145" s="47">
        <v>142</v>
      </c>
      <c r="C145" s="3" t="s">
        <v>40</v>
      </c>
      <c r="D145" s="3">
        <v>2018</v>
      </c>
      <c r="E145" s="14" t="s">
        <v>513</v>
      </c>
      <c r="F145" s="1" t="s">
        <v>305</v>
      </c>
      <c r="G145" s="3" t="s">
        <v>25</v>
      </c>
      <c r="H145" s="18" t="s">
        <v>471</v>
      </c>
      <c r="I145" s="3" t="s">
        <v>42</v>
      </c>
      <c r="J145" s="18" t="s">
        <v>472</v>
      </c>
      <c r="K145" s="18"/>
      <c r="L145" s="18"/>
      <c r="M145" s="18"/>
      <c r="N145" s="1" t="str">
        <f t="shared" si="4"/>
        <v/>
      </c>
      <c r="O145" s="1" t="str">
        <f t="shared" si="5"/>
        <v/>
      </c>
      <c r="P145" s="3" t="s">
        <v>301</v>
      </c>
      <c r="Q145" s="9" t="s">
        <v>579</v>
      </c>
      <c r="R145" s="9">
        <v>43668</v>
      </c>
      <c r="S145" s="3" t="s">
        <v>599</v>
      </c>
      <c r="T145" s="3" t="s">
        <v>23</v>
      </c>
      <c r="U145" s="3" t="s">
        <v>23</v>
      </c>
      <c r="V145" s="3"/>
      <c r="W145" s="3"/>
    </row>
    <row r="146" spans="1:23" ht="57" x14ac:dyDescent="0.25">
      <c r="A146" s="51"/>
      <c r="B146" s="47">
        <v>143</v>
      </c>
      <c r="C146" s="3" t="s">
        <v>40</v>
      </c>
      <c r="D146" s="3">
        <v>2018</v>
      </c>
      <c r="E146" s="14" t="s">
        <v>513</v>
      </c>
      <c r="F146" s="1" t="s">
        <v>305</v>
      </c>
      <c r="G146" s="3" t="s">
        <v>25</v>
      </c>
      <c r="H146" s="18" t="s">
        <v>473</v>
      </c>
      <c r="I146" s="3" t="s">
        <v>42</v>
      </c>
      <c r="J146" s="18" t="s">
        <v>474</v>
      </c>
      <c r="K146" s="18"/>
      <c r="L146" s="18"/>
      <c r="M146" s="18"/>
      <c r="N146" s="1" t="str">
        <f t="shared" si="4"/>
        <v/>
      </c>
      <c r="O146" s="1" t="str">
        <f t="shared" si="5"/>
        <v/>
      </c>
      <c r="P146" s="3" t="s">
        <v>301</v>
      </c>
      <c r="Q146" s="9">
        <v>43507</v>
      </c>
      <c r="R146" s="9">
        <v>43668</v>
      </c>
      <c r="S146" s="3" t="s">
        <v>596</v>
      </c>
      <c r="T146" s="3" t="s">
        <v>23</v>
      </c>
      <c r="U146" s="3" t="s">
        <v>23</v>
      </c>
      <c r="V146" s="3"/>
      <c r="W146" s="3"/>
    </row>
    <row r="147" spans="1:23" ht="45" x14ac:dyDescent="0.25">
      <c r="A147" s="51"/>
      <c r="B147" s="47">
        <v>144</v>
      </c>
      <c r="C147" s="3" t="s">
        <v>40</v>
      </c>
      <c r="D147" s="3">
        <v>2018</v>
      </c>
      <c r="E147" s="14" t="s">
        <v>513</v>
      </c>
      <c r="F147" s="1" t="s">
        <v>305</v>
      </c>
      <c r="G147" s="3" t="s">
        <v>475</v>
      </c>
      <c r="H147" s="18" t="s">
        <v>476</v>
      </c>
      <c r="I147" s="3" t="s">
        <v>42</v>
      </c>
      <c r="J147" s="18" t="s">
        <v>477</v>
      </c>
      <c r="K147" s="18"/>
      <c r="L147" s="18"/>
      <c r="M147" s="18"/>
      <c r="N147" s="1" t="str">
        <f t="shared" si="4"/>
        <v/>
      </c>
      <c r="O147" s="1" t="str">
        <f t="shared" si="5"/>
        <v/>
      </c>
      <c r="P147" s="3" t="s">
        <v>408</v>
      </c>
      <c r="Q147" s="9">
        <v>43507</v>
      </c>
      <c r="R147" s="9">
        <v>43668</v>
      </c>
      <c r="S147" s="3" t="s">
        <v>597</v>
      </c>
      <c r="T147" s="3" t="s">
        <v>23</v>
      </c>
      <c r="U147" s="3" t="s">
        <v>23</v>
      </c>
      <c r="V147" s="3"/>
      <c r="W147" s="3"/>
    </row>
    <row r="148" spans="1:23" ht="115.5" customHeight="1" x14ac:dyDescent="0.25">
      <c r="A148" s="51"/>
      <c r="B148" s="47">
        <v>145</v>
      </c>
      <c r="C148" s="3" t="s">
        <v>14</v>
      </c>
      <c r="D148" s="3">
        <v>2018</v>
      </c>
      <c r="E148" s="14" t="s">
        <v>513</v>
      </c>
      <c r="F148" s="1" t="s">
        <v>515</v>
      </c>
      <c r="G148" s="3" t="s">
        <v>70</v>
      </c>
      <c r="H148" s="18" t="s">
        <v>478</v>
      </c>
      <c r="I148" s="3" t="s">
        <v>389</v>
      </c>
      <c r="J148" s="4" t="s">
        <v>600</v>
      </c>
      <c r="K148" s="4"/>
      <c r="L148" s="4"/>
      <c r="M148" s="4"/>
      <c r="N148" s="1" t="str">
        <f t="shared" si="4"/>
        <v/>
      </c>
      <c r="O148" s="1" t="str">
        <f t="shared" si="5"/>
        <v/>
      </c>
      <c r="P148" s="3" t="s">
        <v>287</v>
      </c>
      <c r="Q148" s="9">
        <v>43507</v>
      </c>
      <c r="R148" s="9">
        <v>43668</v>
      </c>
      <c r="S148" s="3" t="s">
        <v>601</v>
      </c>
      <c r="T148" s="3" t="s">
        <v>201</v>
      </c>
      <c r="U148" s="3"/>
      <c r="V148" s="3"/>
      <c r="W148" s="3"/>
    </row>
    <row r="149" spans="1:23" ht="91.5" customHeight="1" x14ac:dyDescent="0.25">
      <c r="A149" s="51"/>
      <c r="B149" s="47">
        <v>146</v>
      </c>
      <c r="C149" s="3" t="s">
        <v>14</v>
      </c>
      <c r="D149" s="3">
        <v>2018</v>
      </c>
      <c r="E149" s="14" t="s">
        <v>513</v>
      </c>
      <c r="F149" s="1" t="s">
        <v>516</v>
      </c>
      <c r="G149" s="3" t="s">
        <v>33</v>
      </c>
      <c r="H149" s="18" t="s">
        <v>479</v>
      </c>
      <c r="I149" s="3" t="s">
        <v>389</v>
      </c>
      <c r="J149" s="4" t="s">
        <v>559</v>
      </c>
      <c r="K149" s="4"/>
      <c r="L149" s="4"/>
      <c r="M149" s="4"/>
      <c r="N149" s="1" t="str">
        <f t="shared" si="4"/>
        <v/>
      </c>
      <c r="O149" s="1" t="str">
        <f t="shared" si="5"/>
        <v/>
      </c>
      <c r="P149" s="3" t="s">
        <v>396</v>
      </c>
      <c r="Q149" s="9">
        <v>43507</v>
      </c>
      <c r="R149" s="9">
        <v>43668</v>
      </c>
      <c r="S149" s="3" t="s">
        <v>602</v>
      </c>
      <c r="T149" s="3" t="s">
        <v>201</v>
      </c>
      <c r="U149" s="3"/>
      <c r="V149" s="3"/>
      <c r="W149" s="3"/>
    </row>
    <row r="150" spans="1:23" ht="45" x14ac:dyDescent="0.25">
      <c r="A150" s="51"/>
      <c r="B150" s="47">
        <v>147</v>
      </c>
      <c r="C150" s="3" t="s">
        <v>14</v>
      </c>
      <c r="D150" s="3">
        <v>2018</v>
      </c>
      <c r="E150" s="14" t="s">
        <v>513</v>
      </c>
      <c r="F150" s="1" t="s">
        <v>517</v>
      </c>
      <c r="G150" s="3" t="s">
        <v>475</v>
      </c>
      <c r="H150" s="18" t="s">
        <v>480</v>
      </c>
      <c r="I150" s="3" t="s">
        <v>389</v>
      </c>
      <c r="J150" s="4" t="s">
        <v>603</v>
      </c>
      <c r="K150" s="4"/>
      <c r="L150" s="4"/>
      <c r="M150" s="4"/>
      <c r="N150" s="1" t="str">
        <f t="shared" si="4"/>
        <v/>
      </c>
      <c r="O150" s="1" t="str">
        <f t="shared" si="5"/>
        <v/>
      </c>
      <c r="P150" s="3" t="s">
        <v>408</v>
      </c>
      <c r="Q150" s="9">
        <v>43507</v>
      </c>
      <c r="R150" s="9">
        <v>43668</v>
      </c>
      <c r="S150" s="3" t="s">
        <v>604</v>
      </c>
      <c r="T150" s="3" t="s">
        <v>201</v>
      </c>
      <c r="U150" s="3"/>
      <c r="V150" s="3"/>
      <c r="W150" s="3"/>
    </row>
    <row r="151" spans="1:23" ht="45" x14ac:dyDescent="0.25">
      <c r="A151" s="51"/>
      <c r="B151" s="47"/>
      <c r="C151" s="3" t="s">
        <v>14</v>
      </c>
      <c r="D151" s="3">
        <v>2018</v>
      </c>
      <c r="E151" s="14" t="s">
        <v>513</v>
      </c>
      <c r="F151" s="1" t="s">
        <v>518</v>
      </c>
      <c r="G151" s="3" t="s">
        <v>25</v>
      </c>
      <c r="H151" s="18" t="s">
        <v>534</v>
      </c>
      <c r="I151" s="3" t="s">
        <v>389</v>
      </c>
      <c r="J151" s="4" t="s">
        <v>605</v>
      </c>
      <c r="K151" s="4"/>
      <c r="L151" s="4"/>
      <c r="M151" s="4"/>
      <c r="N151" s="1" t="str">
        <f t="shared" si="4"/>
        <v/>
      </c>
      <c r="O151" s="1" t="str">
        <f t="shared" si="5"/>
        <v/>
      </c>
      <c r="P151" s="3" t="s">
        <v>301</v>
      </c>
      <c r="Q151" s="9">
        <v>43507</v>
      </c>
      <c r="R151" s="9">
        <v>43668</v>
      </c>
      <c r="S151" s="3" t="s">
        <v>602</v>
      </c>
      <c r="T151" s="3" t="s">
        <v>201</v>
      </c>
      <c r="U151" s="3"/>
      <c r="V151" s="3"/>
      <c r="W151" s="3"/>
    </row>
    <row r="152" spans="1:23" ht="45" x14ac:dyDescent="0.25">
      <c r="A152" s="51"/>
      <c r="B152" s="47"/>
      <c r="C152" s="3" t="s">
        <v>14</v>
      </c>
      <c r="D152" s="3">
        <v>2018</v>
      </c>
      <c r="E152" s="14" t="s">
        <v>513</v>
      </c>
      <c r="F152" s="1" t="s">
        <v>519</v>
      </c>
      <c r="G152" s="3" t="s">
        <v>70</v>
      </c>
      <c r="H152" s="22" t="s">
        <v>514</v>
      </c>
      <c r="I152" s="3" t="s">
        <v>389</v>
      </c>
      <c r="J152" s="4" t="s">
        <v>606</v>
      </c>
      <c r="K152" s="4"/>
      <c r="L152" s="4"/>
      <c r="M152" s="4"/>
      <c r="N152" s="1" t="str">
        <f t="shared" si="4"/>
        <v/>
      </c>
      <c r="O152" s="1" t="str">
        <f t="shared" si="5"/>
        <v/>
      </c>
      <c r="P152" s="3" t="s">
        <v>287</v>
      </c>
      <c r="Q152" s="9">
        <v>43507</v>
      </c>
      <c r="R152" s="9">
        <v>43668</v>
      </c>
      <c r="S152" s="3" t="s">
        <v>608</v>
      </c>
      <c r="T152" s="3" t="s">
        <v>201</v>
      </c>
      <c r="U152" s="3"/>
      <c r="V152" s="3"/>
      <c r="W152" s="3"/>
    </row>
    <row r="153" spans="1:23" ht="57" x14ac:dyDescent="0.25">
      <c r="A153" s="51"/>
      <c r="B153" s="47"/>
      <c r="C153" s="3" t="s">
        <v>14</v>
      </c>
      <c r="D153" s="3">
        <v>2018</v>
      </c>
      <c r="E153" s="14" t="s">
        <v>513</v>
      </c>
      <c r="F153" s="1" t="s">
        <v>520</v>
      </c>
      <c r="G153" s="3" t="s">
        <v>33</v>
      </c>
      <c r="H153" s="18" t="s">
        <v>510</v>
      </c>
      <c r="I153" s="3" t="s">
        <v>389</v>
      </c>
      <c r="J153" s="4" t="s">
        <v>607</v>
      </c>
      <c r="K153" s="4"/>
      <c r="L153" s="4"/>
      <c r="M153" s="4"/>
      <c r="N153" s="1" t="str">
        <f t="shared" si="4"/>
        <v/>
      </c>
      <c r="O153" s="1" t="str">
        <f t="shared" si="5"/>
        <v/>
      </c>
      <c r="P153" s="3" t="s">
        <v>396</v>
      </c>
      <c r="Q153" s="9">
        <v>43507</v>
      </c>
      <c r="R153" s="9">
        <v>43668</v>
      </c>
      <c r="S153" s="3" t="s">
        <v>609</v>
      </c>
      <c r="T153" s="3" t="s">
        <v>201</v>
      </c>
      <c r="U153" s="3"/>
      <c r="V153" s="3"/>
      <c r="W153" s="3"/>
    </row>
    <row r="154" spans="1:23" ht="128.25" x14ac:dyDescent="0.25">
      <c r="A154" s="51"/>
      <c r="B154" s="47"/>
      <c r="C154" s="3" t="s">
        <v>14</v>
      </c>
      <c r="D154" s="3">
        <v>2018</v>
      </c>
      <c r="E154" s="14" t="s">
        <v>513</v>
      </c>
      <c r="F154" s="1" t="s">
        <v>521</v>
      </c>
      <c r="G154" s="3" t="s">
        <v>434</v>
      </c>
      <c r="H154" s="18" t="s">
        <v>511</v>
      </c>
      <c r="I154" s="3" t="s">
        <v>389</v>
      </c>
      <c r="J154" s="4" t="s">
        <v>610</v>
      </c>
      <c r="K154" s="4"/>
      <c r="L154" s="4"/>
      <c r="M154" s="4"/>
      <c r="N154" s="1" t="str">
        <f t="shared" si="4"/>
        <v/>
      </c>
      <c r="O154" s="1" t="str">
        <f t="shared" si="5"/>
        <v/>
      </c>
      <c r="P154" s="3" t="s">
        <v>408</v>
      </c>
      <c r="Q154" s="9">
        <v>43507</v>
      </c>
      <c r="R154" s="9">
        <v>43668</v>
      </c>
      <c r="S154" s="3" t="s">
        <v>611</v>
      </c>
      <c r="T154" s="3" t="s">
        <v>201</v>
      </c>
      <c r="U154" s="3"/>
      <c r="V154" s="3"/>
      <c r="W154" s="3"/>
    </row>
    <row r="155" spans="1:23" ht="71.25" x14ac:dyDescent="0.25">
      <c r="A155" s="51"/>
      <c r="B155" s="47"/>
      <c r="C155" s="3" t="s">
        <v>14</v>
      </c>
      <c r="D155" s="3">
        <v>2018</v>
      </c>
      <c r="E155" s="14" t="s">
        <v>513</v>
      </c>
      <c r="F155" s="1" t="s">
        <v>522</v>
      </c>
      <c r="G155" s="3" t="s">
        <v>246</v>
      </c>
      <c r="H155" s="18" t="s">
        <v>512</v>
      </c>
      <c r="I155" s="3" t="s">
        <v>389</v>
      </c>
      <c r="J155" s="4" t="s">
        <v>612</v>
      </c>
      <c r="K155" s="4"/>
      <c r="L155" s="4"/>
      <c r="M155" s="4"/>
      <c r="N155" s="1" t="str">
        <f t="shared" si="4"/>
        <v/>
      </c>
      <c r="O155" s="1" t="str">
        <f t="shared" si="5"/>
        <v/>
      </c>
      <c r="P155" s="3" t="s">
        <v>535</v>
      </c>
      <c r="Q155" s="9">
        <v>43507</v>
      </c>
      <c r="R155" s="9">
        <v>43668</v>
      </c>
      <c r="S155" s="3" t="s">
        <v>613</v>
      </c>
      <c r="T155" s="3" t="s">
        <v>201</v>
      </c>
      <c r="U155" s="3"/>
      <c r="V155" s="3"/>
      <c r="W155" s="3"/>
    </row>
    <row r="156" spans="1:23" ht="45" x14ac:dyDescent="0.25">
      <c r="A156" s="51"/>
      <c r="B156" s="47">
        <v>148</v>
      </c>
      <c r="C156" s="3" t="s">
        <v>40</v>
      </c>
      <c r="D156" s="3">
        <v>2019</v>
      </c>
      <c r="E156" s="14" t="s">
        <v>484</v>
      </c>
      <c r="F156" s="1" t="s">
        <v>523</v>
      </c>
      <c r="G156" s="3" t="s">
        <v>475</v>
      </c>
      <c r="H156" s="18" t="s">
        <v>481</v>
      </c>
      <c r="I156" s="3" t="s">
        <v>389</v>
      </c>
      <c r="J156" s="4" t="s">
        <v>552</v>
      </c>
      <c r="K156" s="4"/>
      <c r="L156" s="4"/>
      <c r="M156" s="4"/>
      <c r="N156" s="1" t="str">
        <f t="shared" si="4"/>
        <v/>
      </c>
      <c r="O156" s="1" t="str">
        <f t="shared" si="5"/>
        <v/>
      </c>
      <c r="P156" s="3" t="s">
        <v>408</v>
      </c>
      <c r="Q156" s="9">
        <v>43692</v>
      </c>
      <c r="R156" s="9">
        <v>43692</v>
      </c>
      <c r="S156" s="3" t="s">
        <v>553</v>
      </c>
      <c r="T156" s="3" t="s">
        <v>201</v>
      </c>
      <c r="U156" s="3"/>
      <c r="V156" s="3"/>
      <c r="W156" s="3"/>
    </row>
    <row r="157" spans="1:23" ht="60" x14ac:dyDescent="0.25">
      <c r="A157" s="51"/>
      <c r="B157" s="47">
        <v>149</v>
      </c>
      <c r="C157" s="3" t="s">
        <v>40</v>
      </c>
      <c r="D157" s="3">
        <v>2019</v>
      </c>
      <c r="E157" s="14" t="s">
        <v>484</v>
      </c>
      <c r="F157" s="1" t="s">
        <v>524</v>
      </c>
      <c r="G157" s="3" t="s">
        <v>501</v>
      </c>
      <c r="H157" s="18" t="s">
        <v>482</v>
      </c>
      <c r="I157" s="3" t="s">
        <v>40</v>
      </c>
      <c r="J157" s="4" t="s">
        <v>554</v>
      </c>
      <c r="K157" s="4"/>
      <c r="L157" s="4"/>
      <c r="M157" s="4"/>
      <c r="N157" s="1" t="str">
        <f t="shared" si="4"/>
        <v/>
      </c>
      <c r="O157" s="1" t="str">
        <f t="shared" si="5"/>
        <v/>
      </c>
      <c r="P157" s="3" t="s">
        <v>396</v>
      </c>
      <c r="Q157" s="9">
        <v>43684</v>
      </c>
      <c r="R157" s="9">
        <v>43689</v>
      </c>
      <c r="S157" s="3" t="s">
        <v>555</v>
      </c>
      <c r="T157" s="3" t="s">
        <v>201</v>
      </c>
      <c r="U157" s="3"/>
      <c r="V157" s="3"/>
      <c r="W157" s="3"/>
    </row>
    <row r="158" spans="1:23" ht="45" x14ac:dyDescent="0.25">
      <c r="A158" s="51"/>
      <c r="B158" s="47">
        <v>150</v>
      </c>
      <c r="C158" s="3" t="s">
        <v>40</v>
      </c>
      <c r="D158" s="3">
        <v>2019</v>
      </c>
      <c r="E158" s="14" t="s">
        <v>484</v>
      </c>
      <c r="F158" s="1" t="s">
        <v>525</v>
      </c>
      <c r="G158" s="1" t="s">
        <v>494</v>
      </c>
      <c r="H158" s="18" t="s">
        <v>504</v>
      </c>
      <c r="I158" s="3" t="s">
        <v>389</v>
      </c>
      <c r="J158" s="4" t="s">
        <v>505</v>
      </c>
      <c r="K158" s="4"/>
      <c r="L158" s="4"/>
      <c r="M158" s="4"/>
      <c r="N158" s="1" t="str">
        <f t="shared" si="4"/>
        <v/>
      </c>
      <c r="O158" s="1" t="str">
        <f t="shared" si="5"/>
        <v/>
      </c>
      <c r="P158" s="3" t="s">
        <v>488</v>
      </c>
      <c r="Q158" s="9">
        <v>43943</v>
      </c>
      <c r="R158" s="9">
        <v>43952</v>
      </c>
      <c r="S158" s="3" t="s">
        <v>506</v>
      </c>
      <c r="T158" s="3" t="s">
        <v>201</v>
      </c>
      <c r="U158" s="3"/>
      <c r="V158" s="3"/>
      <c r="W158" s="3"/>
    </row>
    <row r="159" spans="1:23" ht="60" x14ac:dyDescent="0.25">
      <c r="A159" s="51"/>
      <c r="B159" s="47">
        <v>151</v>
      </c>
      <c r="C159" s="3" t="s">
        <v>389</v>
      </c>
      <c r="D159" s="3">
        <v>2019</v>
      </c>
      <c r="E159" s="14" t="s">
        <v>484</v>
      </c>
      <c r="F159" s="1" t="s">
        <v>526</v>
      </c>
      <c r="G159" s="1" t="s">
        <v>494</v>
      </c>
      <c r="H159" s="18" t="s">
        <v>499</v>
      </c>
      <c r="I159" s="3" t="s">
        <v>389</v>
      </c>
      <c r="J159" s="4" t="s">
        <v>499</v>
      </c>
      <c r="K159" s="4"/>
      <c r="L159" s="4"/>
      <c r="M159" s="4"/>
      <c r="N159" s="1" t="str">
        <f t="shared" si="4"/>
        <v/>
      </c>
      <c r="O159" s="1" t="str">
        <f t="shared" si="5"/>
        <v/>
      </c>
      <c r="P159" s="3" t="s">
        <v>488</v>
      </c>
      <c r="Q159" s="9">
        <v>44113</v>
      </c>
      <c r="R159" s="9">
        <v>44183</v>
      </c>
      <c r="S159" s="3" t="s">
        <v>500</v>
      </c>
      <c r="T159" s="3" t="s">
        <v>201</v>
      </c>
      <c r="U159" s="3"/>
      <c r="V159" s="3"/>
      <c r="W159" s="3"/>
    </row>
    <row r="160" spans="1:23" ht="57" x14ac:dyDescent="0.25">
      <c r="A160" s="51"/>
      <c r="B160" s="47">
        <v>152</v>
      </c>
      <c r="C160" s="3" t="s">
        <v>389</v>
      </c>
      <c r="D160" s="3">
        <v>2019</v>
      </c>
      <c r="E160" s="14" t="s">
        <v>484</v>
      </c>
      <c r="F160" s="1" t="s">
        <v>527</v>
      </c>
      <c r="G160" s="1" t="s">
        <v>501</v>
      </c>
      <c r="H160" s="18" t="s">
        <v>536</v>
      </c>
      <c r="I160" s="3" t="s">
        <v>389</v>
      </c>
      <c r="J160" s="4" t="s">
        <v>556</v>
      </c>
      <c r="K160" s="4"/>
      <c r="L160" s="4"/>
      <c r="M160" s="4"/>
      <c r="N160" s="1" t="str">
        <f t="shared" si="4"/>
        <v/>
      </c>
      <c r="O160" s="1" t="str">
        <f t="shared" si="5"/>
        <v/>
      </c>
      <c r="P160" s="3" t="s">
        <v>396</v>
      </c>
      <c r="Q160" s="9">
        <v>43920</v>
      </c>
      <c r="R160" s="9">
        <v>43834</v>
      </c>
      <c r="S160" s="3" t="s">
        <v>557</v>
      </c>
      <c r="T160" s="3" t="s">
        <v>201</v>
      </c>
      <c r="U160" s="3"/>
      <c r="V160" s="3"/>
      <c r="W160" s="3"/>
    </row>
    <row r="161" spans="1:23" ht="45" x14ac:dyDescent="0.25">
      <c r="A161" s="51"/>
      <c r="B161" s="47">
        <v>153</v>
      </c>
      <c r="C161" s="3" t="s">
        <v>389</v>
      </c>
      <c r="D161" s="3">
        <v>2019</v>
      </c>
      <c r="E161" s="24" t="s">
        <v>484</v>
      </c>
      <c r="F161" s="1" t="s">
        <v>528</v>
      </c>
      <c r="G161" s="3" t="s">
        <v>507</v>
      </c>
      <c r="H161" s="25" t="s">
        <v>508</v>
      </c>
      <c r="I161" s="3" t="s">
        <v>389</v>
      </c>
      <c r="J161" s="4" t="s">
        <v>509</v>
      </c>
      <c r="K161" s="4"/>
      <c r="L161" s="4"/>
      <c r="M161" s="4"/>
      <c r="N161" s="1" t="str">
        <f t="shared" si="4"/>
        <v/>
      </c>
      <c r="O161" s="1" t="str">
        <f t="shared" si="5"/>
        <v/>
      </c>
      <c r="P161" s="3" t="s">
        <v>408</v>
      </c>
      <c r="Q161" s="9">
        <v>43908</v>
      </c>
      <c r="R161" s="9">
        <v>43920</v>
      </c>
      <c r="S161" s="3" t="s">
        <v>349</v>
      </c>
      <c r="T161" s="3" t="s">
        <v>201</v>
      </c>
      <c r="U161" s="3"/>
      <c r="V161" s="3"/>
      <c r="W161" s="3"/>
    </row>
    <row r="162" spans="1:23" ht="57" customHeight="1" x14ac:dyDescent="0.25">
      <c r="A162" s="51"/>
      <c r="B162" s="47">
        <v>154</v>
      </c>
      <c r="C162" s="3" t="s">
        <v>389</v>
      </c>
      <c r="D162" s="3">
        <v>2020</v>
      </c>
      <c r="E162" s="24" t="s">
        <v>483</v>
      </c>
      <c r="F162" s="1" t="s">
        <v>529</v>
      </c>
      <c r="G162" s="3" t="s">
        <v>485</v>
      </c>
      <c r="H162" s="25" t="s">
        <v>486</v>
      </c>
      <c r="I162" s="3" t="s">
        <v>389</v>
      </c>
      <c r="J162" s="4" t="s">
        <v>487</v>
      </c>
      <c r="K162" s="4"/>
      <c r="L162" s="4"/>
      <c r="M162" s="4"/>
      <c r="N162" s="1" t="str">
        <f t="shared" si="4"/>
        <v/>
      </c>
      <c r="O162" s="1" t="str">
        <f t="shared" si="5"/>
        <v/>
      </c>
      <c r="P162" s="3" t="s">
        <v>488</v>
      </c>
      <c r="Q162" s="9">
        <v>44215</v>
      </c>
      <c r="R162" s="9">
        <v>44250</v>
      </c>
      <c r="S162" s="3" t="s">
        <v>489</v>
      </c>
      <c r="T162" s="3" t="s">
        <v>201</v>
      </c>
      <c r="U162" s="3"/>
      <c r="V162" s="3"/>
      <c r="W162" s="3"/>
    </row>
    <row r="163" spans="1:23" ht="30" x14ac:dyDescent="0.25">
      <c r="A163" s="51"/>
      <c r="B163" s="47">
        <v>155</v>
      </c>
      <c r="C163" s="3" t="s">
        <v>389</v>
      </c>
      <c r="D163" s="3">
        <v>2020</v>
      </c>
      <c r="E163" s="24" t="s">
        <v>483</v>
      </c>
      <c r="F163" s="1" t="s">
        <v>530</v>
      </c>
      <c r="G163" s="1" t="s">
        <v>490</v>
      </c>
      <c r="H163" s="25" t="s">
        <v>491</v>
      </c>
      <c r="I163" s="3" t="s">
        <v>389</v>
      </c>
      <c r="J163" s="4" t="s">
        <v>492</v>
      </c>
      <c r="K163" s="4"/>
      <c r="L163" s="4"/>
      <c r="M163" s="4"/>
      <c r="N163" s="1" t="str">
        <f t="shared" si="4"/>
        <v/>
      </c>
      <c r="O163" s="1" t="str">
        <f t="shared" si="5"/>
        <v/>
      </c>
      <c r="P163" s="3" t="s">
        <v>301</v>
      </c>
      <c r="Q163" s="9">
        <v>44174</v>
      </c>
      <c r="R163" s="9">
        <v>44531</v>
      </c>
      <c r="S163" s="3" t="s">
        <v>493</v>
      </c>
      <c r="T163" s="3" t="s">
        <v>201</v>
      </c>
      <c r="U163" s="3"/>
      <c r="V163" s="3"/>
      <c r="W163" s="3"/>
    </row>
    <row r="164" spans="1:23" ht="45" x14ac:dyDescent="0.25">
      <c r="A164" s="51"/>
      <c r="B164" s="47">
        <v>156</v>
      </c>
      <c r="C164" s="3" t="s">
        <v>389</v>
      </c>
      <c r="D164" s="3">
        <v>2020</v>
      </c>
      <c r="E164" s="24" t="s">
        <v>483</v>
      </c>
      <c r="F164" s="1" t="s">
        <v>531</v>
      </c>
      <c r="G164" s="1" t="s">
        <v>494</v>
      </c>
      <c r="H164" s="25" t="s">
        <v>495</v>
      </c>
      <c r="I164" s="3" t="s">
        <v>389</v>
      </c>
      <c r="J164" s="4" t="s">
        <v>496</v>
      </c>
      <c r="K164" s="4"/>
      <c r="L164" s="4"/>
      <c r="M164" s="4"/>
      <c r="N164" s="1" t="str">
        <f t="shared" si="4"/>
        <v/>
      </c>
      <c r="O164" s="1" t="str">
        <f t="shared" si="5"/>
        <v/>
      </c>
      <c r="P164" s="3" t="s">
        <v>497</v>
      </c>
      <c r="Q164" s="9">
        <v>44255</v>
      </c>
      <c r="R164" s="9">
        <v>43981</v>
      </c>
      <c r="S164" s="3" t="s">
        <v>498</v>
      </c>
      <c r="T164" s="3" t="s">
        <v>201</v>
      </c>
      <c r="U164" s="3"/>
      <c r="V164" s="3"/>
      <c r="W164" s="3"/>
    </row>
    <row r="165" spans="1:23" ht="39.75" customHeight="1" x14ac:dyDescent="0.25">
      <c r="A165" s="51"/>
      <c r="B165" s="47">
        <v>157</v>
      </c>
      <c r="C165" s="3" t="s">
        <v>389</v>
      </c>
      <c r="D165" s="3">
        <v>2020</v>
      </c>
      <c r="E165" s="24" t="s">
        <v>483</v>
      </c>
      <c r="F165" s="1" t="s">
        <v>532</v>
      </c>
      <c r="G165" s="1" t="s">
        <v>501</v>
      </c>
      <c r="H165" s="25" t="s">
        <v>502</v>
      </c>
      <c r="I165" s="3" t="s">
        <v>389</v>
      </c>
      <c r="J165" s="4" t="s">
        <v>539</v>
      </c>
      <c r="K165" s="4"/>
      <c r="L165" s="4"/>
      <c r="M165" s="4"/>
      <c r="N165" s="1" t="str">
        <f t="shared" si="4"/>
        <v/>
      </c>
      <c r="O165" s="1" t="str">
        <f t="shared" si="5"/>
        <v/>
      </c>
      <c r="P165" s="3" t="s">
        <v>503</v>
      </c>
      <c r="Q165" s="9">
        <v>44211</v>
      </c>
      <c r="R165" s="9">
        <v>44291</v>
      </c>
      <c r="S165" s="3" t="s">
        <v>352</v>
      </c>
      <c r="T165" s="3" t="s">
        <v>201</v>
      </c>
      <c r="U165" s="3"/>
      <c r="V165" s="3"/>
      <c r="W165" s="3"/>
    </row>
    <row r="166" spans="1:23" ht="60.75" customHeight="1" x14ac:dyDescent="0.25">
      <c r="A166" s="51"/>
      <c r="B166" s="47">
        <v>158</v>
      </c>
      <c r="C166" s="3" t="s">
        <v>40</v>
      </c>
      <c r="D166" s="3">
        <v>2021</v>
      </c>
      <c r="E166" s="24" t="s">
        <v>484</v>
      </c>
      <c r="F166" s="1" t="s">
        <v>537</v>
      </c>
      <c r="G166" s="1" t="s">
        <v>501</v>
      </c>
      <c r="H166" s="25" t="s">
        <v>538</v>
      </c>
      <c r="I166" s="3" t="s">
        <v>40</v>
      </c>
      <c r="J166" s="4" t="s">
        <v>540</v>
      </c>
      <c r="K166" s="4"/>
      <c r="L166" s="4"/>
      <c r="M166" s="4"/>
      <c r="N166" s="1" t="str">
        <f t="shared" si="4"/>
        <v/>
      </c>
      <c r="O166" s="1" t="str">
        <f t="shared" si="5"/>
        <v/>
      </c>
      <c r="P166" s="3" t="s">
        <v>396</v>
      </c>
      <c r="Q166" s="9">
        <v>44284</v>
      </c>
      <c r="R166" s="9">
        <v>44375</v>
      </c>
      <c r="S166" s="3" t="s">
        <v>541</v>
      </c>
      <c r="T166" s="3" t="s">
        <v>201</v>
      </c>
      <c r="U166" s="3"/>
      <c r="V166" s="3"/>
      <c r="W166" s="3"/>
    </row>
    <row r="167" spans="1:23" ht="60" x14ac:dyDescent="0.25">
      <c r="A167" s="51"/>
      <c r="B167" s="47">
        <v>159</v>
      </c>
      <c r="C167" s="3" t="s">
        <v>40</v>
      </c>
      <c r="D167" s="3">
        <v>2021</v>
      </c>
      <c r="E167" s="24" t="s">
        <v>484</v>
      </c>
      <c r="F167" s="1" t="s">
        <v>542</v>
      </c>
      <c r="G167" s="1" t="s">
        <v>490</v>
      </c>
      <c r="H167" s="25" t="s">
        <v>543</v>
      </c>
      <c r="I167" s="3" t="s">
        <v>40</v>
      </c>
      <c r="J167" s="4" t="s">
        <v>544</v>
      </c>
      <c r="K167" s="4"/>
      <c r="L167" s="4"/>
      <c r="M167" s="4"/>
      <c r="N167" s="1" t="str">
        <f t="shared" si="4"/>
        <v/>
      </c>
      <c r="O167" s="1" t="str">
        <f t="shared" si="5"/>
        <v/>
      </c>
      <c r="P167" s="3" t="s">
        <v>301</v>
      </c>
      <c r="Q167" s="9">
        <v>44285</v>
      </c>
      <c r="R167" s="9">
        <v>44375</v>
      </c>
      <c r="S167" s="3" t="s">
        <v>545</v>
      </c>
      <c r="T167" s="3" t="s">
        <v>201</v>
      </c>
      <c r="U167" s="3"/>
      <c r="V167" s="3"/>
      <c r="W167" s="3"/>
    </row>
    <row r="168" spans="1:23" ht="61.5" customHeight="1" x14ac:dyDescent="0.25">
      <c r="A168" s="51"/>
      <c r="B168" s="47">
        <v>160</v>
      </c>
      <c r="C168" s="3" t="s">
        <v>40</v>
      </c>
      <c r="D168" s="3">
        <v>2021</v>
      </c>
      <c r="E168" s="24" t="s">
        <v>547</v>
      </c>
      <c r="F168" s="1" t="s">
        <v>617</v>
      </c>
      <c r="G168" s="1" t="s">
        <v>507</v>
      </c>
      <c r="H168" s="25" t="s">
        <v>548</v>
      </c>
      <c r="I168" s="3" t="s">
        <v>40</v>
      </c>
      <c r="J168" s="4" t="s">
        <v>549</v>
      </c>
      <c r="K168" s="4"/>
      <c r="L168" s="4"/>
      <c r="M168" s="4"/>
      <c r="N168" s="1" t="str">
        <f t="shared" si="4"/>
        <v/>
      </c>
      <c r="O168" s="1" t="str">
        <f t="shared" si="5"/>
        <v/>
      </c>
      <c r="P168" s="3" t="s">
        <v>550</v>
      </c>
      <c r="Q168" s="9">
        <v>44285</v>
      </c>
      <c r="R168" s="9">
        <v>44283</v>
      </c>
      <c r="S168" s="3" t="s">
        <v>551</v>
      </c>
      <c r="T168" s="3" t="s">
        <v>201</v>
      </c>
      <c r="U168" s="3"/>
      <c r="V168" s="3"/>
      <c r="W168" s="3"/>
    </row>
    <row r="169" spans="1:23" ht="90" x14ac:dyDescent="0.25">
      <c r="A169" s="51"/>
      <c r="B169" s="47">
        <v>161</v>
      </c>
      <c r="C169" s="3" t="s">
        <v>389</v>
      </c>
      <c r="D169" s="3">
        <v>2021</v>
      </c>
      <c r="E169" s="24" t="s">
        <v>484</v>
      </c>
      <c r="F169" s="1" t="s">
        <v>616</v>
      </c>
      <c r="G169" s="3" t="s">
        <v>501</v>
      </c>
      <c r="H169" s="4" t="s">
        <v>615</v>
      </c>
      <c r="I169" s="3" t="s">
        <v>389</v>
      </c>
      <c r="J169" s="6" t="s">
        <v>619</v>
      </c>
      <c r="K169" s="6"/>
      <c r="L169" s="6"/>
      <c r="M169" s="6"/>
      <c r="N169" s="1" t="str">
        <f t="shared" si="4"/>
        <v/>
      </c>
      <c r="O169" s="1" t="str">
        <f t="shared" si="5"/>
        <v/>
      </c>
      <c r="P169" s="3" t="s">
        <v>396</v>
      </c>
      <c r="Q169" s="9">
        <v>44436</v>
      </c>
      <c r="R169" s="9">
        <v>44558</v>
      </c>
      <c r="S169" s="3" t="s">
        <v>614</v>
      </c>
      <c r="T169" s="3"/>
      <c r="U169" s="3"/>
      <c r="V169" s="3" t="s">
        <v>546</v>
      </c>
      <c r="W169" s="3"/>
    </row>
    <row r="170" spans="1:23" ht="90" x14ac:dyDescent="0.25">
      <c r="A170" s="51"/>
      <c r="B170" s="47">
        <v>162</v>
      </c>
      <c r="C170" s="3" t="s">
        <v>389</v>
      </c>
      <c r="D170" s="3">
        <v>2021</v>
      </c>
      <c r="E170" s="24" t="s">
        <v>547</v>
      </c>
      <c r="F170" s="1" t="s">
        <v>617</v>
      </c>
      <c r="G170" s="3" t="s">
        <v>501</v>
      </c>
      <c r="H170" s="4" t="s">
        <v>618</v>
      </c>
      <c r="I170" s="3" t="s">
        <v>389</v>
      </c>
      <c r="J170" s="4" t="s">
        <v>620</v>
      </c>
      <c r="K170" s="4"/>
      <c r="L170" s="4"/>
      <c r="M170" s="4"/>
      <c r="N170" s="1" t="str">
        <f t="shared" si="4"/>
        <v/>
      </c>
      <c r="O170" s="1" t="str">
        <f t="shared" si="5"/>
        <v/>
      </c>
      <c r="P170" s="3" t="s">
        <v>396</v>
      </c>
      <c r="Q170" s="9" t="s">
        <v>621</v>
      </c>
      <c r="R170" s="9">
        <v>44558</v>
      </c>
      <c r="S170" s="3" t="s">
        <v>622</v>
      </c>
      <c r="T170" s="3"/>
      <c r="U170" s="3"/>
      <c r="V170" s="3" t="s">
        <v>546</v>
      </c>
      <c r="W170" s="3"/>
    </row>
    <row r="171" spans="1:23" ht="108" customHeight="1" x14ac:dyDescent="0.25">
      <c r="A171" s="51"/>
      <c r="B171" s="47">
        <v>163</v>
      </c>
      <c r="C171" s="3" t="s">
        <v>389</v>
      </c>
      <c r="D171" s="3">
        <v>2021</v>
      </c>
      <c r="E171" s="24" t="s">
        <v>484</v>
      </c>
      <c r="F171" s="7" t="s">
        <v>617</v>
      </c>
      <c r="G171" s="3" t="s">
        <v>507</v>
      </c>
      <c r="H171" s="4" t="s">
        <v>623</v>
      </c>
      <c r="I171" s="3" t="s">
        <v>389</v>
      </c>
      <c r="J171" s="2" t="s">
        <v>624</v>
      </c>
      <c r="K171" s="2"/>
      <c r="L171" s="2"/>
      <c r="M171" s="2"/>
      <c r="N171" s="1" t="str">
        <f t="shared" si="4"/>
        <v/>
      </c>
      <c r="O171" s="1" t="str">
        <f t="shared" si="5"/>
        <v/>
      </c>
      <c r="P171" s="1" t="s">
        <v>625</v>
      </c>
      <c r="Q171" s="9">
        <v>44405</v>
      </c>
      <c r="R171" s="9">
        <v>44423</v>
      </c>
      <c r="S171" s="3" t="s">
        <v>626</v>
      </c>
      <c r="T171" s="3" t="s">
        <v>201</v>
      </c>
      <c r="U171" s="3"/>
      <c r="V171" s="3"/>
      <c r="W171" s="3"/>
    </row>
    <row r="172" spans="1:23" ht="108" customHeight="1" x14ac:dyDescent="0.25">
      <c r="A172" s="51"/>
      <c r="B172" s="47">
        <v>164</v>
      </c>
      <c r="C172" s="3" t="s">
        <v>389</v>
      </c>
      <c r="D172" s="3">
        <v>2022</v>
      </c>
      <c r="E172" s="24" t="s">
        <v>628</v>
      </c>
      <c r="F172" s="1" t="s">
        <v>542</v>
      </c>
      <c r="G172" s="3" t="s">
        <v>494</v>
      </c>
      <c r="H172" s="4" t="s">
        <v>629</v>
      </c>
      <c r="I172" s="3" t="s">
        <v>389</v>
      </c>
      <c r="J172" s="2" t="s">
        <v>631</v>
      </c>
      <c r="K172" s="2"/>
      <c r="L172" s="2"/>
      <c r="M172" s="2"/>
      <c r="N172" s="1" t="str">
        <f t="shared" si="4"/>
        <v/>
      </c>
      <c r="O172" s="1" t="str">
        <f t="shared" si="5"/>
        <v/>
      </c>
      <c r="P172" s="1" t="s">
        <v>627</v>
      </c>
      <c r="Q172" s="9">
        <v>44616</v>
      </c>
      <c r="R172" s="9">
        <v>44620</v>
      </c>
      <c r="S172" s="3" t="s">
        <v>630</v>
      </c>
      <c r="T172" s="3" t="s">
        <v>201</v>
      </c>
      <c r="U172" s="3"/>
      <c r="V172" s="3"/>
      <c r="W172" s="3"/>
    </row>
    <row r="173" spans="1:23" ht="108" customHeight="1" x14ac:dyDescent="0.25">
      <c r="A173" s="51"/>
      <c r="B173" s="47">
        <v>174</v>
      </c>
      <c r="C173" s="3" t="s">
        <v>389</v>
      </c>
      <c r="D173" s="3">
        <v>2023</v>
      </c>
      <c r="E173" s="24" t="s">
        <v>628</v>
      </c>
      <c r="F173" s="1"/>
      <c r="G173" s="3" t="s">
        <v>501</v>
      </c>
      <c r="H173" s="4" t="s">
        <v>674</v>
      </c>
      <c r="I173" s="3" t="s">
        <v>42</v>
      </c>
      <c r="J173" s="2" t="s">
        <v>675</v>
      </c>
      <c r="K173" s="2" t="s">
        <v>676</v>
      </c>
      <c r="L173" s="2">
        <v>2</v>
      </c>
      <c r="M173" s="2">
        <v>2</v>
      </c>
      <c r="N173" s="1">
        <f t="shared" si="4"/>
        <v>4</v>
      </c>
      <c r="O173" s="1" t="s">
        <v>666</v>
      </c>
      <c r="P173" s="1" t="s">
        <v>677</v>
      </c>
      <c r="Q173" s="9">
        <v>45058</v>
      </c>
      <c r="R173" s="9">
        <v>45078</v>
      </c>
      <c r="S173" s="3" t="s">
        <v>678</v>
      </c>
      <c r="T173" s="3" t="s">
        <v>201</v>
      </c>
      <c r="U173" s="3" t="s">
        <v>24</v>
      </c>
      <c r="V173" s="3"/>
      <c r="W173" s="3"/>
    </row>
    <row r="174" spans="1:23" ht="108" customHeight="1" x14ac:dyDescent="0.25">
      <c r="A174" s="51"/>
      <c r="B174" s="47">
        <v>181</v>
      </c>
      <c r="C174" s="3" t="s">
        <v>389</v>
      </c>
      <c r="D174" s="3">
        <v>2023</v>
      </c>
      <c r="E174" s="24" t="s">
        <v>628</v>
      </c>
      <c r="F174" s="1" t="s">
        <v>542</v>
      </c>
      <c r="G174" s="1" t="s">
        <v>490</v>
      </c>
      <c r="H174" s="4" t="s">
        <v>632</v>
      </c>
      <c r="I174" s="3" t="s">
        <v>389</v>
      </c>
      <c r="J174" s="2" t="s">
        <v>633</v>
      </c>
      <c r="K174" s="2" t="s">
        <v>665</v>
      </c>
      <c r="L174" s="2">
        <v>3</v>
      </c>
      <c r="M174" s="2">
        <v>2</v>
      </c>
      <c r="N174" s="1">
        <f t="shared" si="4"/>
        <v>6</v>
      </c>
      <c r="O174" s="1" t="s">
        <v>666</v>
      </c>
      <c r="P174" s="1" t="s">
        <v>490</v>
      </c>
      <c r="Q174" s="9">
        <v>44985</v>
      </c>
      <c r="R174" s="9">
        <v>45107</v>
      </c>
      <c r="S174" s="1" t="s">
        <v>667</v>
      </c>
      <c r="T174" s="3" t="s">
        <v>201</v>
      </c>
      <c r="U174" s="3" t="s">
        <v>24</v>
      </c>
      <c r="V174" s="3"/>
      <c r="W174" s="3"/>
    </row>
    <row r="175" spans="1:23" ht="108" customHeight="1" x14ac:dyDescent="0.25">
      <c r="A175" s="51"/>
      <c r="B175" s="47">
        <v>182</v>
      </c>
      <c r="C175" s="3" t="s">
        <v>168</v>
      </c>
      <c r="D175" s="3">
        <v>2023</v>
      </c>
      <c r="E175" s="24" t="s">
        <v>668</v>
      </c>
      <c r="F175" s="1" t="s">
        <v>542</v>
      </c>
      <c r="G175" s="1" t="s">
        <v>490</v>
      </c>
      <c r="H175" s="4" t="s">
        <v>670</v>
      </c>
      <c r="I175" s="3" t="s">
        <v>168</v>
      </c>
      <c r="J175" s="2" t="s">
        <v>671</v>
      </c>
      <c r="K175" s="2" t="s">
        <v>672</v>
      </c>
      <c r="L175" s="2">
        <v>2</v>
      </c>
      <c r="M175" s="2">
        <v>3</v>
      </c>
      <c r="N175" s="1">
        <f t="shared" si="4"/>
        <v>6</v>
      </c>
      <c r="O175" s="1" t="s">
        <v>666</v>
      </c>
      <c r="P175" s="1" t="s">
        <v>490</v>
      </c>
      <c r="Q175" s="9">
        <v>44959</v>
      </c>
      <c r="R175" s="9">
        <v>45015</v>
      </c>
      <c r="S175" s="3" t="s">
        <v>673</v>
      </c>
      <c r="T175" s="3" t="s">
        <v>201</v>
      </c>
      <c r="U175" s="3" t="s">
        <v>24</v>
      </c>
      <c r="V175" s="3"/>
      <c r="W175" s="3"/>
    </row>
    <row r="176" spans="1:23" ht="108" customHeight="1" x14ac:dyDescent="0.25">
      <c r="A176" s="51"/>
      <c r="B176" s="47">
        <v>183</v>
      </c>
      <c r="C176" s="3" t="s">
        <v>42</v>
      </c>
      <c r="D176" s="3">
        <v>2023</v>
      </c>
      <c r="E176" s="24" t="s">
        <v>679</v>
      </c>
      <c r="F176" s="1" t="s">
        <v>542</v>
      </c>
      <c r="G176" s="1" t="s">
        <v>680</v>
      </c>
      <c r="H176" s="4" t="s">
        <v>681</v>
      </c>
      <c r="I176" s="3" t="s">
        <v>42</v>
      </c>
      <c r="J176" s="2" t="s">
        <v>682</v>
      </c>
      <c r="K176" s="2" t="s">
        <v>683</v>
      </c>
      <c r="L176" s="2">
        <v>2</v>
      </c>
      <c r="M176" s="2">
        <v>4</v>
      </c>
      <c r="N176" s="1">
        <f t="shared" si="4"/>
        <v>8</v>
      </c>
      <c r="O176" s="1" t="s">
        <v>684</v>
      </c>
      <c r="P176" s="1" t="s">
        <v>685</v>
      </c>
      <c r="Q176" s="9">
        <v>45085</v>
      </c>
      <c r="R176" s="9">
        <v>45107</v>
      </c>
      <c r="S176" s="3" t="s">
        <v>686</v>
      </c>
      <c r="T176" s="3" t="s">
        <v>201</v>
      </c>
      <c r="U176" s="3" t="s">
        <v>24</v>
      </c>
      <c r="V176" s="3"/>
      <c r="W176" s="3"/>
    </row>
    <row r="177" spans="1:23" ht="108" customHeight="1" x14ac:dyDescent="0.25">
      <c r="A177" s="51"/>
      <c r="B177" s="47">
        <v>184</v>
      </c>
      <c r="C177" s="3" t="s">
        <v>42</v>
      </c>
      <c r="D177" s="3">
        <v>2023</v>
      </c>
      <c r="E177" s="24" t="s">
        <v>679</v>
      </c>
      <c r="F177" s="1" t="s">
        <v>542</v>
      </c>
      <c r="G177" s="1" t="s">
        <v>494</v>
      </c>
      <c r="H177" s="4" t="s">
        <v>687</v>
      </c>
      <c r="I177" s="3" t="s">
        <v>42</v>
      </c>
      <c r="J177" s="2" t="s">
        <v>690</v>
      </c>
      <c r="K177" s="2" t="s">
        <v>688</v>
      </c>
      <c r="L177" s="2">
        <v>2</v>
      </c>
      <c r="M177" s="2">
        <v>3</v>
      </c>
      <c r="N177" s="1">
        <f t="shared" si="4"/>
        <v>6</v>
      </c>
      <c r="O177" s="1" t="s">
        <v>666</v>
      </c>
      <c r="P177" s="1" t="s">
        <v>689</v>
      </c>
      <c r="Q177" s="9">
        <v>45113</v>
      </c>
      <c r="R177" s="9">
        <v>45153</v>
      </c>
      <c r="S177" s="3" t="s">
        <v>691</v>
      </c>
      <c r="T177" s="3" t="s">
        <v>201</v>
      </c>
      <c r="U177" s="3" t="s">
        <v>24</v>
      </c>
      <c r="V177" s="3"/>
      <c r="W177" s="3"/>
    </row>
    <row r="178" spans="1:23" ht="108" customHeight="1" x14ac:dyDescent="0.25">
      <c r="A178" s="51"/>
      <c r="B178" s="47">
        <v>185</v>
      </c>
      <c r="C178" s="3" t="s">
        <v>42</v>
      </c>
      <c r="D178" s="3">
        <v>2023</v>
      </c>
      <c r="E178" s="24" t="s">
        <v>679</v>
      </c>
      <c r="F178" s="1" t="s">
        <v>542</v>
      </c>
      <c r="G178" s="1" t="s">
        <v>494</v>
      </c>
      <c r="H178" s="4" t="s">
        <v>692</v>
      </c>
      <c r="I178" s="3" t="s">
        <v>42</v>
      </c>
      <c r="J178" s="2" t="s">
        <v>693</v>
      </c>
      <c r="K178" s="2" t="s">
        <v>694</v>
      </c>
      <c r="L178" s="2">
        <v>2</v>
      </c>
      <c r="M178" s="2">
        <v>2</v>
      </c>
      <c r="N178" s="1">
        <f t="shared" si="4"/>
        <v>4</v>
      </c>
      <c r="O178" s="1" t="s">
        <v>666</v>
      </c>
      <c r="P178" s="1" t="s">
        <v>689</v>
      </c>
      <c r="Q178" s="9">
        <v>45219</v>
      </c>
      <c r="R178" s="9">
        <v>45227</v>
      </c>
      <c r="S178" s="3" t="s">
        <v>695</v>
      </c>
      <c r="T178" s="3" t="s">
        <v>201</v>
      </c>
      <c r="U178" s="3" t="s">
        <v>24</v>
      </c>
      <c r="V178" s="3"/>
      <c r="W178" s="3"/>
    </row>
    <row r="179" spans="1:23" ht="108" customHeight="1" x14ac:dyDescent="0.25">
      <c r="A179" s="51"/>
      <c r="B179" s="47">
        <v>186</v>
      </c>
      <c r="C179" s="3" t="s">
        <v>42</v>
      </c>
      <c r="D179" s="3">
        <v>2023</v>
      </c>
      <c r="E179" s="24" t="s">
        <v>679</v>
      </c>
      <c r="F179" s="1" t="s">
        <v>542</v>
      </c>
      <c r="G179" s="1" t="s">
        <v>507</v>
      </c>
      <c r="H179" s="4" t="s">
        <v>696</v>
      </c>
      <c r="I179" s="3" t="s">
        <v>42</v>
      </c>
      <c r="J179" s="2" t="s">
        <v>697</v>
      </c>
      <c r="K179" s="2" t="s">
        <v>698</v>
      </c>
      <c r="L179" s="2">
        <v>2</v>
      </c>
      <c r="M179" s="2">
        <v>4</v>
      </c>
      <c r="N179" s="1">
        <f t="shared" si="4"/>
        <v>8</v>
      </c>
      <c r="O179" s="1" t="s">
        <v>684</v>
      </c>
      <c r="P179" s="1" t="s">
        <v>625</v>
      </c>
      <c r="Q179" s="9">
        <v>45215</v>
      </c>
      <c r="R179" s="9">
        <v>45260</v>
      </c>
      <c r="S179" s="1" t="s">
        <v>699</v>
      </c>
      <c r="T179" s="3"/>
      <c r="U179" s="3"/>
      <c r="V179" s="3" t="s">
        <v>423</v>
      </c>
      <c r="W179" s="3"/>
    </row>
    <row r="180" spans="1:23" ht="108" customHeight="1" x14ac:dyDescent="0.25">
      <c r="A180" s="51"/>
      <c r="B180" s="47">
        <v>187</v>
      </c>
      <c r="C180" s="3" t="s">
        <v>42</v>
      </c>
      <c r="D180" s="3">
        <v>2023</v>
      </c>
      <c r="E180" s="24" t="s">
        <v>679</v>
      </c>
      <c r="F180" s="1" t="s">
        <v>542</v>
      </c>
      <c r="G180" s="1" t="s">
        <v>485</v>
      </c>
      <c r="H180" s="4" t="s">
        <v>700</v>
      </c>
      <c r="I180" s="3" t="s">
        <v>42</v>
      </c>
      <c r="J180" s="2" t="s">
        <v>701</v>
      </c>
      <c r="K180" s="2" t="s">
        <v>702</v>
      </c>
      <c r="L180" s="2">
        <v>2</v>
      </c>
      <c r="M180" s="2">
        <v>2</v>
      </c>
      <c r="N180" s="1">
        <f t="shared" si="4"/>
        <v>4</v>
      </c>
      <c r="O180" s="1" t="s">
        <v>666</v>
      </c>
      <c r="P180" s="1" t="s">
        <v>627</v>
      </c>
      <c r="Q180" s="9">
        <v>45209</v>
      </c>
      <c r="R180" s="9">
        <v>45224</v>
      </c>
      <c r="S180" s="3" t="s">
        <v>703</v>
      </c>
      <c r="T180" s="3" t="s">
        <v>201</v>
      </c>
      <c r="U180" s="3" t="s">
        <v>24</v>
      </c>
      <c r="V180" s="3"/>
      <c r="W180" s="3"/>
    </row>
    <row r="181" spans="1:23" ht="108" customHeight="1" x14ac:dyDescent="0.25">
      <c r="A181" s="51"/>
      <c r="B181" s="47">
        <v>188</v>
      </c>
      <c r="C181" s="3" t="s">
        <v>42</v>
      </c>
      <c r="D181" s="3">
        <v>2023</v>
      </c>
      <c r="E181" s="24" t="s">
        <v>679</v>
      </c>
      <c r="F181" s="1" t="s">
        <v>542</v>
      </c>
      <c r="G181" s="1" t="s">
        <v>485</v>
      </c>
      <c r="H181" s="4" t="s">
        <v>704</v>
      </c>
      <c r="I181" s="3" t="s">
        <v>42</v>
      </c>
      <c r="J181" s="2" t="s">
        <v>705</v>
      </c>
      <c r="K181" s="2" t="s">
        <v>706</v>
      </c>
      <c r="L181" s="2">
        <v>2</v>
      </c>
      <c r="M181" s="2">
        <v>3</v>
      </c>
      <c r="N181" s="1">
        <f t="shared" si="4"/>
        <v>6</v>
      </c>
      <c r="O181" s="1" t="s">
        <v>666</v>
      </c>
      <c r="P181" s="1" t="s">
        <v>627</v>
      </c>
      <c r="Q181" s="9">
        <v>45209</v>
      </c>
      <c r="R181" s="9">
        <v>45257</v>
      </c>
      <c r="S181" s="3" t="s">
        <v>707</v>
      </c>
      <c r="T181" s="3"/>
      <c r="U181" s="3"/>
      <c r="V181" s="3" t="s">
        <v>546</v>
      </c>
      <c r="W181" s="3"/>
    </row>
    <row r="182" spans="1:23" ht="108" customHeight="1" x14ac:dyDescent="0.25">
      <c r="A182" s="51"/>
      <c r="B182" s="47">
        <v>189</v>
      </c>
      <c r="C182" s="3" t="s">
        <v>42</v>
      </c>
      <c r="D182" s="3">
        <v>2023</v>
      </c>
      <c r="E182" s="24" t="s">
        <v>679</v>
      </c>
      <c r="F182" s="1" t="s">
        <v>542</v>
      </c>
      <c r="G182" s="1" t="s">
        <v>485</v>
      </c>
      <c r="H182" s="4" t="s">
        <v>708</v>
      </c>
      <c r="I182" s="3" t="s">
        <v>42</v>
      </c>
      <c r="J182" s="2" t="s">
        <v>709</v>
      </c>
      <c r="K182" s="2" t="s">
        <v>710</v>
      </c>
      <c r="L182" s="2">
        <v>2</v>
      </c>
      <c r="M182" s="2">
        <v>2</v>
      </c>
      <c r="N182" s="1">
        <f t="shared" si="4"/>
        <v>4</v>
      </c>
      <c r="O182" s="1" t="s">
        <v>666</v>
      </c>
      <c r="P182" s="1" t="s">
        <v>627</v>
      </c>
      <c r="Q182" s="9">
        <v>45217</v>
      </c>
      <c r="R182" s="9">
        <v>45226</v>
      </c>
      <c r="S182" s="3" t="s">
        <v>711</v>
      </c>
      <c r="T182" s="3" t="s">
        <v>201</v>
      </c>
      <c r="U182" s="3" t="s">
        <v>24</v>
      </c>
      <c r="V182" s="3"/>
      <c r="W182" s="3"/>
    </row>
    <row r="183" spans="1:23" ht="108" customHeight="1" x14ac:dyDescent="0.25">
      <c r="A183" s="51"/>
      <c r="B183" s="47">
        <v>190</v>
      </c>
      <c r="C183" s="3" t="s">
        <v>42</v>
      </c>
      <c r="D183" s="3">
        <v>2023</v>
      </c>
      <c r="E183" s="24" t="s">
        <v>679</v>
      </c>
      <c r="F183" s="1" t="s">
        <v>542</v>
      </c>
      <c r="G183" s="1" t="s">
        <v>494</v>
      </c>
      <c r="H183" s="4" t="s">
        <v>712</v>
      </c>
      <c r="I183" s="3" t="s">
        <v>42</v>
      </c>
      <c r="J183" s="2" t="s">
        <v>713</v>
      </c>
      <c r="K183" s="2" t="s">
        <v>714</v>
      </c>
      <c r="L183" s="2">
        <v>2</v>
      </c>
      <c r="M183" s="2">
        <v>2</v>
      </c>
      <c r="N183" s="1">
        <f t="shared" si="4"/>
        <v>4</v>
      </c>
      <c r="O183" s="1" t="s">
        <v>666</v>
      </c>
      <c r="P183" s="1" t="s">
        <v>689</v>
      </c>
      <c r="Q183" s="9">
        <v>45225</v>
      </c>
      <c r="R183" s="9">
        <v>45245</v>
      </c>
      <c r="S183" s="3" t="s">
        <v>715</v>
      </c>
      <c r="T183" s="3" t="s">
        <v>201</v>
      </c>
      <c r="U183" s="3" t="s">
        <v>24</v>
      </c>
      <c r="V183" s="3"/>
      <c r="W183" s="3"/>
    </row>
    <row r="184" spans="1:23" ht="108" customHeight="1" x14ac:dyDescent="0.25">
      <c r="A184" s="51"/>
      <c r="B184" s="47">
        <v>191</v>
      </c>
      <c r="C184" s="3" t="s">
        <v>42</v>
      </c>
      <c r="D184" s="3">
        <v>2023</v>
      </c>
      <c r="E184" s="24" t="s">
        <v>679</v>
      </c>
      <c r="F184" s="1" t="s">
        <v>669</v>
      </c>
      <c r="G184" s="1" t="s">
        <v>716</v>
      </c>
      <c r="H184" s="4" t="s">
        <v>717</v>
      </c>
      <c r="I184" s="3" t="s">
        <v>42</v>
      </c>
      <c r="J184" s="2" t="s">
        <v>718</v>
      </c>
      <c r="K184" s="2" t="s">
        <v>719</v>
      </c>
      <c r="L184" s="2">
        <v>2</v>
      </c>
      <c r="M184" s="2">
        <v>2</v>
      </c>
      <c r="N184" s="1">
        <f t="shared" si="4"/>
        <v>4</v>
      </c>
      <c r="O184" s="1" t="s">
        <v>666</v>
      </c>
      <c r="P184" s="1" t="s">
        <v>720</v>
      </c>
      <c r="Q184" s="9">
        <v>44979</v>
      </c>
      <c r="R184" s="9">
        <v>45013</v>
      </c>
      <c r="S184" s="3" t="s">
        <v>721</v>
      </c>
      <c r="T184" s="3" t="s">
        <v>201</v>
      </c>
      <c r="U184" s="3" t="s">
        <v>24</v>
      </c>
      <c r="V184" s="3"/>
      <c r="W184" s="3"/>
    </row>
    <row r="185" spans="1:23" ht="108" customHeight="1" x14ac:dyDescent="0.25">
      <c r="A185" s="51"/>
      <c r="B185" s="47">
        <v>192</v>
      </c>
      <c r="C185" s="3" t="s">
        <v>42</v>
      </c>
      <c r="D185" s="3">
        <v>2023</v>
      </c>
      <c r="E185" s="24" t="s">
        <v>679</v>
      </c>
      <c r="F185" s="1" t="s">
        <v>669</v>
      </c>
      <c r="G185" s="1" t="s">
        <v>490</v>
      </c>
      <c r="H185" s="4" t="s">
        <v>723</v>
      </c>
      <c r="I185" s="3" t="s">
        <v>42</v>
      </c>
      <c r="J185" s="2" t="s">
        <v>724</v>
      </c>
      <c r="K185" s="2" t="s">
        <v>719</v>
      </c>
      <c r="L185" s="2">
        <v>2</v>
      </c>
      <c r="M185" s="2">
        <v>2</v>
      </c>
      <c r="N185" s="1">
        <f t="shared" si="4"/>
        <v>4</v>
      </c>
      <c r="O185" s="1" t="s">
        <v>666</v>
      </c>
      <c r="P185" s="1" t="s">
        <v>627</v>
      </c>
      <c r="Q185" s="9">
        <v>45080</v>
      </c>
      <c r="R185" s="9">
        <v>45656</v>
      </c>
      <c r="S185" s="3" t="s">
        <v>727</v>
      </c>
      <c r="T185" s="3" t="s">
        <v>201</v>
      </c>
      <c r="U185" s="3" t="s">
        <v>24</v>
      </c>
      <c r="V185" s="3"/>
      <c r="W185" s="3"/>
    </row>
    <row r="186" spans="1:23" ht="108" customHeight="1" x14ac:dyDescent="0.25">
      <c r="A186" s="51"/>
      <c r="B186" s="47">
        <v>193</v>
      </c>
      <c r="C186" s="3" t="s">
        <v>42</v>
      </c>
      <c r="D186" s="3">
        <v>2023</v>
      </c>
      <c r="E186" s="24" t="s">
        <v>679</v>
      </c>
      <c r="F186" s="1" t="s">
        <v>669</v>
      </c>
      <c r="G186" s="1" t="s">
        <v>494</v>
      </c>
      <c r="H186" s="4" t="s">
        <v>725</v>
      </c>
      <c r="I186" s="3" t="s">
        <v>42</v>
      </c>
      <c r="J186" s="2" t="s">
        <v>726</v>
      </c>
      <c r="K186" s="2" t="s">
        <v>719</v>
      </c>
      <c r="L186" s="2">
        <v>2</v>
      </c>
      <c r="M186" s="2">
        <v>2</v>
      </c>
      <c r="N186" s="1">
        <f t="shared" si="4"/>
        <v>4</v>
      </c>
      <c r="O186" s="1" t="s">
        <v>666</v>
      </c>
      <c r="P186" s="1" t="s">
        <v>627</v>
      </c>
      <c r="Q186" s="9">
        <v>45081</v>
      </c>
      <c r="R186" s="9">
        <v>45657</v>
      </c>
      <c r="S186" s="3" t="s">
        <v>728</v>
      </c>
      <c r="T186" s="3" t="s">
        <v>201</v>
      </c>
      <c r="U186" s="3" t="s">
        <v>24</v>
      </c>
      <c r="V186" s="3"/>
      <c r="W186" s="3"/>
    </row>
    <row r="187" spans="1:23" ht="108" customHeight="1" x14ac:dyDescent="0.25">
      <c r="A187" s="51"/>
      <c r="B187" s="1">
        <v>196</v>
      </c>
      <c r="C187" s="3" t="s">
        <v>42</v>
      </c>
      <c r="D187" s="3">
        <v>2023</v>
      </c>
      <c r="E187" s="24" t="s">
        <v>679</v>
      </c>
      <c r="F187" s="1" t="s">
        <v>733</v>
      </c>
      <c r="G187" s="3" t="s">
        <v>507</v>
      </c>
      <c r="H187" s="4" t="s">
        <v>734</v>
      </c>
      <c r="I187" s="3" t="s">
        <v>42</v>
      </c>
      <c r="J187" s="2" t="s">
        <v>735</v>
      </c>
      <c r="K187" s="2" t="s">
        <v>736</v>
      </c>
      <c r="L187" s="2">
        <v>2</v>
      </c>
      <c r="M187" s="2">
        <v>2</v>
      </c>
      <c r="N187" s="2">
        <f t="shared" si="4"/>
        <v>4</v>
      </c>
      <c r="O187" s="1" t="s">
        <v>666</v>
      </c>
      <c r="P187" s="1" t="s">
        <v>625</v>
      </c>
      <c r="Q187" s="9">
        <v>45626</v>
      </c>
      <c r="R187" s="9">
        <v>45626</v>
      </c>
      <c r="S187" s="3" t="s">
        <v>738</v>
      </c>
      <c r="T187" s="3" t="s">
        <v>201</v>
      </c>
      <c r="U187" s="3" t="s">
        <v>24</v>
      </c>
      <c r="V187" s="3"/>
      <c r="W187" s="3"/>
    </row>
    <row r="188" spans="1:23" ht="108" customHeight="1" x14ac:dyDescent="0.25">
      <c r="A188" s="51"/>
      <c r="B188" s="47">
        <v>195</v>
      </c>
      <c r="C188" s="3" t="s">
        <v>42</v>
      </c>
      <c r="D188" s="3">
        <v>2023</v>
      </c>
      <c r="E188" s="24" t="s">
        <v>679</v>
      </c>
      <c r="F188" s="1" t="s">
        <v>722</v>
      </c>
      <c r="G188" s="1" t="s">
        <v>501</v>
      </c>
      <c r="H188" s="4" t="s">
        <v>729</v>
      </c>
      <c r="I188" s="3" t="s">
        <v>42</v>
      </c>
      <c r="J188" s="2" t="s">
        <v>730</v>
      </c>
      <c r="K188" s="2" t="s">
        <v>731</v>
      </c>
      <c r="L188" s="2">
        <v>2</v>
      </c>
      <c r="M188" s="2">
        <v>1</v>
      </c>
      <c r="N188" s="1">
        <f t="shared" si="4"/>
        <v>2</v>
      </c>
      <c r="O188" s="1" t="s">
        <v>666</v>
      </c>
      <c r="P188" s="1" t="s">
        <v>732</v>
      </c>
      <c r="Q188" s="9">
        <v>45626</v>
      </c>
      <c r="R188" s="9">
        <v>45626</v>
      </c>
      <c r="S188" s="3" t="s">
        <v>737</v>
      </c>
      <c r="T188" s="3" t="s">
        <v>201</v>
      </c>
      <c r="U188" s="3" t="s">
        <v>24</v>
      </c>
      <c r="V188" s="3"/>
      <c r="W188" s="3"/>
    </row>
    <row r="189" spans="1:23" ht="108" customHeight="1" x14ac:dyDescent="0.25">
      <c r="A189" s="51"/>
      <c r="B189" s="1">
        <v>196</v>
      </c>
      <c r="C189" s="3" t="s">
        <v>42</v>
      </c>
      <c r="D189" s="3">
        <v>2023</v>
      </c>
      <c r="E189" s="24" t="s">
        <v>679</v>
      </c>
      <c r="F189" s="1" t="s">
        <v>733</v>
      </c>
      <c r="G189" s="3" t="s">
        <v>490</v>
      </c>
      <c r="H189" s="4" t="s">
        <v>739</v>
      </c>
      <c r="I189" s="3" t="s">
        <v>42</v>
      </c>
      <c r="J189" s="2" t="s">
        <v>740</v>
      </c>
      <c r="K189" s="2" t="s">
        <v>741</v>
      </c>
      <c r="L189" s="2">
        <v>2</v>
      </c>
      <c r="M189" s="2">
        <v>2</v>
      </c>
      <c r="N189" s="2">
        <f t="shared" ref="N189:N191" si="6">IF(L189*M189 = 0,"",L189*M189)</f>
        <v>4</v>
      </c>
      <c r="O189" s="1" t="s">
        <v>666</v>
      </c>
      <c r="P189" s="1" t="s">
        <v>490</v>
      </c>
      <c r="Q189" s="9">
        <v>45626</v>
      </c>
      <c r="R189" s="9">
        <v>45626</v>
      </c>
      <c r="S189" s="3" t="s">
        <v>742</v>
      </c>
      <c r="T189" s="3" t="s">
        <v>201</v>
      </c>
      <c r="U189" s="3" t="s">
        <v>24</v>
      </c>
      <c r="V189" s="3"/>
      <c r="W189" s="3"/>
    </row>
    <row r="190" spans="1:23" ht="108" customHeight="1" x14ac:dyDescent="0.25">
      <c r="A190" s="51"/>
      <c r="B190" s="47">
        <v>197</v>
      </c>
      <c r="C190" s="3" t="s">
        <v>42</v>
      </c>
      <c r="D190" s="3">
        <v>2024</v>
      </c>
      <c r="E190" s="24" t="s">
        <v>679</v>
      </c>
      <c r="F190" s="1" t="s">
        <v>746</v>
      </c>
      <c r="G190" s="1" t="s">
        <v>490</v>
      </c>
      <c r="H190" s="4" t="s">
        <v>743</v>
      </c>
      <c r="I190" s="3" t="s">
        <v>42</v>
      </c>
      <c r="J190" s="2" t="s">
        <v>744</v>
      </c>
      <c r="K190" s="2" t="s">
        <v>745</v>
      </c>
      <c r="L190" s="2">
        <v>2</v>
      </c>
      <c r="M190" s="2">
        <v>2</v>
      </c>
      <c r="N190" s="1">
        <f t="shared" si="6"/>
        <v>4</v>
      </c>
      <c r="O190" s="1" t="s">
        <v>666</v>
      </c>
      <c r="P190" s="1" t="s">
        <v>490</v>
      </c>
      <c r="Q190" s="9">
        <v>45626</v>
      </c>
      <c r="R190" s="9">
        <v>45626</v>
      </c>
      <c r="S190" s="3" t="s">
        <v>751</v>
      </c>
      <c r="T190" s="3" t="s">
        <v>201</v>
      </c>
      <c r="U190" s="3" t="s">
        <v>24</v>
      </c>
      <c r="V190" s="3"/>
      <c r="W190" s="3"/>
    </row>
    <row r="191" spans="1:23" ht="108" customHeight="1" x14ac:dyDescent="0.25">
      <c r="A191" s="51"/>
      <c r="B191" s="47">
        <v>198</v>
      </c>
      <c r="C191" s="3" t="s">
        <v>42</v>
      </c>
      <c r="D191" s="3">
        <v>2024</v>
      </c>
      <c r="E191" s="24" t="s">
        <v>679</v>
      </c>
      <c r="F191" s="1" t="s">
        <v>747</v>
      </c>
      <c r="G191" s="1" t="s">
        <v>490</v>
      </c>
      <c r="H191" s="4" t="s">
        <v>748</v>
      </c>
      <c r="I191" s="3" t="s">
        <v>42</v>
      </c>
      <c r="J191" s="2" t="s">
        <v>749</v>
      </c>
      <c r="K191" s="2" t="s">
        <v>750</v>
      </c>
      <c r="L191" s="2">
        <v>2</v>
      </c>
      <c r="M191" s="2">
        <v>2</v>
      </c>
      <c r="N191" s="1">
        <f t="shared" si="6"/>
        <v>4</v>
      </c>
      <c r="O191" s="1" t="s">
        <v>666</v>
      </c>
      <c r="P191" s="1" t="s">
        <v>490</v>
      </c>
      <c r="Q191" s="9">
        <v>45626</v>
      </c>
      <c r="R191" s="9">
        <v>45626</v>
      </c>
      <c r="S191" s="3" t="s">
        <v>752</v>
      </c>
      <c r="T191" s="3" t="s">
        <v>201</v>
      </c>
      <c r="U191" s="3" t="s">
        <v>24</v>
      </c>
      <c r="V191" s="3"/>
      <c r="W191" s="3"/>
    </row>
    <row r="192" spans="1:23" ht="108" customHeight="1" x14ac:dyDescent="0.25">
      <c r="A192" s="51"/>
      <c r="B192" s="47">
        <v>199</v>
      </c>
      <c r="C192" s="3"/>
      <c r="D192" s="3"/>
      <c r="E192" s="24"/>
      <c r="F192" s="1"/>
      <c r="G192" s="1"/>
      <c r="H192" s="4"/>
      <c r="I192" s="3"/>
      <c r="J192" s="2"/>
      <c r="K192" s="2"/>
      <c r="L192" s="2"/>
      <c r="M192" s="2"/>
      <c r="N192" s="1"/>
      <c r="O192" s="1"/>
      <c r="P192" s="1"/>
      <c r="Q192" s="9"/>
      <c r="R192" s="9"/>
      <c r="S192" s="3"/>
      <c r="T192" s="3"/>
      <c r="U192" s="3"/>
      <c r="V192" s="3"/>
      <c r="W192" s="3"/>
    </row>
    <row r="193" spans="1:23" ht="108" customHeight="1" x14ac:dyDescent="0.25">
      <c r="A193" s="51"/>
      <c r="B193" s="47"/>
      <c r="C193" s="3"/>
      <c r="D193" s="3"/>
      <c r="E193" s="24"/>
      <c r="F193" s="1"/>
      <c r="G193" s="1"/>
      <c r="H193" s="4"/>
      <c r="I193" s="3"/>
      <c r="J193" s="2"/>
      <c r="K193" s="2"/>
      <c r="L193" s="2"/>
      <c r="M193" s="2"/>
      <c r="N193" s="1"/>
      <c r="O193" s="1"/>
      <c r="P193" s="1"/>
      <c r="Q193" s="9"/>
      <c r="R193" s="9"/>
      <c r="S193" s="3"/>
      <c r="T193" s="3"/>
      <c r="U193" s="3"/>
      <c r="V193" s="3"/>
      <c r="W193" s="3"/>
    </row>
    <row r="194" spans="1:23" ht="108" customHeight="1" x14ac:dyDescent="0.25">
      <c r="A194" s="51"/>
      <c r="B194" s="47"/>
      <c r="C194" s="3"/>
      <c r="D194" s="3"/>
      <c r="E194" s="24"/>
      <c r="F194" s="1"/>
      <c r="G194" s="1"/>
      <c r="H194" s="4"/>
      <c r="I194" s="3"/>
      <c r="J194" s="2"/>
      <c r="K194" s="2"/>
      <c r="L194" s="2"/>
      <c r="M194" s="2"/>
      <c r="N194" s="1"/>
      <c r="O194" s="1"/>
      <c r="P194" s="1"/>
      <c r="Q194" s="9"/>
      <c r="R194" s="9"/>
      <c r="S194" s="3"/>
      <c r="T194" s="3"/>
      <c r="U194" s="3"/>
      <c r="V194" s="3"/>
      <c r="W194" s="3"/>
    </row>
    <row r="195" spans="1:23" ht="108" customHeight="1" x14ac:dyDescent="0.25">
      <c r="A195" s="51"/>
      <c r="B195" s="47"/>
      <c r="C195" s="3"/>
      <c r="D195" s="3"/>
      <c r="E195" s="24"/>
      <c r="F195" s="1"/>
      <c r="G195" s="1"/>
      <c r="H195" s="4"/>
      <c r="I195" s="3"/>
      <c r="J195" s="2"/>
      <c r="K195" s="2"/>
      <c r="L195" s="2"/>
      <c r="M195" s="2"/>
      <c r="N195" s="1"/>
      <c r="O195" s="1"/>
      <c r="P195" s="1"/>
      <c r="Q195" s="9"/>
      <c r="R195" s="9"/>
      <c r="S195" s="3"/>
      <c r="T195" s="3"/>
      <c r="U195" s="3"/>
      <c r="V195" s="3"/>
      <c r="W195" s="3"/>
    </row>
    <row r="196" spans="1:23" ht="108" customHeight="1" x14ac:dyDescent="0.25">
      <c r="A196" s="51"/>
      <c r="B196" s="47"/>
      <c r="C196" s="3"/>
      <c r="D196" s="3"/>
      <c r="E196" s="24"/>
      <c r="F196" s="1"/>
      <c r="G196" s="1"/>
      <c r="H196" s="4"/>
      <c r="I196" s="3"/>
      <c r="J196" s="2"/>
      <c r="K196" s="2"/>
      <c r="L196" s="2"/>
      <c r="M196" s="2"/>
      <c r="N196" s="1"/>
      <c r="O196" s="1"/>
      <c r="P196" s="1"/>
      <c r="Q196" s="9"/>
      <c r="R196" s="9"/>
      <c r="S196" s="3"/>
      <c r="T196" s="3"/>
      <c r="U196" s="3"/>
      <c r="V196" s="3"/>
      <c r="W196" s="3"/>
    </row>
    <row r="197" spans="1:23" ht="108" customHeight="1" x14ac:dyDescent="0.25">
      <c r="A197" s="51"/>
      <c r="B197" s="1"/>
      <c r="C197" s="3"/>
      <c r="D197" s="3"/>
      <c r="E197" s="24"/>
      <c r="F197" s="1"/>
      <c r="G197" s="3"/>
      <c r="H197" s="4"/>
      <c r="I197" s="3"/>
      <c r="J197" s="2"/>
      <c r="K197" s="2"/>
      <c r="L197" s="2">
        <v>2</v>
      </c>
      <c r="M197" s="2">
        <v>2</v>
      </c>
      <c r="N197" s="2">
        <f t="shared" si="4"/>
        <v>4</v>
      </c>
      <c r="O197" s="1" t="s">
        <v>666</v>
      </c>
      <c r="P197" s="1" t="s">
        <v>625</v>
      </c>
      <c r="Q197" s="9">
        <v>45626</v>
      </c>
      <c r="R197" s="9">
        <v>45626</v>
      </c>
      <c r="S197" s="3"/>
      <c r="T197" s="3"/>
      <c r="U197" s="3"/>
      <c r="V197" s="3"/>
      <c r="W197" s="3"/>
    </row>
    <row r="198" spans="1:23" x14ac:dyDescent="0.25">
      <c r="B198" s="53"/>
      <c r="E198"/>
      <c r="F198" s="53"/>
      <c r="G198"/>
      <c r="H198" s="53"/>
      <c r="I198" s="45"/>
      <c r="O198" s="53"/>
      <c r="P198" s="54"/>
      <c r="R198" s="53"/>
      <c r="W198"/>
    </row>
    <row r="199" spans="1:23" x14ac:dyDescent="0.25">
      <c r="B199" s="53"/>
      <c r="E199"/>
      <c r="F199" s="53"/>
      <c r="G199"/>
      <c r="H199" s="53"/>
      <c r="I199" s="45"/>
      <c r="O199" s="53"/>
      <c r="P199" s="54"/>
      <c r="R199" s="53"/>
      <c r="W199"/>
    </row>
    <row r="200" spans="1:23" x14ac:dyDescent="0.25">
      <c r="B200" s="53"/>
      <c r="E200"/>
      <c r="F200" s="53"/>
      <c r="G200"/>
      <c r="H200" s="53"/>
      <c r="I200" s="45"/>
      <c r="O200" s="53"/>
      <c r="P200" s="54"/>
      <c r="R200" s="53"/>
      <c r="W200"/>
    </row>
    <row r="201" spans="1:23" x14ac:dyDescent="0.25">
      <c r="B201" s="53"/>
      <c r="E201"/>
      <c r="F201" s="53"/>
      <c r="G201"/>
      <c r="H201" s="53"/>
      <c r="I201" s="45"/>
      <c r="O201" s="53"/>
      <c r="P201" s="54"/>
      <c r="R201" s="53"/>
      <c r="W201"/>
    </row>
  </sheetData>
  <phoneticPr fontId="4" type="noConversion"/>
  <conditionalFormatting sqref="L202:M1048576 K198:L201 L1:M197">
    <cfRule type="cellIs" dxfId="7" priority="5" operator="equal">
      <formula>4</formula>
    </cfRule>
    <cfRule type="cellIs" dxfId="6" priority="6" operator="equal">
      <formula>3</formula>
    </cfRule>
    <cfRule type="cellIs" dxfId="5" priority="7" operator="equal">
      <formula>2</formula>
    </cfRule>
    <cfRule type="cellIs" dxfId="4" priority="8" operator="equal">
      <formula>1</formula>
    </cfRule>
  </conditionalFormatting>
  <conditionalFormatting sqref="O202:O1048576 N198:N201 O1:O197">
    <cfRule type="cellIs" dxfId="3" priority="1" operator="between">
      <formula>12</formula>
      <formula>16</formula>
    </cfRule>
    <cfRule type="cellIs" dxfId="2" priority="2" operator="between">
      <formula>8</formula>
      <formula>9</formula>
    </cfRule>
    <cfRule type="cellIs" dxfId="1" priority="3" operator="between">
      <formula>4</formula>
      <formula>6</formula>
    </cfRule>
    <cfRule type="cellIs" dxfId="0" priority="4" operator="between">
      <formula>1</formula>
      <formula>3</formula>
    </cfRule>
  </conditionalFormatting>
  <pageMargins left="0.7578125" right="0.68437499999999996" top="0.75" bottom="0.75" header="0.3" footer="0.3"/>
  <pageSetup paperSize="5" scale="73"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9:D43"/>
  <sheetViews>
    <sheetView showGridLines="0" topLeftCell="A53" workbookViewId="0">
      <selection activeCell="J9" sqref="J9"/>
    </sheetView>
  </sheetViews>
  <sheetFormatPr baseColWidth="10" defaultRowHeight="15" x14ac:dyDescent="0.25"/>
  <cols>
    <col min="2" max="2" width="19.42578125" customWidth="1"/>
    <col min="3" max="3" width="38.140625" customWidth="1"/>
    <col min="4" max="4" width="27" customWidth="1"/>
  </cols>
  <sheetData>
    <row r="29" spans="2:4" ht="15.75" thickBot="1" x14ac:dyDescent="0.3"/>
    <row r="30" spans="2:4" ht="50.25" thickBot="1" x14ac:dyDescent="0.3">
      <c r="B30" s="26" t="s">
        <v>635</v>
      </c>
      <c r="C30" s="26" t="s">
        <v>636</v>
      </c>
      <c r="D30" s="27" t="s">
        <v>637</v>
      </c>
    </row>
    <row r="31" spans="2:4" ht="249.75" customHeight="1" thickBot="1" x14ac:dyDescent="0.3">
      <c r="B31" s="43" t="s">
        <v>638</v>
      </c>
      <c r="C31" s="28" t="s">
        <v>639</v>
      </c>
      <c r="D31" s="29" t="s">
        <v>640</v>
      </c>
    </row>
    <row r="32" spans="2:4" ht="114.75" x14ac:dyDescent="0.25">
      <c r="B32" s="44" t="s">
        <v>641</v>
      </c>
      <c r="C32" s="30" t="s">
        <v>642</v>
      </c>
      <c r="D32" s="31" t="s">
        <v>643</v>
      </c>
    </row>
    <row r="33" spans="2:4" ht="363" customHeight="1" x14ac:dyDescent="0.25">
      <c r="B33" s="32" t="s">
        <v>644</v>
      </c>
      <c r="C33" s="33" t="s">
        <v>645</v>
      </c>
      <c r="D33" s="31" t="s">
        <v>646</v>
      </c>
    </row>
    <row r="34" spans="2:4" ht="307.5" customHeight="1" thickBot="1" x14ac:dyDescent="0.3">
      <c r="B34" s="34" t="s">
        <v>647</v>
      </c>
      <c r="C34" s="35" t="s">
        <v>648</v>
      </c>
      <c r="D34" s="36" t="s">
        <v>649</v>
      </c>
    </row>
    <row r="37" spans="2:4" ht="15.75" thickBot="1" x14ac:dyDescent="0.3"/>
    <row r="38" spans="2:4" ht="17.25" thickBot="1" x14ac:dyDescent="0.3">
      <c r="B38" s="55" t="s">
        <v>650</v>
      </c>
      <c r="C38" s="56"/>
    </row>
    <row r="39" spans="2:4" ht="129" customHeight="1" x14ac:dyDescent="0.25">
      <c r="B39" s="37" t="s">
        <v>651</v>
      </c>
      <c r="C39" s="38" t="s">
        <v>652</v>
      </c>
    </row>
    <row r="40" spans="2:4" ht="115.5" customHeight="1" x14ac:dyDescent="0.25">
      <c r="B40" s="39" t="s">
        <v>653</v>
      </c>
      <c r="C40" s="40" t="s">
        <v>654</v>
      </c>
    </row>
    <row r="41" spans="2:4" ht="293.25" customHeight="1" x14ac:dyDescent="0.25">
      <c r="B41" s="39" t="s">
        <v>655</v>
      </c>
      <c r="C41" s="40" t="s">
        <v>656</v>
      </c>
    </row>
    <row r="42" spans="2:4" ht="239.25" customHeight="1" x14ac:dyDescent="0.25">
      <c r="B42" s="39" t="s">
        <v>657</v>
      </c>
      <c r="C42" s="40" t="s">
        <v>658</v>
      </c>
    </row>
    <row r="43" spans="2:4" ht="149.25" customHeight="1" thickBot="1" x14ac:dyDescent="0.3">
      <c r="B43" s="41" t="s">
        <v>659</v>
      </c>
      <c r="C43" s="42" t="s">
        <v>660</v>
      </c>
    </row>
  </sheetData>
  <mergeCells count="1">
    <mergeCell ref="B38:C38"/>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0" ma:contentTypeDescription="Crear nuevo documento." ma:contentTypeScope="" ma:versionID="fc600db9f536533e8d2f945636ed5275">
  <xsd:schema xmlns:xsd="http://www.w3.org/2001/XMLSchema" xmlns:xs="http://www.w3.org/2001/XMLSchema" xmlns:p="http://schemas.microsoft.com/office/2006/metadata/properties" targetNamespace="http://schemas.microsoft.com/office/2006/metadata/properties" ma:root="true" ma:fieldsID="26ff3a126252e742cc2543983a566b0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3A77DA6-788E-4879-9681-A3447D1AF173}"/>
</file>

<file path=customXml/itemProps2.xml><?xml version="1.0" encoding="utf-8"?>
<ds:datastoreItem xmlns:ds="http://schemas.openxmlformats.org/officeDocument/2006/customXml" ds:itemID="{E1AE99D6-5C2E-43FF-9553-A11A56C133D8}"/>
</file>

<file path=customXml/itemProps3.xml><?xml version="1.0" encoding="utf-8"?>
<ds:datastoreItem xmlns:ds="http://schemas.openxmlformats.org/officeDocument/2006/customXml" ds:itemID="{3C01BF8A-325C-429F-8B14-1F0D24BB174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Consolidado</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Usuario de red</dc:creator>
  <cp:lastModifiedBy>Heisa Buelvas</cp:lastModifiedBy>
  <cp:lastPrinted>2015-06-11T19:40:26Z</cp:lastPrinted>
  <dcterms:created xsi:type="dcterms:W3CDTF">2014-09-03T13:34:20Z</dcterms:created>
  <dcterms:modified xsi:type="dcterms:W3CDTF">2025-01-12T15:24:00Z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19600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