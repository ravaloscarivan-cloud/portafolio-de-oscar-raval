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330"/>
  <workbookPr defaultThemeVersion="124226"/>
  <mc:AlternateContent xmlns:mc="http://schemas.openxmlformats.org/markup-compatibility/2006">
    <mc:Choice Requires="x15">
      <x15ac:absPath xmlns:x15ac="http://schemas.microsoft.com/office/spreadsheetml/2010/11/ac" url="D:\INF MENSUALES\CALIDAD\CRONOGRAMA DE CAPACITACIONES\"/>
    </mc:Choice>
  </mc:AlternateContent>
  <xr:revisionPtr revIDLastSave="0" documentId="13_ncr:1_{45F21F2A-8E27-4EC9-9084-894AC2351F18}" xr6:coauthVersionLast="33" xr6:coauthVersionMax="33" xr10:uidLastSave="{00000000-0000-0000-0000-000000000000}"/>
  <bookViews>
    <workbookView xWindow="0" yWindow="0" windowWidth="20490" windowHeight="7755" tabRatio="601" activeTab="2" xr2:uid="{00000000-000D-0000-FFFF-FFFF00000000}"/>
  </bookViews>
  <sheets>
    <sheet name="2017" sheetId="5" r:id="rId1"/>
    <sheet name="CUMPLIMIENTO" sheetId="7" r:id="rId2"/>
    <sheet name="II SEMESTRE 2017" sheetId="6" r:id="rId3"/>
  </sheets>
  <definedNames>
    <definedName name="_xlnm._FilterDatabase" localSheetId="0" hidden="1">'2017'!$A$12:$J$56</definedName>
    <definedName name="_xlnm._FilterDatabase" localSheetId="2" hidden="1">'II SEMESTRE 2017'!$A$12:$J$36</definedName>
  </definedNames>
  <calcPr calcId="179017"/>
</workbook>
</file>

<file path=xl/calcChain.xml><?xml version="1.0" encoding="utf-8"?>
<calcChain xmlns="http://schemas.openxmlformats.org/spreadsheetml/2006/main">
  <c r="M5" i="7" l="1"/>
  <c r="M7" i="7"/>
  <c r="M9" i="7"/>
  <c r="M11" i="7"/>
  <c r="M13" i="7"/>
  <c r="M15" i="7"/>
  <c r="M17" i="7"/>
  <c r="M19" i="7"/>
  <c r="M21" i="7"/>
  <c r="M23" i="7"/>
  <c r="M25" i="7"/>
  <c r="M27" i="7"/>
  <c r="L19" i="7"/>
  <c r="L7" i="7"/>
  <c r="L9" i="7"/>
  <c r="L11" i="7"/>
  <c r="L13" i="7"/>
  <c r="L15" i="7"/>
  <c r="L17" i="7"/>
  <c r="L21" i="7"/>
  <c r="L23" i="7"/>
  <c r="L25" i="7"/>
  <c r="L27" i="7"/>
  <c r="L5" i="7"/>
  <c r="N17" i="7" l="1"/>
  <c r="N27" i="7"/>
  <c r="L29" i="7"/>
  <c r="M29" i="7"/>
  <c r="N25" i="7"/>
  <c r="N9" i="7"/>
  <c r="N23" i="7"/>
  <c r="N11" i="7"/>
  <c r="N21" i="7"/>
  <c r="N19" i="7"/>
  <c r="N15" i="7"/>
  <c r="N13" i="7"/>
  <c r="N5" i="7"/>
  <c r="N7" i="7"/>
  <c r="N29" i="7" l="1"/>
</calcChain>
</file>

<file path=xl/sharedStrings.xml><?xml version="1.0" encoding="utf-8"?>
<sst xmlns="http://schemas.openxmlformats.org/spreadsheetml/2006/main" count="516" uniqueCount="170">
  <si>
    <t>Tema</t>
  </si>
  <si>
    <t>Dirigida</t>
  </si>
  <si>
    <t>Aprobado por: Natalia Tovar</t>
  </si>
  <si>
    <t>Fecha Planificada</t>
  </si>
  <si>
    <t>Fecha Ejecución</t>
  </si>
  <si>
    <t>Experto/Facilitador/Instructor</t>
  </si>
  <si>
    <t>Objetivos de Capacitación</t>
  </si>
  <si>
    <t>Registros</t>
  </si>
  <si>
    <t>Registro de Asistencia</t>
  </si>
  <si>
    <t>Pagina: 1 de 2</t>
  </si>
  <si>
    <r>
      <rPr>
        <b/>
        <sz val="11"/>
        <color theme="1"/>
        <rFont val="Calibri"/>
        <family val="2"/>
        <scheme val="minor"/>
      </rPr>
      <t xml:space="preserve">OBJETIVO: </t>
    </r>
    <r>
      <rPr>
        <sz val="11"/>
        <color theme="1"/>
        <rFont val="Calibri"/>
        <family val="2"/>
        <scheme val="minor"/>
      </rPr>
      <t>Contribuir al desarrollo y fortalecimiento de las capacidades y competencias individuales, colectivas y técnicas del personal para el mejoramiento en la dinámica laboral, generando oportunidades de formación que promuevan condiciones favorables del cambio institucional .</t>
    </r>
  </si>
  <si>
    <t>Metodología</t>
  </si>
  <si>
    <r>
      <t>Código:</t>
    </r>
    <r>
      <rPr>
        <sz val="8"/>
        <rFont val="Arial"/>
        <family val="2"/>
      </rPr>
      <t xml:space="preserve"> FOR-ADM-013</t>
    </r>
  </si>
  <si>
    <t>Versión: 0</t>
  </si>
  <si>
    <t>CALIDAD</t>
  </si>
  <si>
    <t>ALMACEN</t>
  </si>
  <si>
    <t>CONTABILIDAD</t>
  </si>
  <si>
    <t>Evaluación de la Eficacía / CERTIFICADOS</t>
  </si>
  <si>
    <t>PRESENCIAL</t>
  </si>
  <si>
    <t>VIRTUAL</t>
  </si>
  <si>
    <t xml:space="preserve">Elaborado por: </t>
  </si>
  <si>
    <t>CRONOGRAMA DE CAPACITACIONES 2017</t>
  </si>
  <si>
    <t>SENA</t>
  </si>
  <si>
    <t>ENERO</t>
  </si>
  <si>
    <t>ATENCION AL CLIENTE</t>
  </si>
  <si>
    <t>FEBRERO</t>
  </si>
  <si>
    <t>Crear una Cultura Permanente en la excelencia del servicio, donde todo el personal de nuestra organizacion, respire, viva y refleje actitud al servicio y donde excedan en cada momento las expectativas de los clientes.</t>
  </si>
  <si>
    <t>SISTEMA DE GESTION DE SEGURIDAD Y SALUD EN EL TRABAJO (SG-SST)</t>
  </si>
  <si>
    <t>NORMAS INTERNACIONALES DE LA INFORMACION FINANCIERA (NIIF)</t>
  </si>
  <si>
    <t>Desarrollar en los participantes las competencias conceptuales y prácticas para la comprensión de las normas internacionales de información financiera, mediante el estudio, interpretación y su correcta aplicación en nuestra empresa, de acuerdo con los requerimientos de la ley.</t>
  </si>
  <si>
    <t>INFORMACION EXOGENA PARA LA DIAN 2016</t>
  </si>
  <si>
    <t>Este programa tiene como objetivo principal capacitar a los interesados en cuanto a la normatividad vigente, las sanciones y penalizaciones alrededor del reglamento considerado por la DIAN para diferentes Medios Electrónicos, con el objetivo de actualizar y manejar correctamente el campo fiscal.</t>
  </si>
  <si>
    <t>MARZO</t>
  </si>
  <si>
    <t>NUEVA REFORMA TRIBUTARIA</t>
  </si>
  <si>
    <t>Exponer las dimensiones y el impacto de la nueva Reforma Tributaria como producto de los cambios introducidos para personas naturales, sociedades y demás personas jurídicas. Revisar posibles impactos en las obligaciones tributarias tanto formales como objetivos sustanciales.</t>
  </si>
  <si>
    <t>ABRIL</t>
  </si>
  <si>
    <t>DIVERQUIN</t>
  </si>
  <si>
    <t>MAYO</t>
  </si>
  <si>
    <t>JUNIO</t>
  </si>
  <si>
    <t>FACTURACION</t>
  </si>
  <si>
    <t>ASETAC DEL CARIBE S.A.S</t>
  </si>
  <si>
    <t>DIPLOMADO GESTION DE LA CALIDAD MODELO ISO 9001:2015</t>
  </si>
  <si>
    <t>Conocimientos en el Sistema de Gestión.</t>
  </si>
  <si>
    <t>Icontec</t>
  </si>
  <si>
    <t>CONOCIMIENTO PRACTICO DE DISPOSITIVOS MEDICOS (DIVERQUIN/SUPLEMEDICOS)</t>
  </si>
  <si>
    <t>Fortalecer los conocimientos teorico-practicos de los diferentes dispositivos medicos que se manejan con DIVERQUIN- SUPLEMEDICOS</t>
  </si>
  <si>
    <t>X</t>
  </si>
  <si>
    <t>JULIO</t>
  </si>
  <si>
    <t>ISO-9001 ISO-13485</t>
  </si>
  <si>
    <t>Conocer los requisitos que describe las normas para ponerlo en practica en el campo laboral</t>
  </si>
  <si>
    <t>AGOSTO</t>
  </si>
  <si>
    <t>RECEPCION  Y FACTURACION</t>
  </si>
  <si>
    <t>Fortalecer la relaciones con el cliente interno y externo</t>
  </si>
  <si>
    <t>MANEJO DE INVENTARIO</t>
  </si>
  <si>
    <t>Proveer o distribuir adecuadamente los materiales necesarios a la empresa.colocandolos a disposicion en el momento indicado, para asi evitar aumentar de costo perdidas de los mismos</t>
  </si>
  <si>
    <t>SEPTIEMBRE</t>
  </si>
  <si>
    <t>TRABAJO EN EQUIPO EN EL NIVEL ADMINSTRATIVO (VIRTUAL SENA)</t>
  </si>
  <si>
    <t>Fortalece la participacion activa en la consecucion de una meta comun dubordinando los intereses personales a los objetivos del equipo</t>
  </si>
  <si>
    <t>OCTUBRE</t>
  </si>
  <si>
    <t>NOVIEMBRE</t>
  </si>
  <si>
    <t>ETICA EN LO PERSONAL Y LABORAL</t>
  </si>
  <si>
    <t>Unificar y fortalecer las oracticas empresariales de nuestros colaboradores para cumplie con los mas altos estandares morales y profesionales</t>
  </si>
  <si>
    <t>DICIEMBRE</t>
  </si>
  <si>
    <t>1 Y 2 DE MARZO</t>
  </si>
  <si>
    <t>ENCLAVIJAMIENTO</t>
  </si>
  <si>
    <t>ASISTENCIA TECNICA</t>
  </si>
  <si>
    <t>Fortalecer los conocimientos profesionales y despejar duda sobre los principios básicos de enclavamiento</t>
  </si>
  <si>
    <t>21 DE ENERO</t>
  </si>
  <si>
    <t>CARLOS ORREGO</t>
  </si>
  <si>
    <t>PROCEDICIMIENTO DE FACTURACION (CAMPBELL)</t>
  </si>
  <si>
    <t>Fortalecer los conocimientos en el proceso de facturacion</t>
  </si>
  <si>
    <t>SULLY BERNAL</t>
  </si>
  <si>
    <t>x</t>
  </si>
  <si>
    <t>GESTION HUMANA</t>
  </si>
  <si>
    <t>Generar habilidades para elaboración de Sistema y/o herramientas en busca del mantenimiento o mejoramiento de la salud de los trabajadores en cumplimiento de la legislación actual.</t>
  </si>
  <si>
    <t xml:space="preserve">AXA COLPATRIA </t>
  </si>
  <si>
    <t>TECNICA DE LIGAMENTO CRUZADO ANTERIO Y POSTERIOS</t>
  </si>
  <si>
    <t xml:space="preserve">* RECORDAR ESTRUTURAS ANATOMICAS DE LA RODILLA               * RECONOCER POR MEDIO DE GRAFICOS INSERCION DE LCA Y LCO,                                                                                                                     * ESTUDIAR TECNICAS QUIRUTGICAS PARA REPARACION LCA Y LCP                 </t>
  </si>
  <si>
    <t>24 DE MAYO</t>
  </si>
  <si>
    <t>KEYLA PEREZ</t>
  </si>
  <si>
    <t>SISTEMA DE GESTION DE SEGURIDAD Y SALUD EN EL TRABAJO</t>
  </si>
  <si>
    <t>ACTUALIZACION TRIBUTARIA Y LEY 1819 DE 2017</t>
  </si>
  <si>
    <t>Analizar los principales temas de la reforma tributaria, teniendo en cuenta la evolución reglamentaria de la normatividad y doctrina consignadas en los estatutos (LEY 1819 DE 2016). </t>
  </si>
  <si>
    <t>13 DE JUNIO</t>
  </si>
  <si>
    <t xml:space="preserve">PROCEDIMIENTO DE RETIRO </t>
  </si>
  <si>
    <t>GESTION HUMANA/ CALIDAD</t>
  </si>
  <si>
    <t>Establecer la metodología utilizada por la empresa para dar por terminada la relación laboral conforme a lo establecido por la ley (Código Sustantivo delTrabajo), así como estandarizar las actividades requeridas para el retiro del servicio garantizando plena observancia de las normas y condiciones legales para ello establecidas</t>
  </si>
  <si>
    <t>21 DE JULIO</t>
  </si>
  <si>
    <t>GRUPO LOGIS</t>
  </si>
  <si>
    <t>TECNICA DE CLAVO CEFLOMEDULAR (FIXMEDICAL)</t>
  </si>
  <si>
    <t>APRENDER TECNICA QUIRUGICA Y MONTAJE DEL CLAVO CEFALOMEDULAR D</t>
  </si>
  <si>
    <t>12 DE MAYO</t>
  </si>
  <si>
    <t>DR JUAN GABRIL</t>
  </si>
  <si>
    <t>PRINCIPIOS DE LA  ORTOPEDIA</t>
  </si>
  <si>
    <t>FORMAR ASESORES QUIRURGICOS CAPACES DE BRIANDAR APOYO EN LA TOMA DE DECISIONES DE LOS ESPECIALISTAS TIENDO EN CUENTA LOS PRINCIPIOS BASICOS DE LA ORTOPEDIA</t>
  </si>
  <si>
    <t>MAGDA RINCON</t>
  </si>
  <si>
    <t>21 Y 22 DE MARZO</t>
  </si>
  <si>
    <t xml:space="preserve">JUAN FERMANDO </t>
  </si>
  <si>
    <t xml:space="preserve">1 DE ABRIL Y 31 DE MAYO </t>
  </si>
  <si>
    <t>7 DE JULIO</t>
  </si>
  <si>
    <t xml:space="preserve">CONOCIMIENTO PRACTICO DE DISPOSITIVOS MEDICOS </t>
  </si>
  <si>
    <t>Fortalecer los conocimientos teorico-practicos de los diferentes dispositivos medicos que se manejan con MEDIREX</t>
  </si>
  <si>
    <t>MEDIREX</t>
  </si>
  <si>
    <t>28 DE JULIO</t>
  </si>
  <si>
    <t>JULIO CESAR GRIRALDO</t>
  </si>
  <si>
    <t>CRONOGRAMA DE CAPACITACIONES II SEMESTRE 2017</t>
  </si>
  <si>
    <t xml:space="preserve">CALIDAD </t>
  </si>
  <si>
    <t>MENTALIDAD DE LIDER</t>
  </si>
  <si>
    <t>Proponer alternativas de solucion que contribuyan al logro de los objetivos  de acuerdo con el nivel de importancia y responsabilidad de las funciones asignadas por la organización</t>
  </si>
  <si>
    <t>CURSO AUDITORIA INTERNA EN SISTEMAS DE GESTION ISO 13485 2016</t>
  </si>
  <si>
    <t>Auditar a las organizaciones de acuerdo con la normatividad vigente</t>
  </si>
  <si>
    <t>ICONTEC</t>
  </si>
  <si>
    <t>ADMINISTRACION DEL RECURSO HUMANO</t>
  </si>
  <si>
    <t>CALIDAD- GESTION HUMANA</t>
  </si>
  <si>
    <t>Dirigir el talento humano según politicas y procesos organizacionales</t>
  </si>
  <si>
    <t xml:space="preserve">* RECORDAR ESTRUCTURAS ANATOMICAS DE LA RODILLA               * RECONOCER POR MEDIO DE GRAFICOS INSERCION DE LCA Y LCO,                                                                                                                     * ESTUDIAR TECNICAS QUIRURGICAS PARA REPARACION LCA Y LCP                 </t>
  </si>
  <si>
    <t>TECNICA DE LIGAMENTO CRUZADO ANTERIOR Y POSTERIOR</t>
  </si>
  <si>
    <t>TODOS LOS PROCESOS</t>
  </si>
  <si>
    <t xml:space="preserve">Fortalecer en la organización los conocimientos sobre el cambio en la nueva version de la NTC ISO 9001 </t>
  </si>
  <si>
    <t>JORGE POSADA</t>
  </si>
  <si>
    <t>EXCEL APLICADO A TRABAJOS ADMINISTRATIVOS Y DE CONTROLES</t>
  </si>
  <si>
    <t>Desarrollar actividades sistematicas avanzadas por medio de esta herramienta.</t>
  </si>
  <si>
    <t>ESIC SAS</t>
  </si>
  <si>
    <t>?</t>
  </si>
  <si>
    <t>CAMBIOS EN LA NORMA ISO 9001</t>
  </si>
  <si>
    <t>SEGURIDAD Y SALUD OCUPACIONAL</t>
  </si>
  <si>
    <t>LIDERAZGO</t>
  </si>
  <si>
    <t>Se realizan actividades para desarrollar las habilidades gerenciales o directivas de cada colaborador logrando sus metas y objetivos.</t>
  </si>
  <si>
    <t>Se quiere promover y mantenerel bienestar físico, mental y social de los colaboradores.</t>
  </si>
  <si>
    <t>OFIMATICA</t>
  </si>
  <si>
    <t>Desarrollar estrategias por medio de esta herramienta.</t>
  </si>
  <si>
    <t>ANALISIS FINANCIERO</t>
  </si>
  <si>
    <t>El objetivo de esta capacitacion es diagnosticar la situación y perspectivas de una empresa, de ésta manera determinar su situación financiera, con el fin de fundamentar la toma de decisiones adecuadas en el ámbito empresarial sobre un determinado negocio, su estado actual y perspectivas futuras. Sirve también como herramienta para evaluar la gestión administrativa y financiera de los negocios con el fin de evaluar, mejorar, optimizar y maximizar los recursos invertidos en la empresa: decidir sobre la viabilidad de utilizar u otorgar un crédito; proyectar la empresa hacia el futuro y decidir sobre la realización o no de una inversión, entre otros.</t>
  </si>
  <si>
    <t>ADMINISTRACION Y RECUPERACION DE LA CARTERA</t>
  </si>
  <si>
    <t xml:space="preserve"> establecer planes de administración y recuperación de la cartera, teniendo en cuenta los requerimientos de la organización donde pueda determinar las estrategias de seguimiento a la cartera para evitar su deterioro, de acuerdo con las políticas institucionales. Lo mismo que aprender a reconocer los elementos básicos de fidelización del cliente, de acuerdo al sector económico e Identificar los conceptos básicos para la presentación de informes relacionados con el estado de la cartera, acorde a las políticas de la organización. Aplicando así los diferentes planes de pago de crédito, según las normas legales e institucionales vigentes que regulen el manejo de la cartera.</t>
  </si>
  <si>
    <t>CALCULO E INTERPRETACION DE INDICADORES FINANCIEROS</t>
  </si>
  <si>
    <t>Adquirir conocimientos necesarios que permitan, calcular e interpretar los indicadores financieros de una empresa, de ésta manera poder determinar su situación financiera, con el objetivo fundamental de tomar decisiones adecuadas en el ámbito empresarial sobre un determinado negocio, su estado actual y perspectivas futuras.</t>
  </si>
  <si>
    <t>MEDIOS MAGNETICOS 2017</t>
  </si>
  <si>
    <t>mes</t>
  </si>
  <si>
    <t>FACT</t>
  </si>
  <si>
    <t>CALI</t>
  </si>
  <si>
    <t>G HUM</t>
  </si>
  <si>
    <t>ALM</t>
  </si>
  <si>
    <t>AT</t>
  </si>
  <si>
    <t>GER</t>
  </si>
  <si>
    <t>CONT</t>
  </si>
  <si>
    <t>% DE CUMPLIMIENTO ACTIVIDAD</t>
  </si>
  <si>
    <t>PLANEADO</t>
  </si>
  <si>
    <t>EJECUTADO</t>
  </si>
  <si>
    <t>P</t>
  </si>
  <si>
    <t>E</t>
  </si>
  <si>
    <t>CUMPLIMIENTO DE CAPACITACIONES 2017</t>
  </si>
  <si>
    <t>MATERIAL EN CONSIGNACION JOHNSON &amp; JOHNSON</t>
  </si>
  <si>
    <t>Fortalecer los conocimientos de los materiales que se  tienen actualmente con el proveedor para ofrecer un mejor servicio a los clientes</t>
  </si>
  <si>
    <t>JOHNSON &amp; JOHNSON</t>
  </si>
  <si>
    <t>PRESENTACION DE NUEVOS PRODUCTOS DE JOHNSON &amp; JOHNSON</t>
  </si>
  <si>
    <t>PROGRAMA DE TECNOVIGILANCIA</t>
  </si>
  <si>
    <t>Fortalecer los conceptos sobre el programa Naciobal de tecnovigilancia para el debido reporte de eventos e incidentes adversos</t>
  </si>
  <si>
    <t>011/12/2018</t>
  </si>
  <si>
    <t>EMIRO VEGA/ KEYLA PEREZ</t>
  </si>
  <si>
    <t>ANATOMIA RODILLA TECNICA REPARACION L.C.A - L.C.P</t>
  </si>
  <si>
    <t>Fortalecer conceptos para afianzar conocimientos en la labor diaria de instrumentacion quirurgica</t>
  </si>
  <si>
    <t>MANEJO MIDAS REX - PRODUCTOS MEDIREX</t>
  </si>
  <si>
    <t>LEDA MORALES MEDIREX</t>
  </si>
  <si>
    <t>Afianzar conocimientos para el buen  manejo de los equipos neumaticos de la organización</t>
  </si>
  <si>
    <t>PROCEDIMIENTO DE RETIRO  DE PERSONAL</t>
  </si>
  <si>
    <t>Forta</t>
  </si>
  <si>
    <t>CURSO ESPECIAL EN ORGANIZACIÓN DE ARCHIVOS ADMINISTRATIVOS</t>
  </si>
  <si>
    <t>CURSO ESPECIAL EN PRIMEROS AUXILIOS</t>
  </si>
  <si>
    <t>GESTION HUMANA/ FACTURACION/ ALMACEN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</si>
</sst>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sz val="10"/>
      <name val="Arial"/>
      <family val="2"/>
    </font>
    <font>
      <b/>
      <sz val="8"/>
      <name val="Arial"/>
      <family val="2"/>
    </font>
    <font>
      <sz val="8"/>
      <name val="Arial"/>
      <family val="2"/>
    </font>
    <font>
      <b/>
      <sz val="16"/>
      <color theme="1"/>
      <name val="Calibri"/>
      <family val="2"/>
      <scheme val="minor"/>
    </font>
    <font>
      <sz val="11"/>
      <color rgb="FF333333"/>
      <name val="Calibri"/>
      <family val="2"/>
      <scheme val="minor"/>
    </font>
    <font>
      <sz val="11"/>
      <color rgb="FF000000"/>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4"/>
      <color theme="1"/>
      <name val="Calibri"/>
      <family val="2"/>
      <scheme val="minor"/>
    </font>
    <font>
      <b/>
      <sz val="11"/>
      <color rgb="FF00B050"/>
      <name val="Calibri"/>
      <family val="2"/>
      <scheme val="minor"/>
    </font>
    <font>
      <b/>
      <sz val="11"/>
      <color rgb="FFFF0000"/>
      <name val="Calibri"/>
      <family val="2"/>
      <scheme val="minor"/>
    </font>
  </fonts>
  <fills count="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xf numFmtId="0" fontId="2" fillId="0" borderId="0"/>
    <xf numFmtId="9" fontId="8" fillId="0" borderId="0" applyFont="0" applyFill="0" applyBorder="0" applyAlignment="0" applyProtection="0"/>
  </cellStyleXfs>
  <cellXfs count="137">
    <xf numFmtId="0" fontId="0" fillId="0" borderId="0" xfId="0"/>
    <xf numFmtId="14" fontId="0" fillId="0" borderId="0" xfId="0" applyNumberFormat="1"/>
    <xf numFmtId="0" fontId="0" fillId="0" borderId="0" xfId="0" applyAlignment="1">
      <alignment horizontal="center"/>
    </xf>
    <xf numFmtId="0" fontId="3" fillId="2" borderId="1" xfId="1" applyFont="1" applyFill="1" applyBorder="1" applyAlignment="1">
      <alignment horizontal="left" vertical="center" wrapText="1"/>
    </xf>
    <xf numFmtId="0" fontId="3" fillId="2" borderId="1" xfId="1" applyFont="1" applyFill="1" applyBorder="1" applyAlignment="1">
      <alignment horizontal="left" wrapText="1"/>
    </xf>
    <xf numFmtId="0" fontId="0" fillId="0" borderId="0" xfId="0" applyAlignment="1">
      <alignment vertical="top" wrapText="1"/>
    </xf>
    <xf numFmtId="0" fontId="0" fillId="0" borderId="0" xfId="0" applyFill="1"/>
    <xf numFmtId="0" fontId="0" fillId="0" borderId="0" xfId="0" applyAlignment="1">
      <alignment horizontal="left" vertical="top" wrapText="1"/>
    </xf>
    <xf numFmtId="0" fontId="0" fillId="0" borderId="0" xfId="0" applyAlignment="1">
      <alignment horizontal="left"/>
    </xf>
    <xf numFmtId="0" fontId="0" fillId="0" borderId="0" xfId="0" applyAlignment="1">
      <alignment horizontal="center" vertical="top" wrapText="1"/>
    </xf>
    <xf numFmtId="0" fontId="0" fillId="3" borderId="1" xfId="0" applyFill="1" applyBorder="1" applyAlignment="1">
      <alignment horizontal="left" vertical="center" wrapText="1"/>
    </xf>
    <xf numFmtId="0" fontId="0" fillId="3" borderId="1" xfId="0" applyFill="1" applyBorder="1" applyAlignment="1">
      <alignment horizontal="center" vertical="center"/>
    </xf>
    <xf numFmtId="0" fontId="0" fillId="3" borderId="4" xfId="0" applyFill="1" applyBorder="1" applyAlignment="1">
      <alignment horizontal="center" vertical="center"/>
    </xf>
    <xf numFmtId="0" fontId="0" fillId="3" borderId="2" xfId="0" applyFill="1" applyBorder="1" applyAlignment="1">
      <alignment vertical="center" wrapText="1"/>
    </xf>
    <xf numFmtId="0" fontId="0" fillId="3" borderId="1" xfId="0" applyFill="1" applyBorder="1" applyAlignment="1">
      <alignment horizontal="center" vertical="center" wrapText="1"/>
    </xf>
    <xf numFmtId="14" fontId="0" fillId="3" borderId="1" xfId="0" applyNumberFormat="1" applyFill="1" applyBorder="1" applyAlignment="1">
      <alignment horizontal="center" vertical="center"/>
    </xf>
    <xf numFmtId="0" fontId="0" fillId="3" borderId="1" xfId="0" applyFill="1" applyBorder="1" applyAlignment="1">
      <alignment horizontal="center"/>
    </xf>
    <xf numFmtId="0" fontId="1" fillId="3" borderId="1" xfId="0" applyFont="1" applyFill="1" applyBorder="1" applyAlignment="1">
      <alignment horizontal="center"/>
    </xf>
    <xf numFmtId="0" fontId="0" fillId="3" borderId="0" xfId="0" applyFill="1" applyBorder="1"/>
    <xf numFmtId="0" fontId="0" fillId="3" borderId="0" xfId="0" applyFill="1"/>
    <xf numFmtId="14" fontId="0" fillId="3" borderId="1" xfId="0" applyNumberFormat="1" applyFill="1" applyBorder="1" applyAlignment="1">
      <alignment horizontal="center" vertical="center" wrapText="1"/>
    </xf>
    <xf numFmtId="0" fontId="1" fillId="3" borderId="1" xfId="0" applyFont="1" applyFill="1" applyBorder="1" applyAlignment="1">
      <alignment horizontal="center" vertical="center"/>
    </xf>
    <xf numFmtId="0" fontId="0" fillId="3" borderId="4" xfId="0" applyFill="1" applyBorder="1" applyAlignment="1">
      <alignment horizontal="center" vertical="center" wrapText="1"/>
    </xf>
    <xf numFmtId="0" fontId="0" fillId="3" borderId="1" xfId="0" applyFill="1" applyBorder="1" applyAlignment="1" applyProtection="1">
      <alignment horizontal="left" wrapText="1"/>
    </xf>
    <xf numFmtId="0" fontId="0" fillId="3" borderId="0" xfId="0" applyFill="1" applyAlignment="1">
      <alignment horizontal="center"/>
    </xf>
    <xf numFmtId="0" fontId="0" fillId="3" borderId="0" xfId="0" applyFill="1" applyAlignment="1">
      <alignment horizontal="left"/>
    </xf>
    <xf numFmtId="14" fontId="0" fillId="3" borderId="0" xfId="0" applyNumberFormat="1" applyFill="1"/>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3" borderId="2" xfId="0" applyFill="1" applyBorder="1" applyAlignment="1" applyProtection="1">
      <alignment horizontal="center" vertical="center" wrapText="1"/>
    </xf>
    <xf numFmtId="0" fontId="0" fillId="3" borderId="0" xfId="0" applyFill="1" applyBorder="1" applyAlignment="1">
      <alignment vertical="center" wrapText="1"/>
    </xf>
    <xf numFmtId="0" fontId="0" fillId="3" borderId="3" xfId="0" applyFill="1" applyBorder="1" applyAlignment="1">
      <alignment vertical="center" wrapText="1"/>
    </xf>
    <xf numFmtId="0" fontId="0" fillId="3" borderId="0" xfId="0" applyFill="1" applyBorder="1" applyAlignment="1">
      <alignment horizontal="center" vertical="center"/>
    </xf>
    <xf numFmtId="0" fontId="0" fillId="3" borderId="0" xfId="0" applyFill="1" applyBorder="1" applyAlignment="1">
      <alignment horizontal="left" vertical="center" wrapText="1"/>
    </xf>
    <xf numFmtId="0" fontId="0" fillId="3" borderId="0" xfId="0" applyFill="1" applyBorder="1" applyAlignment="1">
      <alignment horizontal="center" vertical="center" wrapText="1"/>
    </xf>
    <xf numFmtId="14" fontId="0" fillId="3" borderId="0" xfId="0" applyNumberFormat="1" applyFill="1" applyBorder="1" applyAlignment="1">
      <alignment horizontal="center" vertical="center"/>
    </xf>
    <xf numFmtId="0" fontId="1" fillId="3" borderId="0" xfId="0" applyFont="1" applyFill="1" applyBorder="1" applyAlignment="1">
      <alignment horizontal="center" vertical="center"/>
    </xf>
    <xf numFmtId="0" fontId="0" fillId="3" borderId="3" xfId="0" applyFill="1" applyBorder="1"/>
    <xf numFmtId="0" fontId="0" fillId="3" borderId="0" xfId="0" applyFill="1" applyBorder="1" applyAlignment="1">
      <alignment horizontal="center"/>
    </xf>
    <xf numFmtId="0" fontId="0" fillId="3" borderId="0" xfId="0" applyFill="1" applyBorder="1" applyAlignment="1">
      <alignment horizontal="left"/>
    </xf>
    <xf numFmtId="0" fontId="0" fillId="3" borderId="2" xfId="0" applyFont="1" applyFill="1" applyBorder="1" applyAlignment="1">
      <alignment horizontal="left" vertical="center" wrapText="1"/>
    </xf>
    <xf numFmtId="0" fontId="0" fillId="3" borderId="4" xfId="0" applyFont="1" applyFill="1" applyBorder="1" applyAlignment="1">
      <alignment horizontal="center" vertical="center"/>
    </xf>
    <xf numFmtId="0" fontId="0" fillId="3" borderId="2" xfId="0" applyFont="1" applyFill="1" applyBorder="1" applyAlignment="1">
      <alignment horizontal="center" vertical="center"/>
    </xf>
    <xf numFmtId="14" fontId="0" fillId="3" borderId="1" xfId="0" applyNumberFormat="1" applyFont="1" applyFill="1" applyBorder="1" applyAlignment="1">
      <alignment horizontal="center" vertical="center"/>
    </xf>
    <xf numFmtId="0" fontId="0" fillId="3" borderId="1" xfId="0" applyFont="1" applyFill="1" applyBorder="1" applyAlignment="1">
      <alignment horizontal="center" vertical="center"/>
    </xf>
    <xf numFmtId="0" fontId="0"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6" fillId="0" borderId="1" xfId="0" applyFont="1" applyBorder="1" applyAlignment="1">
      <alignment wrapText="1"/>
    </xf>
    <xf numFmtId="0" fontId="0" fillId="3" borderId="4" xfId="0" applyFill="1" applyBorder="1" applyAlignment="1">
      <alignment horizontal="center" vertical="center" wrapText="1"/>
    </xf>
    <xf numFmtId="0" fontId="7" fillId="0" borderId="1" xfId="0" applyFont="1" applyBorder="1" applyAlignment="1">
      <alignment wrapText="1"/>
    </xf>
    <xf numFmtId="0" fontId="0" fillId="3" borderId="4" xfId="0" applyFill="1" applyBorder="1" applyAlignment="1">
      <alignment horizontal="center" vertical="center" wrapText="1"/>
    </xf>
    <xf numFmtId="0" fontId="0" fillId="3" borderId="0" xfId="0" applyFill="1" applyBorder="1" applyAlignment="1">
      <alignment horizontal="center"/>
    </xf>
    <xf numFmtId="0" fontId="0" fillId="3" borderId="1" xfId="0" applyFill="1" applyBorder="1" applyAlignment="1">
      <alignment horizontal="left"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4" xfId="0" applyFill="1" applyBorder="1" applyAlignment="1">
      <alignment vertical="center" wrapText="1"/>
    </xf>
    <xf numFmtId="0" fontId="0" fillId="3" borderId="5" xfId="0" applyFill="1" applyBorder="1" applyAlignment="1">
      <alignment vertical="center" wrapText="1"/>
    </xf>
    <xf numFmtId="0" fontId="0" fillId="3" borderId="1" xfId="0" applyFill="1" applyBorder="1" applyAlignment="1">
      <alignment horizontal="left" vertical="center" wrapText="1"/>
    </xf>
    <xf numFmtId="0" fontId="1" fillId="3" borderId="1" xfId="0" applyFont="1" applyFill="1" applyBorder="1" applyAlignment="1">
      <alignment horizontal="center" vertical="center"/>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4" xfId="0" applyFill="1" applyBorder="1" applyAlignment="1">
      <alignment vertical="center" wrapText="1"/>
    </xf>
    <xf numFmtId="0" fontId="0" fillId="3" borderId="5" xfId="0" applyFill="1" applyBorder="1" applyAlignment="1">
      <alignment vertical="center" wrapText="1"/>
    </xf>
    <xf numFmtId="0" fontId="0" fillId="3" borderId="1" xfId="0" applyFill="1" applyBorder="1" applyAlignment="1">
      <alignment vertical="center" wrapText="1"/>
    </xf>
    <xf numFmtId="0" fontId="0" fillId="3" borderId="1" xfId="0" applyFill="1" applyBorder="1" applyAlignment="1">
      <alignment horizontal="left" vertical="center" wrapText="1"/>
    </xf>
    <xf numFmtId="0" fontId="0" fillId="0" borderId="9" xfId="0" applyBorder="1" applyAlignment="1">
      <alignment horizontal="center" vertical="center"/>
    </xf>
    <xf numFmtId="0" fontId="9" fillId="4" borderId="1" xfId="0" applyFont="1" applyFill="1" applyBorder="1" applyAlignment="1">
      <alignment horizontal="center" vertical="center" wrapText="1"/>
    </xf>
    <xf numFmtId="0" fontId="9" fillId="4" borderId="9" xfId="0" applyFont="1" applyFill="1" applyBorder="1" applyAlignment="1">
      <alignment horizontal="center" vertical="center"/>
    </xf>
    <xf numFmtId="0" fontId="9" fillId="4" borderId="9" xfId="0" applyFont="1" applyFill="1" applyBorder="1" applyAlignment="1">
      <alignment vertical="center"/>
    </xf>
    <xf numFmtId="0" fontId="0" fillId="0" borderId="16" xfId="0" applyBorder="1" applyAlignment="1">
      <alignment horizontal="center" vertical="center"/>
    </xf>
    <xf numFmtId="0" fontId="0" fillId="0" borderId="17" xfId="0" applyBorder="1"/>
    <xf numFmtId="0" fontId="0" fillId="0" borderId="19" xfId="0" applyBorder="1" applyAlignment="1">
      <alignment horizontal="center" vertical="center"/>
    </xf>
    <xf numFmtId="0" fontId="0" fillId="0" borderId="20" xfId="0" applyBorder="1"/>
    <xf numFmtId="0" fontId="0" fillId="5" borderId="16" xfId="0" applyFill="1" applyBorder="1" applyAlignment="1">
      <alignment horizontal="center" vertical="center"/>
    </xf>
    <xf numFmtId="0" fontId="0" fillId="5" borderId="17" xfId="0" applyFill="1" applyBorder="1"/>
    <xf numFmtId="0" fontId="0" fillId="5" borderId="19" xfId="0" applyFill="1" applyBorder="1" applyAlignment="1">
      <alignment horizontal="center" vertical="center"/>
    </xf>
    <xf numFmtId="0" fontId="0" fillId="5" borderId="20" xfId="0" applyFill="1" applyBorder="1"/>
    <xf numFmtId="0" fontId="12" fillId="5" borderId="16" xfId="0" applyFont="1" applyFill="1" applyBorder="1" applyAlignment="1">
      <alignment horizontal="center" vertical="center"/>
    </xf>
    <xf numFmtId="0" fontId="13" fillId="5" borderId="19" xfId="0" applyFont="1" applyFill="1" applyBorder="1" applyAlignment="1">
      <alignment horizontal="center" vertical="center"/>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13" fillId="5" borderId="9" xfId="0" applyFont="1" applyFill="1" applyBorder="1" applyAlignment="1">
      <alignment horizontal="center" vertical="center"/>
    </xf>
    <xf numFmtId="0" fontId="0" fillId="0" borderId="22" xfId="0" applyBorder="1"/>
    <xf numFmtId="0" fontId="0" fillId="0" borderId="16" xfId="0" applyFont="1" applyBorder="1" applyAlignment="1">
      <alignment horizontal="center" vertical="center"/>
    </xf>
    <xf numFmtId="0" fontId="0" fillId="0" borderId="19" xfId="0" applyFont="1" applyBorder="1" applyAlignment="1">
      <alignment horizontal="center" vertical="center"/>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0" xfId="0" applyFill="1" applyBorder="1" applyAlignment="1">
      <alignment horizontal="center"/>
    </xf>
    <xf numFmtId="0" fontId="0" fillId="3" borderId="1" xfId="0" applyFill="1" applyBorder="1" applyAlignment="1">
      <alignment horizontal="left" vertical="center" wrapText="1"/>
    </xf>
    <xf numFmtId="0" fontId="0" fillId="3" borderId="1" xfId="0" applyFill="1" applyBorder="1" applyAlignment="1">
      <alignment vertical="center" wrapText="1"/>
    </xf>
    <xf numFmtId="0" fontId="0" fillId="3" borderId="4" xfId="0" applyFill="1" applyBorder="1" applyAlignment="1">
      <alignment vertical="center" wrapText="1"/>
    </xf>
    <xf numFmtId="0" fontId="0" fillId="3" borderId="5" xfId="0" applyFill="1" applyBorder="1" applyAlignment="1">
      <alignment vertical="center" wrapText="1"/>
    </xf>
    <xf numFmtId="0" fontId="0" fillId="3" borderId="4" xfId="0" applyFont="1" applyFill="1" applyBorder="1" applyAlignment="1">
      <alignment horizontal="center" vertical="center"/>
    </xf>
    <xf numFmtId="0" fontId="0" fillId="3" borderId="5" xfId="0" applyFont="1" applyFill="1" applyBorder="1" applyAlignment="1">
      <alignment horizontal="center" vertical="center"/>
    </xf>
    <xf numFmtId="0" fontId="0" fillId="3" borderId="4" xfId="0" applyFill="1" applyBorder="1" applyAlignment="1">
      <alignment horizontal="left" vertical="center" wrapText="1"/>
    </xf>
    <xf numFmtId="0" fontId="0" fillId="3" borderId="5" xfId="0" applyFill="1" applyBorder="1" applyAlignment="1">
      <alignment horizontal="left" vertical="center" wrapText="1"/>
    </xf>
    <xf numFmtId="0" fontId="0" fillId="0" borderId="9" xfId="0" applyBorder="1" applyAlignment="1">
      <alignment horizontal="center"/>
    </xf>
    <xf numFmtId="0" fontId="0" fillId="0" borderId="14" xfId="0" applyBorder="1" applyAlignment="1">
      <alignment horizontal="center"/>
    </xf>
    <xf numFmtId="0" fontId="0" fillId="0" borderId="2" xfId="0" applyBorder="1" applyAlignment="1">
      <alignment horizont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0" xfId="0" applyFont="1" applyBorder="1" applyAlignment="1">
      <alignment horizontal="center" vertical="center"/>
    </xf>
    <xf numFmtId="0" fontId="5" fillId="0" borderId="12" xfId="0" applyFont="1" applyBorder="1" applyAlignment="1">
      <alignment horizontal="center" vertical="center"/>
    </xf>
    <xf numFmtId="0" fontId="5" fillId="0" borderId="6" xfId="0" applyFont="1" applyBorder="1" applyAlignment="1">
      <alignment horizontal="center" vertical="center"/>
    </xf>
    <xf numFmtId="0" fontId="5" fillId="0" borderId="3" xfId="0" applyFont="1" applyBorder="1" applyAlignment="1">
      <alignment horizontal="center" vertical="center"/>
    </xf>
    <xf numFmtId="0" fontId="5" fillId="0" borderId="13" xfId="0" applyFont="1" applyBorder="1" applyAlignment="1">
      <alignment horizontal="center" vertical="center"/>
    </xf>
    <xf numFmtId="0" fontId="0" fillId="0" borderId="1" xfId="0" applyBorder="1" applyAlignment="1">
      <alignment horizontal="left" vertical="top" wrapText="1"/>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xf>
    <xf numFmtId="0" fontId="1" fillId="3" borderId="9" xfId="0" applyFont="1" applyFill="1" applyBorder="1" applyAlignment="1">
      <alignment horizontal="center" vertical="center"/>
    </xf>
    <xf numFmtId="0" fontId="1" fillId="3" borderId="2" xfId="0" applyFont="1" applyFill="1" applyBorder="1" applyAlignment="1">
      <alignment horizontal="center" vertical="center"/>
    </xf>
    <xf numFmtId="14" fontId="1" fillId="3" borderId="1" xfId="0" applyNumberFormat="1" applyFont="1" applyFill="1" applyBorder="1" applyAlignment="1">
      <alignment horizontal="center" vertical="center"/>
    </xf>
    <xf numFmtId="0" fontId="1" fillId="3" borderId="1" xfId="0" applyFont="1" applyFill="1" applyBorder="1" applyAlignment="1">
      <alignment horizontal="center" vertical="center" wrapText="1"/>
    </xf>
    <xf numFmtId="0" fontId="1" fillId="0" borderId="15" xfId="0" applyFont="1" applyBorder="1" applyAlignment="1">
      <alignment horizontal="center" vertical="center"/>
    </xf>
    <xf numFmtId="0" fontId="1" fillId="0" borderId="18" xfId="0" applyFont="1" applyBorder="1" applyAlignment="1">
      <alignment horizontal="center" vertical="center"/>
    </xf>
    <xf numFmtId="0" fontId="1" fillId="5" borderId="15" xfId="0" applyFont="1" applyFill="1" applyBorder="1" applyAlignment="1">
      <alignment horizontal="center" vertical="center"/>
    </xf>
    <xf numFmtId="0" fontId="1" fillId="5" borderId="18" xfId="0" applyFont="1" applyFill="1" applyBorder="1" applyAlignment="1">
      <alignment horizontal="center" vertical="center"/>
    </xf>
    <xf numFmtId="9" fontId="0" fillId="0" borderId="1" xfId="2" applyFont="1" applyBorder="1" applyAlignment="1">
      <alignment horizontal="center"/>
    </xf>
    <xf numFmtId="9" fontId="0" fillId="0" borderId="9" xfId="2" applyFont="1" applyBorder="1" applyAlignment="1">
      <alignment horizontal="center"/>
    </xf>
    <xf numFmtId="0" fontId="0" fillId="0" borderId="10" xfId="0" applyBorder="1" applyAlignment="1">
      <alignment horizontal="center" vertical="center"/>
    </xf>
    <xf numFmtId="0" fontId="0" fillId="0" borderId="13"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xf numFmtId="0" fontId="5" fillId="0" borderId="1" xfId="0" applyFont="1" applyBorder="1" applyAlignment="1">
      <alignment horizontal="center" vertical="center"/>
    </xf>
    <xf numFmtId="0" fontId="9" fillId="4" borderId="7" xfId="0" applyFont="1" applyFill="1" applyBorder="1" applyAlignment="1">
      <alignment horizontal="center" vertical="center"/>
    </xf>
    <xf numFmtId="0" fontId="9" fillId="4" borderId="10" xfId="0" applyFont="1" applyFill="1" applyBorder="1" applyAlignment="1">
      <alignment horizontal="center" vertical="center"/>
    </xf>
    <xf numFmtId="9" fontId="11" fillId="0" borderId="1" xfId="2" applyFont="1" applyBorder="1" applyAlignment="1">
      <alignment horizontal="center"/>
    </xf>
    <xf numFmtId="0" fontId="11" fillId="0" borderId="1" xfId="0" applyFont="1" applyBorder="1" applyAlignment="1">
      <alignment horizontal="center"/>
    </xf>
    <xf numFmtId="0" fontId="11" fillId="0" borderId="1" xfId="0" applyFont="1"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1" fillId="0" borderId="21" xfId="0" applyFont="1" applyBorder="1" applyAlignment="1">
      <alignment horizontal="center" vertical="center"/>
    </xf>
  </cellXfs>
  <cellStyles count="3">
    <cellStyle name="Normal" xfId="0" builtinId="0"/>
    <cellStyle name="Normal 2" xfId="1" xr:uid="{00000000-0005-0000-0000-000001000000}"/>
    <cellStyle name="Porcentaje"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295276</xdr:colOff>
      <xdr:row>1</xdr:row>
      <xdr:rowOff>38100</xdr:rowOff>
    </xdr:from>
    <xdr:to>
      <xdr:col>0</xdr:col>
      <xdr:colOff>1171575</xdr:colOff>
      <xdr:row>3</xdr:row>
      <xdr:rowOff>47625</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6" y="228600"/>
          <a:ext cx="876299"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295276</xdr:colOff>
      <xdr:row>1</xdr:row>
      <xdr:rowOff>38100</xdr:rowOff>
    </xdr:from>
    <xdr:to>
      <xdr:col>0</xdr:col>
      <xdr:colOff>1171575</xdr:colOff>
      <xdr:row>3</xdr:row>
      <xdr:rowOff>47625</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6" y="228600"/>
          <a:ext cx="876299"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2:FF61"/>
  <sheetViews>
    <sheetView zoomScale="77" zoomScaleNormal="77" workbookViewId="0">
      <selection activeCell="G18" sqref="G18"/>
    </sheetView>
  </sheetViews>
  <sheetFormatPr baseColWidth="10" defaultRowHeight="15" x14ac:dyDescent="0.25"/>
  <cols>
    <col min="1" max="1" width="23.85546875" customWidth="1"/>
    <col min="2" max="2" width="20.5703125" customWidth="1"/>
    <col min="3" max="3" width="27.5703125" style="2" customWidth="1"/>
    <col min="4" max="4" width="55.28515625" style="8" customWidth="1"/>
    <col min="5" max="5" width="24.7109375" style="2" customWidth="1"/>
    <col min="6" max="6" width="21.7109375" style="1" bestFit="1" customWidth="1"/>
    <col min="7" max="7" width="21.7109375" customWidth="1"/>
    <col min="8" max="8" width="39.42578125" customWidth="1"/>
    <col min="9" max="9" width="24.85546875" customWidth="1"/>
    <col min="10" max="10" width="38.42578125" bestFit="1" customWidth="1"/>
    <col min="11" max="162" width="11.42578125" style="6"/>
  </cols>
  <sheetData>
    <row r="2" spans="1:11" ht="15" customHeight="1" x14ac:dyDescent="0.25">
      <c r="A2" s="99"/>
      <c r="B2" s="102" t="s">
        <v>21</v>
      </c>
      <c r="C2" s="103"/>
      <c r="D2" s="103"/>
      <c r="E2" s="103"/>
      <c r="F2" s="103"/>
      <c r="G2" s="103"/>
      <c r="H2" s="103"/>
      <c r="I2" s="104"/>
      <c r="J2" s="4" t="s">
        <v>12</v>
      </c>
    </row>
    <row r="3" spans="1:11" ht="15" customHeight="1" x14ac:dyDescent="0.25">
      <c r="A3" s="100"/>
      <c r="B3" s="105"/>
      <c r="C3" s="106"/>
      <c r="D3" s="106"/>
      <c r="E3" s="106"/>
      <c r="F3" s="106"/>
      <c r="G3" s="106"/>
      <c r="H3" s="106"/>
      <c r="I3" s="107"/>
      <c r="J3" s="3" t="s">
        <v>13</v>
      </c>
    </row>
    <row r="4" spans="1:11" ht="9.75" customHeight="1" x14ac:dyDescent="0.25">
      <c r="A4" s="101"/>
      <c r="B4" s="108"/>
      <c r="C4" s="109"/>
      <c r="D4" s="109"/>
      <c r="E4" s="109"/>
      <c r="F4" s="109"/>
      <c r="G4" s="109"/>
      <c r="H4" s="109"/>
      <c r="I4" s="110"/>
      <c r="J4" s="3" t="s">
        <v>9</v>
      </c>
    </row>
    <row r="5" spans="1:11" ht="15" customHeight="1" x14ac:dyDescent="0.25">
      <c r="A5" s="111" t="s">
        <v>10</v>
      </c>
      <c r="B5" s="111"/>
      <c r="C5" s="111"/>
      <c r="D5" s="111"/>
      <c r="E5" s="111"/>
      <c r="F5" s="111"/>
      <c r="G5" s="111"/>
      <c r="H5" s="111"/>
      <c r="I5" s="111"/>
      <c r="J5" s="111"/>
    </row>
    <row r="6" spans="1:11" x14ac:dyDescent="0.25">
      <c r="A6" s="111"/>
      <c r="B6" s="111"/>
      <c r="C6" s="111"/>
      <c r="D6" s="111"/>
      <c r="E6" s="111"/>
      <c r="F6" s="111"/>
      <c r="G6" s="111"/>
      <c r="H6" s="111"/>
      <c r="I6" s="111"/>
      <c r="J6" s="111"/>
    </row>
    <row r="7" spans="1:11" ht="18.75" customHeight="1" x14ac:dyDescent="0.25">
      <c r="A7" s="5"/>
      <c r="B7" s="5"/>
      <c r="C7" s="5"/>
      <c r="D7" s="7"/>
      <c r="E7" s="9"/>
      <c r="F7" s="5"/>
      <c r="G7" s="5"/>
      <c r="H7" s="5"/>
      <c r="I7" s="5"/>
      <c r="J7" s="5"/>
    </row>
    <row r="8" spans="1:11" s="19" customFormat="1" x14ac:dyDescent="0.25">
      <c r="C8" s="24"/>
      <c r="D8" s="25"/>
      <c r="E8" s="24"/>
      <c r="F8" s="26"/>
    </row>
    <row r="9" spans="1:11" s="19" customFormat="1" x14ac:dyDescent="0.25">
      <c r="C9" s="24"/>
      <c r="D9" s="25"/>
      <c r="E9" s="24"/>
      <c r="F9" s="26"/>
    </row>
    <row r="10" spans="1:11" s="19" customFormat="1" x14ac:dyDescent="0.25">
      <c r="C10" s="24"/>
      <c r="D10" s="25"/>
      <c r="E10" s="24"/>
      <c r="F10" s="26"/>
    </row>
    <row r="11" spans="1:11" s="19" customFormat="1" x14ac:dyDescent="0.25">
      <c r="C11" s="24"/>
      <c r="D11" s="25"/>
      <c r="E11" s="24"/>
      <c r="F11" s="26"/>
    </row>
    <row r="12" spans="1:11" s="19" customFormat="1" x14ac:dyDescent="0.25">
      <c r="A12" s="112" t="s">
        <v>0</v>
      </c>
      <c r="B12" s="112"/>
      <c r="C12" s="112" t="s">
        <v>1</v>
      </c>
      <c r="D12" s="113" t="s">
        <v>6</v>
      </c>
      <c r="E12" s="114" t="s">
        <v>11</v>
      </c>
      <c r="F12" s="116" t="s">
        <v>3</v>
      </c>
      <c r="G12" s="112" t="s">
        <v>4</v>
      </c>
      <c r="H12" s="117" t="s">
        <v>5</v>
      </c>
      <c r="I12" s="117" t="s">
        <v>7</v>
      </c>
      <c r="J12" s="117"/>
    </row>
    <row r="13" spans="1:11" s="19" customFormat="1" hidden="1" x14ac:dyDescent="0.25">
      <c r="A13" s="112"/>
      <c r="B13" s="112"/>
      <c r="C13" s="112"/>
      <c r="D13" s="113"/>
      <c r="E13" s="115"/>
      <c r="F13" s="116"/>
      <c r="G13" s="112"/>
      <c r="H13" s="117"/>
      <c r="I13" s="28" t="s">
        <v>8</v>
      </c>
      <c r="J13" s="21" t="s">
        <v>17</v>
      </c>
    </row>
    <row r="14" spans="1:11" s="19" customFormat="1" ht="30" hidden="1" x14ac:dyDescent="0.25">
      <c r="A14" s="95" t="s">
        <v>64</v>
      </c>
      <c r="B14" s="96"/>
      <c r="C14" s="41" t="s">
        <v>65</v>
      </c>
      <c r="D14" s="40" t="s">
        <v>66</v>
      </c>
      <c r="E14" s="42" t="s">
        <v>18</v>
      </c>
      <c r="F14" s="43" t="s">
        <v>23</v>
      </c>
      <c r="G14" s="44" t="s">
        <v>67</v>
      </c>
      <c r="H14" s="45" t="s">
        <v>68</v>
      </c>
      <c r="I14" s="45" t="s">
        <v>46</v>
      </c>
      <c r="J14" s="27"/>
    </row>
    <row r="15" spans="1:11" s="19" customFormat="1" ht="90" hidden="1" customHeight="1" x14ac:dyDescent="0.25">
      <c r="A15" s="97" t="s">
        <v>30</v>
      </c>
      <c r="B15" s="98"/>
      <c r="C15" s="22" t="s">
        <v>16</v>
      </c>
      <c r="D15" s="13" t="s">
        <v>31</v>
      </c>
      <c r="E15" s="14" t="s">
        <v>18</v>
      </c>
      <c r="F15" s="15" t="s">
        <v>25</v>
      </c>
      <c r="G15" s="15" t="s">
        <v>96</v>
      </c>
      <c r="H15" s="11" t="s">
        <v>40</v>
      </c>
      <c r="I15" s="17"/>
      <c r="J15" s="17" t="s">
        <v>72</v>
      </c>
      <c r="K15" s="18"/>
    </row>
    <row r="16" spans="1:11" s="19" customFormat="1" ht="90" hidden="1" customHeight="1" x14ac:dyDescent="0.25">
      <c r="A16" s="93" t="s">
        <v>41</v>
      </c>
      <c r="B16" s="94"/>
      <c r="C16" s="14" t="s">
        <v>15</v>
      </c>
      <c r="D16" s="10" t="s">
        <v>42</v>
      </c>
      <c r="E16" s="11" t="s">
        <v>18</v>
      </c>
      <c r="F16" s="15" t="s">
        <v>25</v>
      </c>
      <c r="G16" s="15"/>
      <c r="H16" s="11" t="s">
        <v>43</v>
      </c>
      <c r="I16" s="17"/>
      <c r="J16" s="17" t="s">
        <v>46</v>
      </c>
      <c r="K16" s="18"/>
    </row>
    <row r="17" spans="1:11" s="19" customFormat="1" ht="74.25" hidden="1" customHeight="1" x14ac:dyDescent="0.25">
      <c r="A17" s="92" t="s">
        <v>33</v>
      </c>
      <c r="B17" s="92"/>
      <c r="C17" s="48" t="s">
        <v>16</v>
      </c>
      <c r="D17" s="13" t="s">
        <v>34</v>
      </c>
      <c r="E17" s="14" t="s">
        <v>18</v>
      </c>
      <c r="F17" s="15" t="s">
        <v>32</v>
      </c>
      <c r="G17" s="16" t="s">
        <v>63</v>
      </c>
      <c r="H17" s="16" t="s">
        <v>97</v>
      </c>
      <c r="I17" s="17" t="s">
        <v>46</v>
      </c>
      <c r="J17" s="17" t="s">
        <v>46</v>
      </c>
      <c r="K17" s="18"/>
    </row>
    <row r="18" spans="1:11" s="19" customFormat="1" ht="53.25" customHeight="1" x14ac:dyDescent="0.25">
      <c r="A18" s="93" t="s">
        <v>44</v>
      </c>
      <c r="B18" s="94"/>
      <c r="C18" s="22" t="s">
        <v>15</v>
      </c>
      <c r="D18" s="29" t="s">
        <v>45</v>
      </c>
      <c r="E18" s="14" t="s">
        <v>18</v>
      </c>
      <c r="F18" s="15" t="s">
        <v>35</v>
      </c>
      <c r="G18" s="15">
        <v>42851</v>
      </c>
      <c r="H18" s="16" t="s">
        <v>36</v>
      </c>
      <c r="I18" s="17"/>
      <c r="J18" s="17"/>
      <c r="K18" s="18"/>
    </row>
    <row r="19" spans="1:11" s="19" customFormat="1" ht="44.25" customHeight="1" x14ac:dyDescent="0.25">
      <c r="A19" s="92" t="s">
        <v>69</v>
      </c>
      <c r="B19" s="92"/>
      <c r="C19" s="22" t="s">
        <v>39</v>
      </c>
      <c r="D19" s="29" t="s">
        <v>70</v>
      </c>
      <c r="E19" s="14" t="s">
        <v>18</v>
      </c>
      <c r="F19" s="15" t="s">
        <v>35</v>
      </c>
      <c r="G19" s="15"/>
      <c r="H19" s="16" t="s">
        <v>71</v>
      </c>
      <c r="I19" s="17"/>
      <c r="J19" s="17"/>
      <c r="K19" s="18"/>
    </row>
    <row r="20" spans="1:11" s="19" customFormat="1" ht="117.75" hidden="1" customHeight="1" x14ac:dyDescent="0.25">
      <c r="A20" s="88" t="s">
        <v>27</v>
      </c>
      <c r="B20" s="89"/>
      <c r="C20" s="12" t="s">
        <v>73</v>
      </c>
      <c r="D20" s="13" t="s">
        <v>74</v>
      </c>
      <c r="E20" s="14" t="s">
        <v>19</v>
      </c>
      <c r="F20" s="15" t="s">
        <v>37</v>
      </c>
      <c r="G20" s="15"/>
      <c r="H20" s="16" t="s">
        <v>75</v>
      </c>
      <c r="I20" s="17"/>
      <c r="J20" s="17"/>
      <c r="K20" s="18"/>
    </row>
    <row r="21" spans="1:11" s="19" customFormat="1" ht="117.75" hidden="1" customHeight="1" x14ac:dyDescent="0.25">
      <c r="A21" s="88" t="s">
        <v>89</v>
      </c>
      <c r="B21" s="89"/>
      <c r="C21" s="12" t="s">
        <v>65</v>
      </c>
      <c r="D21" s="13" t="s">
        <v>90</v>
      </c>
      <c r="E21" s="14" t="s">
        <v>18</v>
      </c>
      <c r="F21" s="15" t="s">
        <v>37</v>
      </c>
      <c r="G21" s="15" t="s">
        <v>91</v>
      </c>
      <c r="H21" s="16" t="s">
        <v>95</v>
      </c>
      <c r="I21" s="17" t="s">
        <v>46</v>
      </c>
      <c r="J21" s="17"/>
      <c r="K21" s="18"/>
    </row>
    <row r="22" spans="1:11" s="19" customFormat="1" ht="117.75" hidden="1" customHeight="1" x14ac:dyDescent="0.25">
      <c r="A22" s="88" t="s">
        <v>93</v>
      </c>
      <c r="B22" s="89"/>
      <c r="C22" s="12" t="s">
        <v>65</v>
      </c>
      <c r="D22" s="13" t="s">
        <v>94</v>
      </c>
      <c r="E22" s="14" t="s">
        <v>18</v>
      </c>
      <c r="F22" s="15" t="s">
        <v>37</v>
      </c>
      <c r="G22" s="15">
        <v>42868</v>
      </c>
      <c r="H22" s="16" t="s">
        <v>92</v>
      </c>
      <c r="I22" s="17" t="s">
        <v>46</v>
      </c>
      <c r="J22" s="17"/>
      <c r="K22" s="18"/>
    </row>
    <row r="23" spans="1:11" s="19" customFormat="1" ht="117.75" hidden="1" customHeight="1" x14ac:dyDescent="0.25">
      <c r="A23" s="88" t="s">
        <v>76</v>
      </c>
      <c r="B23" s="89"/>
      <c r="C23" s="12" t="s">
        <v>65</v>
      </c>
      <c r="D23" s="13" t="s">
        <v>77</v>
      </c>
      <c r="E23" s="14" t="s">
        <v>18</v>
      </c>
      <c r="F23" s="15" t="s">
        <v>37</v>
      </c>
      <c r="G23" s="15" t="s">
        <v>78</v>
      </c>
      <c r="H23" s="16" t="s">
        <v>79</v>
      </c>
      <c r="I23" s="17" t="s">
        <v>46</v>
      </c>
      <c r="J23" s="17"/>
      <c r="K23" s="18"/>
    </row>
    <row r="24" spans="1:11" s="19" customFormat="1" ht="60" hidden="1" customHeight="1" x14ac:dyDescent="0.25">
      <c r="A24" s="88" t="s">
        <v>81</v>
      </c>
      <c r="B24" s="89"/>
      <c r="C24" s="11" t="s">
        <v>16</v>
      </c>
      <c r="D24" s="47" t="s">
        <v>82</v>
      </c>
      <c r="E24" s="14" t="s">
        <v>18</v>
      </c>
      <c r="F24" s="15" t="s">
        <v>37</v>
      </c>
      <c r="G24" s="15" t="s">
        <v>98</v>
      </c>
      <c r="H24" s="16" t="s">
        <v>104</v>
      </c>
      <c r="I24" s="17"/>
      <c r="J24" s="17" t="s">
        <v>46</v>
      </c>
      <c r="K24" s="18"/>
    </row>
    <row r="25" spans="1:11" s="19" customFormat="1" ht="71.25" hidden="1" customHeight="1" x14ac:dyDescent="0.25">
      <c r="A25" s="88" t="s">
        <v>80</v>
      </c>
      <c r="B25" s="89"/>
      <c r="C25" s="12" t="s">
        <v>73</v>
      </c>
      <c r="D25" s="13" t="s">
        <v>74</v>
      </c>
      <c r="E25" s="14" t="s">
        <v>19</v>
      </c>
      <c r="F25" s="15" t="s">
        <v>38</v>
      </c>
      <c r="G25" s="15"/>
      <c r="H25" s="11"/>
      <c r="I25" s="46"/>
      <c r="J25" s="46"/>
      <c r="K25" s="18"/>
    </row>
    <row r="26" spans="1:11" s="19" customFormat="1" ht="71.25" hidden="1" customHeight="1" x14ac:dyDescent="0.25">
      <c r="A26" s="88" t="s">
        <v>76</v>
      </c>
      <c r="B26" s="89"/>
      <c r="C26" s="12" t="s">
        <v>65</v>
      </c>
      <c r="D26" s="13" t="s">
        <v>77</v>
      </c>
      <c r="E26" s="14" t="s">
        <v>18</v>
      </c>
      <c r="F26" s="15" t="s">
        <v>38</v>
      </c>
      <c r="G26" s="15" t="s">
        <v>83</v>
      </c>
      <c r="H26" s="11" t="s">
        <v>79</v>
      </c>
      <c r="I26" s="46"/>
      <c r="J26" s="46" t="s">
        <v>46</v>
      </c>
      <c r="K26" s="18"/>
    </row>
    <row r="27" spans="1:11" s="19" customFormat="1" ht="71.25" hidden="1" customHeight="1" x14ac:dyDescent="0.25">
      <c r="A27" s="88" t="s">
        <v>116</v>
      </c>
      <c r="B27" s="89"/>
      <c r="C27" s="12" t="s">
        <v>65</v>
      </c>
      <c r="D27" s="13" t="s">
        <v>115</v>
      </c>
      <c r="E27" s="14" t="s">
        <v>18</v>
      </c>
      <c r="F27" s="15" t="s">
        <v>47</v>
      </c>
      <c r="G27" s="15" t="s">
        <v>99</v>
      </c>
      <c r="H27" s="11" t="s">
        <v>79</v>
      </c>
      <c r="I27" s="61" t="s">
        <v>46</v>
      </c>
      <c r="J27" s="61" t="s">
        <v>46</v>
      </c>
      <c r="K27" s="18"/>
    </row>
    <row r="28" spans="1:11" s="19" customFormat="1" ht="99" hidden="1" customHeight="1" x14ac:dyDescent="0.25">
      <c r="A28" s="88" t="s">
        <v>165</v>
      </c>
      <c r="B28" s="89"/>
      <c r="C28" s="11" t="s">
        <v>85</v>
      </c>
      <c r="D28" s="49" t="s">
        <v>86</v>
      </c>
      <c r="E28" s="14" t="s">
        <v>18</v>
      </c>
      <c r="F28" s="15" t="s">
        <v>47</v>
      </c>
      <c r="G28" s="15" t="s">
        <v>87</v>
      </c>
      <c r="H28" s="11" t="s">
        <v>88</v>
      </c>
      <c r="I28" s="61" t="s">
        <v>46</v>
      </c>
      <c r="J28" s="61"/>
      <c r="K28" s="18"/>
    </row>
    <row r="29" spans="1:11" s="19" customFormat="1" ht="99" hidden="1" customHeight="1" x14ac:dyDescent="0.25">
      <c r="A29" s="93" t="s">
        <v>100</v>
      </c>
      <c r="B29" s="94"/>
      <c r="C29" s="11" t="s">
        <v>15</v>
      </c>
      <c r="D29" s="29" t="s">
        <v>101</v>
      </c>
      <c r="E29" s="14" t="s">
        <v>18</v>
      </c>
      <c r="F29" s="15" t="s">
        <v>47</v>
      </c>
      <c r="G29" s="15" t="s">
        <v>103</v>
      </c>
      <c r="H29" s="11" t="s">
        <v>102</v>
      </c>
      <c r="I29" s="61" t="s">
        <v>46</v>
      </c>
      <c r="J29" s="61"/>
      <c r="K29" s="18"/>
    </row>
    <row r="30" spans="1:11" s="19" customFormat="1" ht="99" hidden="1" customHeight="1" x14ac:dyDescent="0.25">
      <c r="A30" s="64" t="s">
        <v>107</v>
      </c>
      <c r="B30" s="65"/>
      <c r="C30" s="12" t="s">
        <v>16</v>
      </c>
      <c r="D30" s="29" t="s">
        <v>108</v>
      </c>
      <c r="E30" s="14" t="s">
        <v>19</v>
      </c>
      <c r="F30" s="15" t="s">
        <v>50</v>
      </c>
      <c r="G30" s="15"/>
      <c r="H30" s="11" t="s">
        <v>22</v>
      </c>
      <c r="I30" s="61"/>
      <c r="J30" s="61" t="s">
        <v>72</v>
      </c>
      <c r="K30" s="18"/>
    </row>
    <row r="31" spans="1:11" s="19" customFormat="1" ht="51.75" hidden="1" customHeight="1" x14ac:dyDescent="0.25">
      <c r="A31" s="91" t="s">
        <v>28</v>
      </c>
      <c r="B31" s="91"/>
      <c r="C31" s="62" t="s">
        <v>16</v>
      </c>
      <c r="D31" s="67" t="s">
        <v>29</v>
      </c>
      <c r="E31" s="14" t="s">
        <v>18</v>
      </c>
      <c r="F31" s="15" t="s">
        <v>50</v>
      </c>
      <c r="G31" s="20"/>
      <c r="H31" s="11"/>
      <c r="I31" s="61"/>
      <c r="J31" s="17"/>
      <c r="K31" s="18"/>
    </row>
    <row r="32" spans="1:11" s="19" customFormat="1" ht="33.75" hidden="1" customHeight="1" x14ac:dyDescent="0.25">
      <c r="A32" s="92" t="s">
        <v>48</v>
      </c>
      <c r="B32" s="92"/>
      <c r="C32" s="11" t="s">
        <v>15</v>
      </c>
      <c r="D32" s="67" t="s">
        <v>49</v>
      </c>
      <c r="E32" s="14" t="s">
        <v>18</v>
      </c>
      <c r="F32" s="15" t="s">
        <v>50</v>
      </c>
      <c r="G32" s="15"/>
      <c r="H32" s="11"/>
      <c r="I32" s="61"/>
      <c r="J32" s="61"/>
      <c r="K32" s="18"/>
    </row>
    <row r="33" spans="1:11" s="19" customFormat="1" ht="33.75" hidden="1" customHeight="1" x14ac:dyDescent="0.25">
      <c r="A33" s="66" t="s">
        <v>160</v>
      </c>
      <c r="B33" s="66"/>
      <c r="C33" s="11" t="s">
        <v>65</v>
      </c>
      <c r="D33" s="67" t="s">
        <v>161</v>
      </c>
      <c r="E33" s="14" t="s">
        <v>18</v>
      </c>
      <c r="F33" s="15" t="s">
        <v>50</v>
      </c>
      <c r="G33" s="15">
        <v>42969</v>
      </c>
      <c r="H33" s="11" t="s">
        <v>79</v>
      </c>
      <c r="I33" s="61" t="s">
        <v>46</v>
      </c>
      <c r="J33" s="61" t="s">
        <v>46</v>
      </c>
      <c r="K33" s="18"/>
    </row>
    <row r="34" spans="1:11" s="19" customFormat="1" ht="50.25" hidden="1" customHeight="1" x14ac:dyDescent="0.25">
      <c r="A34" s="92" t="s">
        <v>107</v>
      </c>
      <c r="B34" s="92"/>
      <c r="C34" s="11" t="s">
        <v>73</v>
      </c>
      <c r="D34" s="67" t="s">
        <v>108</v>
      </c>
      <c r="E34" s="14" t="s">
        <v>19</v>
      </c>
      <c r="F34" s="15" t="s">
        <v>50</v>
      </c>
      <c r="G34" s="15">
        <v>42977</v>
      </c>
      <c r="H34" s="11" t="s">
        <v>22</v>
      </c>
      <c r="I34" s="61" t="s">
        <v>46</v>
      </c>
      <c r="J34" s="61" t="s">
        <v>46</v>
      </c>
      <c r="K34" s="18"/>
    </row>
    <row r="35" spans="1:11" s="19" customFormat="1" ht="60" hidden="1" customHeight="1" x14ac:dyDescent="0.25">
      <c r="A35" s="64" t="s">
        <v>109</v>
      </c>
      <c r="B35" s="65"/>
      <c r="C35" s="12" t="s">
        <v>14</v>
      </c>
      <c r="D35" s="67" t="s">
        <v>110</v>
      </c>
      <c r="E35" s="14" t="s">
        <v>18</v>
      </c>
      <c r="F35" s="15" t="s">
        <v>50</v>
      </c>
      <c r="G35" s="15">
        <v>42977</v>
      </c>
      <c r="H35" s="11" t="s">
        <v>111</v>
      </c>
      <c r="I35" s="61" t="s">
        <v>46</v>
      </c>
      <c r="J35" s="61" t="s">
        <v>46</v>
      </c>
      <c r="K35" s="18"/>
    </row>
    <row r="36" spans="1:11" s="19" customFormat="1" ht="78.75" hidden="1" customHeight="1" x14ac:dyDescent="0.25">
      <c r="A36" s="88" t="s">
        <v>162</v>
      </c>
      <c r="B36" s="89"/>
      <c r="C36" s="12" t="s">
        <v>39</v>
      </c>
      <c r="D36" s="67" t="s">
        <v>164</v>
      </c>
      <c r="E36" s="14" t="s">
        <v>18</v>
      </c>
      <c r="F36" s="15" t="s">
        <v>50</v>
      </c>
      <c r="G36" s="15">
        <v>42965</v>
      </c>
      <c r="H36" s="11" t="s">
        <v>163</v>
      </c>
      <c r="I36" s="61" t="s">
        <v>46</v>
      </c>
      <c r="J36" s="61" t="s">
        <v>46</v>
      </c>
      <c r="K36" s="18"/>
    </row>
    <row r="37" spans="1:11" s="19" customFormat="1" ht="78.75" hidden="1" customHeight="1" x14ac:dyDescent="0.25">
      <c r="A37" s="88" t="s">
        <v>120</v>
      </c>
      <c r="B37" s="89"/>
      <c r="C37" s="12" t="s">
        <v>39</v>
      </c>
      <c r="D37" s="67" t="s">
        <v>121</v>
      </c>
      <c r="E37" s="14" t="s">
        <v>18</v>
      </c>
      <c r="F37" s="15" t="s">
        <v>50</v>
      </c>
      <c r="G37" s="15">
        <v>42965</v>
      </c>
      <c r="H37" s="11" t="s">
        <v>122</v>
      </c>
      <c r="I37" s="61" t="s">
        <v>46</v>
      </c>
      <c r="J37" s="61" t="s">
        <v>46</v>
      </c>
      <c r="K37" s="18"/>
    </row>
    <row r="38" spans="1:11" s="19" customFormat="1" ht="180" hidden="1" x14ac:dyDescent="0.25">
      <c r="A38" s="88" t="s">
        <v>131</v>
      </c>
      <c r="B38" s="89"/>
      <c r="C38" s="12" t="s">
        <v>16</v>
      </c>
      <c r="D38" s="67" t="s">
        <v>132</v>
      </c>
      <c r="E38" s="14" t="s">
        <v>19</v>
      </c>
      <c r="F38" s="15" t="s">
        <v>55</v>
      </c>
      <c r="G38" s="15"/>
      <c r="H38" s="11" t="s">
        <v>22</v>
      </c>
      <c r="I38" s="61"/>
      <c r="J38" s="61"/>
      <c r="K38" s="18"/>
    </row>
    <row r="39" spans="1:11" s="19" customFormat="1" ht="30" hidden="1" x14ac:dyDescent="0.25">
      <c r="A39" s="88" t="s">
        <v>124</v>
      </c>
      <c r="B39" s="89"/>
      <c r="C39" s="12" t="s">
        <v>117</v>
      </c>
      <c r="D39" s="67" t="s">
        <v>118</v>
      </c>
      <c r="E39" s="14" t="s">
        <v>18</v>
      </c>
      <c r="F39" s="15" t="s">
        <v>55</v>
      </c>
      <c r="G39" s="15">
        <v>42985</v>
      </c>
      <c r="H39" s="11" t="s">
        <v>119</v>
      </c>
      <c r="I39" s="61" t="s">
        <v>46</v>
      </c>
      <c r="J39" s="61" t="s">
        <v>46</v>
      </c>
      <c r="K39" s="18"/>
    </row>
    <row r="40" spans="1:11" s="19" customFormat="1" hidden="1" x14ac:dyDescent="0.25">
      <c r="A40" s="92" t="s">
        <v>24</v>
      </c>
      <c r="B40" s="92"/>
      <c r="C40" s="11" t="s">
        <v>15</v>
      </c>
      <c r="D40" s="67" t="s">
        <v>52</v>
      </c>
      <c r="E40" s="14" t="s">
        <v>18</v>
      </c>
      <c r="F40" s="15" t="s">
        <v>55</v>
      </c>
      <c r="G40" s="15"/>
      <c r="H40" s="11" t="s">
        <v>123</v>
      </c>
      <c r="I40" s="61"/>
      <c r="J40" s="61"/>
      <c r="K40" s="18"/>
    </row>
    <row r="41" spans="1:11" s="19" customFormat="1" ht="30" hidden="1" x14ac:dyDescent="0.25">
      <c r="A41" s="93" t="s">
        <v>112</v>
      </c>
      <c r="B41" s="94"/>
      <c r="C41" s="62" t="s">
        <v>113</v>
      </c>
      <c r="D41" s="23" t="s">
        <v>114</v>
      </c>
      <c r="E41" s="14" t="s">
        <v>19</v>
      </c>
      <c r="F41" s="15" t="s">
        <v>55</v>
      </c>
      <c r="G41" s="15">
        <v>43003</v>
      </c>
      <c r="H41" s="11" t="s">
        <v>22</v>
      </c>
      <c r="I41" s="61" t="s">
        <v>72</v>
      </c>
      <c r="J41" s="61" t="s">
        <v>72</v>
      </c>
      <c r="K41" s="18"/>
    </row>
    <row r="42" spans="1:11" s="19" customFormat="1" ht="30" hidden="1" x14ac:dyDescent="0.25">
      <c r="A42" s="88" t="s">
        <v>125</v>
      </c>
      <c r="B42" s="89"/>
      <c r="C42" s="62" t="s">
        <v>39</v>
      </c>
      <c r="D42" s="23" t="s">
        <v>128</v>
      </c>
      <c r="E42" s="14" t="s">
        <v>19</v>
      </c>
      <c r="F42" s="15" t="s">
        <v>55</v>
      </c>
      <c r="G42" s="15">
        <v>43008</v>
      </c>
      <c r="H42" s="11" t="s">
        <v>22</v>
      </c>
      <c r="I42" s="61"/>
      <c r="J42" s="61"/>
      <c r="K42" s="18"/>
    </row>
    <row r="43" spans="1:11" s="19" customFormat="1" ht="180" hidden="1" x14ac:dyDescent="0.25">
      <c r="A43" s="88" t="s">
        <v>133</v>
      </c>
      <c r="B43" s="89"/>
      <c r="C43" s="62" t="s">
        <v>16</v>
      </c>
      <c r="D43" s="23" t="s">
        <v>134</v>
      </c>
      <c r="E43" s="14" t="s">
        <v>19</v>
      </c>
      <c r="F43" s="15" t="s">
        <v>58</v>
      </c>
      <c r="G43" s="15"/>
      <c r="H43" s="11" t="s">
        <v>22</v>
      </c>
      <c r="I43" s="61"/>
      <c r="J43" s="61"/>
      <c r="K43" s="18"/>
    </row>
    <row r="44" spans="1:11" s="19" customFormat="1" ht="45" hidden="1" x14ac:dyDescent="0.25">
      <c r="A44" s="62" t="s">
        <v>126</v>
      </c>
      <c r="B44" s="63"/>
      <c r="C44" s="62" t="s">
        <v>39</v>
      </c>
      <c r="D44" s="23" t="s">
        <v>127</v>
      </c>
      <c r="E44" s="14" t="s">
        <v>19</v>
      </c>
      <c r="F44" s="15" t="s">
        <v>58</v>
      </c>
      <c r="G44" s="15"/>
      <c r="H44" s="11" t="s">
        <v>22</v>
      </c>
      <c r="I44" s="61"/>
      <c r="J44" s="61"/>
      <c r="K44" s="18"/>
    </row>
    <row r="45" spans="1:11" s="19" customFormat="1" ht="60" hidden="1" x14ac:dyDescent="0.25">
      <c r="A45" s="92" t="s">
        <v>53</v>
      </c>
      <c r="B45" s="92"/>
      <c r="C45" s="11" t="s">
        <v>15</v>
      </c>
      <c r="D45" s="67" t="s">
        <v>54</v>
      </c>
      <c r="E45" s="14" t="s">
        <v>18</v>
      </c>
      <c r="F45" s="15" t="s">
        <v>58</v>
      </c>
      <c r="G45" s="15"/>
      <c r="H45" s="11"/>
      <c r="I45" s="61"/>
      <c r="J45" s="61"/>
      <c r="K45" s="18"/>
    </row>
    <row r="46" spans="1:11" s="19" customFormat="1" ht="60" hidden="1" x14ac:dyDescent="0.25">
      <c r="A46" s="97" t="s">
        <v>24</v>
      </c>
      <c r="B46" s="98"/>
      <c r="C46" s="62" t="s">
        <v>51</v>
      </c>
      <c r="D46" s="13" t="s">
        <v>26</v>
      </c>
      <c r="E46" s="14" t="s">
        <v>18</v>
      </c>
      <c r="F46" s="15" t="s">
        <v>58</v>
      </c>
      <c r="G46" s="15"/>
      <c r="H46" s="11"/>
      <c r="I46" s="17"/>
      <c r="J46" s="17"/>
      <c r="K46" s="18"/>
    </row>
    <row r="47" spans="1:11" s="19" customFormat="1" ht="90" hidden="1" x14ac:dyDescent="0.25">
      <c r="A47" s="88" t="s">
        <v>135</v>
      </c>
      <c r="B47" s="89"/>
      <c r="C47" s="62" t="s">
        <v>16</v>
      </c>
      <c r="D47" s="13" t="s">
        <v>136</v>
      </c>
      <c r="E47" s="14" t="s">
        <v>19</v>
      </c>
      <c r="F47" s="15" t="s">
        <v>59</v>
      </c>
      <c r="G47" s="15"/>
      <c r="H47" s="11" t="s">
        <v>22</v>
      </c>
      <c r="I47" s="17"/>
      <c r="J47" s="17"/>
      <c r="K47" s="18"/>
    </row>
    <row r="48" spans="1:11" s="19" customFormat="1" ht="45" hidden="1" x14ac:dyDescent="0.25">
      <c r="A48" s="92" t="s">
        <v>56</v>
      </c>
      <c r="B48" s="92"/>
      <c r="C48" s="11" t="s">
        <v>15</v>
      </c>
      <c r="D48" s="67" t="s">
        <v>57</v>
      </c>
      <c r="E48" s="14" t="s">
        <v>19</v>
      </c>
      <c r="F48" s="15" t="s">
        <v>59</v>
      </c>
      <c r="G48" s="15"/>
      <c r="H48" s="11"/>
      <c r="I48" s="61"/>
      <c r="J48" s="61"/>
      <c r="K48" s="18"/>
    </row>
    <row r="49" spans="1:11" s="19" customFormat="1" hidden="1" x14ac:dyDescent="0.25">
      <c r="A49" s="88" t="s">
        <v>129</v>
      </c>
      <c r="B49" s="89"/>
      <c r="C49" s="11" t="s">
        <v>39</v>
      </c>
      <c r="D49" s="67" t="s">
        <v>130</v>
      </c>
      <c r="E49" s="14" t="s">
        <v>19</v>
      </c>
      <c r="F49" s="15" t="s">
        <v>59</v>
      </c>
      <c r="G49" s="15"/>
      <c r="H49" s="11"/>
      <c r="I49" s="61"/>
      <c r="J49" s="61"/>
      <c r="K49" s="18"/>
    </row>
    <row r="50" spans="1:11" s="19" customFormat="1" hidden="1" x14ac:dyDescent="0.25">
      <c r="A50" s="88" t="s">
        <v>137</v>
      </c>
      <c r="B50" s="89"/>
      <c r="C50" s="11" t="s">
        <v>16</v>
      </c>
      <c r="D50" s="67"/>
      <c r="E50" s="14"/>
      <c r="F50" s="15"/>
      <c r="G50" s="15"/>
      <c r="H50" s="11"/>
      <c r="I50" s="61"/>
      <c r="J50" s="61"/>
      <c r="K50" s="18"/>
    </row>
    <row r="51" spans="1:11" s="19" customFormat="1" ht="45" hidden="1" x14ac:dyDescent="0.25">
      <c r="A51" s="62" t="s">
        <v>156</v>
      </c>
      <c r="B51" s="63"/>
      <c r="C51" s="11" t="s">
        <v>65</v>
      </c>
      <c r="D51" s="67" t="s">
        <v>157</v>
      </c>
      <c r="E51" s="14" t="s">
        <v>18</v>
      </c>
      <c r="F51" s="15" t="s">
        <v>62</v>
      </c>
      <c r="G51" s="15" t="s">
        <v>158</v>
      </c>
      <c r="H51" s="11" t="s">
        <v>159</v>
      </c>
      <c r="I51" s="61" t="s">
        <v>46</v>
      </c>
      <c r="J51" s="61" t="s">
        <v>46</v>
      </c>
      <c r="K51" s="18"/>
    </row>
    <row r="52" spans="1:11" s="19" customFormat="1" ht="45" hidden="1" x14ac:dyDescent="0.25">
      <c r="A52" s="92" t="s">
        <v>155</v>
      </c>
      <c r="B52" s="92"/>
      <c r="C52" s="11" t="s">
        <v>65</v>
      </c>
      <c r="D52" s="67" t="s">
        <v>153</v>
      </c>
      <c r="E52" s="14" t="s">
        <v>18</v>
      </c>
      <c r="F52" s="15" t="s">
        <v>62</v>
      </c>
      <c r="G52" s="15">
        <v>43071</v>
      </c>
      <c r="H52" s="11" t="s">
        <v>154</v>
      </c>
      <c r="I52" s="61" t="s">
        <v>46</v>
      </c>
      <c r="J52" s="61" t="s">
        <v>46</v>
      </c>
      <c r="K52" s="18"/>
    </row>
    <row r="53" spans="1:11" s="19" customFormat="1" ht="45" hidden="1" x14ac:dyDescent="0.25">
      <c r="A53" s="92" t="s">
        <v>152</v>
      </c>
      <c r="B53" s="92"/>
      <c r="C53" s="11" t="s">
        <v>65</v>
      </c>
      <c r="D53" s="67" t="s">
        <v>153</v>
      </c>
      <c r="E53" s="14" t="s">
        <v>18</v>
      </c>
      <c r="F53" s="15" t="s">
        <v>62</v>
      </c>
      <c r="G53" s="15">
        <v>43071</v>
      </c>
      <c r="H53" s="11" t="s">
        <v>154</v>
      </c>
      <c r="I53" s="61" t="s">
        <v>46</v>
      </c>
      <c r="J53" s="61" t="s">
        <v>46</v>
      </c>
      <c r="K53" s="18"/>
    </row>
    <row r="54" spans="1:11" s="19" customFormat="1" ht="60" hidden="1" customHeight="1" x14ac:dyDescent="0.25">
      <c r="A54" s="88" t="s">
        <v>167</v>
      </c>
      <c r="B54" s="89"/>
      <c r="C54" s="11" t="s">
        <v>73</v>
      </c>
      <c r="D54" s="67" t="s">
        <v>166</v>
      </c>
      <c r="E54" s="14" t="s">
        <v>18</v>
      </c>
      <c r="F54" s="15" t="s">
        <v>59</v>
      </c>
      <c r="G54" s="15">
        <v>43054</v>
      </c>
      <c r="H54" s="11" t="s">
        <v>22</v>
      </c>
      <c r="I54" s="61"/>
      <c r="J54" s="61"/>
      <c r="K54" s="18"/>
    </row>
    <row r="55" spans="1:11" s="19" customFormat="1" ht="60" hidden="1" customHeight="1" x14ac:dyDescent="0.25">
      <c r="A55" s="88" t="s">
        <v>168</v>
      </c>
      <c r="B55" s="89"/>
      <c r="C55" s="14" t="s">
        <v>169</v>
      </c>
      <c r="D55" s="67"/>
      <c r="E55" s="14" t="s">
        <v>18</v>
      </c>
      <c r="F55" s="15" t="s">
        <v>62</v>
      </c>
      <c r="G55" s="15">
        <v>43449</v>
      </c>
      <c r="H55" s="11" t="s">
        <v>22</v>
      </c>
      <c r="I55" s="61"/>
      <c r="J55" s="61"/>
      <c r="K55" s="18"/>
    </row>
    <row r="56" spans="1:11" s="19" customFormat="1" ht="45" hidden="1" x14ac:dyDescent="0.25">
      <c r="A56" s="92" t="s">
        <v>60</v>
      </c>
      <c r="B56" s="92"/>
      <c r="C56" s="11" t="s">
        <v>15</v>
      </c>
      <c r="D56" s="67" t="s">
        <v>61</v>
      </c>
      <c r="E56" s="14" t="s">
        <v>19</v>
      </c>
      <c r="F56" s="15" t="s">
        <v>62</v>
      </c>
      <c r="G56" s="15">
        <v>43085</v>
      </c>
      <c r="H56" s="11"/>
      <c r="I56" s="61"/>
      <c r="J56" s="61"/>
      <c r="K56" s="18"/>
    </row>
    <row r="57" spans="1:11" s="19" customFormat="1" x14ac:dyDescent="0.25">
      <c r="A57" s="30"/>
      <c r="B57" s="31"/>
      <c r="C57" s="32"/>
      <c r="D57" s="33"/>
      <c r="E57" s="34"/>
      <c r="F57" s="35"/>
      <c r="G57" s="35"/>
      <c r="H57" s="32"/>
      <c r="I57" s="36"/>
      <c r="J57" s="36"/>
      <c r="K57" s="18"/>
    </row>
    <row r="58" spans="1:11" s="19" customFormat="1" x14ac:dyDescent="0.25">
      <c r="B58" s="37"/>
      <c r="C58" s="38"/>
      <c r="D58" s="39"/>
      <c r="E58" s="38"/>
      <c r="F58" s="26"/>
      <c r="I58" s="90"/>
      <c r="J58" s="90"/>
    </row>
    <row r="59" spans="1:11" s="19" customFormat="1" x14ac:dyDescent="0.25">
      <c r="B59" s="19" t="s">
        <v>20</v>
      </c>
      <c r="C59" s="24"/>
      <c r="D59" s="25"/>
      <c r="E59" s="24"/>
      <c r="F59" s="26"/>
      <c r="I59" s="19" t="s">
        <v>2</v>
      </c>
    </row>
    <row r="60" spans="1:11" s="19" customFormat="1" x14ac:dyDescent="0.25">
      <c r="C60" s="24"/>
      <c r="D60" s="25"/>
      <c r="E60" s="24"/>
      <c r="F60" s="26"/>
    </row>
    <row r="61" spans="1:11" s="19" customFormat="1" x14ac:dyDescent="0.25">
      <c r="C61" s="24"/>
      <c r="D61" s="25"/>
      <c r="E61" s="24"/>
      <c r="F61" s="26"/>
    </row>
  </sheetData>
  <sheetProtection algorithmName="SHA-512" hashValue="8K6G5r1fG1Oh13XMByIOldlAOpSzijeQFNrAOsetvMOcpqEND8b9NRll1SiTfIsVG52TDQOCy6z61WrmwMax4A==" saltValue="gm+LhrdU3ZTanVypeohIWA==" spinCount="100000" sheet="1" objects="1" scenarios="1"/>
  <autoFilter ref="A12:J56" xr:uid="{00000000-0009-0000-0000-000000000000}">
    <filterColumn colId="0" showButton="0"/>
    <filterColumn colId="5">
      <filters>
        <filter val="ABRIL"/>
      </filters>
    </filterColumn>
    <filterColumn colId="8" showButton="0"/>
  </autoFilter>
  <mergeCells count="50">
    <mergeCell ref="A36:B36"/>
    <mergeCell ref="A54:B54"/>
    <mergeCell ref="A55:B55"/>
    <mergeCell ref="A49:B49"/>
    <mergeCell ref="A50:B50"/>
    <mergeCell ref="A52:B52"/>
    <mergeCell ref="A43:B43"/>
    <mergeCell ref="A45:B45"/>
    <mergeCell ref="A46:B46"/>
    <mergeCell ref="A47:B47"/>
    <mergeCell ref="A48:B48"/>
    <mergeCell ref="A2:A4"/>
    <mergeCell ref="B2:I4"/>
    <mergeCell ref="A5:J6"/>
    <mergeCell ref="A12:B13"/>
    <mergeCell ref="C12:C13"/>
    <mergeCell ref="D12:D13"/>
    <mergeCell ref="E12:E13"/>
    <mergeCell ref="F12:F13"/>
    <mergeCell ref="G12:G13"/>
    <mergeCell ref="H12:H13"/>
    <mergeCell ref="I12:J12"/>
    <mergeCell ref="A25:B25"/>
    <mergeCell ref="A24:B24"/>
    <mergeCell ref="A14:B14"/>
    <mergeCell ref="A15:B15"/>
    <mergeCell ref="A16:B16"/>
    <mergeCell ref="A21:B21"/>
    <mergeCell ref="A17:B17"/>
    <mergeCell ref="A19:B19"/>
    <mergeCell ref="A18:B18"/>
    <mergeCell ref="A23:B23"/>
    <mergeCell ref="A20:B20"/>
    <mergeCell ref="A22:B22"/>
    <mergeCell ref="A26:B26"/>
    <mergeCell ref="A28:B28"/>
    <mergeCell ref="I58:J58"/>
    <mergeCell ref="A31:B31"/>
    <mergeCell ref="A32:B32"/>
    <mergeCell ref="A38:B38"/>
    <mergeCell ref="A39:B39"/>
    <mergeCell ref="A37:B37"/>
    <mergeCell ref="A34:B34"/>
    <mergeCell ref="A27:B27"/>
    <mergeCell ref="A29:B29"/>
    <mergeCell ref="A40:B40"/>
    <mergeCell ref="A41:B41"/>
    <mergeCell ref="A42:B42"/>
    <mergeCell ref="A56:B56"/>
    <mergeCell ref="A53:B53"/>
  </mergeCell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2:N30"/>
  <sheetViews>
    <sheetView zoomScale="73" zoomScaleNormal="73" workbookViewId="0">
      <selection activeCell="I11" sqref="I11:I12"/>
    </sheetView>
  </sheetViews>
  <sheetFormatPr baseColWidth="10" defaultRowHeight="15" x14ac:dyDescent="0.25"/>
  <cols>
    <col min="3" max="3" width="15.140625" bestFit="1" customWidth="1"/>
    <col min="4" max="4" width="7.42578125" customWidth="1"/>
    <col min="5" max="5" width="6" bestFit="1" customWidth="1"/>
    <col min="6" max="6" width="5.42578125" bestFit="1" customWidth="1"/>
    <col min="7" max="7" width="4.85546875" bestFit="1" customWidth="1"/>
    <col min="8" max="8" width="7" bestFit="1" customWidth="1"/>
    <col min="9" max="9" width="4.85546875" bestFit="1" customWidth="1"/>
    <col min="10" max="10" width="3.28515625" bestFit="1" customWidth="1"/>
    <col min="11" max="11" width="4.42578125" bestFit="1" customWidth="1"/>
    <col min="12" max="12" width="10.7109375" bestFit="1" customWidth="1"/>
    <col min="13" max="13" width="11.140625" bestFit="1" customWidth="1"/>
    <col min="14" max="14" width="16.140625" customWidth="1"/>
  </cols>
  <sheetData>
    <row r="2" spans="3:14" x14ac:dyDescent="0.25">
      <c r="C2" s="128" t="s">
        <v>151</v>
      </c>
      <c r="D2" s="128"/>
      <c r="E2" s="128"/>
      <c r="F2" s="128"/>
      <c r="G2" s="128"/>
      <c r="H2" s="128"/>
      <c r="I2" s="128"/>
      <c r="J2" s="128"/>
      <c r="K2" s="128"/>
      <c r="L2" s="128"/>
      <c r="M2" s="128"/>
      <c r="N2" s="128"/>
    </row>
    <row r="3" spans="3:14" x14ac:dyDescent="0.25">
      <c r="C3" s="128"/>
      <c r="D3" s="128"/>
      <c r="E3" s="128"/>
      <c r="F3" s="128"/>
      <c r="G3" s="128"/>
      <c r="H3" s="128"/>
      <c r="I3" s="128"/>
      <c r="J3" s="128"/>
      <c r="K3" s="128"/>
      <c r="L3" s="128"/>
      <c r="M3" s="128"/>
      <c r="N3" s="128"/>
    </row>
    <row r="4" spans="3:14" ht="45.75" thickBot="1" x14ac:dyDescent="0.3">
      <c r="C4" s="129" t="s">
        <v>138</v>
      </c>
      <c r="D4" s="130"/>
      <c r="E4" s="70" t="s">
        <v>145</v>
      </c>
      <c r="F4" s="70" t="s">
        <v>139</v>
      </c>
      <c r="G4" s="70" t="s">
        <v>140</v>
      </c>
      <c r="H4" s="70" t="s">
        <v>141</v>
      </c>
      <c r="I4" s="70" t="s">
        <v>142</v>
      </c>
      <c r="J4" s="70" t="s">
        <v>143</v>
      </c>
      <c r="K4" s="71" t="s">
        <v>144</v>
      </c>
      <c r="L4" s="69" t="s">
        <v>147</v>
      </c>
      <c r="M4" s="69" t="s">
        <v>148</v>
      </c>
      <c r="N4" s="69" t="s">
        <v>146</v>
      </c>
    </row>
    <row r="5" spans="3:14" x14ac:dyDescent="0.25">
      <c r="C5" s="120" t="s">
        <v>23</v>
      </c>
      <c r="D5" s="80" t="s">
        <v>149</v>
      </c>
      <c r="E5" s="76">
        <v>0</v>
      </c>
      <c r="F5" s="76">
        <v>0</v>
      </c>
      <c r="G5" s="76">
        <v>0</v>
      </c>
      <c r="H5" s="76">
        <v>0</v>
      </c>
      <c r="I5" s="76">
        <v>0</v>
      </c>
      <c r="J5" s="76">
        <v>1</v>
      </c>
      <c r="K5" s="77">
        <v>0</v>
      </c>
      <c r="L5" s="124">
        <f>SUM(E5:K5)</f>
        <v>1</v>
      </c>
      <c r="M5" s="126">
        <f>SUM(E6:K6)</f>
        <v>1</v>
      </c>
      <c r="N5" s="122">
        <f>(M5/L5)*100%</f>
        <v>1</v>
      </c>
    </row>
    <row r="6" spans="3:14" ht="15.75" thickBot="1" x14ac:dyDescent="0.3">
      <c r="C6" s="121"/>
      <c r="D6" s="81" t="s">
        <v>150</v>
      </c>
      <c r="E6" s="78">
        <v>0</v>
      </c>
      <c r="F6" s="78">
        <v>0</v>
      </c>
      <c r="G6" s="78">
        <v>0</v>
      </c>
      <c r="H6" s="78">
        <v>0</v>
      </c>
      <c r="I6" s="78">
        <v>0</v>
      </c>
      <c r="J6" s="78">
        <v>1</v>
      </c>
      <c r="K6" s="79">
        <v>0</v>
      </c>
      <c r="L6" s="125"/>
      <c r="M6" s="127"/>
      <c r="N6" s="122"/>
    </row>
    <row r="7" spans="3:14" x14ac:dyDescent="0.25">
      <c r="C7" s="118" t="s">
        <v>25</v>
      </c>
      <c r="D7" s="80" t="s">
        <v>149</v>
      </c>
      <c r="E7" s="72">
        <v>1</v>
      </c>
      <c r="F7" s="72">
        <v>0</v>
      </c>
      <c r="G7" s="72">
        <v>0</v>
      </c>
      <c r="H7" s="72">
        <v>0</v>
      </c>
      <c r="I7" s="82">
        <v>1</v>
      </c>
      <c r="J7" s="72">
        <v>0</v>
      </c>
      <c r="K7" s="73">
        <v>0</v>
      </c>
      <c r="L7" s="124">
        <f>SUM(E7:K7)</f>
        <v>2</v>
      </c>
      <c r="M7" s="126">
        <f>SUM(E8:K8)</f>
        <v>1</v>
      </c>
      <c r="N7" s="122">
        <f t="shared" ref="N7" si="0">(M7/L7)*100%</f>
        <v>0.5</v>
      </c>
    </row>
    <row r="8" spans="3:14" ht="15.75" thickBot="1" x14ac:dyDescent="0.3">
      <c r="C8" s="119"/>
      <c r="D8" s="81" t="s">
        <v>150</v>
      </c>
      <c r="E8" s="74">
        <v>1</v>
      </c>
      <c r="F8" s="74">
        <v>0</v>
      </c>
      <c r="G8" s="74">
        <v>0</v>
      </c>
      <c r="H8" s="74">
        <v>0</v>
      </c>
      <c r="I8" s="83">
        <v>0</v>
      </c>
      <c r="J8" s="74">
        <v>0</v>
      </c>
      <c r="K8" s="75">
        <v>0</v>
      </c>
      <c r="L8" s="125"/>
      <c r="M8" s="127"/>
      <c r="N8" s="122"/>
    </row>
    <row r="9" spans="3:14" x14ac:dyDescent="0.25">
      <c r="C9" s="120" t="s">
        <v>32</v>
      </c>
      <c r="D9" s="80" t="s">
        <v>149</v>
      </c>
      <c r="E9" s="76">
        <v>1</v>
      </c>
      <c r="F9" s="76">
        <v>0</v>
      </c>
      <c r="G9" s="76">
        <v>0</v>
      </c>
      <c r="H9" s="76">
        <v>0</v>
      </c>
      <c r="I9" s="76">
        <v>0</v>
      </c>
      <c r="J9" s="76">
        <v>0</v>
      </c>
      <c r="K9" s="77">
        <v>0</v>
      </c>
      <c r="L9" s="124">
        <f>SUM(E9:K9)</f>
        <v>1</v>
      </c>
      <c r="M9" s="126">
        <f>SUM(E10:K10)</f>
        <v>1</v>
      </c>
      <c r="N9" s="122">
        <f t="shared" ref="N9" si="1">(M9/L9)*100%</f>
        <v>1</v>
      </c>
    </row>
    <row r="10" spans="3:14" ht="15.75" thickBot="1" x14ac:dyDescent="0.3">
      <c r="C10" s="121"/>
      <c r="D10" s="81" t="s">
        <v>150</v>
      </c>
      <c r="E10" s="78">
        <v>1</v>
      </c>
      <c r="F10" s="78">
        <v>0</v>
      </c>
      <c r="G10" s="78">
        <v>0</v>
      </c>
      <c r="H10" s="78">
        <v>0</v>
      </c>
      <c r="I10" s="78">
        <v>0</v>
      </c>
      <c r="J10" s="78">
        <v>0</v>
      </c>
      <c r="K10" s="79">
        <v>0</v>
      </c>
      <c r="L10" s="125"/>
      <c r="M10" s="127"/>
      <c r="N10" s="122"/>
    </row>
    <row r="11" spans="3:14" x14ac:dyDescent="0.25">
      <c r="C11" s="118" t="s">
        <v>35</v>
      </c>
      <c r="D11" s="80" t="s">
        <v>149</v>
      </c>
      <c r="E11" s="72">
        <v>0</v>
      </c>
      <c r="F11" s="82">
        <v>1</v>
      </c>
      <c r="G11" s="72">
        <v>0</v>
      </c>
      <c r="H11" s="72">
        <v>0</v>
      </c>
      <c r="I11" s="86">
        <v>1</v>
      </c>
      <c r="J11" s="72">
        <v>0</v>
      </c>
      <c r="K11" s="73">
        <v>0</v>
      </c>
      <c r="L11" s="124">
        <f>SUM(E11:K11)</f>
        <v>2</v>
      </c>
      <c r="M11" s="126">
        <f>SUM(E12:K12)</f>
        <v>1</v>
      </c>
      <c r="N11" s="122">
        <f t="shared" ref="N11" si="2">(M11/L11)*100%</f>
        <v>0.5</v>
      </c>
    </row>
    <row r="12" spans="3:14" ht="15.75" thickBot="1" x14ac:dyDescent="0.3">
      <c r="C12" s="119"/>
      <c r="D12" s="81" t="s">
        <v>150</v>
      </c>
      <c r="E12" s="74">
        <v>0</v>
      </c>
      <c r="F12" s="83">
        <v>0</v>
      </c>
      <c r="G12" s="74">
        <v>0</v>
      </c>
      <c r="H12" s="74">
        <v>0</v>
      </c>
      <c r="I12" s="87">
        <v>1</v>
      </c>
      <c r="J12" s="74">
        <v>0</v>
      </c>
      <c r="K12" s="75">
        <v>0</v>
      </c>
      <c r="L12" s="125"/>
      <c r="M12" s="127"/>
      <c r="N12" s="122"/>
    </row>
    <row r="13" spans="3:14" x14ac:dyDescent="0.25">
      <c r="C13" s="120" t="s">
        <v>37</v>
      </c>
      <c r="D13" s="80" t="s">
        <v>149</v>
      </c>
      <c r="E13" s="76">
        <v>1</v>
      </c>
      <c r="F13" s="76">
        <v>0</v>
      </c>
      <c r="G13" s="76">
        <v>0</v>
      </c>
      <c r="H13" s="76">
        <v>1</v>
      </c>
      <c r="I13" s="76">
        <v>0</v>
      </c>
      <c r="J13" s="76">
        <v>3</v>
      </c>
      <c r="K13" s="77">
        <v>0</v>
      </c>
      <c r="L13" s="124">
        <f>SUM(E13:K13)</f>
        <v>5</v>
      </c>
      <c r="M13" s="126">
        <f>SUM(E14:K14)</f>
        <v>4</v>
      </c>
      <c r="N13" s="122">
        <f t="shared" ref="N13" si="3">(M13/L13)*100%</f>
        <v>0.8</v>
      </c>
    </row>
    <row r="14" spans="3:14" ht="15.75" thickBot="1" x14ac:dyDescent="0.3">
      <c r="C14" s="121"/>
      <c r="D14" s="81" t="s">
        <v>150</v>
      </c>
      <c r="E14" s="78">
        <v>1</v>
      </c>
      <c r="F14" s="78">
        <v>0</v>
      </c>
      <c r="G14" s="78">
        <v>0</v>
      </c>
      <c r="H14" s="78">
        <v>0</v>
      </c>
      <c r="I14" s="78">
        <v>0</v>
      </c>
      <c r="J14" s="78">
        <v>3</v>
      </c>
      <c r="K14" s="79">
        <v>0</v>
      </c>
      <c r="L14" s="125"/>
      <c r="M14" s="127"/>
      <c r="N14" s="122"/>
    </row>
    <row r="15" spans="3:14" x14ac:dyDescent="0.25">
      <c r="C15" s="118" t="s">
        <v>38</v>
      </c>
      <c r="D15" s="80" t="s">
        <v>149</v>
      </c>
      <c r="E15" s="72">
        <v>0</v>
      </c>
      <c r="F15" s="72">
        <v>0</v>
      </c>
      <c r="G15" s="72">
        <v>0</v>
      </c>
      <c r="H15" s="72">
        <v>1</v>
      </c>
      <c r="I15" s="72">
        <v>0</v>
      </c>
      <c r="J15" s="72">
        <v>1</v>
      </c>
      <c r="K15" s="73">
        <v>0</v>
      </c>
      <c r="L15" s="124">
        <f>SUM(E15:K15)</f>
        <v>2</v>
      </c>
      <c r="M15" s="126">
        <f>SUM(E16:K16)</f>
        <v>1</v>
      </c>
      <c r="N15" s="122">
        <f t="shared" ref="N15" si="4">(M15/L15)*100%</f>
        <v>0.5</v>
      </c>
    </row>
    <row r="16" spans="3:14" ht="15.75" thickBot="1" x14ac:dyDescent="0.3">
      <c r="C16" s="119"/>
      <c r="D16" s="81" t="s">
        <v>150</v>
      </c>
      <c r="E16" s="74">
        <v>0</v>
      </c>
      <c r="F16" s="74">
        <v>0</v>
      </c>
      <c r="G16" s="74">
        <v>0</v>
      </c>
      <c r="H16" s="74">
        <v>0</v>
      </c>
      <c r="I16" s="74">
        <v>0</v>
      </c>
      <c r="J16" s="74">
        <v>1</v>
      </c>
      <c r="K16" s="75">
        <v>0</v>
      </c>
      <c r="L16" s="125"/>
      <c r="M16" s="127"/>
      <c r="N16" s="122"/>
    </row>
    <row r="17" spans="3:14" x14ac:dyDescent="0.25">
      <c r="C17" s="120" t="s">
        <v>47</v>
      </c>
      <c r="D17" s="80" t="s">
        <v>149</v>
      </c>
      <c r="E17" s="76">
        <v>0</v>
      </c>
      <c r="F17" s="76">
        <v>0</v>
      </c>
      <c r="G17" s="76">
        <v>1</v>
      </c>
      <c r="H17" s="76">
        <v>1</v>
      </c>
      <c r="I17" s="76">
        <v>1</v>
      </c>
      <c r="J17" s="76">
        <v>1</v>
      </c>
      <c r="K17" s="77">
        <v>0</v>
      </c>
      <c r="L17" s="124">
        <f>SUM(E17:K17)</f>
        <v>4</v>
      </c>
      <c r="M17" s="126">
        <f>SUM(E18:K18)</f>
        <v>4</v>
      </c>
      <c r="N17" s="122">
        <f t="shared" ref="N17" si="5">(M17/L17)*100%</f>
        <v>1</v>
      </c>
    </row>
    <row r="18" spans="3:14" ht="15.75" thickBot="1" x14ac:dyDescent="0.3">
      <c r="C18" s="121"/>
      <c r="D18" s="81" t="s">
        <v>150</v>
      </c>
      <c r="E18" s="78">
        <v>0</v>
      </c>
      <c r="F18" s="78">
        <v>0</v>
      </c>
      <c r="G18" s="78">
        <v>1</v>
      </c>
      <c r="H18" s="78">
        <v>1</v>
      </c>
      <c r="I18" s="78">
        <v>1</v>
      </c>
      <c r="J18" s="78">
        <v>1</v>
      </c>
      <c r="K18" s="79">
        <v>0</v>
      </c>
      <c r="L18" s="125"/>
      <c r="M18" s="127"/>
      <c r="N18" s="122"/>
    </row>
    <row r="19" spans="3:14" x14ac:dyDescent="0.25">
      <c r="C19" s="118" t="s">
        <v>50</v>
      </c>
      <c r="D19" s="80" t="s">
        <v>149</v>
      </c>
      <c r="E19" s="72">
        <v>2</v>
      </c>
      <c r="F19" s="72">
        <v>1</v>
      </c>
      <c r="G19" s="72">
        <v>1</v>
      </c>
      <c r="H19" s="72">
        <v>1</v>
      </c>
      <c r="I19" s="72">
        <v>1</v>
      </c>
      <c r="J19" s="72">
        <v>0</v>
      </c>
      <c r="K19" s="73">
        <v>0</v>
      </c>
      <c r="L19" s="124">
        <f>SUM(E19:K19)</f>
        <v>6</v>
      </c>
      <c r="M19" s="126">
        <f>SUM(E20:K20)</f>
        <v>4</v>
      </c>
      <c r="N19" s="122">
        <f t="shared" ref="N19" si="6">(M19/L19)*100%</f>
        <v>0.66666666666666663</v>
      </c>
    </row>
    <row r="20" spans="3:14" ht="15.75" thickBot="1" x14ac:dyDescent="0.3">
      <c r="C20" s="119"/>
      <c r="D20" s="81" t="s">
        <v>150</v>
      </c>
      <c r="E20" s="74">
        <v>0</v>
      </c>
      <c r="F20" s="74">
        <v>1</v>
      </c>
      <c r="G20" s="74">
        <v>1</v>
      </c>
      <c r="H20" s="74">
        <v>1</v>
      </c>
      <c r="I20" s="74">
        <v>1</v>
      </c>
      <c r="J20" s="74">
        <v>0</v>
      </c>
      <c r="K20" s="75">
        <v>0</v>
      </c>
      <c r="L20" s="125"/>
      <c r="M20" s="127"/>
      <c r="N20" s="122"/>
    </row>
    <row r="21" spans="3:14" x14ac:dyDescent="0.25">
      <c r="C21" s="120" t="s">
        <v>55</v>
      </c>
      <c r="D21" s="80" t="s">
        <v>149</v>
      </c>
      <c r="E21" s="76">
        <v>2</v>
      </c>
      <c r="F21" s="76">
        <v>2</v>
      </c>
      <c r="G21" s="76">
        <v>2</v>
      </c>
      <c r="H21" s="76">
        <v>2</v>
      </c>
      <c r="I21" s="76">
        <v>2</v>
      </c>
      <c r="J21" s="76">
        <v>1</v>
      </c>
      <c r="K21" s="77">
        <v>1</v>
      </c>
      <c r="L21" s="124">
        <f>SUM(E21:K21)</f>
        <v>12</v>
      </c>
      <c r="M21" s="126">
        <f>SUM(E22:K22)</f>
        <v>10</v>
      </c>
      <c r="N21" s="122">
        <f t="shared" ref="N21" si="7">(M21/L21)*100%</f>
        <v>0.83333333333333337</v>
      </c>
    </row>
    <row r="22" spans="3:14" ht="15.75" thickBot="1" x14ac:dyDescent="0.3">
      <c r="C22" s="121"/>
      <c r="D22" s="81" t="s">
        <v>150</v>
      </c>
      <c r="E22" s="78">
        <v>1</v>
      </c>
      <c r="F22" s="78">
        <v>1</v>
      </c>
      <c r="G22" s="78">
        <v>2</v>
      </c>
      <c r="H22" s="78">
        <v>2</v>
      </c>
      <c r="I22" s="78">
        <v>2</v>
      </c>
      <c r="J22" s="78">
        <v>1</v>
      </c>
      <c r="K22" s="79">
        <v>1</v>
      </c>
      <c r="L22" s="125"/>
      <c r="M22" s="127"/>
      <c r="N22" s="122"/>
    </row>
    <row r="23" spans="3:14" x14ac:dyDescent="0.25">
      <c r="C23" s="118" t="s">
        <v>58</v>
      </c>
      <c r="D23" s="80" t="s">
        <v>149</v>
      </c>
      <c r="E23" s="72">
        <v>1</v>
      </c>
      <c r="F23" s="72">
        <v>1</v>
      </c>
      <c r="G23" s="72">
        <v>0</v>
      </c>
      <c r="H23" s="72">
        <v>1</v>
      </c>
      <c r="I23" s="72">
        <v>1</v>
      </c>
      <c r="J23" s="72">
        <v>0</v>
      </c>
      <c r="K23" s="73">
        <v>0</v>
      </c>
      <c r="L23" s="124">
        <f>SUM(E23:K23)</f>
        <v>4</v>
      </c>
      <c r="M23" s="126">
        <f>SUM(E24:K24)</f>
        <v>0</v>
      </c>
      <c r="N23" s="122">
        <f t="shared" ref="N23" si="8">(M23/L23)*100%</f>
        <v>0</v>
      </c>
    </row>
    <row r="24" spans="3:14" ht="15.75" thickBot="1" x14ac:dyDescent="0.3">
      <c r="C24" s="119"/>
      <c r="D24" s="81" t="s">
        <v>150</v>
      </c>
      <c r="E24" s="74">
        <v>0</v>
      </c>
      <c r="F24" s="74">
        <v>0</v>
      </c>
      <c r="G24" s="74">
        <v>0</v>
      </c>
      <c r="H24" s="74">
        <v>0</v>
      </c>
      <c r="I24" s="74">
        <v>0</v>
      </c>
      <c r="J24" s="74">
        <v>0</v>
      </c>
      <c r="K24" s="75">
        <v>0</v>
      </c>
      <c r="L24" s="125"/>
      <c r="M24" s="127"/>
      <c r="N24" s="122"/>
    </row>
    <row r="25" spans="3:14" x14ac:dyDescent="0.25">
      <c r="C25" s="120" t="s">
        <v>59</v>
      </c>
      <c r="D25" s="80" t="s">
        <v>149</v>
      </c>
      <c r="E25" s="76">
        <v>1</v>
      </c>
      <c r="F25" s="76">
        <v>1</v>
      </c>
      <c r="G25" s="76">
        <v>0</v>
      </c>
      <c r="H25" s="76">
        <v>1</v>
      </c>
      <c r="I25" s="76">
        <v>1</v>
      </c>
      <c r="J25" s="76">
        <v>0</v>
      </c>
      <c r="K25" s="77">
        <v>0</v>
      </c>
      <c r="L25" s="124">
        <f>SUM(E25:K25)</f>
        <v>4</v>
      </c>
      <c r="M25" s="126">
        <f>SUM(E26:K26)</f>
        <v>1</v>
      </c>
      <c r="N25" s="122">
        <f t="shared" ref="N25" si="9">(M25/L25)*100%</f>
        <v>0.25</v>
      </c>
    </row>
    <row r="26" spans="3:14" ht="15.75" thickBot="1" x14ac:dyDescent="0.3">
      <c r="C26" s="121"/>
      <c r="D26" s="81" t="s">
        <v>150</v>
      </c>
      <c r="E26" s="78">
        <v>0</v>
      </c>
      <c r="F26" s="78">
        <v>0</v>
      </c>
      <c r="G26" s="78">
        <v>0</v>
      </c>
      <c r="H26" s="78">
        <v>1</v>
      </c>
      <c r="I26" s="78">
        <v>0</v>
      </c>
      <c r="J26" s="78">
        <v>0</v>
      </c>
      <c r="K26" s="79">
        <v>0</v>
      </c>
      <c r="L26" s="125"/>
      <c r="M26" s="127"/>
      <c r="N26" s="122"/>
    </row>
    <row r="27" spans="3:14" x14ac:dyDescent="0.25">
      <c r="C27" s="118" t="s">
        <v>62</v>
      </c>
      <c r="D27" s="80" t="s">
        <v>149</v>
      </c>
      <c r="E27" s="72">
        <v>0</v>
      </c>
      <c r="F27" s="72">
        <v>1</v>
      </c>
      <c r="G27" s="72">
        <v>0</v>
      </c>
      <c r="H27" s="72">
        <v>1</v>
      </c>
      <c r="I27" s="72">
        <v>2</v>
      </c>
      <c r="J27" s="72">
        <v>3</v>
      </c>
      <c r="K27" s="73">
        <v>0</v>
      </c>
      <c r="L27" s="124">
        <f>SUM(E27:K27)</f>
        <v>7</v>
      </c>
      <c r="M27" s="126">
        <f t="shared" ref="M27" si="10">SUM(E28:K28)</f>
        <v>7</v>
      </c>
      <c r="N27" s="122">
        <f>(M27/L27)*100%</f>
        <v>1</v>
      </c>
    </row>
    <row r="28" spans="3:14" x14ac:dyDescent="0.25">
      <c r="C28" s="136"/>
      <c r="D28" s="84" t="s">
        <v>150</v>
      </c>
      <c r="E28" s="68">
        <v>0</v>
      </c>
      <c r="F28" s="68">
        <v>1</v>
      </c>
      <c r="G28" s="68">
        <v>0</v>
      </c>
      <c r="H28" s="68">
        <v>1</v>
      </c>
      <c r="I28" s="68">
        <v>2</v>
      </c>
      <c r="J28" s="68">
        <v>3</v>
      </c>
      <c r="K28" s="85">
        <v>0</v>
      </c>
      <c r="L28" s="134"/>
      <c r="M28" s="135"/>
      <c r="N28" s="123"/>
    </row>
    <row r="29" spans="3:14" x14ac:dyDescent="0.25">
      <c r="C29" s="133" t="s">
        <v>151</v>
      </c>
      <c r="D29" s="133"/>
      <c r="E29" s="133"/>
      <c r="F29" s="133"/>
      <c r="G29" s="133"/>
      <c r="H29" s="133"/>
      <c r="I29" s="133"/>
      <c r="J29" s="133"/>
      <c r="K29" s="133"/>
      <c r="L29" s="132">
        <f>SUM(L5:L28)</f>
        <v>50</v>
      </c>
      <c r="M29" s="132">
        <f>SUM(M5:M28)</f>
        <v>35</v>
      </c>
      <c r="N29" s="131">
        <f>(M29/L29)*100%</f>
        <v>0.7</v>
      </c>
    </row>
    <row r="30" spans="3:14" x14ac:dyDescent="0.25">
      <c r="C30" s="133"/>
      <c r="D30" s="133"/>
      <c r="E30" s="133"/>
      <c r="F30" s="133"/>
      <c r="G30" s="133"/>
      <c r="H30" s="133"/>
      <c r="I30" s="133"/>
      <c r="J30" s="133"/>
      <c r="K30" s="133"/>
      <c r="L30" s="132"/>
      <c r="M30" s="132"/>
      <c r="N30" s="131"/>
    </row>
  </sheetData>
  <sheetProtection algorithmName="SHA-512" hashValue="ePQCoI5jGdCLUz8AR9/2aSpC7SrEzS6OEHd3O/sEgBQCzb/3vx0oh7zRr91pWUtcuCFdmV3GpD6t1eL5lUIB3A==" saltValue="PtgKaF3l3wMd7dXoQ92O/Q==" spinCount="100000" sheet="1" objects="1" scenarios="1"/>
  <mergeCells count="54">
    <mergeCell ref="N29:N30"/>
    <mergeCell ref="L29:L30"/>
    <mergeCell ref="M29:M30"/>
    <mergeCell ref="C29:K30"/>
    <mergeCell ref="L25:L26"/>
    <mergeCell ref="M25:M26"/>
    <mergeCell ref="L27:L28"/>
    <mergeCell ref="M27:M28"/>
    <mergeCell ref="C27:C28"/>
    <mergeCell ref="C2:N3"/>
    <mergeCell ref="C4:D4"/>
    <mergeCell ref="L19:L20"/>
    <mergeCell ref="M19:M20"/>
    <mergeCell ref="L21:L22"/>
    <mergeCell ref="M21:M22"/>
    <mergeCell ref="N17:N18"/>
    <mergeCell ref="N19:N20"/>
    <mergeCell ref="N21:N22"/>
    <mergeCell ref="C15:C16"/>
    <mergeCell ref="C17:C18"/>
    <mergeCell ref="C19:C20"/>
    <mergeCell ref="C21:C22"/>
    <mergeCell ref="L23:L24"/>
    <mergeCell ref="M23:M24"/>
    <mergeCell ref="M11:M12"/>
    <mergeCell ref="L13:L14"/>
    <mergeCell ref="M13:M14"/>
    <mergeCell ref="L15:L16"/>
    <mergeCell ref="M15:M16"/>
    <mergeCell ref="L17:L18"/>
    <mergeCell ref="M17:M18"/>
    <mergeCell ref="N23:N24"/>
    <mergeCell ref="N25:N26"/>
    <mergeCell ref="N27:N28"/>
    <mergeCell ref="L5:L6"/>
    <mergeCell ref="M5:M6"/>
    <mergeCell ref="L7:L8"/>
    <mergeCell ref="M7:M8"/>
    <mergeCell ref="L9:L10"/>
    <mergeCell ref="M9:M10"/>
    <mergeCell ref="L11:L12"/>
    <mergeCell ref="N5:N6"/>
    <mergeCell ref="N7:N8"/>
    <mergeCell ref="N9:N10"/>
    <mergeCell ref="N11:N12"/>
    <mergeCell ref="N13:N14"/>
    <mergeCell ref="N15:N16"/>
    <mergeCell ref="C23:C24"/>
    <mergeCell ref="C25:C26"/>
    <mergeCell ref="C7:C8"/>
    <mergeCell ref="C5:C6"/>
    <mergeCell ref="C9:C10"/>
    <mergeCell ref="C11:C12"/>
    <mergeCell ref="C13:C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F42"/>
  <sheetViews>
    <sheetView tabSelected="1" topLeftCell="A37" workbookViewId="0">
      <selection activeCell="A14" sqref="A14:J36"/>
    </sheetView>
  </sheetViews>
  <sheetFormatPr baseColWidth="10" defaultRowHeight="15" x14ac:dyDescent="0.25"/>
  <cols>
    <col min="1" max="1" width="23.85546875" customWidth="1"/>
    <col min="2" max="2" width="20.5703125" customWidth="1"/>
    <col min="3" max="3" width="27.5703125" style="2" customWidth="1"/>
    <col min="4" max="4" width="55.28515625" style="8" customWidth="1"/>
    <col min="5" max="5" width="24.7109375" style="2" customWidth="1"/>
    <col min="6" max="6" width="21.7109375" style="1" bestFit="1" customWidth="1"/>
    <col min="7" max="7" width="21.7109375" customWidth="1"/>
    <col min="8" max="8" width="39.42578125" customWidth="1"/>
    <col min="9" max="9" width="24.85546875" customWidth="1"/>
    <col min="10" max="10" width="38.42578125" bestFit="1" customWidth="1"/>
    <col min="11" max="162" width="11.42578125" style="6"/>
  </cols>
  <sheetData>
    <row r="2" spans="1:11" ht="15" customHeight="1" x14ac:dyDescent="0.25">
      <c r="A2" s="99"/>
      <c r="B2" s="102" t="s">
        <v>105</v>
      </c>
      <c r="C2" s="103"/>
      <c r="D2" s="103"/>
      <c r="E2" s="103"/>
      <c r="F2" s="103"/>
      <c r="G2" s="103"/>
      <c r="H2" s="103"/>
      <c r="I2" s="104"/>
      <c r="J2" s="4" t="s">
        <v>12</v>
      </c>
    </row>
    <row r="3" spans="1:11" ht="15" customHeight="1" x14ac:dyDescent="0.25">
      <c r="A3" s="100"/>
      <c r="B3" s="105"/>
      <c r="C3" s="106"/>
      <c r="D3" s="106"/>
      <c r="E3" s="106"/>
      <c r="F3" s="106"/>
      <c r="G3" s="106"/>
      <c r="H3" s="106"/>
      <c r="I3" s="107"/>
      <c r="J3" s="3" t="s">
        <v>13</v>
      </c>
    </row>
    <row r="4" spans="1:11" ht="9.75" customHeight="1" x14ac:dyDescent="0.25">
      <c r="A4" s="101"/>
      <c r="B4" s="108"/>
      <c r="C4" s="109"/>
      <c r="D4" s="109"/>
      <c r="E4" s="109"/>
      <c r="F4" s="109"/>
      <c r="G4" s="109"/>
      <c r="H4" s="109"/>
      <c r="I4" s="110"/>
      <c r="J4" s="3" t="s">
        <v>9</v>
      </c>
    </row>
    <row r="5" spans="1:11" ht="15" customHeight="1" x14ac:dyDescent="0.25">
      <c r="A5" s="111" t="s">
        <v>10</v>
      </c>
      <c r="B5" s="111"/>
      <c r="C5" s="111"/>
      <c r="D5" s="111"/>
      <c r="E5" s="111"/>
      <c r="F5" s="111"/>
      <c r="G5" s="111"/>
      <c r="H5" s="111"/>
      <c r="I5" s="111"/>
      <c r="J5" s="111"/>
    </row>
    <row r="6" spans="1:11" x14ac:dyDescent="0.25">
      <c r="A6" s="111"/>
      <c r="B6" s="111"/>
      <c r="C6" s="111"/>
      <c r="D6" s="111"/>
      <c r="E6" s="111"/>
      <c r="F6" s="111"/>
      <c r="G6" s="111"/>
      <c r="H6" s="111"/>
      <c r="I6" s="111"/>
      <c r="J6" s="111"/>
    </row>
    <row r="7" spans="1:11" ht="18.75" customHeight="1" x14ac:dyDescent="0.25">
      <c r="A7" s="5"/>
      <c r="B7" s="5"/>
      <c r="C7" s="5"/>
      <c r="D7" s="7"/>
      <c r="E7" s="9"/>
      <c r="F7" s="5"/>
      <c r="G7" s="5"/>
      <c r="H7" s="5"/>
      <c r="I7" s="5"/>
      <c r="J7" s="5"/>
    </row>
    <row r="8" spans="1:11" s="19" customFormat="1" x14ac:dyDescent="0.25">
      <c r="C8" s="24"/>
      <c r="D8" s="25"/>
      <c r="E8" s="24"/>
      <c r="F8" s="26"/>
    </row>
    <row r="9" spans="1:11" s="19" customFormat="1" x14ac:dyDescent="0.25">
      <c r="C9" s="24"/>
      <c r="D9" s="25"/>
      <c r="E9" s="24"/>
      <c r="F9" s="26"/>
    </row>
    <row r="10" spans="1:11" s="19" customFormat="1" x14ac:dyDescent="0.25">
      <c r="C10" s="24"/>
      <c r="D10" s="25"/>
      <c r="E10" s="24"/>
      <c r="F10" s="26"/>
    </row>
    <row r="11" spans="1:11" s="19" customFormat="1" x14ac:dyDescent="0.25">
      <c r="C11" s="24"/>
      <c r="D11" s="25"/>
      <c r="E11" s="24"/>
      <c r="F11" s="26"/>
    </row>
    <row r="12" spans="1:11" s="19" customFormat="1" x14ac:dyDescent="0.25">
      <c r="A12" s="112" t="s">
        <v>0</v>
      </c>
      <c r="B12" s="112"/>
      <c r="C12" s="112" t="s">
        <v>1</v>
      </c>
      <c r="D12" s="113" t="s">
        <v>6</v>
      </c>
      <c r="E12" s="114" t="s">
        <v>11</v>
      </c>
      <c r="F12" s="116" t="s">
        <v>3</v>
      </c>
      <c r="G12" s="112" t="s">
        <v>4</v>
      </c>
      <c r="H12" s="117" t="s">
        <v>5</v>
      </c>
      <c r="I12" s="117" t="s">
        <v>7</v>
      </c>
      <c r="J12" s="117"/>
    </row>
    <row r="13" spans="1:11" s="19" customFormat="1" x14ac:dyDescent="0.25">
      <c r="A13" s="112"/>
      <c r="B13" s="112"/>
      <c r="C13" s="112"/>
      <c r="D13" s="113"/>
      <c r="E13" s="115"/>
      <c r="F13" s="116"/>
      <c r="G13" s="112"/>
      <c r="H13" s="117"/>
      <c r="I13" s="54" t="s">
        <v>8</v>
      </c>
      <c r="J13" s="53" t="s">
        <v>17</v>
      </c>
    </row>
    <row r="14" spans="1:11" s="19" customFormat="1" ht="75" x14ac:dyDescent="0.25">
      <c r="A14" s="88" t="s">
        <v>116</v>
      </c>
      <c r="B14" s="89"/>
      <c r="C14" s="12" t="s">
        <v>65</v>
      </c>
      <c r="D14" s="13" t="s">
        <v>115</v>
      </c>
      <c r="E14" s="14" t="s">
        <v>18</v>
      </c>
      <c r="F14" s="15" t="s">
        <v>47</v>
      </c>
      <c r="G14" s="15" t="s">
        <v>99</v>
      </c>
      <c r="H14" s="11" t="s">
        <v>79</v>
      </c>
      <c r="I14" s="53" t="s">
        <v>46</v>
      </c>
      <c r="J14" s="53" t="s">
        <v>46</v>
      </c>
      <c r="K14" s="18"/>
    </row>
    <row r="15" spans="1:11" s="19" customFormat="1" ht="90" x14ac:dyDescent="0.25">
      <c r="A15" s="88" t="s">
        <v>84</v>
      </c>
      <c r="B15" s="89"/>
      <c r="C15" s="11" t="s">
        <v>85</v>
      </c>
      <c r="D15" s="49" t="s">
        <v>86</v>
      </c>
      <c r="E15" s="14" t="s">
        <v>18</v>
      </c>
      <c r="F15" s="15" t="s">
        <v>47</v>
      </c>
      <c r="G15" s="15" t="s">
        <v>87</v>
      </c>
      <c r="H15" s="11" t="s">
        <v>88</v>
      </c>
      <c r="I15" s="53" t="s">
        <v>46</v>
      </c>
      <c r="J15" s="53"/>
      <c r="K15" s="18"/>
    </row>
    <row r="16" spans="1:11" s="19" customFormat="1" ht="45" x14ac:dyDescent="0.25">
      <c r="A16" s="93" t="s">
        <v>100</v>
      </c>
      <c r="B16" s="94"/>
      <c r="C16" s="11" t="s">
        <v>15</v>
      </c>
      <c r="D16" s="29" t="s">
        <v>101</v>
      </c>
      <c r="E16" s="14" t="s">
        <v>18</v>
      </c>
      <c r="F16" s="15" t="s">
        <v>47</v>
      </c>
      <c r="G16" s="15" t="s">
        <v>103</v>
      </c>
      <c r="H16" s="11" t="s">
        <v>102</v>
      </c>
      <c r="I16" s="53" t="s">
        <v>46</v>
      </c>
      <c r="J16" s="53"/>
      <c r="K16" s="18"/>
    </row>
    <row r="17" spans="1:11" s="19" customFormat="1" ht="60" x14ac:dyDescent="0.25">
      <c r="A17" s="58" t="s">
        <v>107</v>
      </c>
      <c r="B17" s="59"/>
      <c r="C17" s="12" t="s">
        <v>16</v>
      </c>
      <c r="D17" s="29" t="s">
        <v>108</v>
      </c>
      <c r="E17" s="14" t="s">
        <v>19</v>
      </c>
      <c r="F17" s="15" t="s">
        <v>50</v>
      </c>
      <c r="G17" s="15"/>
      <c r="H17" s="11" t="s">
        <v>22</v>
      </c>
      <c r="I17" s="55"/>
      <c r="J17" s="55"/>
      <c r="K17" s="18"/>
    </row>
    <row r="18" spans="1:11" s="19" customFormat="1" ht="75" x14ac:dyDescent="0.25">
      <c r="A18" s="91" t="s">
        <v>28</v>
      </c>
      <c r="B18" s="91"/>
      <c r="C18" s="50" t="s">
        <v>16</v>
      </c>
      <c r="D18" s="52" t="s">
        <v>29</v>
      </c>
      <c r="E18" s="14" t="s">
        <v>18</v>
      </c>
      <c r="F18" s="15" t="s">
        <v>50</v>
      </c>
      <c r="G18" s="20"/>
      <c r="H18" s="11"/>
      <c r="I18" s="53"/>
      <c r="J18" s="17"/>
      <c r="K18" s="18"/>
    </row>
    <row r="19" spans="1:11" s="19" customFormat="1" ht="30" x14ac:dyDescent="0.25">
      <c r="A19" s="92" t="s">
        <v>48</v>
      </c>
      <c r="B19" s="92"/>
      <c r="C19" s="11" t="s">
        <v>15</v>
      </c>
      <c r="D19" s="52" t="s">
        <v>49</v>
      </c>
      <c r="E19" s="14" t="s">
        <v>18</v>
      </c>
      <c r="F19" s="15" t="s">
        <v>50</v>
      </c>
      <c r="G19" s="15"/>
      <c r="H19" s="11"/>
      <c r="I19" s="53"/>
      <c r="J19" s="53"/>
      <c r="K19" s="18"/>
    </row>
    <row r="20" spans="1:11" s="19" customFormat="1" ht="60" x14ac:dyDescent="0.25">
      <c r="A20" s="92" t="s">
        <v>107</v>
      </c>
      <c r="B20" s="92"/>
      <c r="C20" s="11" t="s">
        <v>106</v>
      </c>
      <c r="D20" s="60" t="s">
        <v>108</v>
      </c>
      <c r="E20" s="14" t="s">
        <v>19</v>
      </c>
      <c r="F20" s="15" t="s">
        <v>50</v>
      </c>
      <c r="G20" s="15">
        <v>42977</v>
      </c>
      <c r="H20" s="11" t="s">
        <v>22</v>
      </c>
      <c r="I20" s="55" t="s">
        <v>46</v>
      </c>
      <c r="J20" s="55" t="s">
        <v>46</v>
      </c>
      <c r="K20" s="18"/>
    </row>
    <row r="21" spans="1:11" s="19" customFormat="1" ht="45" x14ac:dyDescent="0.25">
      <c r="A21" s="58" t="s">
        <v>109</v>
      </c>
      <c r="B21" s="59"/>
      <c r="C21" s="12" t="s">
        <v>14</v>
      </c>
      <c r="D21" s="60" t="s">
        <v>110</v>
      </c>
      <c r="E21" s="14" t="s">
        <v>18</v>
      </c>
      <c r="F21" s="15" t="s">
        <v>50</v>
      </c>
      <c r="G21" s="15">
        <v>42977</v>
      </c>
      <c r="H21" s="11" t="s">
        <v>111</v>
      </c>
      <c r="I21" s="55" t="s">
        <v>46</v>
      </c>
      <c r="J21" s="55" t="s">
        <v>46</v>
      </c>
      <c r="K21" s="18"/>
    </row>
    <row r="22" spans="1:11" s="19" customFormat="1" ht="60" customHeight="1" x14ac:dyDescent="0.25">
      <c r="A22" s="88" t="s">
        <v>120</v>
      </c>
      <c r="B22" s="89"/>
      <c r="C22" s="12" t="s">
        <v>39</v>
      </c>
      <c r="D22" s="60" t="s">
        <v>121</v>
      </c>
      <c r="E22" s="14" t="s">
        <v>18</v>
      </c>
      <c r="F22" s="15" t="s">
        <v>50</v>
      </c>
      <c r="G22" s="15">
        <v>42977</v>
      </c>
      <c r="H22" s="11" t="s">
        <v>122</v>
      </c>
      <c r="I22" s="55" t="s">
        <v>46</v>
      </c>
      <c r="J22" s="55" t="s">
        <v>46</v>
      </c>
      <c r="K22" s="18"/>
    </row>
    <row r="23" spans="1:11" s="19" customFormat="1" ht="60" customHeight="1" x14ac:dyDescent="0.25">
      <c r="A23" s="88" t="s">
        <v>131</v>
      </c>
      <c r="B23" s="89"/>
      <c r="C23" s="12" t="s">
        <v>16</v>
      </c>
      <c r="D23" s="60" t="s">
        <v>132</v>
      </c>
      <c r="E23" s="14" t="s">
        <v>19</v>
      </c>
      <c r="F23" s="15" t="s">
        <v>55</v>
      </c>
      <c r="G23" s="15"/>
      <c r="H23" s="11" t="s">
        <v>22</v>
      </c>
      <c r="I23" s="55"/>
      <c r="J23" s="55"/>
      <c r="K23" s="18"/>
    </row>
    <row r="24" spans="1:11" s="19" customFormat="1" ht="30" x14ac:dyDescent="0.25">
      <c r="A24" s="88" t="s">
        <v>124</v>
      </c>
      <c r="B24" s="89"/>
      <c r="C24" s="12" t="s">
        <v>117</v>
      </c>
      <c r="D24" s="60" t="s">
        <v>118</v>
      </c>
      <c r="E24" s="14" t="s">
        <v>18</v>
      </c>
      <c r="F24" s="15" t="s">
        <v>55</v>
      </c>
      <c r="G24" s="15">
        <v>42985</v>
      </c>
      <c r="H24" s="11" t="s">
        <v>119</v>
      </c>
      <c r="I24" s="55"/>
      <c r="J24" s="55"/>
      <c r="K24" s="18"/>
    </row>
    <row r="25" spans="1:11" s="19" customFormat="1" x14ac:dyDescent="0.25">
      <c r="A25" s="92" t="s">
        <v>24</v>
      </c>
      <c r="B25" s="92"/>
      <c r="C25" s="11" t="s">
        <v>15</v>
      </c>
      <c r="D25" s="52" t="s">
        <v>52</v>
      </c>
      <c r="E25" s="14" t="s">
        <v>18</v>
      </c>
      <c r="F25" s="15" t="s">
        <v>55</v>
      </c>
      <c r="G25" s="15"/>
      <c r="H25" s="11" t="s">
        <v>123</v>
      </c>
      <c r="I25" s="53"/>
      <c r="J25" s="53"/>
      <c r="K25" s="18"/>
    </row>
    <row r="26" spans="1:11" s="19" customFormat="1" ht="30" x14ac:dyDescent="0.25">
      <c r="A26" s="93" t="s">
        <v>112</v>
      </c>
      <c r="B26" s="94"/>
      <c r="C26" s="50" t="s">
        <v>113</v>
      </c>
      <c r="D26" s="23" t="s">
        <v>114</v>
      </c>
      <c r="E26" s="14" t="s">
        <v>19</v>
      </c>
      <c r="F26" s="15" t="s">
        <v>55</v>
      </c>
      <c r="G26" s="15">
        <v>43003</v>
      </c>
      <c r="H26" s="11" t="s">
        <v>22</v>
      </c>
      <c r="I26" s="53" t="s">
        <v>72</v>
      </c>
      <c r="J26" s="53" t="s">
        <v>72</v>
      </c>
      <c r="K26" s="18"/>
    </row>
    <row r="27" spans="1:11" s="19" customFormat="1" ht="30" customHeight="1" x14ac:dyDescent="0.25">
      <c r="A27" s="88" t="s">
        <v>125</v>
      </c>
      <c r="B27" s="89"/>
      <c r="C27" s="56" t="s">
        <v>39</v>
      </c>
      <c r="D27" s="23" t="s">
        <v>128</v>
      </c>
      <c r="E27" s="14" t="s">
        <v>19</v>
      </c>
      <c r="F27" s="15" t="s">
        <v>55</v>
      </c>
      <c r="G27" s="15">
        <v>43008</v>
      </c>
      <c r="H27" s="11" t="s">
        <v>22</v>
      </c>
      <c r="I27" s="55"/>
      <c r="J27" s="55"/>
      <c r="K27" s="18"/>
    </row>
    <row r="28" spans="1:11" s="19" customFormat="1" ht="30" customHeight="1" x14ac:dyDescent="0.25">
      <c r="A28" s="88" t="s">
        <v>133</v>
      </c>
      <c r="B28" s="89"/>
      <c r="C28" s="56" t="s">
        <v>16</v>
      </c>
      <c r="D28" s="23" t="s">
        <v>134</v>
      </c>
      <c r="E28" s="14" t="s">
        <v>19</v>
      </c>
      <c r="F28" s="15" t="s">
        <v>58</v>
      </c>
      <c r="G28" s="15">
        <v>43039</v>
      </c>
      <c r="H28" s="11" t="s">
        <v>22</v>
      </c>
      <c r="I28" s="55"/>
      <c r="J28" s="55"/>
      <c r="K28" s="18"/>
    </row>
    <row r="29" spans="1:11" s="19" customFormat="1" ht="30" customHeight="1" x14ac:dyDescent="0.25">
      <c r="A29" s="56" t="s">
        <v>126</v>
      </c>
      <c r="B29" s="57"/>
      <c r="C29" s="56" t="s">
        <v>39</v>
      </c>
      <c r="D29" s="23" t="s">
        <v>127</v>
      </c>
      <c r="E29" s="14" t="s">
        <v>19</v>
      </c>
      <c r="F29" s="15" t="s">
        <v>58</v>
      </c>
      <c r="G29" s="15">
        <v>43039</v>
      </c>
      <c r="H29" s="11" t="s">
        <v>22</v>
      </c>
      <c r="I29" s="55"/>
      <c r="J29" s="55"/>
      <c r="K29" s="18"/>
    </row>
    <row r="30" spans="1:11" s="19" customFormat="1" ht="60" x14ac:dyDescent="0.25">
      <c r="A30" s="92" t="s">
        <v>53</v>
      </c>
      <c r="B30" s="92"/>
      <c r="C30" s="11" t="s">
        <v>15</v>
      </c>
      <c r="D30" s="52" t="s">
        <v>54</v>
      </c>
      <c r="E30" s="14" t="s">
        <v>18</v>
      </c>
      <c r="F30" s="15" t="s">
        <v>58</v>
      </c>
      <c r="G30" s="15">
        <v>43039</v>
      </c>
      <c r="H30" s="11"/>
      <c r="I30" s="53"/>
      <c r="J30" s="53"/>
      <c r="K30" s="18"/>
    </row>
    <row r="31" spans="1:11" s="19" customFormat="1" ht="60" x14ac:dyDescent="0.25">
      <c r="A31" s="97" t="s">
        <v>24</v>
      </c>
      <c r="B31" s="98"/>
      <c r="C31" s="50" t="s">
        <v>51</v>
      </c>
      <c r="D31" s="13" t="s">
        <v>26</v>
      </c>
      <c r="E31" s="14" t="s">
        <v>18</v>
      </c>
      <c r="F31" s="15" t="s">
        <v>58</v>
      </c>
      <c r="G31" s="15">
        <v>43039</v>
      </c>
      <c r="H31" s="11"/>
      <c r="I31" s="17"/>
      <c r="J31" s="17"/>
      <c r="K31" s="18"/>
    </row>
    <row r="32" spans="1:11" s="19" customFormat="1" ht="60" customHeight="1" x14ac:dyDescent="0.25">
      <c r="A32" s="88" t="s">
        <v>135</v>
      </c>
      <c r="B32" s="89"/>
      <c r="C32" s="56" t="s">
        <v>16</v>
      </c>
      <c r="D32" s="13" t="s">
        <v>136</v>
      </c>
      <c r="E32" s="14" t="s">
        <v>19</v>
      </c>
      <c r="F32" s="15" t="s">
        <v>59</v>
      </c>
      <c r="G32" s="15">
        <v>43069</v>
      </c>
      <c r="H32" s="11" t="s">
        <v>22</v>
      </c>
      <c r="I32" s="17"/>
      <c r="J32" s="17"/>
      <c r="K32" s="18"/>
    </row>
    <row r="33" spans="1:11" s="19" customFormat="1" ht="45" x14ac:dyDescent="0.25">
      <c r="A33" s="92" t="s">
        <v>56</v>
      </c>
      <c r="B33" s="92"/>
      <c r="C33" s="11" t="s">
        <v>15</v>
      </c>
      <c r="D33" s="52" t="s">
        <v>57</v>
      </c>
      <c r="E33" s="14" t="s">
        <v>19</v>
      </c>
      <c r="F33" s="15" t="s">
        <v>59</v>
      </c>
      <c r="G33" s="15">
        <v>43069</v>
      </c>
      <c r="H33" s="11"/>
      <c r="I33" s="53"/>
      <c r="J33" s="53"/>
      <c r="K33" s="18"/>
    </row>
    <row r="34" spans="1:11" s="19" customFormat="1" x14ac:dyDescent="0.25">
      <c r="A34" s="88" t="s">
        <v>129</v>
      </c>
      <c r="B34" s="89"/>
      <c r="C34" s="11" t="s">
        <v>39</v>
      </c>
      <c r="D34" s="60" t="s">
        <v>130</v>
      </c>
      <c r="E34" s="14" t="s">
        <v>19</v>
      </c>
      <c r="F34" s="15" t="s">
        <v>59</v>
      </c>
      <c r="G34" s="15">
        <v>43039</v>
      </c>
      <c r="H34" s="11"/>
      <c r="I34" s="55"/>
      <c r="J34" s="55"/>
      <c r="K34" s="18"/>
    </row>
    <row r="35" spans="1:11" s="19" customFormat="1" ht="30" customHeight="1" x14ac:dyDescent="0.25">
      <c r="A35" s="88" t="s">
        <v>137</v>
      </c>
      <c r="B35" s="89"/>
      <c r="C35" s="11" t="s">
        <v>16</v>
      </c>
      <c r="D35" s="60"/>
      <c r="E35" s="14"/>
      <c r="F35" s="15"/>
      <c r="G35" s="15"/>
      <c r="H35" s="11"/>
      <c r="I35" s="55"/>
      <c r="J35" s="55"/>
      <c r="K35" s="18"/>
    </row>
    <row r="36" spans="1:11" s="19" customFormat="1" ht="45" x14ac:dyDescent="0.25">
      <c r="A36" s="92" t="s">
        <v>60</v>
      </c>
      <c r="B36" s="92"/>
      <c r="C36" s="11" t="s">
        <v>15</v>
      </c>
      <c r="D36" s="52" t="s">
        <v>61</v>
      </c>
      <c r="E36" s="14" t="s">
        <v>19</v>
      </c>
      <c r="F36" s="15" t="s">
        <v>62</v>
      </c>
      <c r="G36" s="15">
        <v>43100</v>
      </c>
      <c r="H36" s="11"/>
      <c r="I36" s="53"/>
      <c r="J36" s="53"/>
      <c r="K36" s="18"/>
    </row>
    <row r="37" spans="1:11" s="19" customFormat="1" x14ac:dyDescent="0.25">
      <c r="C37" s="24"/>
      <c r="D37" s="25"/>
      <c r="E37" s="24"/>
      <c r="F37" s="26"/>
    </row>
    <row r="38" spans="1:11" s="19" customFormat="1" x14ac:dyDescent="0.25">
      <c r="A38" s="30"/>
      <c r="B38" s="31"/>
      <c r="C38" s="32"/>
      <c r="D38" s="33"/>
      <c r="E38" s="34"/>
      <c r="F38" s="35"/>
      <c r="G38" s="35"/>
      <c r="H38" s="32"/>
      <c r="I38" s="36"/>
      <c r="J38" s="36"/>
      <c r="K38" s="18"/>
    </row>
    <row r="39" spans="1:11" s="19" customFormat="1" x14ac:dyDescent="0.25">
      <c r="B39" s="37"/>
      <c r="C39" s="51"/>
      <c r="D39" s="39"/>
      <c r="E39" s="51"/>
      <c r="F39" s="26"/>
      <c r="I39" s="90"/>
      <c r="J39" s="90"/>
    </row>
    <row r="40" spans="1:11" s="19" customFormat="1" x14ac:dyDescent="0.25">
      <c r="B40" s="19" t="s">
        <v>20</v>
      </c>
      <c r="C40" s="24"/>
      <c r="D40" s="25"/>
      <c r="E40" s="24"/>
      <c r="F40" s="26"/>
      <c r="I40" s="19" t="s">
        <v>2</v>
      </c>
    </row>
    <row r="41" spans="1:11" s="19" customFormat="1" x14ac:dyDescent="0.25">
      <c r="C41" s="24"/>
      <c r="D41" s="25"/>
      <c r="E41" s="24"/>
      <c r="F41" s="26"/>
    </row>
    <row r="42" spans="1:11" s="19" customFormat="1" x14ac:dyDescent="0.25">
      <c r="C42" s="24"/>
      <c r="D42" s="25"/>
      <c r="E42" s="24"/>
      <c r="F42" s="26"/>
    </row>
  </sheetData>
  <sheetProtection algorithmName="SHA-512" hashValue="1cR0KKi/TIV4BlXurQ/UfX82aoVEj2ZJW+ldSt2RJ+dIinTyCaOlaJCcwxWcW8N5eRF8OG1T+0DCbWhMkAHK4w==" saltValue="p4Xcuz5sIufF2rgFUab6nQ==" spinCount="100000" sheet="1" objects="1" scenarios="1"/>
  <autoFilter ref="A12:J36" xr:uid="{00000000-0009-0000-0000-000002000000}">
    <filterColumn colId="0" showButton="0"/>
    <filterColumn colId="8" showButton="0"/>
  </autoFilter>
  <mergeCells count="32">
    <mergeCell ref="A32:B32"/>
    <mergeCell ref="A35:B35"/>
    <mergeCell ref="A2:A4"/>
    <mergeCell ref="B2:I4"/>
    <mergeCell ref="A5:J6"/>
    <mergeCell ref="A12:B13"/>
    <mergeCell ref="C12:C13"/>
    <mergeCell ref="D12:D13"/>
    <mergeCell ref="E12:E13"/>
    <mergeCell ref="F12:F13"/>
    <mergeCell ref="G12:G13"/>
    <mergeCell ref="H12:H13"/>
    <mergeCell ref="A14:B14"/>
    <mergeCell ref="A15:B15"/>
    <mergeCell ref="A16:B16"/>
    <mergeCell ref="I12:J12"/>
    <mergeCell ref="A33:B33"/>
    <mergeCell ref="A36:B36"/>
    <mergeCell ref="I39:J39"/>
    <mergeCell ref="A18:B18"/>
    <mergeCell ref="A19:B19"/>
    <mergeCell ref="A25:B25"/>
    <mergeCell ref="A26:B26"/>
    <mergeCell ref="A30:B30"/>
    <mergeCell ref="A31:B31"/>
    <mergeCell ref="A20:B20"/>
    <mergeCell ref="A24:B24"/>
    <mergeCell ref="A22:B22"/>
    <mergeCell ref="A27:B27"/>
    <mergeCell ref="A34:B34"/>
    <mergeCell ref="A23:B23"/>
    <mergeCell ref="A28:B2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0" ma:contentTypeDescription="Crear nuevo documento." ma:contentTypeScope="" ma:versionID="fc600db9f536533e8d2f945636ed5275">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2ED2459-5900-4CE9-9DEB-89A1FC70FED4}"/>
</file>

<file path=customXml/itemProps2.xml><?xml version="1.0" encoding="utf-8"?>
<ds:datastoreItem xmlns:ds="http://schemas.openxmlformats.org/officeDocument/2006/customXml" ds:itemID="{6C5B726A-8213-4728-A6D9-F5A277A4714C}"/>
</file>

<file path=customXml/itemProps3.xml><?xml version="1.0" encoding="utf-8"?>
<ds:datastoreItem xmlns:ds="http://schemas.openxmlformats.org/officeDocument/2006/customXml" ds:itemID="{2243365B-5B7C-4CE0-87CF-95B240137BA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2017</vt:lpstr>
      <vt:lpstr>CUMPLIMIENTO</vt:lpstr>
      <vt:lpstr>II SEMESTRE 2017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WINDOWS 7</dc:creator>
  <cp:lastModifiedBy>Usuario de red</cp:lastModifiedBy>
  <cp:lastPrinted>2016-08-17T16:46:45Z</cp:lastPrinted>
  <dcterms:created xsi:type="dcterms:W3CDTF">2013-01-11T16:16:43Z</dcterms:created>
  <dcterms:modified xsi:type="dcterms:W3CDTF">2018-06-23T21:13:21Z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50600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