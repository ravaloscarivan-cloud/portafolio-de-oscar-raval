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FD923F8A-A6A9-4751-8142-718508A4267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triz DOFA" sheetId="2" r:id="rId1"/>
    <sheet name="Estrategias y Plan de trabajo" sheetId="8" r:id="rId2"/>
    <sheet name="Clasificacion de eficacia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" i="2" l="1"/>
  <c r="V34" i="2"/>
  <c r="R35" i="2"/>
  <c r="V35" i="2"/>
  <c r="R36" i="2"/>
  <c r="V36" i="2"/>
  <c r="R37" i="2"/>
  <c r="V37" i="2"/>
  <c r="R38" i="2"/>
  <c r="V38" i="2"/>
  <c r="R39" i="2"/>
  <c r="V39" i="2"/>
  <c r="R40" i="2"/>
  <c r="V40" i="2"/>
  <c r="R41" i="2"/>
  <c r="V41" i="2"/>
  <c r="Q44" i="2" l="1"/>
  <c r="P44" i="2"/>
  <c r="G44" i="2"/>
  <c r="F44" i="2"/>
  <c r="V43" i="2"/>
  <c r="T43" i="2"/>
  <c r="R43" i="2"/>
  <c r="L43" i="2"/>
  <c r="J43" i="2"/>
  <c r="H43" i="2"/>
  <c r="V42" i="2"/>
  <c r="T42" i="2"/>
  <c r="T44" i="2" s="1"/>
  <c r="R42" i="2"/>
  <c r="L42" i="2"/>
  <c r="J42" i="2"/>
  <c r="H42" i="2"/>
  <c r="L41" i="2"/>
  <c r="J41" i="2"/>
  <c r="H41" i="2"/>
  <c r="L40" i="2"/>
  <c r="J40" i="2"/>
  <c r="H40" i="2"/>
  <c r="L39" i="2"/>
  <c r="J39" i="2"/>
  <c r="H39" i="2"/>
  <c r="L38" i="2"/>
  <c r="J38" i="2"/>
  <c r="H38" i="2"/>
  <c r="L37" i="2"/>
  <c r="J37" i="2"/>
  <c r="H37" i="2"/>
  <c r="L36" i="2"/>
  <c r="J36" i="2"/>
  <c r="H36" i="2"/>
  <c r="L35" i="2"/>
  <c r="J35" i="2"/>
  <c r="H35" i="2"/>
  <c r="L34" i="2"/>
  <c r="J34" i="2"/>
  <c r="H34" i="2"/>
  <c r="Q27" i="2"/>
  <c r="P27" i="2"/>
  <c r="L27" i="2"/>
  <c r="G27" i="2"/>
  <c r="F27" i="2"/>
  <c r="V26" i="2"/>
  <c r="T26" i="2"/>
  <c r="T27" i="2" s="1"/>
  <c r="R26" i="2"/>
  <c r="H26" i="2"/>
  <c r="V25" i="2"/>
  <c r="R25" i="2"/>
  <c r="H25" i="2"/>
  <c r="V24" i="2"/>
  <c r="R24" i="2"/>
  <c r="H24" i="2"/>
  <c r="I24" i="2" s="1"/>
  <c r="V23" i="2"/>
  <c r="R23" i="2"/>
  <c r="H23" i="2"/>
  <c r="I23" i="2" s="1"/>
  <c r="J23" i="2" s="1"/>
  <c r="V22" i="2"/>
  <c r="R22" i="2"/>
  <c r="H22" i="2"/>
  <c r="I22" i="2" s="1"/>
  <c r="V21" i="2"/>
  <c r="R21" i="2"/>
  <c r="H21" i="2"/>
  <c r="I21" i="2" s="1"/>
  <c r="V20" i="2"/>
  <c r="R20" i="2"/>
  <c r="H20" i="2"/>
  <c r="I20" i="2" s="1"/>
  <c r="V19" i="2"/>
  <c r="R19" i="2"/>
  <c r="H19" i="2"/>
  <c r="I19" i="2" s="1"/>
  <c r="V18" i="2"/>
  <c r="R18" i="2"/>
  <c r="K18" i="2"/>
  <c r="L18" i="2" s="1"/>
  <c r="H18" i="2"/>
  <c r="V17" i="2"/>
  <c r="R17" i="2"/>
  <c r="K17" i="2"/>
  <c r="L17" i="2" s="1"/>
  <c r="H17" i="2"/>
  <c r="H27" i="2" l="1"/>
  <c r="J20" i="2"/>
  <c r="J44" i="2"/>
  <c r="J19" i="2"/>
  <c r="K19" i="2" s="1"/>
  <c r="L44" i="2"/>
  <c r="H44" i="2"/>
  <c r="V44" i="2"/>
  <c r="R27" i="2"/>
  <c r="V27" i="2"/>
  <c r="J21" i="2"/>
  <c r="J24" i="2"/>
  <c r="J22" i="2"/>
  <c r="K23" i="2"/>
  <c r="L23" i="2" s="1"/>
  <c r="I26" i="2"/>
  <c r="I25" i="2"/>
  <c r="L19" i="2" l="1"/>
  <c r="K20" i="2"/>
  <c r="L20" i="2" s="1"/>
  <c r="K24" i="2"/>
  <c r="L24" i="2" s="1"/>
  <c r="J26" i="2"/>
  <c r="K26" i="2" s="1"/>
  <c r="K22" i="2"/>
  <c r="L22" i="2" s="1"/>
  <c r="K21" i="2"/>
  <c r="L21" i="2" s="1"/>
  <c r="J25" i="2"/>
  <c r="K25" i="2" l="1"/>
  <c r="L25" i="2" s="1"/>
  <c r="L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16" authorId="0" shapeId="0" xr:uid="{00000000-0006-0000-0000-000001000000}">
      <text>
        <r>
          <rPr>
            <u/>
            <sz val="11"/>
            <color indexed="81"/>
            <rFont val="Tahoma"/>
            <family val="2"/>
          </rPr>
          <t>Revisar que su suma sea igual a 100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G16" authorId="0" shapeId="0" xr:uid="{00000000-0006-0000-0000-000002000000}">
      <text>
        <r>
          <rPr>
            <sz val="10"/>
            <color indexed="81"/>
            <rFont val="Tahoma"/>
            <family val="2"/>
          </rPr>
          <t>Clasificar según la tabla de clasificación</t>
        </r>
      </text>
    </comment>
    <comment ref="H16" authorId="0" shapeId="0" xr:uid="{00000000-0006-0000-0000-000003000000}">
      <text>
        <r>
          <rPr>
            <sz val="10"/>
            <color indexed="81"/>
            <rFont val="Tahoma"/>
            <family val="2"/>
          </rPr>
          <t>Peso x Clasificación</t>
        </r>
      </text>
    </comment>
    <comment ref="I16" authorId="0" shapeId="0" xr:uid="{00000000-0006-0000-0000-000004000000}">
      <text>
        <r>
          <rPr>
            <sz val="10"/>
            <color indexed="81"/>
            <rFont val="Tahoma"/>
            <family val="2"/>
          </rPr>
          <t>Clasificar según la tabla de clasificación</t>
        </r>
      </text>
    </comment>
    <comment ref="J16" authorId="0" shapeId="0" xr:uid="{00000000-0006-0000-0000-000005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K16" authorId="0" shapeId="0" xr:uid="{00000000-0006-0000-0000-000006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L16" authorId="0" shapeId="0" xr:uid="{00000000-0006-0000-0000-000007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P16" authorId="0" shapeId="0" xr:uid="{00000000-0006-0000-0000-000008000000}">
      <text>
        <r>
          <rPr>
            <u/>
            <sz val="10"/>
            <color indexed="81"/>
            <rFont val="Tahoma"/>
            <family val="2"/>
          </rPr>
          <t>Revisar que su suma sea igual a 100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16" authorId="0" shapeId="0" xr:uid="{00000000-0006-0000-0000-000009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R16" authorId="0" shapeId="0" xr:uid="{00000000-0006-0000-0000-00000A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S16" authorId="0" shapeId="0" xr:uid="{00000000-0006-0000-0000-00000B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T16" authorId="0" shapeId="0" xr:uid="{00000000-0006-0000-0000-00000C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U16" authorId="0" shapeId="0" xr:uid="{00000000-0006-0000-0000-00000D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V16" authorId="0" shapeId="0" xr:uid="{00000000-0006-0000-0000-00000E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F33" authorId="0" shapeId="0" xr:uid="{00000000-0006-0000-0000-00000F000000}">
      <text>
        <r>
          <rPr>
            <u/>
            <sz val="10"/>
            <color indexed="81"/>
            <rFont val="Tahoma"/>
            <family val="2"/>
          </rPr>
          <t>Revisar que su suma sea igual a 100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33" authorId="0" shapeId="0" xr:uid="{00000000-0006-0000-0000-000010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H33" authorId="0" shapeId="0" xr:uid="{00000000-0006-0000-0000-000011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I33" authorId="0" shapeId="0" xr:uid="{00000000-0006-0000-0000-000012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J33" authorId="0" shapeId="0" xr:uid="{00000000-0006-0000-0000-000013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K33" authorId="0" shapeId="0" xr:uid="{00000000-0006-0000-0000-000014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L33" authorId="0" shapeId="0" xr:uid="{00000000-0006-0000-0000-000015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P33" authorId="0" shapeId="0" xr:uid="{00000000-0006-0000-0000-000016000000}">
      <text>
        <r>
          <rPr>
            <u/>
            <sz val="10"/>
            <color indexed="81"/>
            <rFont val="Tahoma"/>
            <family val="2"/>
          </rPr>
          <t>Revisar que su suma sea igual a 100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33" authorId="0" shapeId="0" xr:uid="{00000000-0006-0000-0000-000017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R33" authorId="0" shapeId="0" xr:uid="{00000000-0006-0000-0000-000018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S33" authorId="0" shapeId="0" xr:uid="{00000000-0006-0000-0000-000019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T33" authorId="0" shapeId="0" xr:uid="{00000000-0006-0000-0000-00001A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U33" authorId="0" shapeId="0" xr:uid="{00000000-0006-0000-0000-00001B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V33" authorId="0" shapeId="0" xr:uid="{00000000-0006-0000-0000-00001C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</commentList>
</comments>
</file>

<file path=xl/sharedStrings.xml><?xml version="1.0" encoding="utf-8"?>
<sst xmlns="http://schemas.openxmlformats.org/spreadsheetml/2006/main" count="395" uniqueCount="264">
  <si>
    <t>Por encima de la media - Mejor que la mayoría - No es habitual</t>
  </si>
  <si>
    <t>En la media - Suficiente - Expectativa mejorable</t>
  </si>
  <si>
    <t>No buena,  puede generar problemas - Se puede mejorar</t>
  </si>
  <si>
    <t>Debilidades</t>
  </si>
  <si>
    <r>
      <t xml:space="preserve"> P x I1 </t>
    </r>
    <r>
      <rPr>
        <sz val="12"/>
        <color indexed="9"/>
        <rFont val="Arial"/>
        <family val="2"/>
      </rPr>
      <t>(Nosotros)</t>
    </r>
  </si>
  <si>
    <r>
      <t xml:space="preserve"> P x I2     </t>
    </r>
    <r>
      <rPr>
        <sz val="12"/>
        <color indexed="9"/>
        <rFont val="Arial"/>
        <family val="2"/>
      </rPr>
      <t>(Org. 2)</t>
    </r>
  </si>
  <si>
    <t xml:space="preserve"> Amenazas</t>
  </si>
  <si>
    <t>Suma</t>
  </si>
  <si>
    <t>Fortalezas</t>
  </si>
  <si>
    <t>Oportunidades</t>
  </si>
  <si>
    <t>EFICACIA</t>
  </si>
  <si>
    <t>RESPONSABLE</t>
  </si>
  <si>
    <t>Aspecto</t>
  </si>
  <si>
    <t>#</t>
  </si>
  <si>
    <t xml:space="preserve">Peso  (suma 100)    </t>
  </si>
  <si>
    <t>Valora-ción I1 (Nosotros) [de 0 a 3]</t>
  </si>
  <si>
    <t xml:space="preserve"> P x I1 (Nosotros)</t>
  </si>
  <si>
    <t xml:space="preserve"> Valora-ción I2 (Org. 2)         [de 0 a 3]</t>
  </si>
  <si>
    <t xml:space="preserve"> P x I2     (Org. 2)</t>
  </si>
  <si>
    <t xml:space="preserve"> Valora-ción I3 (Org.3)        [de 0 a 3]</t>
  </si>
  <si>
    <t>P x I3  (Org.3)</t>
  </si>
  <si>
    <t>Total</t>
  </si>
  <si>
    <r>
      <t xml:space="preserve">Peso </t>
    </r>
    <r>
      <rPr>
        <sz val="12"/>
        <color indexed="9"/>
        <rFont val="Arial"/>
        <family val="2"/>
      </rPr>
      <t>(suma 100)</t>
    </r>
    <r>
      <rPr>
        <b/>
        <sz val="12"/>
        <color indexed="9"/>
        <rFont val="Arial"/>
        <family val="2"/>
      </rPr>
      <t xml:space="preserve">    </t>
    </r>
  </si>
  <si>
    <r>
      <t xml:space="preserve">Valora-ción I1 </t>
    </r>
    <r>
      <rPr>
        <sz val="12"/>
        <color indexed="9"/>
        <rFont val="Arial"/>
        <family val="2"/>
      </rPr>
      <t>(Nosotros)         [de 0 a 3]</t>
    </r>
  </si>
  <si>
    <r>
      <t xml:space="preserve">Valora-ción I2 </t>
    </r>
    <r>
      <rPr>
        <sz val="12"/>
        <color indexed="9"/>
        <rFont val="Arial"/>
        <family val="2"/>
      </rPr>
      <t>(Org.2)        [de 0 a 3]</t>
    </r>
  </si>
  <si>
    <r>
      <t xml:space="preserve">Valora-ción I3 </t>
    </r>
    <r>
      <rPr>
        <sz val="12"/>
        <color indexed="9"/>
        <rFont val="Arial"/>
        <family val="2"/>
      </rPr>
      <t>(Org. 3)        [de 0 a 3]</t>
    </r>
  </si>
  <si>
    <r>
      <t xml:space="preserve"> P x I3</t>
    </r>
    <r>
      <rPr>
        <b/>
        <sz val="12"/>
        <color indexed="9"/>
        <rFont val="Arial"/>
        <family val="2"/>
      </rPr>
      <t xml:space="preserve"> (Org.3)</t>
    </r>
  </si>
  <si>
    <r>
      <t xml:space="preserve">Peso </t>
    </r>
    <r>
      <rPr>
        <sz val="12"/>
        <color indexed="9"/>
        <rFont val="Arial"/>
        <family val="2"/>
      </rPr>
      <t>(suma 100)</t>
    </r>
    <r>
      <rPr>
        <b/>
        <sz val="12"/>
        <color indexed="9"/>
        <rFont val="Arial"/>
        <family val="2"/>
      </rPr>
      <t xml:space="preserve"> </t>
    </r>
  </si>
  <si>
    <r>
      <t xml:space="preserve">Valora-ción I1 </t>
    </r>
    <r>
      <rPr>
        <sz val="12"/>
        <color indexed="9"/>
        <rFont val="Arial"/>
        <family val="2"/>
      </rPr>
      <t>(Nosotros)      [de 0 a 3]</t>
    </r>
  </si>
  <si>
    <r>
      <t>Valora-ción I2</t>
    </r>
    <r>
      <rPr>
        <sz val="12"/>
        <color indexed="9"/>
        <rFont val="Arial"/>
        <family val="2"/>
      </rPr>
      <t xml:space="preserve"> (Org. 2)           [de 0 a 3]</t>
    </r>
  </si>
  <si>
    <r>
      <t xml:space="preserve"> P x I2    </t>
    </r>
    <r>
      <rPr>
        <sz val="12"/>
        <color indexed="9"/>
        <rFont val="Arial"/>
        <family val="2"/>
      </rPr>
      <t xml:space="preserve"> (Org. 2)</t>
    </r>
  </si>
  <si>
    <r>
      <t xml:space="preserve">Valora-ción I3 </t>
    </r>
    <r>
      <rPr>
        <sz val="12"/>
        <color indexed="9"/>
        <rFont val="Arial"/>
        <family val="2"/>
      </rPr>
      <t>(Org.3)        [de 0 a 3]</t>
    </r>
  </si>
  <si>
    <r>
      <t>P x I3</t>
    </r>
    <r>
      <rPr>
        <sz val="12"/>
        <color indexed="9"/>
        <rFont val="Arial"/>
        <family val="2"/>
      </rPr>
      <t xml:space="preserve"> (Org.3)</t>
    </r>
  </si>
  <si>
    <r>
      <t xml:space="preserve">Peso </t>
    </r>
    <r>
      <rPr>
        <sz val="12"/>
        <color indexed="9"/>
        <rFont val="Arial"/>
        <family val="2"/>
      </rPr>
      <t>(suma100)</t>
    </r>
    <r>
      <rPr>
        <b/>
        <sz val="12"/>
        <color indexed="9"/>
        <rFont val="Arial"/>
        <family val="2"/>
      </rPr>
      <t xml:space="preserve">  </t>
    </r>
  </si>
  <si>
    <r>
      <t xml:space="preserve">Valora-ción I1 </t>
    </r>
    <r>
      <rPr>
        <sz val="12"/>
        <color indexed="9"/>
        <rFont val="Arial"/>
        <family val="2"/>
      </rPr>
      <t>(Nosotros)        [de 0 a 3]</t>
    </r>
  </si>
  <si>
    <r>
      <t>Valora-ción</t>
    </r>
    <r>
      <rPr>
        <sz val="12"/>
        <color indexed="9"/>
        <rFont val="Arial"/>
        <family val="2"/>
      </rPr>
      <t xml:space="preserve"> </t>
    </r>
    <r>
      <rPr>
        <b/>
        <sz val="12"/>
        <color indexed="9"/>
        <rFont val="Arial"/>
        <family val="2"/>
      </rPr>
      <t>I3</t>
    </r>
    <r>
      <rPr>
        <sz val="12"/>
        <color indexed="9"/>
        <rFont val="Arial"/>
        <family val="2"/>
      </rPr>
      <t xml:space="preserve"> (Org.3)        [de 0 a 3]</t>
    </r>
  </si>
  <si>
    <r>
      <t xml:space="preserve"> P x I3 </t>
    </r>
    <r>
      <rPr>
        <sz val="12"/>
        <color indexed="9"/>
        <rFont val="Arial"/>
        <family val="2"/>
      </rPr>
      <t>(Org.3)</t>
    </r>
  </si>
  <si>
    <t>Aspectos Positivos</t>
  </si>
  <si>
    <t>Aspectos Negativos</t>
  </si>
  <si>
    <t>Tabla de Clasificación</t>
  </si>
  <si>
    <t>Ideal - Mejor Imposible - Excelente impresión - Excede las expectativas - Genial</t>
  </si>
  <si>
    <t>VARIABLES (DO)</t>
  </si>
  <si>
    <t>ESTRATEGIAS DO (Debilidades y Oportunidades)</t>
  </si>
  <si>
    <t>D</t>
  </si>
  <si>
    <t>O</t>
  </si>
  <si>
    <t>VARIABLES (DA)</t>
  </si>
  <si>
    <t>ESTRATEGIAS DA (Debilidades y Amenazas)</t>
  </si>
  <si>
    <t>A</t>
  </si>
  <si>
    <t>VARIABLES (FO)</t>
  </si>
  <si>
    <t>ESTRATEGIAS FO (Fortalezas y Oportunidades)</t>
  </si>
  <si>
    <t>F</t>
  </si>
  <si>
    <t>VARIABLES (FA)</t>
  </si>
  <si>
    <t>ESTRATEGIAS FA (Fortalezas y Amenazas)</t>
  </si>
  <si>
    <t>Formato de matriz DOFA</t>
  </si>
  <si>
    <t>Codigo</t>
  </si>
  <si>
    <t>Versión</t>
  </si>
  <si>
    <t>Pagina</t>
  </si>
  <si>
    <t>FOR-ADM-022</t>
  </si>
  <si>
    <t>2.0</t>
  </si>
  <si>
    <t>Automatizacion de procesos  para la mejora de control documental y analisis de datos.</t>
  </si>
  <si>
    <t>Rotación lenta de cartera de clientes, que afecta el flujo de caja.</t>
  </si>
  <si>
    <t>Limitada negociacion con proveedores</t>
  </si>
  <si>
    <t>Precios poco competitivos para importación de insumos.</t>
  </si>
  <si>
    <t>Baja rotación de inventario y acumulación de material de baja demanda.</t>
  </si>
  <si>
    <t>Procesos administrativos y de control documental parcialmente manuales.</t>
  </si>
  <si>
    <t>Cambios en políticas nacionales que afectan la regulación del sector salud.</t>
  </si>
  <si>
    <t>Regulación de dispositivos médicos en términos normativos y de cumplimiento.</t>
  </si>
  <si>
    <t>Aumento de la competencia en precios y disponibilidad en el mercado de dispositivos médicos.</t>
  </si>
  <si>
    <t>Licencias y certificaciones (CCAA, INVIMA, ISO 9001 e ISO 13485) que garantizan la calidad de los insumos y han permitido la no aparición de eventos adversos.</t>
  </si>
  <si>
    <t>Experiencia técnica en asesoría quirúrgica y conocimiento del mercado de dispositivos médicos.</t>
  </si>
  <si>
    <t>Cultura organizacional sólida orientada al bienestar laboral, compromiso del talento  y ambiente de trabajo colaborativo.</t>
  </si>
  <si>
    <t>Apertura de nuevos clientes y expansión comercial en nuevos departamentos.</t>
  </si>
  <si>
    <t>Optimización del material de baja rotación mediante gestión de inventarios y acuerdos con proveedores.</t>
  </si>
  <si>
    <t>RECURSOS</t>
  </si>
  <si>
    <t>1. Económico
2. Humano
3. Tecnológico</t>
  </si>
  <si>
    <t>Usar datos (Analisis de consumo) para negociar volumenes y condiciones mas favorables</t>
  </si>
  <si>
    <t>Automatizar control documental y procesos para reducir errores y tiempos.</t>
  </si>
  <si>
    <t>Políticas de cobranza más estrictas y diversificación de clientes.</t>
  </si>
  <si>
    <t>RIESGO</t>
  </si>
  <si>
    <t>Incapacidad de negociar precios reduce margen frente a competidores.</t>
  </si>
  <si>
    <t>Mantener actualizadas las certificaciones y auditorías internas para adaptarse a cambios regulatorios.</t>
  </si>
  <si>
    <t>Promocionar la asesoría técnica como elemento diferenciador frente a competencia por precios bajos.</t>
  </si>
  <si>
    <t>Implementar un sistema automatizado de gestión documental y calidad aprovechando la experiencia en cumplimiento normativo.</t>
  </si>
  <si>
    <t>Utilizar las certificaciones INVIMA e ISO como ventaja comercial para abrir nuevos clientes institucionales y licitaciones.</t>
  </si>
  <si>
    <t>Capacitar al personal y fomentar su participación en la digitalización de procesos.</t>
  </si>
  <si>
    <t>Datos imprecisos o falta de actualización pueden generar decisiones de compra equivocadas.</t>
  </si>
  <si>
    <t>Exceso de descuentos puede reducir margen de utilidad o afectar la percepción del producto.</t>
  </si>
  <si>
    <t>Pérdida de información o resistencia del personal ante el cambio digital.</t>
  </si>
  <si>
    <t>Pérdida de clientes por medidas restrictivas o morosidad en pagos institucionales</t>
  </si>
  <si>
    <t>Sobrecostos ocultos por aranceles o cumplimiento normativo mal estimado.</t>
  </si>
  <si>
    <t>Inversión inicial elevada o incompatibilidad con sistemas actuales.</t>
  </si>
  <si>
    <t>Exceso de dependencia en certificaciones sin fortalecer innovación o precios.</t>
  </si>
  <si>
    <t>Sobrecarga de tareas al personal operativo y retraso en proyectos.</t>
  </si>
  <si>
    <t>Baja asistencia o falta de adopción por resistencia al cambio tecnológico.</t>
  </si>
  <si>
    <t>Costo elevado de mantenimiento o incumplimiento por actualización tardía.</t>
  </si>
  <si>
    <t>Riesgo de no poder sostener el nivel de servicio con recursos limitados.</t>
  </si>
  <si>
    <t>OBJETIVO</t>
  </si>
  <si>
    <t>Fomentar cultura de adaptabilidad interna ante cambios de políticas.</t>
  </si>
  <si>
    <t>Aumento de la competencia en precios y disponibilidad en el mercado de dispositivos médicos</t>
  </si>
  <si>
    <t xml:space="preserve">OBJETIVO </t>
  </si>
  <si>
    <t>Reducir costos de adquisición y mejorar competitividad de precios.</t>
  </si>
  <si>
    <t>Aumentar la rotación de inventario y liberar recursos financieros.</t>
  </si>
  <si>
    <t>Mejorar eficiencia operativa y trazabilidad de la información.</t>
  </si>
  <si>
    <t>Asegurar flujo de caja estable y reducir dependencia de un solo tipo de cliente.</t>
  </si>
  <si>
    <t>Obtener mejores condiciones comerciales y mejorar competitividad.</t>
  </si>
  <si>
    <t>Controlar costos de importación y mantener cumplimiento normativo.</t>
  </si>
  <si>
    <t>Fortalecer el sistema de gestión de calidad y trazabilidad.</t>
  </si>
  <si>
    <t>Expandir participación en el mercado institucional y hospitalari por medio de licitaciones.</t>
  </si>
  <si>
    <t>Alinear procesos digitales con la operación técnica real.</t>
  </si>
  <si>
    <t>Facilitar la adopción tecnológica y mantener motivación del equipo.</t>
  </si>
  <si>
    <t>Garantizar cumplimiento normativo continuo y sostenibilidad del sistema de gestión.</t>
  </si>
  <si>
    <t>Mantener compromiso del personal ante transformaciones externas.</t>
  </si>
  <si>
    <t>Desmotivación o falta de adaptación ante nuevas exigencias regulatorias.</t>
  </si>
  <si>
    <t>Fidelizar clientes mediante valor agregado.</t>
  </si>
  <si>
    <t xml:space="preserve">CAUSAS DEL FALLO </t>
  </si>
  <si>
    <t>EFECTOS DEL FALLO</t>
  </si>
  <si>
    <t>CONTROLES</t>
  </si>
  <si>
    <t>Retrasos y quejas de clientes.</t>
  </si>
  <si>
    <t>Falta de análisis financiero previo.</t>
  </si>
  <si>
    <t>Pérdida de rentabilidad, imagen afectada.</t>
  </si>
  <si>
    <t>Pérdida documental, incumplimiento normativo.</t>
  </si>
  <si>
    <t>Políticas de cobro mal comunicadas.</t>
  </si>
  <si>
    <t>Ruptura comercial, mora en pagos.</t>
  </si>
  <si>
    <t>Bajo volumen de compra o análisis débil.</t>
  </si>
  <si>
    <t>Margen reducido, pérdida competitiva.</t>
  </si>
  <si>
    <t>Falta de análisis o cambios arancelarios.</t>
  </si>
  <si>
    <t>Pérdidas financieras.</t>
  </si>
  <si>
    <t>Análisis técnico insuficiente.</t>
  </si>
  <si>
    <t>Retrasos, duplicidad de datos.</t>
  </si>
  <si>
    <t>Estudios de viabilidad, pruebas previas.</t>
  </si>
  <si>
    <t>Falta de innovación o flexibilidad.</t>
  </si>
  <si>
    <t>Pérdida de competitividad.</t>
  </si>
  <si>
    <t>Falta de redistribución de tareas.</t>
  </si>
  <si>
    <t>Agotamiento, retrasos.</t>
  </si>
  <si>
    <t>Plan de carga laboral, apoyo temporal.</t>
  </si>
  <si>
    <t>Falta de capacitación o comunicación.</t>
  </si>
  <si>
    <t>Baja adopción tecnológica.</t>
  </si>
  <si>
    <t>Formación continua, incentivos, monitoreo.</t>
  </si>
  <si>
    <t>Falta de planificación.</t>
  </si>
  <si>
    <t>Pérdida de contratos, sanciones.</t>
  </si>
  <si>
    <t>Cronograma de auditorías, alertas automáticas.</t>
  </si>
  <si>
    <t>Comunicación deficiente.</t>
  </si>
  <si>
    <t>Errores operativos, desmotivación.</t>
  </si>
  <si>
    <t>Talleres de actualización, liderazgo visible.</t>
  </si>
  <si>
    <t>Falta de recursos o planificación.</t>
  </si>
  <si>
    <t>Quejas, incumplimientos.</t>
  </si>
  <si>
    <t>Programación quirúrgica, control de agenda.</t>
  </si>
  <si>
    <t>FECHA DE IMPLEMENTACION</t>
  </si>
  <si>
    <t>2025-2026</t>
  </si>
  <si>
    <t>Gerencia y proceso contable</t>
  </si>
  <si>
    <t xml:space="preserve">gerencia, proceso de compras y proceso de almacen </t>
  </si>
  <si>
    <t>Gerencia , todos los procesos</t>
  </si>
  <si>
    <t>Clasificación de la Eficacia de Controles</t>
  </si>
  <si>
    <t>Nivel</t>
  </si>
  <si>
    <t>Valor</t>
  </si>
  <si>
    <t>Descripción general</t>
  </si>
  <si>
    <t>Resultado esperado</t>
  </si>
  <si>
    <t>Ejemplo de control típico</t>
  </si>
  <si>
    <r>
      <t xml:space="preserve">🟢 </t>
    </r>
    <r>
      <rPr>
        <b/>
        <sz val="11"/>
        <color theme="1"/>
        <rFont val="Calibri"/>
        <family val="2"/>
        <scheme val="minor"/>
      </rPr>
      <t>Alta (A)</t>
    </r>
  </si>
  <si>
    <r>
      <t xml:space="preserve">El control es </t>
    </r>
    <r>
      <rPr>
        <b/>
        <sz val="11"/>
        <color theme="1"/>
        <rFont val="Calibri"/>
        <family val="2"/>
        <scheme val="minor"/>
      </rPr>
      <t>muy eficaz</t>
    </r>
    <r>
      <rPr>
        <sz val="11"/>
        <color theme="1"/>
        <rFont val="Calibri"/>
        <family val="2"/>
        <scheme val="minor"/>
      </rPr>
      <t xml:space="preserve">: previene o detecta el riesgo en más del </t>
    </r>
    <r>
      <rPr>
        <b/>
        <sz val="11"/>
        <color theme="1"/>
        <rFont val="Calibri"/>
        <family val="2"/>
        <scheme val="minor"/>
      </rPr>
      <t>80% de los casos</t>
    </r>
    <r>
      <rPr>
        <sz val="11"/>
        <color theme="1"/>
        <rFont val="Calibri"/>
        <family val="2"/>
        <scheme val="minor"/>
      </rPr>
      <t xml:space="preserve">. Es </t>
    </r>
    <r>
      <rPr>
        <b/>
        <sz val="11"/>
        <color theme="1"/>
        <rFont val="Calibri"/>
        <family val="2"/>
        <scheme val="minor"/>
      </rPr>
      <t>sistemático, documentado y verificado</t>
    </r>
    <r>
      <rPr>
        <sz val="11"/>
        <color theme="1"/>
        <rFont val="Calibri"/>
        <family val="2"/>
        <scheme val="minor"/>
      </rPr>
      <t xml:space="preserve"> periódicamente.</t>
    </r>
  </si>
  <si>
    <t>El riesgo se mantiene bajo control; no requiere acciones correctivas adicionales.</t>
  </si>
  <si>
    <t>Procedimiento automatizado con alarmas y validación documental.</t>
  </si>
  <si>
    <r>
      <t xml:space="preserve">🟡 </t>
    </r>
    <r>
      <rPr>
        <b/>
        <sz val="11"/>
        <color theme="1"/>
        <rFont val="Calibri"/>
        <family val="2"/>
        <scheme val="minor"/>
      </rPr>
      <t>Media (M)</t>
    </r>
  </si>
  <si>
    <r>
      <t xml:space="preserve">El control es </t>
    </r>
    <r>
      <rPr>
        <b/>
        <sz val="11"/>
        <color theme="1"/>
        <rFont val="Calibri"/>
        <family val="2"/>
        <scheme val="minor"/>
      </rPr>
      <t>moderadamente eficaz</t>
    </r>
    <r>
      <rPr>
        <sz val="11"/>
        <color theme="1"/>
        <rFont val="Calibri"/>
        <family val="2"/>
        <scheme val="minor"/>
      </rPr>
      <t xml:space="preserve">: mitiga el riesgo entre el </t>
    </r>
    <r>
      <rPr>
        <b/>
        <sz val="11"/>
        <color theme="1"/>
        <rFont val="Calibri"/>
        <family val="2"/>
        <scheme val="minor"/>
      </rPr>
      <t>50% y el 80%</t>
    </r>
    <r>
      <rPr>
        <sz val="11"/>
        <color theme="1"/>
        <rFont val="Calibri"/>
        <family val="2"/>
        <scheme val="minor"/>
      </rPr>
      <t>. Funciona pero depende del cumplimiento humano o de seguimiento constante.</t>
    </r>
  </si>
  <si>
    <t>Se necesita monitoreo frecuente o mejora en la práctica.</t>
  </si>
  <si>
    <t>Revisión manual mensual o control parcial.</t>
  </si>
  <si>
    <r>
      <t xml:space="preserve">🔴 </t>
    </r>
    <r>
      <rPr>
        <b/>
        <sz val="11"/>
        <color theme="1"/>
        <rFont val="Calibri"/>
        <family val="2"/>
        <scheme val="minor"/>
      </rPr>
      <t>Baja (B)</t>
    </r>
  </si>
  <si>
    <r>
      <t xml:space="preserve">El control es </t>
    </r>
    <r>
      <rPr>
        <b/>
        <sz val="11"/>
        <color theme="1"/>
        <rFont val="Calibri"/>
        <family val="2"/>
        <scheme val="minor"/>
      </rPr>
      <t>poco eficaz</t>
    </r>
    <r>
      <rPr>
        <sz val="11"/>
        <color theme="1"/>
        <rFont val="Calibri"/>
        <family val="2"/>
        <scheme val="minor"/>
      </rPr>
      <t xml:space="preserve">: solo reduce el riesgo en menos del </t>
    </r>
    <r>
      <rPr>
        <b/>
        <sz val="11"/>
        <color theme="1"/>
        <rFont val="Calibri"/>
        <family val="2"/>
        <scheme val="minor"/>
      </rPr>
      <t>50%</t>
    </r>
    <r>
      <rPr>
        <sz val="11"/>
        <color theme="1"/>
        <rFont val="Calibri"/>
        <family val="2"/>
        <scheme val="minor"/>
      </rPr>
      <t>. No está documentado, es reactivo o depende del azar.</t>
    </r>
  </si>
  <si>
    <t>Requiere rediseño o sustitución.</t>
  </si>
  <si>
    <t>Comunicación informal o controles sin evidencia.</t>
  </si>
  <si>
    <r>
      <t xml:space="preserve">⚫ </t>
    </r>
    <r>
      <rPr>
        <b/>
        <sz val="11"/>
        <color theme="1"/>
        <rFont val="Calibri"/>
        <family val="2"/>
        <scheme val="minor"/>
      </rPr>
      <t>No existe (N/A)</t>
    </r>
  </si>
  <si>
    <t>No hay control implementado o no aplica.</t>
  </si>
  <si>
    <t>Riesgo no tratado.</t>
  </si>
  <si>
    <t>—</t>
  </si>
  <si>
    <t>Gerencia</t>
  </si>
  <si>
    <t>Gerencia y proceso de compras</t>
  </si>
  <si>
    <t xml:space="preserve">Gerencia y todos los  proceso </t>
  </si>
  <si>
    <t>Gerencia y ´proceso de gestion humana</t>
  </si>
  <si>
    <t>Gerencia y proceso de asistencia tecnica</t>
  </si>
  <si>
    <t>Gerencia y proceso de calidad</t>
  </si>
  <si>
    <t xml:space="preserve">gerencia, y todos los procesos </t>
  </si>
  <si>
    <t xml:space="preserve">Gerencia y todos los procesos </t>
  </si>
  <si>
    <t>SEGUIMIENTO</t>
  </si>
  <si>
    <t>Precios poco competitivos en el mercado nacional,debido a la no  importación de insumos.</t>
  </si>
  <si>
    <t xml:space="preserve">Apertura de nuevos clientes y expansión comercial </t>
  </si>
  <si>
    <t>Optimización del material de baja rotación mediante gestión de inventarios y acuerdos con proveedores y/o clientes.</t>
  </si>
  <si>
    <t>Apertura de nuevos clientes y expansión comercial .</t>
  </si>
  <si>
    <t>Propuesta de productos y servicios</t>
  </si>
  <si>
    <t>Promocion de apertura de clientes con incentivos financieros</t>
  </si>
  <si>
    <t xml:space="preserve">Aumentar nuevos clientes que mejoren el flujo de caja </t>
  </si>
  <si>
    <t>Agravamiento en el flujo de caja</t>
  </si>
  <si>
    <t>Descuido del control del credito.</t>
  </si>
  <si>
    <t>Aumento de ventas sin mejora del recaudo</t>
  </si>
  <si>
    <t xml:space="preserve">Consulta servidor sacrilaft </t>
  </si>
  <si>
    <t>Nuevas tarifas de proveedores que nos permiten ofertar mejores precios a los clientes.</t>
  </si>
  <si>
    <t>EVIDENCIA</t>
  </si>
  <si>
    <t>Mejorar condiciones de compra y venta para optimizar costos y rentabilidad</t>
  </si>
  <si>
    <t xml:space="preserve"> No categorizacion de productos</t>
  </si>
  <si>
    <t>No contar con datos precisos de la demanda o consumo.</t>
  </si>
  <si>
    <t>Inventarios</t>
  </si>
  <si>
    <t xml:space="preserve">Retomar negociaciones con proveedores internacionales para volver a importar insumos. </t>
  </si>
  <si>
    <t>Reuniones que permitan las negociaciones con proveedores internacionales</t>
  </si>
  <si>
    <t>Riesgo de desabastecimiento por logistica mas extensas.</t>
  </si>
  <si>
    <t>Falta de planificación .</t>
  </si>
  <si>
    <t xml:space="preserve"> Monitoreo logístico.</t>
  </si>
  <si>
    <t>Portafolio o promociones a los clientes</t>
  </si>
  <si>
    <t>Aprobación gerencial (Correo electronico) y portafolio</t>
  </si>
  <si>
    <t>Ofrecer paquetes o promociones a los clientes para desmovilizar stock</t>
  </si>
  <si>
    <t xml:space="preserve">Implementacion automatizacion de proceso por medio de IA  </t>
  </si>
  <si>
    <t xml:space="preserve">Falta de formación </t>
  </si>
  <si>
    <t>Copias de seguridad, plan de formación y  acompañamiento.</t>
  </si>
  <si>
    <t>Politica de cobranza</t>
  </si>
  <si>
    <t>Seguimiento a cartera e indicador de cartera</t>
  </si>
  <si>
    <t xml:space="preserve">Crear proceso de compras </t>
  </si>
  <si>
    <t>Proceso de compras y sus indicadores</t>
  </si>
  <si>
    <t>Consolidar proceso de compras</t>
  </si>
  <si>
    <t>Revisar y Analizar internamente normatividad que regulen los dispositivos medicos</t>
  </si>
  <si>
    <t xml:space="preserve">Acta semestral de revision normativa </t>
  </si>
  <si>
    <t xml:space="preserve">Acta de revision </t>
  </si>
  <si>
    <t xml:space="preserve">Portafolio de servicios </t>
  </si>
  <si>
    <t>Acompañamiento por parte de camara de comercio para su implementacion</t>
  </si>
  <si>
    <t>Involucrar al equipo Asistencial en el diseño del sistema automatizado para asegurar que cumpla con la realidad quirúrgica.</t>
  </si>
  <si>
    <t>Talleres, capacitaciones y talleres</t>
  </si>
  <si>
    <t>Participacion de Lideres de proceso asistencial en la automatizacion de IA</t>
  </si>
  <si>
    <t>Certificaciones ISO 9001  y 13485</t>
  </si>
  <si>
    <t>Instructivo adaptabilidad por cambio y politicas</t>
  </si>
  <si>
    <t>Portafolio de servicio asesoria Quirurgica</t>
  </si>
  <si>
    <t>PLAN DE TRABAJO</t>
  </si>
  <si>
    <t>ANALISIS RIESGO DE LA PROPUESTA</t>
  </si>
  <si>
    <t>FECHA DE EJECUCION</t>
  </si>
  <si>
    <t>EJECUCION Y/O EVIDENCIA</t>
  </si>
  <si>
    <t>CODIGO: FOR-ADM-022</t>
  </si>
  <si>
    <t>VERSION: 2.0</t>
  </si>
  <si>
    <t>PAGINAS: 2 de 3</t>
  </si>
  <si>
    <t>1 de 3</t>
  </si>
  <si>
    <t xml:space="preserve">CODIGO </t>
  </si>
  <si>
    <t xml:space="preserve">VERSION: </t>
  </si>
  <si>
    <t>Seguimiento bimestral a los acuerdos con proveedores y control de precios de compra. Reporte comparativo de cotizaciones.</t>
  </si>
  <si>
    <t>Reporte del almacén.</t>
  </si>
  <si>
    <t>Informes de auditorias de calidad</t>
  </si>
  <si>
    <t>Revisión mensual del comportamiento de carter, Informe financiero trimestral.</t>
  </si>
  <si>
    <t>revisión de cumplimiento de políticas de cobranza.</t>
  </si>
  <si>
    <t>análisis de ahorro o mejora en precios obtenidos.</t>
  </si>
  <si>
    <t>Revision semestral de normatividad en dispositivos medicos</t>
  </si>
  <si>
    <t>Verificación anual de nuevas licitaciones ganadas o clientes obtenidos mediante uso de certificaciones.</t>
  </si>
  <si>
    <t xml:space="preserve">Revision al sistema de gestion </t>
  </si>
  <si>
    <t>Reuniones trimestrales</t>
  </si>
  <si>
    <t xml:space="preserve">Evaluacion post capacitacion </t>
  </si>
  <si>
    <t>Auditorias internas</t>
  </si>
  <si>
    <t>Talleres de adaptabilidad</t>
  </si>
  <si>
    <t>seguimiento de satisfaccion del cliente</t>
  </si>
  <si>
    <t>Reunión trimestral  con compras y contabilidad</t>
  </si>
  <si>
    <t>Incorporar aspectos ambientales, de sostenibilidad y cambio climático en la planificación y ejecución de los procesos institucionales.</t>
  </si>
  <si>
    <t>Incorporar aspectos ambientales, de sostenibilidad y cambio climático en la planificación y ejecución de los procesos institucionales</t>
  </si>
  <si>
    <t>Modernizar los procesos administrativos mediante herramientas digitales y aplicar una gestión sostenible enfocada en el ahorro de recursos, eficiencia energética y promoción de actividades ambientales institucionales.</t>
  </si>
  <si>
    <t>Reducir el impacto ambiental derivado de los procesos administrativos y fortalecer la cultura de sostenibilidad en la organización.</t>
  </si>
  <si>
    <t>Falta de participación del personal o escasa apropiación de la política ambiental.</t>
  </si>
  <si>
    <t>Desconocimiento de prácticas sostenibles o ausencia de liderazgo ambiental interno.</t>
  </si>
  <si>
    <t>Aumento innecesario de consumo de energía, papel y recursos; bajo compromiso ambiental.</t>
  </si>
  <si>
    <t>Política ambiental institucional, registros de actividades ecológicas.</t>
  </si>
  <si>
    <t>Seguimiento al cumplimiento de la política ambiental y ejecución de programas ecológicos.</t>
  </si>
  <si>
    <t>2025–2026</t>
  </si>
  <si>
    <t>Desarrollo de actividades ambientales institucionales: campañas de ahorro de energía y agua, siembra de árboles, jornadas de reciclaje y promoción de cultura ambiental.</t>
  </si>
  <si>
    <r>
      <rPr>
        <sz val="10"/>
        <color rgb="FFFF0000"/>
        <rFont val="Arial"/>
        <family val="2"/>
      </rPr>
      <t>Baja rotación de inventario´(Baja demanda)</t>
    </r>
    <r>
      <rPr>
        <sz val="10"/>
        <rFont val="Arial"/>
        <family val="2"/>
      </rPr>
      <t xml:space="preserve"> y acumulación de material de baja demanda.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</si>
</sst>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u/>
      <sz val="11"/>
      <color indexed="81"/>
      <name val="Tahoma"/>
      <family val="2"/>
    </font>
    <font>
      <sz val="11"/>
      <color indexed="81"/>
      <name val="Tahoma"/>
      <family val="2"/>
    </font>
    <font>
      <sz val="10"/>
      <color indexed="81"/>
      <name val="Tahoma"/>
      <family val="2"/>
    </font>
    <font>
      <u/>
      <sz val="10"/>
      <color indexed="81"/>
      <name val="Tahoma"/>
      <family val="2"/>
    </font>
    <font>
      <sz val="10"/>
      <name val="Arial"/>
      <family val="2"/>
    </font>
    <font>
      <sz val="12"/>
      <name val="Arial"/>
      <family val="2"/>
    </font>
    <font>
      <sz val="11"/>
      <name val="Tahoma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b/>
      <sz val="10"/>
      <color theme="0" tint="-4.9989318521683403E-2"/>
      <name val="Arial"/>
      <family val="2"/>
    </font>
    <font>
      <b/>
      <sz val="14"/>
      <color theme="0"/>
      <name val="Arial"/>
      <family val="2"/>
    </font>
    <font>
      <b/>
      <sz val="36"/>
      <color theme="0"/>
      <name val="Arial"/>
      <family val="2"/>
    </font>
    <font>
      <sz val="14"/>
      <name val="Arial"/>
      <family val="2"/>
    </font>
    <font>
      <sz val="26"/>
      <color theme="1" tint="4.9989318521683403E-2"/>
      <name val="Arial"/>
      <family val="2"/>
    </font>
    <font>
      <b/>
      <sz val="16"/>
      <color theme="0"/>
      <name val="Arial"/>
      <family val="2"/>
    </font>
    <font>
      <b/>
      <sz val="26"/>
      <color theme="1" tint="4.9989318521683403E-2"/>
      <name val="Arial"/>
      <family val="2"/>
    </font>
    <font>
      <b/>
      <sz val="22"/>
      <name val="Arial"/>
      <family val="2"/>
    </font>
    <font>
      <b/>
      <sz val="22"/>
      <color theme="1" tint="4.9989318521683403E-2"/>
      <name val="Arial"/>
      <family val="2"/>
    </font>
    <font>
      <b/>
      <sz val="14"/>
      <color theme="0" tint="-4.9989318521683403E-2"/>
      <name val="Arial"/>
      <family val="2"/>
    </font>
    <font>
      <b/>
      <sz val="16"/>
      <color theme="0" tint="-4.9989318521683403E-2"/>
      <name val="Arial"/>
      <family val="2"/>
    </font>
    <font>
      <sz val="16"/>
      <color theme="0" tint="-4.9989318521683403E-2"/>
      <name val="Arial"/>
      <family val="2"/>
    </font>
    <font>
      <b/>
      <sz val="11"/>
      <color theme="1" tint="4.9989318521683403E-2"/>
      <name val="Arial"/>
      <family val="2"/>
    </font>
    <font>
      <b/>
      <sz val="2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 tint="-4.9989318521683403E-2"/>
      <name val="Arial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rgb="FF153981"/>
        <bgColor indexed="64"/>
      </patternFill>
    </fill>
    <fill>
      <patternFill patternType="solid">
        <fgColor rgb="FF00519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0" fillId="3" borderId="0" applyFont="0" applyBorder="0" applyAlignment="0"/>
    <xf numFmtId="0" fontId="8" fillId="0" borderId="0"/>
  </cellStyleXfs>
  <cellXfs count="143">
    <xf numFmtId="0" fontId="0" fillId="0" borderId="0" xfId="0"/>
    <xf numFmtId="0" fontId="8" fillId="0" borderId="0" xfId="1" applyFont="1" applyAlignment="1">
      <alignment horizontal="left"/>
    </xf>
    <xf numFmtId="0" fontId="13" fillId="7" borderId="13" xfId="1" applyFont="1" applyFill="1" applyBorder="1" applyAlignment="1">
      <alignment horizontal="center" vertical="center" wrapText="1"/>
    </xf>
    <xf numFmtId="0" fontId="13" fillId="7" borderId="14" xfId="1" applyFont="1" applyFill="1" applyBorder="1" applyAlignment="1">
      <alignment horizontal="center" vertical="center" wrapText="1"/>
    </xf>
    <xf numFmtId="0" fontId="8" fillId="0" borderId="14" xfId="1" applyFont="1" applyBorder="1" applyAlignment="1">
      <alignment horizontal="left" vertical="center" wrapText="1"/>
    </xf>
    <xf numFmtId="0" fontId="13" fillId="7" borderId="15" xfId="1" applyFont="1" applyFill="1" applyBorder="1" applyAlignment="1">
      <alignment horizontal="center" vertical="center" wrapText="1"/>
    </xf>
    <xf numFmtId="0" fontId="8" fillId="0" borderId="15" xfId="1" applyFont="1" applyBorder="1" applyAlignment="1">
      <alignment horizontal="left" vertical="center" wrapText="1"/>
    </xf>
    <xf numFmtId="0" fontId="14" fillId="4" borderId="16" xfId="1" applyFont="1" applyFill="1" applyBorder="1" applyAlignment="1">
      <alignment horizontal="center" vertical="center"/>
    </xf>
    <xf numFmtId="0" fontId="14" fillId="4" borderId="17" xfId="1" applyFont="1" applyFill="1" applyBorder="1" applyAlignment="1">
      <alignment horizontal="center" vertical="center"/>
    </xf>
    <xf numFmtId="0" fontId="14" fillId="4" borderId="17" xfId="1" applyFont="1" applyFill="1" applyBorder="1" applyAlignment="1">
      <alignment horizontal="center" vertical="center" wrapText="1"/>
    </xf>
    <xf numFmtId="0" fontId="14" fillId="4" borderId="18" xfId="1" applyFont="1" applyFill="1" applyBorder="1" applyAlignment="1">
      <alignment horizontal="center" vertical="center" wrapText="1"/>
    </xf>
    <xf numFmtId="0" fontId="14" fillId="4" borderId="17" xfId="1" applyFont="1" applyFill="1" applyBorder="1" applyAlignment="1">
      <alignment horizontal="right" vertical="center" wrapText="1"/>
    </xf>
    <xf numFmtId="0" fontId="14" fillId="4" borderId="18" xfId="1" applyFont="1" applyFill="1" applyBorder="1" applyAlignment="1">
      <alignment horizontal="right" vertical="center" wrapText="1"/>
    </xf>
    <xf numFmtId="0" fontId="8" fillId="0" borderId="0" xfId="1" applyFont="1"/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center" wrapText="1"/>
    </xf>
    <xf numFmtId="0" fontId="15" fillId="0" borderId="0" xfId="1" applyFont="1" applyAlignment="1">
      <alignment horizontal="center" vertical="center" wrapText="1"/>
    </xf>
    <xf numFmtId="0" fontId="17" fillId="0" borderId="0" xfId="1" applyFont="1" applyAlignment="1">
      <alignment horizontal="left" vertical="center" wrapText="1" indent="1"/>
    </xf>
    <xf numFmtId="0" fontId="18" fillId="0" borderId="0" xfId="1" applyFont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13" fillId="0" borderId="0" xfId="1" applyFont="1" applyAlignment="1">
      <alignment horizontal="center" vertical="center" wrapText="1"/>
    </xf>
    <xf numFmtId="0" fontId="19" fillId="0" borderId="0" xfId="1" applyFont="1" applyAlignment="1">
      <alignment horizontal="left" vertical="center" wrapText="1"/>
    </xf>
    <xf numFmtId="0" fontId="11" fillId="0" borderId="0" xfId="1" applyFont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8" fillId="7" borderId="0" xfId="1" applyFont="1" applyFill="1"/>
    <xf numFmtId="0" fontId="8" fillId="0" borderId="13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14" fillId="4" borderId="19" xfId="1" applyFont="1" applyFill="1" applyBorder="1" applyAlignment="1">
      <alignment horizontal="center"/>
    </xf>
    <xf numFmtId="0" fontId="13" fillId="7" borderId="22" xfId="1" applyFont="1" applyFill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2" fillId="0" borderId="0" xfId="0" applyFont="1"/>
    <xf numFmtId="0" fontId="25" fillId="5" borderId="23" xfId="0" applyFont="1" applyFill="1" applyBorder="1" applyAlignment="1">
      <alignment horizontal="center" vertical="center" wrapText="1"/>
    </xf>
    <xf numFmtId="0" fontId="23" fillId="4" borderId="23" xfId="0" applyFont="1" applyFill="1" applyBorder="1" applyAlignment="1">
      <alignment horizontal="center"/>
    </xf>
    <xf numFmtId="0" fontId="25" fillId="5" borderId="25" xfId="0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26" fillId="0" borderId="6" xfId="1" applyFont="1" applyBorder="1" applyAlignment="1">
      <alignment horizontal="left" vertical="center" wrapText="1" indent="1"/>
    </xf>
    <xf numFmtId="0" fontId="1" fillId="0" borderId="14" xfId="1" applyBorder="1" applyAlignment="1">
      <alignment horizontal="left" vertical="center" wrapText="1"/>
    </xf>
    <xf numFmtId="0" fontId="1" fillId="0" borderId="13" xfId="1" applyBorder="1" applyAlignment="1">
      <alignment horizontal="left" vertical="center" wrapText="1"/>
    </xf>
    <xf numFmtId="0" fontId="9" fillId="7" borderId="23" xfId="0" applyFont="1" applyFill="1" applyBorder="1" applyAlignment="1">
      <alignment horizontal="left" vertical="center" wrapText="1"/>
    </xf>
    <xf numFmtId="0" fontId="23" fillId="4" borderId="26" xfId="0" applyFont="1" applyFill="1" applyBorder="1" applyAlignment="1">
      <alignment horizontal="center"/>
    </xf>
    <xf numFmtId="0" fontId="23" fillId="4" borderId="26" xfId="0" applyFont="1" applyFill="1" applyBorder="1"/>
    <xf numFmtId="0" fontId="9" fillId="7" borderId="25" xfId="0" applyFont="1" applyFill="1" applyBorder="1" applyAlignment="1">
      <alignment horizontal="left" vertical="center" wrapText="1"/>
    </xf>
    <xf numFmtId="0" fontId="23" fillId="4" borderId="26" xfId="0" applyFont="1" applyFill="1" applyBorder="1" applyAlignment="1">
      <alignment wrapText="1"/>
    </xf>
    <xf numFmtId="0" fontId="23" fillId="4" borderId="26" xfId="0" applyFont="1" applyFill="1" applyBorder="1" applyAlignment="1">
      <alignment horizontal="center" wrapText="1"/>
    </xf>
    <xf numFmtId="0" fontId="30" fillId="4" borderId="26" xfId="0" applyFont="1" applyFill="1" applyBorder="1" applyAlignment="1">
      <alignment horizontal="center" wrapText="1"/>
    </xf>
    <xf numFmtId="0" fontId="1" fillId="2" borderId="13" xfId="1" applyFill="1" applyBorder="1" applyAlignment="1">
      <alignment horizontal="left" vertical="center" wrapText="1"/>
    </xf>
    <xf numFmtId="0" fontId="23" fillId="4" borderId="18" xfId="0" applyFont="1" applyFill="1" applyBorder="1" applyAlignment="1">
      <alignment horizontal="center"/>
    </xf>
    <xf numFmtId="0" fontId="23" fillId="4" borderId="18" xfId="0" applyFont="1" applyFill="1" applyBorder="1"/>
    <xf numFmtId="0" fontId="23" fillId="4" borderId="18" xfId="0" applyFont="1" applyFill="1" applyBorder="1" applyAlignment="1">
      <alignment wrapText="1"/>
    </xf>
    <xf numFmtId="0" fontId="23" fillId="4" borderId="18" xfId="0" applyFont="1" applyFill="1" applyBorder="1" applyAlignment="1">
      <alignment horizontal="center" wrapText="1"/>
    </xf>
    <xf numFmtId="0" fontId="30" fillId="4" borderId="18" xfId="0" applyFont="1" applyFill="1" applyBorder="1" applyAlignment="1">
      <alignment horizontal="center" wrapText="1"/>
    </xf>
    <xf numFmtId="0" fontId="33" fillId="2" borderId="0" xfId="0" applyFont="1" applyFill="1"/>
    <xf numFmtId="0" fontId="34" fillId="4" borderId="6" xfId="0" applyFont="1" applyFill="1" applyBorder="1" applyAlignment="1">
      <alignment horizontal="center"/>
    </xf>
    <xf numFmtId="0" fontId="0" fillId="0" borderId="6" xfId="0" applyBorder="1"/>
    <xf numFmtId="0" fontId="28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26" fillId="0" borderId="2" xfId="1" applyFont="1" applyBorder="1" applyAlignment="1">
      <alignment vertical="center" wrapText="1"/>
    </xf>
    <xf numFmtId="49" fontId="26" fillId="0" borderId="2" xfId="1" applyNumberFormat="1" applyFont="1" applyBorder="1" applyAlignment="1">
      <alignment vertical="center" wrapText="1"/>
    </xf>
    <xf numFmtId="0" fontId="26" fillId="0" borderId="6" xfId="1" applyFont="1" applyBorder="1" applyAlignment="1">
      <alignment vertical="center" wrapText="1"/>
    </xf>
    <xf numFmtId="49" fontId="26" fillId="0" borderId="6" xfId="1" applyNumberFormat="1" applyFont="1" applyBorder="1" applyAlignment="1">
      <alignment vertical="center" wrapText="1"/>
    </xf>
    <xf numFmtId="0" fontId="25" fillId="5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left" vertical="center" wrapText="1"/>
    </xf>
    <xf numFmtId="0" fontId="12" fillId="0" borderId="0" xfId="0" applyFont="1" applyAlignment="1" applyProtection="1">
      <alignment horizontal="left" vertical="top" wrapText="1"/>
      <protection locked="0"/>
    </xf>
    <xf numFmtId="0" fontId="9" fillId="2" borderId="0" xfId="0" applyFont="1" applyFill="1" applyAlignment="1">
      <alignment horizontal="left" vertical="top" wrapText="1"/>
    </xf>
    <xf numFmtId="0" fontId="12" fillId="0" borderId="0" xfId="0" applyFont="1" applyAlignment="1" applyProtection="1">
      <alignment vertical="top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right" vertical="top" wrapText="1"/>
      <protection locked="0"/>
    </xf>
    <xf numFmtId="0" fontId="12" fillId="0" borderId="23" xfId="0" applyFont="1" applyBorder="1" applyAlignment="1" applyProtection="1">
      <alignment horizontal="left" vertical="top" wrapText="1"/>
      <protection locked="0"/>
    </xf>
    <xf numFmtId="0" fontId="24" fillId="5" borderId="23" xfId="0" applyFont="1" applyFill="1" applyBorder="1" applyAlignment="1">
      <alignment horizontal="center" vertical="center" wrapText="1"/>
    </xf>
    <xf numFmtId="0" fontId="12" fillId="0" borderId="25" xfId="0" applyFont="1" applyBorder="1" applyAlignment="1" applyProtection="1">
      <alignment horizontal="left" vertical="center" wrapText="1"/>
      <protection locked="0"/>
    </xf>
    <xf numFmtId="0" fontId="12" fillId="0" borderId="20" xfId="0" applyFont="1" applyBorder="1" applyAlignment="1" applyProtection="1">
      <alignment horizontal="left" vertical="center" wrapText="1"/>
      <protection locked="0"/>
    </xf>
    <xf numFmtId="0" fontId="9" fillId="2" borderId="23" xfId="0" applyFont="1" applyFill="1" applyBorder="1" applyAlignment="1">
      <alignment horizontal="left" vertical="top" wrapText="1"/>
    </xf>
    <xf numFmtId="0" fontId="9" fillId="2" borderId="25" xfId="0" applyFont="1" applyFill="1" applyBorder="1" applyAlignment="1">
      <alignment horizontal="left" vertical="top" wrapText="1"/>
    </xf>
    <xf numFmtId="0" fontId="9" fillId="2" borderId="20" xfId="0" applyFont="1" applyFill="1" applyBorder="1" applyAlignment="1">
      <alignment horizontal="left" vertical="top" wrapText="1"/>
    </xf>
    <xf numFmtId="0" fontId="12" fillId="0" borderId="23" xfId="0" applyFont="1" applyBorder="1" applyAlignment="1" applyProtection="1">
      <alignment vertical="top" wrapText="1"/>
      <protection locked="0"/>
    </xf>
    <xf numFmtId="0" fontId="9" fillId="2" borderId="27" xfId="0" applyFont="1" applyFill="1" applyBorder="1" applyAlignment="1">
      <alignment horizontal="left" vertical="top" wrapText="1"/>
    </xf>
    <xf numFmtId="0" fontId="9" fillId="2" borderId="19" xfId="0" applyFont="1" applyFill="1" applyBorder="1" applyAlignment="1">
      <alignment horizontal="left" vertical="top" wrapText="1"/>
    </xf>
    <xf numFmtId="0" fontId="12" fillId="0" borderId="23" xfId="0" applyFont="1" applyBorder="1" applyAlignment="1" applyProtection="1">
      <alignment horizontal="right" vertical="top" wrapText="1"/>
      <protection locked="0"/>
    </xf>
    <xf numFmtId="0" fontId="9" fillId="2" borderId="25" xfId="0" applyFont="1" applyFill="1" applyBorder="1" applyAlignment="1">
      <alignment horizontal="center" vertical="top" wrapText="1"/>
    </xf>
    <xf numFmtId="0" fontId="9" fillId="2" borderId="20" xfId="0" applyFont="1" applyFill="1" applyBorder="1" applyAlignment="1">
      <alignment horizontal="center" vertical="top" wrapText="1"/>
    </xf>
    <xf numFmtId="0" fontId="12" fillId="0" borderId="23" xfId="0" applyFont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vertical="top" wrapText="1"/>
      <protection locked="0"/>
    </xf>
    <xf numFmtId="0" fontId="23" fillId="4" borderId="23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left" vertical="top"/>
    </xf>
    <xf numFmtId="0" fontId="12" fillId="0" borderId="23" xfId="0" applyFont="1" applyBorder="1" applyAlignment="1" applyProtection="1">
      <alignment horizontal="center" vertical="center" wrapText="1"/>
      <protection locked="0"/>
    </xf>
    <xf numFmtId="0" fontId="9" fillId="2" borderId="23" xfId="0" applyFont="1" applyFill="1" applyBorder="1" applyAlignment="1">
      <alignment vertical="top" wrapText="1"/>
    </xf>
    <xf numFmtId="0" fontId="8" fillId="0" borderId="7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27" fillId="0" borderId="7" xfId="1" applyFont="1" applyBorder="1" applyAlignment="1">
      <alignment horizontal="center" vertical="center"/>
    </xf>
    <xf numFmtId="0" fontId="27" fillId="0" borderId="8" xfId="1" applyFont="1" applyBorder="1" applyAlignment="1">
      <alignment horizontal="center" vertical="center"/>
    </xf>
    <xf numFmtId="0" fontId="27" fillId="0" borderId="5" xfId="1" applyFont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27" fillId="0" borderId="10" xfId="1" applyFont="1" applyBorder="1" applyAlignment="1">
      <alignment horizontal="center" vertical="center"/>
    </xf>
    <xf numFmtId="0" fontId="27" fillId="0" borderId="11" xfId="1" applyFont="1" applyBorder="1" applyAlignment="1">
      <alignment horizontal="center" vertical="center"/>
    </xf>
    <xf numFmtId="0" fontId="26" fillId="0" borderId="2" xfId="1" applyFont="1" applyBorder="1" applyAlignment="1">
      <alignment horizontal="left" vertical="center" wrapText="1"/>
    </xf>
    <xf numFmtId="0" fontId="26" fillId="0" borderId="3" xfId="1" applyFont="1" applyBorder="1" applyAlignment="1">
      <alignment horizontal="left" vertical="center" wrapText="1"/>
    </xf>
    <xf numFmtId="0" fontId="26" fillId="0" borderId="4" xfId="1" applyFont="1" applyBorder="1" applyAlignment="1">
      <alignment horizontal="left" vertical="center" wrapText="1"/>
    </xf>
    <xf numFmtId="49" fontId="26" fillId="0" borderId="2" xfId="1" applyNumberFormat="1" applyFont="1" applyBorder="1" applyAlignment="1">
      <alignment horizontal="left" vertical="center" wrapText="1"/>
    </xf>
    <xf numFmtId="49" fontId="26" fillId="0" borderId="3" xfId="1" applyNumberFormat="1" applyFont="1" applyBorder="1" applyAlignment="1">
      <alignment horizontal="left" vertical="center" wrapText="1"/>
    </xf>
    <xf numFmtId="49" fontId="26" fillId="0" borderId="4" xfId="1" applyNumberFormat="1" applyFont="1" applyBorder="1" applyAlignment="1">
      <alignment horizontal="left" vertical="center" wrapText="1"/>
    </xf>
    <xf numFmtId="0" fontId="29" fillId="0" borderId="23" xfId="0" applyFont="1" applyBorder="1" applyAlignment="1" applyProtection="1">
      <alignment horizontal="left" vertical="center" wrapText="1"/>
      <protection locked="0"/>
    </xf>
    <xf numFmtId="0" fontId="9" fillId="2" borderId="26" xfId="0" applyFont="1" applyFill="1" applyBorder="1" applyAlignment="1">
      <alignment horizontal="left" vertical="top" wrapText="1"/>
    </xf>
    <xf numFmtId="0" fontId="9" fillId="2" borderId="15" xfId="0" applyFont="1" applyFill="1" applyBorder="1" applyAlignment="1">
      <alignment horizontal="left" vertical="top" wrapText="1"/>
    </xf>
    <xf numFmtId="0" fontId="9" fillId="2" borderId="21" xfId="0" applyFont="1" applyFill="1" applyBorder="1" applyAlignment="1">
      <alignment horizontal="left" vertical="top" wrapText="1"/>
    </xf>
    <xf numFmtId="0" fontId="9" fillId="2" borderId="13" xfId="0" applyFont="1" applyFill="1" applyBorder="1" applyAlignment="1">
      <alignment horizontal="left" vertical="top" wrapText="1"/>
    </xf>
    <xf numFmtId="0" fontId="34" fillId="4" borderId="2" xfId="0" applyFont="1" applyFill="1" applyBorder="1" applyAlignment="1">
      <alignment horizontal="center"/>
    </xf>
    <xf numFmtId="0" fontId="34" fillId="4" borderId="3" xfId="0" applyFont="1" applyFill="1" applyBorder="1" applyAlignment="1">
      <alignment horizontal="center"/>
    </xf>
    <xf numFmtId="0" fontId="34" fillId="4" borderId="4" xfId="0" applyFont="1" applyFill="1" applyBorder="1" applyAlignment="1">
      <alignment horizontal="center"/>
    </xf>
    <xf numFmtId="0" fontId="21" fillId="7" borderId="0" xfId="1" applyFont="1" applyFill="1" applyAlignment="1">
      <alignment horizontal="center" vertical="center" textRotation="90"/>
    </xf>
    <xf numFmtId="0" fontId="17" fillId="0" borderId="23" xfId="1" applyFont="1" applyBorder="1" applyAlignment="1">
      <alignment horizontal="left" vertical="center" wrapText="1" indent="1"/>
    </xf>
    <xf numFmtId="0" fontId="17" fillId="0" borderId="24" xfId="1" applyFont="1" applyBorder="1" applyAlignment="1">
      <alignment horizontal="left" vertical="center" wrapText="1" indent="1"/>
    </xf>
    <xf numFmtId="0" fontId="14" fillId="4" borderId="16" xfId="1" applyFont="1" applyFill="1" applyBorder="1" applyAlignment="1">
      <alignment horizontal="center" vertical="center" wrapText="1"/>
    </xf>
    <xf numFmtId="0" fontId="14" fillId="4" borderId="17" xfId="1" applyFont="1" applyFill="1" applyBorder="1" applyAlignment="1">
      <alignment horizontal="center" vertical="center" wrapText="1"/>
    </xf>
    <xf numFmtId="0" fontId="22" fillId="9" borderId="0" xfId="1" applyFont="1" applyFill="1" applyAlignment="1">
      <alignment horizontal="center" vertical="center" wrapText="1"/>
    </xf>
    <xf numFmtId="0" fontId="20" fillId="6" borderId="0" xfId="1" applyFont="1" applyFill="1" applyAlignment="1">
      <alignment horizontal="center" vertical="center" wrapText="1"/>
    </xf>
    <xf numFmtId="0" fontId="20" fillId="8" borderId="0" xfId="1" applyFont="1" applyFill="1" applyAlignment="1">
      <alignment horizontal="center" vertical="center" wrapText="1"/>
    </xf>
    <xf numFmtId="0" fontId="20" fillId="10" borderId="0" xfId="1" applyFont="1" applyFill="1" applyAlignment="1">
      <alignment horizontal="center" vertical="center" wrapText="1"/>
    </xf>
    <xf numFmtId="0" fontId="21" fillId="7" borderId="0" xfId="1" applyFont="1" applyFill="1" applyAlignment="1">
      <alignment horizontal="center" vertical="center" textRotation="90" wrapText="1"/>
    </xf>
    <xf numFmtId="0" fontId="23" fillId="4" borderId="20" xfId="1" applyFont="1" applyFill="1" applyBorder="1" applyAlignment="1">
      <alignment horizontal="center" vertical="center" wrapText="1"/>
    </xf>
    <xf numFmtId="0" fontId="23" fillId="4" borderId="21" xfId="1" applyFont="1" applyFill="1" applyBorder="1" applyAlignment="1">
      <alignment horizontal="center" vertical="center" wrapText="1"/>
    </xf>
    <xf numFmtId="0" fontId="27" fillId="0" borderId="9" xfId="1" applyFont="1" applyBorder="1" applyAlignment="1">
      <alignment horizontal="center" vertical="center"/>
    </xf>
    <xf numFmtId="0" fontId="27" fillId="0" borderId="1" xfId="1" applyFont="1" applyBorder="1" applyAlignment="1">
      <alignment horizontal="center" vertical="center"/>
    </xf>
    <xf numFmtId="0" fontId="27" fillId="0" borderId="12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</cellXfs>
  <cellStyles count="5">
    <cellStyle name="FONS" xfId="3" xr:uid="{00000000-0005-0000-0000-000000000000}"/>
    <cellStyle name="Millares 2" xfId="2" xr:uid="{00000000-0005-0000-0000-000001000000}"/>
    <cellStyle name="Normal" xfId="0" builtinId="0"/>
    <cellStyle name="Normal 2" xfId="1" xr:uid="{00000000-0005-0000-0000-000003000000}"/>
    <cellStyle name="Normal 2 2" xfId="4" xr:uid="{00000000-0005-0000-0000-000004000000}"/>
  </cellStyles>
  <dxfs count="0"/>
  <tableStyles count="0" defaultTableStyle="TableStyleMedium2" defaultPivotStyle="PivotStyleMedium9"/>
  <colors>
    <mruColors>
      <color rgb="FF153981"/>
      <color rgb="FF0051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73052</xdr:colOff>
      <xdr:row>1</xdr:row>
      <xdr:rowOff>84666</xdr:rowOff>
    </xdr:from>
    <xdr:to>
      <xdr:col>4</xdr:col>
      <xdr:colOff>1358041</xdr:colOff>
      <xdr:row>3</xdr:row>
      <xdr:rowOff>243416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649" b="20057"/>
        <a:stretch/>
      </xdr:blipFill>
      <xdr:spPr>
        <a:xfrm>
          <a:off x="1618219" y="275166"/>
          <a:ext cx="1284989" cy="793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708058</xdr:colOff>
      <xdr:row>1</xdr:row>
      <xdr:rowOff>84666</xdr:rowOff>
    </xdr:from>
    <xdr:to>
      <xdr:col>3</xdr:col>
      <xdr:colOff>1234222</xdr:colOff>
      <xdr:row>3</xdr:row>
      <xdr:rowOff>243416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649" b="20057"/>
        <a:stretch/>
      </xdr:blipFill>
      <xdr:spPr>
        <a:xfrm>
          <a:off x="1713475" y="264583"/>
          <a:ext cx="1288164" cy="793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45"/>
  <sheetViews>
    <sheetView showGridLines="0" topLeftCell="F26" zoomScale="94" zoomScaleNormal="94" workbookViewId="0">
      <selection activeCell="O37" sqref="O37"/>
    </sheetView>
  </sheetViews>
  <sheetFormatPr baseColWidth="10" defaultRowHeight="15" customHeight="1" x14ac:dyDescent="0.25"/>
  <cols>
    <col min="1" max="1" width="3.6640625" style="13" customWidth="1"/>
    <col min="2" max="2" width="7.88671875" style="13" customWidth="1"/>
    <col min="3" max="3" width="3.6640625" style="13" customWidth="1"/>
    <col min="4" max="4" width="6.6640625" style="13" customWidth="1"/>
    <col min="5" max="5" width="43.6640625" style="1" customWidth="1"/>
    <col min="6" max="6" width="13.6640625" style="13" customWidth="1"/>
    <col min="7" max="7" width="13.6640625" style="14" customWidth="1"/>
    <col min="8" max="12" width="13.6640625" style="13" customWidth="1"/>
    <col min="13" max="13" width="11.44140625" style="13"/>
    <col min="14" max="14" width="6.6640625" style="13" customWidth="1"/>
    <col min="15" max="15" width="43.6640625" style="13" customWidth="1"/>
    <col min="16" max="22" width="13.6640625" style="13" customWidth="1"/>
    <col min="23" max="23" width="3.6640625" style="13" customWidth="1"/>
    <col min="24" max="256" width="11.44140625" style="13"/>
    <col min="257" max="257" width="0" style="13" hidden="1" customWidth="1"/>
    <col min="258" max="258" width="4.5546875" style="13" customWidth="1"/>
    <col min="259" max="259" width="37.6640625" style="13" customWidth="1"/>
    <col min="260" max="264" width="11.44140625" style="13"/>
    <col min="265" max="265" width="14.109375" style="13" bestFit="1" customWidth="1"/>
    <col min="266" max="267" width="11.44140625" style="13"/>
    <col min="268" max="268" width="6.109375" style="13" customWidth="1"/>
    <col min="269" max="269" width="37" style="13" customWidth="1"/>
    <col min="270" max="512" width="11.44140625" style="13"/>
    <col min="513" max="513" width="0" style="13" hidden="1" customWidth="1"/>
    <col min="514" max="514" width="4.5546875" style="13" customWidth="1"/>
    <col min="515" max="515" width="37.6640625" style="13" customWidth="1"/>
    <col min="516" max="520" width="11.44140625" style="13"/>
    <col min="521" max="521" width="14.109375" style="13" bestFit="1" customWidth="1"/>
    <col min="522" max="523" width="11.44140625" style="13"/>
    <col min="524" max="524" width="6.109375" style="13" customWidth="1"/>
    <col min="525" max="525" width="37" style="13" customWidth="1"/>
    <col min="526" max="768" width="11.44140625" style="13"/>
    <col min="769" max="769" width="0" style="13" hidden="1" customWidth="1"/>
    <col min="770" max="770" width="4.5546875" style="13" customWidth="1"/>
    <col min="771" max="771" width="37.6640625" style="13" customWidth="1"/>
    <col min="772" max="776" width="11.44140625" style="13"/>
    <col min="777" max="777" width="14.109375" style="13" bestFit="1" customWidth="1"/>
    <col min="778" max="779" width="11.44140625" style="13"/>
    <col min="780" max="780" width="6.109375" style="13" customWidth="1"/>
    <col min="781" max="781" width="37" style="13" customWidth="1"/>
    <col min="782" max="1024" width="11.44140625" style="13"/>
    <col min="1025" max="1025" width="0" style="13" hidden="1" customWidth="1"/>
    <col min="1026" max="1026" width="4.5546875" style="13" customWidth="1"/>
    <col min="1027" max="1027" width="37.6640625" style="13" customWidth="1"/>
    <col min="1028" max="1032" width="11.44140625" style="13"/>
    <col min="1033" max="1033" width="14.109375" style="13" bestFit="1" customWidth="1"/>
    <col min="1034" max="1035" width="11.44140625" style="13"/>
    <col min="1036" max="1036" width="6.109375" style="13" customWidth="1"/>
    <col min="1037" max="1037" width="37" style="13" customWidth="1"/>
    <col min="1038" max="1280" width="11.44140625" style="13"/>
    <col min="1281" max="1281" width="0" style="13" hidden="1" customWidth="1"/>
    <col min="1282" max="1282" width="4.5546875" style="13" customWidth="1"/>
    <col min="1283" max="1283" width="37.6640625" style="13" customWidth="1"/>
    <col min="1284" max="1288" width="11.44140625" style="13"/>
    <col min="1289" max="1289" width="14.109375" style="13" bestFit="1" customWidth="1"/>
    <col min="1290" max="1291" width="11.44140625" style="13"/>
    <col min="1292" max="1292" width="6.109375" style="13" customWidth="1"/>
    <col min="1293" max="1293" width="37" style="13" customWidth="1"/>
    <col min="1294" max="1536" width="11.44140625" style="13"/>
    <col min="1537" max="1537" width="0" style="13" hidden="1" customWidth="1"/>
    <col min="1538" max="1538" width="4.5546875" style="13" customWidth="1"/>
    <col min="1539" max="1539" width="37.6640625" style="13" customWidth="1"/>
    <col min="1540" max="1544" width="11.44140625" style="13"/>
    <col min="1545" max="1545" width="14.109375" style="13" bestFit="1" customWidth="1"/>
    <col min="1546" max="1547" width="11.44140625" style="13"/>
    <col min="1548" max="1548" width="6.109375" style="13" customWidth="1"/>
    <col min="1549" max="1549" width="37" style="13" customWidth="1"/>
    <col min="1550" max="1792" width="11.44140625" style="13"/>
    <col min="1793" max="1793" width="0" style="13" hidden="1" customWidth="1"/>
    <col min="1794" max="1794" width="4.5546875" style="13" customWidth="1"/>
    <col min="1795" max="1795" width="37.6640625" style="13" customWidth="1"/>
    <col min="1796" max="1800" width="11.44140625" style="13"/>
    <col min="1801" max="1801" width="14.109375" style="13" bestFit="1" customWidth="1"/>
    <col min="1802" max="1803" width="11.44140625" style="13"/>
    <col min="1804" max="1804" width="6.109375" style="13" customWidth="1"/>
    <col min="1805" max="1805" width="37" style="13" customWidth="1"/>
    <col min="1806" max="2048" width="11.44140625" style="13"/>
    <col min="2049" max="2049" width="0" style="13" hidden="1" customWidth="1"/>
    <col min="2050" max="2050" width="4.5546875" style="13" customWidth="1"/>
    <col min="2051" max="2051" width="37.6640625" style="13" customWidth="1"/>
    <col min="2052" max="2056" width="11.44140625" style="13"/>
    <col min="2057" max="2057" width="14.109375" style="13" bestFit="1" customWidth="1"/>
    <col min="2058" max="2059" width="11.44140625" style="13"/>
    <col min="2060" max="2060" width="6.109375" style="13" customWidth="1"/>
    <col min="2061" max="2061" width="37" style="13" customWidth="1"/>
    <col min="2062" max="2304" width="11.44140625" style="13"/>
    <col min="2305" max="2305" width="0" style="13" hidden="1" customWidth="1"/>
    <col min="2306" max="2306" width="4.5546875" style="13" customWidth="1"/>
    <col min="2307" max="2307" width="37.6640625" style="13" customWidth="1"/>
    <col min="2308" max="2312" width="11.44140625" style="13"/>
    <col min="2313" max="2313" width="14.109375" style="13" bestFit="1" customWidth="1"/>
    <col min="2314" max="2315" width="11.44140625" style="13"/>
    <col min="2316" max="2316" width="6.109375" style="13" customWidth="1"/>
    <col min="2317" max="2317" width="37" style="13" customWidth="1"/>
    <col min="2318" max="2560" width="11.44140625" style="13"/>
    <col min="2561" max="2561" width="0" style="13" hidden="1" customWidth="1"/>
    <col min="2562" max="2562" width="4.5546875" style="13" customWidth="1"/>
    <col min="2563" max="2563" width="37.6640625" style="13" customWidth="1"/>
    <col min="2564" max="2568" width="11.44140625" style="13"/>
    <col min="2569" max="2569" width="14.109375" style="13" bestFit="1" customWidth="1"/>
    <col min="2570" max="2571" width="11.44140625" style="13"/>
    <col min="2572" max="2572" width="6.109375" style="13" customWidth="1"/>
    <col min="2573" max="2573" width="37" style="13" customWidth="1"/>
    <col min="2574" max="2816" width="11.44140625" style="13"/>
    <col min="2817" max="2817" width="0" style="13" hidden="1" customWidth="1"/>
    <col min="2818" max="2818" width="4.5546875" style="13" customWidth="1"/>
    <col min="2819" max="2819" width="37.6640625" style="13" customWidth="1"/>
    <col min="2820" max="2824" width="11.44140625" style="13"/>
    <col min="2825" max="2825" width="14.109375" style="13" bestFit="1" customWidth="1"/>
    <col min="2826" max="2827" width="11.44140625" style="13"/>
    <col min="2828" max="2828" width="6.109375" style="13" customWidth="1"/>
    <col min="2829" max="2829" width="37" style="13" customWidth="1"/>
    <col min="2830" max="3072" width="11.44140625" style="13"/>
    <col min="3073" max="3073" width="0" style="13" hidden="1" customWidth="1"/>
    <col min="3074" max="3074" width="4.5546875" style="13" customWidth="1"/>
    <col min="3075" max="3075" width="37.6640625" style="13" customWidth="1"/>
    <col min="3076" max="3080" width="11.44140625" style="13"/>
    <col min="3081" max="3081" width="14.109375" style="13" bestFit="1" customWidth="1"/>
    <col min="3082" max="3083" width="11.44140625" style="13"/>
    <col min="3084" max="3084" width="6.109375" style="13" customWidth="1"/>
    <col min="3085" max="3085" width="37" style="13" customWidth="1"/>
    <col min="3086" max="3328" width="11.44140625" style="13"/>
    <col min="3329" max="3329" width="0" style="13" hidden="1" customWidth="1"/>
    <col min="3330" max="3330" width="4.5546875" style="13" customWidth="1"/>
    <col min="3331" max="3331" width="37.6640625" style="13" customWidth="1"/>
    <col min="3332" max="3336" width="11.44140625" style="13"/>
    <col min="3337" max="3337" width="14.109375" style="13" bestFit="1" customWidth="1"/>
    <col min="3338" max="3339" width="11.44140625" style="13"/>
    <col min="3340" max="3340" width="6.109375" style="13" customWidth="1"/>
    <col min="3341" max="3341" width="37" style="13" customWidth="1"/>
    <col min="3342" max="3584" width="11.44140625" style="13"/>
    <col min="3585" max="3585" width="0" style="13" hidden="1" customWidth="1"/>
    <col min="3586" max="3586" width="4.5546875" style="13" customWidth="1"/>
    <col min="3587" max="3587" width="37.6640625" style="13" customWidth="1"/>
    <col min="3588" max="3592" width="11.44140625" style="13"/>
    <col min="3593" max="3593" width="14.109375" style="13" bestFit="1" customWidth="1"/>
    <col min="3594" max="3595" width="11.44140625" style="13"/>
    <col min="3596" max="3596" width="6.109375" style="13" customWidth="1"/>
    <col min="3597" max="3597" width="37" style="13" customWidth="1"/>
    <col min="3598" max="3840" width="11.44140625" style="13"/>
    <col min="3841" max="3841" width="0" style="13" hidden="1" customWidth="1"/>
    <col min="3842" max="3842" width="4.5546875" style="13" customWidth="1"/>
    <col min="3843" max="3843" width="37.6640625" style="13" customWidth="1"/>
    <col min="3844" max="3848" width="11.44140625" style="13"/>
    <col min="3849" max="3849" width="14.109375" style="13" bestFit="1" customWidth="1"/>
    <col min="3850" max="3851" width="11.44140625" style="13"/>
    <col min="3852" max="3852" width="6.109375" style="13" customWidth="1"/>
    <col min="3853" max="3853" width="37" style="13" customWidth="1"/>
    <col min="3854" max="4096" width="11.44140625" style="13"/>
    <col min="4097" max="4097" width="0" style="13" hidden="1" customWidth="1"/>
    <col min="4098" max="4098" width="4.5546875" style="13" customWidth="1"/>
    <col min="4099" max="4099" width="37.6640625" style="13" customWidth="1"/>
    <col min="4100" max="4104" width="11.44140625" style="13"/>
    <col min="4105" max="4105" width="14.109375" style="13" bestFit="1" customWidth="1"/>
    <col min="4106" max="4107" width="11.44140625" style="13"/>
    <col min="4108" max="4108" width="6.109375" style="13" customWidth="1"/>
    <col min="4109" max="4109" width="37" style="13" customWidth="1"/>
    <col min="4110" max="4352" width="11.44140625" style="13"/>
    <col min="4353" max="4353" width="0" style="13" hidden="1" customWidth="1"/>
    <col min="4354" max="4354" width="4.5546875" style="13" customWidth="1"/>
    <col min="4355" max="4355" width="37.6640625" style="13" customWidth="1"/>
    <col min="4356" max="4360" width="11.44140625" style="13"/>
    <col min="4361" max="4361" width="14.109375" style="13" bestFit="1" customWidth="1"/>
    <col min="4362" max="4363" width="11.44140625" style="13"/>
    <col min="4364" max="4364" width="6.109375" style="13" customWidth="1"/>
    <col min="4365" max="4365" width="37" style="13" customWidth="1"/>
    <col min="4366" max="4608" width="11.44140625" style="13"/>
    <col min="4609" max="4609" width="0" style="13" hidden="1" customWidth="1"/>
    <col min="4610" max="4610" width="4.5546875" style="13" customWidth="1"/>
    <col min="4611" max="4611" width="37.6640625" style="13" customWidth="1"/>
    <col min="4612" max="4616" width="11.44140625" style="13"/>
    <col min="4617" max="4617" width="14.109375" style="13" bestFit="1" customWidth="1"/>
    <col min="4618" max="4619" width="11.44140625" style="13"/>
    <col min="4620" max="4620" width="6.109375" style="13" customWidth="1"/>
    <col min="4621" max="4621" width="37" style="13" customWidth="1"/>
    <col min="4622" max="4864" width="11.44140625" style="13"/>
    <col min="4865" max="4865" width="0" style="13" hidden="1" customWidth="1"/>
    <col min="4866" max="4866" width="4.5546875" style="13" customWidth="1"/>
    <col min="4867" max="4867" width="37.6640625" style="13" customWidth="1"/>
    <col min="4868" max="4872" width="11.44140625" style="13"/>
    <col min="4873" max="4873" width="14.109375" style="13" bestFit="1" customWidth="1"/>
    <col min="4874" max="4875" width="11.44140625" style="13"/>
    <col min="4876" max="4876" width="6.109375" style="13" customWidth="1"/>
    <col min="4877" max="4877" width="37" style="13" customWidth="1"/>
    <col min="4878" max="5120" width="11.44140625" style="13"/>
    <col min="5121" max="5121" width="0" style="13" hidden="1" customWidth="1"/>
    <col min="5122" max="5122" width="4.5546875" style="13" customWidth="1"/>
    <col min="5123" max="5123" width="37.6640625" style="13" customWidth="1"/>
    <col min="5124" max="5128" width="11.44140625" style="13"/>
    <col min="5129" max="5129" width="14.109375" style="13" bestFit="1" customWidth="1"/>
    <col min="5130" max="5131" width="11.44140625" style="13"/>
    <col min="5132" max="5132" width="6.109375" style="13" customWidth="1"/>
    <col min="5133" max="5133" width="37" style="13" customWidth="1"/>
    <col min="5134" max="5376" width="11.44140625" style="13"/>
    <col min="5377" max="5377" width="0" style="13" hidden="1" customWidth="1"/>
    <col min="5378" max="5378" width="4.5546875" style="13" customWidth="1"/>
    <col min="5379" max="5379" width="37.6640625" style="13" customWidth="1"/>
    <col min="5380" max="5384" width="11.44140625" style="13"/>
    <col min="5385" max="5385" width="14.109375" style="13" bestFit="1" customWidth="1"/>
    <col min="5386" max="5387" width="11.44140625" style="13"/>
    <col min="5388" max="5388" width="6.109375" style="13" customWidth="1"/>
    <col min="5389" max="5389" width="37" style="13" customWidth="1"/>
    <col min="5390" max="5632" width="11.44140625" style="13"/>
    <col min="5633" max="5633" width="0" style="13" hidden="1" customWidth="1"/>
    <col min="5634" max="5634" width="4.5546875" style="13" customWidth="1"/>
    <col min="5635" max="5635" width="37.6640625" style="13" customWidth="1"/>
    <col min="5636" max="5640" width="11.44140625" style="13"/>
    <col min="5641" max="5641" width="14.109375" style="13" bestFit="1" customWidth="1"/>
    <col min="5642" max="5643" width="11.44140625" style="13"/>
    <col min="5644" max="5644" width="6.109375" style="13" customWidth="1"/>
    <col min="5645" max="5645" width="37" style="13" customWidth="1"/>
    <col min="5646" max="5888" width="11.44140625" style="13"/>
    <col min="5889" max="5889" width="0" style="13" hidden="1" customWidth="1"/>
    <col min="5890" max="5890" width="4.5546875" style="13" customWidth="1"/>
    <col min="5891" max="5891" width="37.6640625" style="13" customWidth="1"/>
    <col min="5892" max="5896" width="11.44140625" style="13"/>
    <col min="5897" max="5897" width="14.109375" style="13" bestFit="1" customWidth="1"/>
    <col min="5898" max="5899" width="11.44140625" style="13"/>
    <col min="5900" max="5900" width="6.109375" style="13" customWidth="1"/>
    <col min="5901" max="5901" width="37" style="13" customWidth="1"/>
    <col min="5902" max="6144" width="11.44140625" style="13"/>
    <col min="6145" max="6145" width="0" style="13" hidden="1" customWidth="1"/>
    <col min="6146" max="6146" width="4.5546875" style="13" customWidth="1"/>
    <col min="6147" max="6147" width="37.6640625" style="13" customWidth="1"/>
    <col min="6148" max="6152" width="11.44140625" style="13"/>
    <col min="6153" max="6153" width="14.109375" style="13" bestFit="1" customWidth="1"/>
    <col min="6154" max="6155" width="11.44140625" style="13"/>
    <col min="6156" max="6156" width="6.109375" style="13" customWidth="1"/>
    <col min="6157" max="6157" width="37" style="13" customWidth="1"/>
    <col min="6158" max="6400" width="11.44140625" style="13"/>
    <col min="6401" max="6401" width="0" style="13" hidden="1" customWidth="1"/>
    <col min="6402" max="6402" width="4.5546875" style="13" customWidth="1"/>
    <col min="6403" max="6403" width="37.6640625" style="13" customWidth="1"/>
    <col min="6404" max="6408" width="11.44140625" style="13"/>
    <col min="6409" max="6409" width="14.109375" style="13" bestFit="1" customWidth="1"/>
    <col min="6410" max="6411" width="11.44140625" style="13"/>
    <col min="6412" max="6412" width="6.109375" style="13" customWidth="1"/>
    <col min="6413" max="6413" width="37" style="13" customWidth="1"/>
    <col min="6414" max="6656" width="11.44140625" style="13"/>
    <col min="6657" max="6657" width="0" style="13" hidden="1" customWidth="1"/>
    <col min="6658" max="6658" width="4.5546875" style="13" customWidth="1"/>
    <col min="6659" max="6659" width="37.6640625" style="13" customWidth="1"/>
    <col min="6660" max="6664" width="11.44140625" style="13"/>
    <col min="6665" max="6665" width="14.109375" style="13" bestFit="1" customWidth="1"/>
    <col min="6666" max="6667" width="11.44140625" style="13"/>
    <col min="6668" max="6668" width="6.109375" style="13" customWidth="1"/>
    <col min="6669" max="6669" width="37" style="13" customWidth="1"/>
    <col min="6670" max="6912" width="11.44140625" style="13"/>
    <col min="6913" max="6913" width="0" style="13" hidden="1" customWidth="1"/>
    <col min="6914" max="6914" width="4.5546875" style="13" customWidth="1"/>
    <col min="6915" max="6915" width="37.6640625" style="13" customWidth="1"/>
    <col min="6916" max="6920" width="11.44140625" style="13"/>
    <col min="6921" max="6921" width="14.109375" style="13" bestFit="1" customWidth="1"/>
    <col min="6922" max="6923" width="11.44140625" style="13"/>
    <col min="6924" max="6924" width="6.109375" style="13" customWidth="1"/>
    <col min="6925" max="6925" width="37" style="13" customWidth="1"/>
    <col min="6926" max="7168" width="11.44140625" style="13"/>
    <col min="7169" max="7169" width="0" style="13" hidden="1" customWidth="1"/>
    <col min="7170" max="7170" width="4.5546875" style="13" customWidth="1"/>
    <col min="7171" max="7171" width="37.6640625" style="13" customWidth="1"/>
    <col min="7172" max="7176" width="11.44140625" style="13"/>
    <col min="7177" max="7177" width="14.109375" style="13" bestFit="1" customWidth="1"/>
    <col min="7178" max="7179" width="11.44140625" style="13"/>
    <col min="7180" max="7180" width="6.109375" style="13" customWidth="1"/>
    <col min="7181" max="7181" width="37" style="13" customWidth="1"/>
    <col min="7182" max="7424" width="11.44140625" style="13"/>
    <col min="7425" max="7425" width="0" style="13" hidden="1" customWidth="1"/>
    <col min="7426" max="7426" width="4.5546875" style="13" customWidth="1"/>
    <col min="7427" max="7427" width="37.6640625" style="13" customWidth="1"/>
    <col min="7428" max="7432" width="11.44140625" style="13"/>
    <col min="7433" max="7433" width="14.109375" style="13" bestFit="1" customWidth="1"/>
    <col min="7434" max="7435" width="11.44140625" style="13"/>
    <col min="7436" max="7436" width="6.109375" style="13" customWidth="1"/>
    <col min="7437" max="7437" width="37" style="13" customWidth="1"/>
    <col min="7438" max="7680" width="11.44140625" style="13"/>
    <col min="7681" max="7681" width="0" style="13" hidden="1" customWidth="1"/>
    <col min="7682" max="7682" width="4.5546875" style="13" customWidth="1"/>
    <col min="7683" max="7683" width="37.6640625" style="13" customWidth="1"/>
    <col min="7684" max="7688" width="11.44140625" style="13"/>
    <col min="7689" max="7689" width="14.109375" style="13" bestFit="1" customWidth="1"/>
    <col min="7690" max="7691" width="11.44140625" style="13"/>
    <col min="7692" max="7692" width="6.109375" style="13" customWidth="1"/>
    <col min="7693" max="7693" width="37" style="13" customWidth="1"/>
    <col min="7694" max="7936" width="11.44140625" style="13"/>
    <col min="7937" max="7937" width="0" style="13" hidden="1" customWidth="1"/>
    <col min="7938" max="7938" width="4.5546875" style="13" customWidth="1"/>
    <col min="7939" max="7939" width="37.6640625" style="13" customWidth="1"/>
    <col min="7940" max="7944" width="11.44140625" style="13"/>
    <col min="7945" max="7945" width="14.109375" style="13" bestFit="1" customWidth="1"/>
    <col min="7946" max="7947" width="11.44140625" style="13"/>
    <col min="7948" max="7948" width="6.109375" style="13" customWidth="1"/>
    <col min="7949" max="7949" width="37" style="13" customWidth="1"/>
    <col min="7950" max="8192" width="11.44140625" style="13"/>
    <col min="8193" max="8193" width="0" style="13" hidden="1" customWidth="1"/>
    <col min="8194" max="8194" width="4.5546875" style="13" customWidth="1"/>
    <col min="8195" max="8195" width="37.6640625" style="13" customWidth="1"/>
    <col min="8196" max="8200" width="11.44140625" style="13"/>
    <col min="8201" max="8201" width="14.109375" style="13" bestFit="1" customWidth="1"/>
    <col min="8202" max="8203" width="11.44140625" style="13"/>
    <col min="8204" max="8204" width="6.109375" style="13" customWidth="1"/>
    <col min="8205" max="8205" width="37" style="13" customWidth="1"/>
    <col min="8206" max="8448" width="11.44140625" style="13"/>
    <col min="8449" max="8449" width="0" style="13" hidden="1" customWidth="1"/>
    <col min="8450" max="8450" width="4.5546875" style="13" customWidth="1"/>
    <col min="8451" max="8451" width="37.6640625" style="13" customWidth="1"/>
    <col min="8452" max="8456" width="11.44140625" style="13"/>
    <col min="8457" max="8457" width="14.109375" style="13" bestFit="1" customWidth="1"/>
    <col min="8458" max="8459" width="11.44140625" style="13"/>
    <col min="8460" max="8460" width="6.109375" style="13" customWidth="1"/>
    <col min="8461" max="8461" width="37" style="13" customWidth="1"/>
    <col min="8462" max="8704" width="11.44140625" style="13"/>
    <col min="8705" max="8705" width="0" style="13" hidden="1" customWidth="1"/>
    <col min="8706" max="8706" width="4.5546875" style="13" customWidth="1"/>
    <col min="8707" max="8707" width="37.6640625" style="13" customWidth="1"/>
    <col min="8708" max="8712" width="11.44140625" style="13"/>
    <col min="8713" max="8713" width="14.109375" style="13" bestFit="1" customWidth="1"/>
    <col min="8714" max="8715" width="11.44140625" style="13"/>
    <col min="8716" max="8716" width="6.109375" style="13" customWidth="1"/>
    <col min="8717" max="8717" width="37" style="13" customWidth="1"/>
    <col min="8718" max="8960" width="11.44140625" style="13"/>
    <col min="8961" max="8961" width="0" style="13" hidden="1" customWidth="1"/>
    <col min="8962" max="8962" width="4.5546875" style="13" customWidth="1"/>
    <col min="8963" max="8963" width="37.6640625" style="13" customWidth="1"/>
    <col min="8964" max="8968" width="11.44140625" style="13"/>
    <col min="8969" max="8969" width="14.109375" style="13" bestFit="1" customWidth="1"/>
    <col min="8970" max="8971" width="11.44140625" style="13"/>
    <col min="8972" max="8972" width="6.109375" style="13" customWidth="1"/>
    <col min="8973" max="8973" width="37" style="13" customWidth="1"/>
    <col min="8974" max="9216" width="11.44140625" style="13"/>
    <col min="9217" max="9217" width="0" style="13" hidden="1" customWidth="1"/>
    <col min="9218" max="9218" width="4.5546875" style="13" customWidth="1"/>
    <col min="9219" max="9219" width="37.6640625" style="13" customWidth="1"/>
    <col min="9220" max="9224" width="11.44140625" style="13"/>
    <col min="9225" max="9225" width="14.109375" style="13" bestFit="1" customWidth="1"/>
    <col min="9226" max="9227" width="11.44140625" style="13"/>
    <col min="9228" max="9228" width="6.109375" style="13" customWidth="1"/>
    <col min="9229" max="9229" width="37" style="13" customWidth="1"/>
    <col min="9230" max="9472" width="11.44140625" style="13"/>
    <col min="9473" max="9473" width="0" style="13" hidden="1" customWidth="1"/>
    <col min="9474" max="9474" width="4.5546875" style="13" customWidth="1"/>
    <col min="9475" max="9475" width="37.6640625" style="13" customWidth="1"/>
    <col min="9476" max="9480" width="11.44140625" style="13"/>
    <col min="9481" max="9481" width="14.109375" style="13" bestFit="1" customWidth="1"/>
    <col min="9482" max="9483" width="11.44140625" style="13"/>
    <col min="9484" max="9484" width="6.109375" style="13" customWidth="1"/>
    <col min="9485" max="9485" width="37" style="13" customWidth="1"/>
    <col min="9486" max="9728" width="11.44140625" style="13"/>
    <col min="9729" max="9729" width="0" style="13" hidden="1" customWidth="1"/>
    <col min="9730" max="9730" width="4.5546875" style="13" customWidth="1"/>
    <col min="9731" max="9731" width="37.6640625" style="13" customWidth="1"/>
    <col min="9732" max="9736" width="11.44140625" style="13"/>
    <col min="9737" max="9737" width="14.109375" style="13" bestFit="1" customWidth="1"/>
    <col min="9738" max="9739" width="11.44140625" style="13"/>
    <col min="9740" max="9740" width="6.109375" style="13" customWidth="1"/>
    <col min="9741" max="9741" width="37" style="13" customWidth="1"/>
    <col min="9742" max="9984" width="11.44140625" style="13"/>
    <col min="9985" max="9985" width="0" style="13" hidden="1" customWidth="1"/>
    <col min="9986" max="9986" width="4.5546875" style="13" customWidth="1"/>
    <col min="9987" max="9987" width="37.6640625" style="13" customWidth="1"/>
    <col min="9988" max="9992" width="11.44140625" style="13"/>
    <col min="9993" max="9993" width="14.109375" style="13" bestFit="1" customWidth="1"/>
    <col min="9994" max="9995" width="11.44140625" style="13"/>
    <col min="9996" max="9996" width="6.109375" style="13" customWidth="1"/>
    <col min="9997" max="9997" width="37" style="13" customWidth="1"/>
    <col min="9998" max="10240" width="11.44140625" style="13"/>
    <col min="10241" max="10241" width="0" style="13" hidden="1" customWidth="1"/>
    <col min="10242" max="10242" width="4.5546875" style="13" customWidth="1"/>
    <col min="10243" max="10243" width="37.6640625" style="13" customWidth="1"/>
    <col min="10244" max="10248" width="11.44140625" style="13"/>
    <col min="10249" max="10249" width="14.109375" style="13" bestFit="1" customWidth="1"/>
    <col min="10250" max="10251" width="11.44140625" style="13"/>
    <col min="10252" max="10252" width="6.109375" style="13" customWidth="1"/>
    <col min="10253" max="10253" width="37" style="13" customWidth="1"/>
    <col min="10254" max="10496" width="11.44140625" style="13"/>
    <col min="10497" max="10497" width="0" style="13" hidden="1" customWidth="1"/>
    <col min="10498" max="10498" width="4.5546875" style="13" customWidth="1"/>
    <col min="10499" max="10499" width="37.6640625" style="13" customWidth="1"/>
    <col min="10500" max="10504" width="11.44140625" style="13"/>
    <col min="10505" max="10505" width="14.109375" style="13" bestFit="1" customWidth="1"/>
    <col min="10506" max="10507" width="11.44140625" style="13"/>
    <col min="10508" max="10508" width="6.109375" style="13" customWidth="1"/>
    <col min="10509" max="10509" width="37" style="13" customWidth="1"/>
    <col min="10510" max="10752" width="11.44140625" style="13"/>
    <col min="10753" max="10753" width="0" style="13" hidden="1" customWidth="1"/>
    <col min="10754" max="10754" width="4.5546875" style="13" customWidth="1"/>
    <col min="10755" max="10755" width="37.6640625" style="13" customWidth="1"/>
    <col min="10756" max="10760" width="11.44140625" style="13"/>
    <col min="10761" max="10761" width="14.109375" style="13" bestFit="1" customWidth="1"/>
    <col min="10762" max="10763" width="11.44140625" style="13"/>
    <col min="10764" max="10764" width="6.109375" style="13" customWidth="1"/>
    <col min="10765" max="10765" width="37" style="13" customWidth="1"/>
    <col min="10766" max="11008" width="11.44140625" style="13"/>
    <col min="11009" max="11009" width="0" style="13" hidden="1" customWidth="1"/>
    <col min="11010" max="11010" width="4.5546875" style="13" customWidth="1"/>
    <col min="11011" max="11011" width="37.6640625" style="13" customWidth="1"/>
    <col min="11012" max="11016" width="11.44140625" style="13"/>
    <col min="11017" max="11017" width="14.109375" style="13" bestFit="1" customWidth="1"/>
    <col min="11018" max="11019" width="11.44140625" style="13"/>
    <col min="11020" max="11020" width="6.109375" style="13" customWidth="1"/>
    <col min="11021" max="11021" width="37" style="13" customWidth="1"/>
    <col min="11022" max="11264" width="11.44140625" style="13"/>
    <col min="11265" max="11265" width="0" style="13" hidden="1" customWidth="1"/>
    <col min="11266" max="11266" width="4.5546875" style="13" customWidth="1"/>
    <col min="11267" max="11267" width="37.6640625" style="13" customWidth="1"/>
    <col min="11268" max="11272" width="11.44140625" style="13"/>
    <col min="11273" max="11273" width="14.109375" style="13" bestFit="1" customWidth="1"/>
    <col min="11274" max="11275" width="11.44140625" style="13"/>
    <col min="11276" max="11276" width="6.109375" style="13" customWidth="1"/>
    <col min="11277" max="11277" width="37" style="13" customWidth="1"/>
    <col min="11278" max="11520" width="11.44140625" style="13"/>
    <col min="11521" max="11521" width="0" style="13" hidden="1" customWidth="1"/>
    <col min="11522" max="11522" width="4.5546875" style="13" customWidth="1"/>
    <col min="11523" max="11523" width="37.6640625" style="13" customWidth="1"/>
    <col min="11524" max="11528" width="11.44140625" style="13"/>
    <col min="11529" max="11529" width="14.109375" style="13" bestFit="1" customWidth="1"/>
    <col min="11530" max="11531" width="11.44140625" style="13"/>
    <col min="11532" max="11532" width="6.109375" style="13" customWidth="1"/>
    <col min="11533" max="11533" width="37" style="13" customWidth="1"/>
    <col min="11534" max="11776" width="11.44140625" style="13"/>
    <col min="11777" max="11777" width="0" style="13" hidden="1" customWidth="1"/>
    <col min="11778" max="11778" width="4.5546875" style="13" customWidth="1"/>
    <col min="11779" max="11779" width="37.6640625" style="13" customWidth="1"/>
    <col min="11780" max="11784" width="11.44140625" style="13"/>
    <col min="11785" max="11785" width="14.109375" style="13" bestFit="1" customWidth="1"/>
    <col min="11786" max="11787" width="11.44140625" style="13"/>
    <col min="11788" max="11788" width="6.109375" style="13" customWidth="1"/>
    <col min="11789" max="11789" width="37" style="13" customWidth="1"/>
    <col min="11790" max="12032" width="11.44140625" style="13"/>
    <col min="12033" max="12033" width="0" style="13" hidden="1" customWidth="1"/>
    <col min="12034" max="12034" width="4.5546875" style="13" customWidth="1"/>
    <col min="12035" max="12035" width="37.6640625" style="13" customWidth="1"/>
    <col min="12036" max="12040" width="11.44140625" style="13"/>
    <col min="12041" max="12041" width="14.109375" style="13" bestFit="1" customWidth="1"/>
    <col min="12042" max="12043" width="11.44140625" style="13"/>
    <col min="12044" max="12044" width="6.109375" style="13" customWidth="1"/>
    <col min="12045" max="12045" width="37" style="13" customWidth="1"/>
    <col min="12046" max="12288" width="11.44140625" style="13"/>
    <col min="12289" max="12289" width="0" style="13" hidden="1" customWidth="1"/>
    <col min="12290" max="12290" width="4.5546875" style="13" customWidth="1"/>
    <col min="12291" max="12291" width="37.6640625" style="13" customWidth="1"/>
    <col min="12292" max="12296" width="11.44140625" style="13"/>
    <col min="12297" max="12297" width="14.109375" style="13" bestFit="1" customWidth="1"/>
    <col min="12298" max="12299" width="11.44140625" style="13"/>
    <col min="12300" max="12300" width="6.109375" style="13" customWidth="1"/>
    <col min="12301" max="12301" width="37" style="13" customWidth="1"/>
    <col min="12302" max="12544" width="11.44140625" style="13"/>
    <col min="12545" max="12545" width="0" style="13" hidden="1" customWidth="1"/>
    <col min="12546" max="12546" width="4.5546875" style="13" customWidth="1"/>
    <col min="12547" max="12547" width="37.6640625" style="13" customWidth="1"/>
    <col min="12548" max="12552" width="11.44140625" style="13"/>
    <col min="12553" max="12553" width="14.109375" style="13" bestFit="1" customWidth="1"/>
    <col min="12554" max="12555" width="11.44140625" style="13"/>
    <col min="12556" max="12556" width="6.109375" style="13" customWidth="1"/>
    <col min="12557" max="12557" width="37" style="13" customWidth="1"/>
    <col min="12558" max="12800" width="11.44140625" style="13"/>
    <col min="12801" max="12801" width="0" style="13" hidden="1" customWidth="1"/>
    <col min="12802" max="12802" width="4.5546875" style="13" customWidth="1"/>
    <col min="12803" max="12803" width="37.6640625" style="13" customWidth="1"/>
    <col min="12804" max="12808" width="11.44140625" style="13"/>
    <col min="12809" max="12809" width="14.109375" style="13" bestFit="1" customWidth="1"/>
    <col min="12810" max="12811" width="11.44140625" style="13"/>
    <col min="12812" max="12812" width="6.109375" style="13" customWidth="1"/>
    <col min="12813" max="12813" width="37" style="13" customWidth="1"/>
    <col min="12814" max="13056" width="11.44140625" style="13"/>
    <col min="13057" max="13057" width="0" style="13" hidden="1" customWidth="1"/>
    <col min="13058" max="13058" width="4.5546875" style="13" customWidth="1"/>
    <col min="13059" max="13059" width="37.6640625" style="13" customWidth="1"/>
    <col min="13060" max="13064" width="11.44140625" style="13"/>
    <col min="13065" max="13065" width="14.109375" style="13" bestFit="1" customWidth="1"/>
    <col min="13066" max="13067" width="11.44140625" style="13"/>
    <col min="13068" max="13068" width="6.109375" style="13" customWidth="1"/>
    <col min="13069" max="13069" width="37" style="13" customWidth="1"/>
    <col min="13070" max="13312" width="11.44140625" style="13"/>
    <col min="13313" max="13313" width="0" style="13" hidden="1" customWidth="1"/>
    <col min="13314" max="13314" width="4.5546875" style="13" customWidth="1"/>
    <col min="13315" max="13315" width="37.6640625" style="13" customWidth="1"/>
    <col min="13316" max="13320" width="11.44140625" style="13"/>
    <col min="13321" max="13321" width="14.109375" style="13" bestFit="1" customWidth="1"/>
    <col min="13322" max="13323" width="11.44140625" style="13"/>
    <col min="13324" max="13324" width="6.109375" style="13" customWidth="1"/>
    <col min="13325" max="13325" width="37" style="13" customWidth="1"/>
    <col min="13326" max="13568" width="11.44140625" style="13"/>
    <col min="13569" max="13569" width="0" style="13" hidden="1" customWidth="1"/>
    <col min="13570" max="13570" width="4.5546875" style="13" customWidth="1"/>
    <col min="13571" max="13571" width="37.6640625" style="13" customWidth="1"/>
    <col min="13572" max="13576" width="11.44140625" style="13"/>
    <col min="13577" max="13577" width="14.109375" style="13" bestFit="1" customWidth="1"/>
    <col min="13578" max="13579" width="11.44140625" style="13"/>
    <col min="13580" max="13580" width="6.109375" style="13" customWidth="1"/>
    <col min="13581" max="13581" width="37" style="13" customWidth="1"/>
    <col min="13582" max="13824" width="11.44140625" style="13"/>
    <col min="13825" max="13825" width="0" style="13" hidden="1" customWidth="1"/>
    <col min="13826" max="13826" width="4.5546875" style="13" customWidth="1"/>
    <col min="13827" max="13827" width="37.6640625" style="13" customWidth="1"/>
    <col min="13828" max="13832" width="11.44140625" style="13"/>
    <col min="13833" max="13833" width="14.109375" style="13" bestFit="1" customWidth="1"/>
    <col min="13834" max="13835" width="11.44140625" style="13"/>
    <col min="13836" max="13836" width="6.109375" style="13" customWidth="1"/>
    <col min="13837" max="13837" width="37" style="13" customWidth="1"/>
    <col min="13838" max="14080" width="11.44140625" style="13"/>
    <col min="14081" max="14081" width="0" style="13" hidden="1" customWidth="1"/>
    <col min="14082" max="14082" width="4.5546875" style="13" customWidth="1"/>
    <col min="14083" max="14083" width="37.6640625" style="13" customWidth="1"/>
    <col min="14084" max="14088" width="11.44140625" style="13"/>
    <col min="14089" max="14089" width="14.109375" style="13" bestFit="1" customWidth="1"/>
    <col min="14090" max="14091" width="11.44140625" style="13"/>
    <col min="14092" max="14092" width="6.109375" style="13" customWidth="1"/>
    <col min="14093" max="14093" width="37" style="13" customWidth="1"/>
    <col min="14094" max="14336" width="11.44140625" style="13"/>
    <col min="14337" max="14337" width="0" style="13" hidden="1" customWidth="1"/>
    <col min="14338" max="14338" width="4.5546875" style="13" customWidth="1"/>
    <col min="14339" max="14339" width="37.6640625" style="13" customWidth="1"/>
    <col min="14340" max="14344" width="11.44140625" style="13"/>
    <col min="14345" max="14345" width="14.109375" style="13" bestFit="1" customWidth="1"/>
    <col min="14346" max="14347" width="11.44140625" style="13"/>
    <col min="14348" max="14348" width="6.109375" style="13" customWidth="1"/>
    <col min="14349" max="14349" width="37" style="13" customWidth="1"/>
    <col min="14350" max="14592" width="11.44140625" style="13"/>
    <col min="14593" max="14593" width="0" style="13" hidden="1" customWidth="1"/>
    <col min="14594" max="14594" width="4.5546875" style="13" customWidth="1"/>
    <col min="14595" max="14595" width="37.6640625" style="13" customWidth="1"/>
    <col min="14596" max="14600" width="11.44140625" style="13"/>
    <col min="14601" max="14601" width="14.109375" style="13" bestFit="1" customWidth="1"/>
    <col min="14602" max="14603" width="11.44140625" style="13"/>
    <col min="14604" max="14604" width="6.109375" style="13" customWidth="1"/>
    <col min="14605" max="14605" width="37" style="13" customWidth="1"/>
    <col min="14606" max="14848" width="11.44140625" style="13"/>
    <col min="14849" max="14849" width="0" style="13" hidden="1" customWidth="1"/>
    <col min="14850" max="14850" width="4.5546875" style="13" customWidth="1"/>
    <col min="14851" max="14851" width="37.6640625" style="13" customWidth="1"/>
    <col min="14852" max="14856" width="11.44140625" style="13"/>
    <col min="14857" max="14857" width="14.109375" style="13" bestFit="1" customWidth="1"/>
    <col min="14858" max="14859" width="11.44140625" style="13"/>
    <col min="14860" max="14860" width="6.109375" style="13" customWidth="1"/>
    <col min="14861" max="14861" width="37" style="13" customWidth="1"/>
    <col min="14862" max="15104" width="11.44140625" style="13"/>
    <col min="15105" max="15105" width="0" style="13" hidden="1" customWidth="1"/>
    <col min="15106" max="15106" width="4.5546875" style="13" customWidth="1"/>
    <col min="15107" max="15107" width="37.6640625" style="13" customWidth="1"/>
    <col min="15108" max="15112" width="11.44140625" style="13"/>
    <col min="15113" max="15113" width="14.109375" style="13" bestFit="1" customWidth="1"/>
    <col min="15114" max="15115" width="11.44140625" style="13"/>
    <col min="15116" max="15116" width="6.109375" style="13" customWidth="1"/>
    <col min="15117" max="15117" width="37" style="13" customWidth="1"/>
    <col min="15118" max="15360" width="11.44140625" style="13"/>
    <col min="15361" max="15361" width="0" style="13" hidden="1" customWidth="1"/>
    <col min="15362" max="15362" width="4.5546875" style="13" customWidth="1"/>
    <col min="15363" max="15363" width="37.6640625" style="13" customWidth="1"/>
    <col min="15364" max="15368" width="11.44140625" style="13"/>
    <col min="15369" max="15369" width="14.109375" style="13" bestFit="1" customWidth="1"/>
    <col min="15370" max="15371" width="11.44140625" style="13"/>
    <col min="15372" max="15372" width="6.109375" style="13" customWidth="1"/>
    <col min="15373" max="15373" width="37" style="13" customWidth="1"/>
    <col min="15374" max="15616" width="11.44140625" style="13"/>
    <col min="15617" max="15617" width="0" style="13" hidden="1" customWidth="1"/>
    <col min="15618" max="15618" width="4.5546875" style="13" customWidth="1"/>
    <col min="15619" max="15619" width="37.6640625" style="13" customWidth="1"/>
    <col min="15620" max="15624" width="11.44140625" style="13"/>
    <col min="15625" max="15625" width="14.109375" style="13" bestFit="1" customWidth="1"/>
    <col min="15626" max="15627" width="11.44140625" style="13"/>
    <col min="15628" max="15628" width="6.109375" style="13" customWidth="1"/>
    <col min="15629" max="15629" width="37" style="13" customWidth="1"/>
    <col min="15630" max="15872" width="11.44140625" style="13"/>
    <col min="15873" max="15873" width="0" style="13" hidden="1" customWidth="1"/>
    <col min="15874" max="15874" width="4.5546875" style="13" customWidth="1"/>
    <col min="15875" max="15875" width="37.6640625" style="13" customWidth="1"/>
    <col min="15876" max="15880" width="11.44140625" style="13"/>
    <col min="15881" max="15881" width="14.109375" style="13" bestFit="1" customWidth="1"/>
    <col min="15882" max="15883" width="11.44140625" style="13"/>
    <col min="15884" max="15884" width="6.109375" style="13" customWidth="1"/>
    <col min="15885" max="15885" width="37" style="13" customWidth="1"/>
    <col min="15886" max="16128" width="11.44140625" style="13"/>
    <col min="16129" max="16129" width="0" style="13" hidden="1" customWidth="1"/>
    <col min="16130" max="16130" width="4.5546875" style="13" customWidth="1"/>
    <col min="16131" max="16131" width="37.6640625" style="13" customWidth="1"/>
    <col min="16132" max="16136" width="11.44140625" style="13"/>
    <col min="16137" max="16137" width="14.109375" style="13" bestFit="1" customWidth="1"/>
    <col min="16138" max="16139" width="11.44140625" style="13"/>
    <col min="16140" max="16140" width="6.109375" style="13" customWidth="1"/>
    <col min="16141" max="16141" width="37" style="13" customWidth="1"/>
    <col min="16142" max="16384" width="11.44140625" style="13"/>
  </cols>
  <sheetData>
    <row r="2" spans="2:22" ht="24.9" customHeight="1" x14ac:dyDescent="0.25">
      <c r="B2" s="92"/>
      <c r="C2" s="93"/>
      <c r="D2" s="93"/>
      <c r="E2" s="94"/>
      <c r="F2" s="101" t="s">
        <v>53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33"/>
      <c r="S2" s="41" t="s">
        <v>54</v>
      </c>
      <c r="T2" s="107" t="s">
        <v>57</v>
      </c>
      <c r="U2" s="108"/>
      <c r="V2" s="109"/>
    </row>
    <row r="3" spans="2:22" ht="24.9" customHeight="1" x14ac:dyDescent="0.25">
      <c r="B3" s="95"/>
      <c r="C3" s="96"/>
      <c r="D3" s="96"/>
      <c r="E3" s="97"/>
      <c r="F3" s="103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34"/>
      <c r="S3" s="41" t="s">
        <v>55</v>
      </c>
      <c r="T3" s="110" t="s">
        <v>58</v>
      </c>
      <c r="U3" s="111"/>
      <c r="V3" s="112"/>
    </row>
    <row r="4" spans="2:22" ht="24.9" customHeight="1" x14ac:dyDescent="0.25">
      <c r="B4" s="98"/>
      <c r="C4" s="99"/>
      <c r="D4" s="99"/>
      <c r="E4" s="100"/>
      <c r="F4" s="105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35"/>
      <c r="S4" s="41" t="s">
        <v>56</v>
      </c>
      <c r="T4" s="107" t="s">
        <v>234</v>
      </c>
      <c r="U4" s="108"/>
      <c r="V4" s="109"/>
    </row>
    <row r="5" spans="2:22" ht="15" customHeight="1" x14ac:dyDescent="0.25">
      <c r="B5" s="14"/>
      <c r="C5" s="14"/>
      <c r="D5" s="14"/>
      <c r="E5" s="14"/>
      <c r="F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1"/>
      <c r="T5" s="31"/>
      <c r="U5" s="31"/>
      <c r="V5" s="31"/>
    </row>
    <row r="6" spans="2:22" ht="15" customHeight="1" x14ac:dyDescent="0.25">
      <c r="D6" s="15"/>
      <c r="E6" s="16"/>
      <c r="F6" s="15"/>
      <c r="G6" s="17"/>
      <c r="H6" s="18"/>
      <c r="I6" s="18"/>
      <c r="J6" s="18"/>
      <c r="K6" s="18"/>
      <c r="L6" s="18"/>
      <c r="M6" s="18"/>
      <c r="N6" s="18"/>
      <c r="O6" s="18"/>
      <c r="P6" s="18"/>
      <c r="Q6" s="18"/>
      <c r="R6" s="15"/>
      <c r="S6" s="15"/>
      <c r="T6" s="15"/>
      <c r="U6" s="15"/>
      <c r="V6" s="15"/>
    </row>
    <row r="7" spans="2:22" ht="20.100000000000001" customHeight="1" x14ac:dyDescent="0.25">
      <c r="B7" s="29" t="s">
        <v>13</v>
      </c>
      <c r="C7" s="131" t="s">
        <v>39</v>
      </c>
      <c r="D7" s="131"/>
      <c r="E7" s="131"/>
      <c r="F7" s="131"/>
      <c r="G7" s="131"/>
      <c r="H7" s="131"/>
      <c r="I7" s="131"/>
      <c r="J7" s="131"/>
      <c r="K7" s="131"/>
      <c r="L7" s="132"/>
      <c r="M7" s="18"/>
      <c r="N7" s="18"/>
      <c r="O7" s="18"/>
      <c r="P7" s="18"/>
      <c r="Q7" s="18"/>
      <c r="R7" s="15"/>
      <c r="S7" s="15"/>
      <c r="T7" s="15"/>
      <c r="U7" s="15"/>
      <c r="V7" s="15"/>
    </row>
    <row r="8" spans="2:22" ht="20.100000000000001" customHeight="1" x14ac:dyDescent="0.25">
      <c r="B8" s="30">
        <v>3</v>
      </c>
      <c r="C8" s="122" t="s">
        <v>40</v>
      </c>
      <c r="D8" s="122"/>
      <c r="E8" s="122"/>
      <c r="F8" s="122"/>
      <c r="G8" s="122"/>
      <c r="H8" s="122"/>
      <c r="I8" s="122"/>
      <c r="J8" s="122"/>
      <c r="K8" s="122"/>
      <c r="L8" s="123"/>
      <c r="M8" s="18"/>
      <c r="N8" s="18"/>
      <c r="O8" s="18"/>
      <c r="P8" s="18"/>
      <c r="Q8" s="18"/>
      <c r="R8" s="15"/>
      <c r="S8" s="15"/>
      <c r="T8" s="15"/>
      <c r="U8" s="15"/>
      <c r="V8" s="15"/>
    </row>
    <row r="9" spans="2:22" ht="20.100000000000001" customHeight="1" x14ac:dyDescent="0.25">
      <c r="B9" s="30">
        <v>2</v>
      </c>
      <c r="C9" s="122" t="s">
        <v>0</v>
      </c>
      <c r="D9" s="122"/>
      <c r="E9" s="122"/>
      <c r="F9" s="122"/>
      <c r="G9" s="122"/>
      <c r="H9" s="122"/>
      <c r="I9" s="122"/>
      <c r="J9" s="122"/>
      <c r="K9" s="122"/>
      <c r="L9" s="123"/>
      <c r="M9" s="18"/>
      <c r="N9" s="18"/>
      <c r="O9" s="18"/>
      <c r="P9" s="18"/>
      <c r="Q9" s="18"/>
      <c r="R9" s="15"/>
      <c r="S9" s="15"/>
      <c r="T9" s="15"/>
      <c r="U9" s="15"/>
      <c r="V9" s="15"/>
    </row>
    <row r="10" spans="2:22" ht="20.100000000000001" customHeight="1" x14ac:dyDescent="0.25">
      <c r="B10" s="30">
        <v>1</v>
      </c>
      <c r="C10" s="122" t="s">
        <v>1</v>
      </c>
      <c r="D10" s="122"/>
      <c r="E10" s="122"/>
      <c r="F10" s="122"/>
      <c r="G10" s="122"/>
      <c r="H10" s="122"/>
      <c r="I10" s="122"/>
      <c r="J10" s="122"/>
      <c r="K10" s="122"/>
      <c r="L10" s="123"/>
      <c r="M10" s="18"/>
      <c r="N10" s="18"/>
      <c r="O10" s="18"/>
      <c r="P10" s="18"/>
      <c r="Q10" s="18"/>
      <c r="R10" s="15"/>
      <c r="S10" s="15"/>
      <c r="T10" s="15"/>
      <c r="U10" s="15"/>
      <c r="V10" s="15"/>
    </row>
    <row r="11" spans="2:22" ht="20.100000000000001" customHeight="1" x14ac:dyDescent="0.25">
      <c r="B11" s="30">
        <v>0</v>
      </c>
      <c r="C11" s="122" t="s">
        <v>2</v>
      </c>
      <c r="D11" s="122"/>
      <c r="E11" s="122"/>
      <c r="F11" s="122"/>
      <c r="G11" s="122"/>
      <c r="H11" s="122"/>
      <c r="I11" s="122"/>
      <c r="J11" s="122"/>
      <c r="K11" s="122"/>
      <c r="L11" s="123"/>
      <c r="M11" s="18"/>
      <c r="N11" s="18"/>
      <c r="O11" s="18"/>
      <c r="P11" s="18"/>
      <c r="Q11" s="18"/>
      <c r="R11" s="15"/>
      <c r="S11" s="15"/>
      <c r="T11" s="15"/>
      <c r="U11" s="15"/>
      <c r="V11" s="15"/>
    </row>
    <row r="12" spans="2:22" ht="15" customHeight="1" x14ac:dyDescent="0.25">
      <c r="D12" s="15"/>
      <c r="E12" s="16"/>
      <c r="F12" s="15"/>
      <c r="G12" s="17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5"/>
      <c r="S12" s="15"/>
      <c r="T12" s="15"/>
      <c r="U12" s="15"/>
      <c r="V12" s="15"/>
    </row>
    <row r="13" spans="2:22" ht="15" customHeight="1" x14ac:dyDescent="0.25">
      <c r="D13" s="15"/>
      <c r="E13" s="16"/>
      <c r="F13" s="15"/>
      <c r="G13" s="17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5"/>
      <c r="S13" s="15"/>
      <c r="T13" s="15"/>
      <c r="U13" s="15"/>
      <c r="V13" s="15"/>
    </row>
    <row r="14" spans="2:22" ht="30" customHeight="1" x14ac:dyDescent="0.25">
      <c r="B14" s="25"/>
      <c r="D14" s="126" t="s">
        <v>3</v>
      </c>
      <c r="E14" s="126"/>
      <c r="F14" s="126"/>
      <c r="G14" s="126"/>
      <c r="H14" s="126"/>
      <c r="I14" s="126"/>
      <c r="J14" s="126"/>
      <c r="K14" s="126"/>
      <c r="L14" s="126"/>
      <c r="M14" s="15"/>
      <c r="N14" s="127" t="s">
        <v>6</v>
      </c>
      <c r="O14" s="127"/>
      <c r="P14" s="127"/>
      <c r="Q14" s="127"/>
      <c r="R14" s="127"/>
      <c r="S14" s="127"/>
      <c r="T14" s="127"/>
      <c r="U14" s="127"/>
      <c r="V14" s="127"/>
    </row>
    <row r="15" spans="2:22" ht="9.9" customHeight="1" x14ac:dyDescent="0.25">
      <c r="B15" s="25"/>
      <c r="D15" s="19"/>
      <c r="E15" s="19"/>
      <c r="F15" s="15"/>
      <c r="G15" s="15"/>
      <c r="H15" s="15"/>
      <c r="I15" s="15"/>
      <c r="J15" s="15"/>
      <c r="K15" s="15"/>
      <c r="L15" s="15"/>
      <c r="M15" s="15"/>
      <c r="N15" s="19"/>
      <c r="O15" s="19"/>
      <c r="P15" s="15"/>
      <c r="Q15" s="15"/>
      <c r="R15" s="15"/>
      <c r="S15" s="15"/>
      <c r="T15" s="15"/>
      <c r="U15" s="15"/>
      <c r="V15" s="15"/>
    </row>
    <row r="16" spans="2:22" s="20" customFormat="1" ht="50.1" customHeight="1" x14ac:dyDescent="0.3">
      <c r="B16" s="130" t="s">
        <v>38</v>
      </c>
      <c r="D16" s="7" t="s">
        <v>13</v>
      </c>
      <c r="E16" s="8" t="s">
        <v>12</v>
      </c>
      <c r="F16" s="9" t="s">
        <v>14</v>
      </c>
      <c r="G16" s="9" t="s">
        <v>15</v>
      </c>
      <c r="H16" s="9" t="s">
        <v>16</v>
      </c>
      <c r="I16" s="9" t="s">
        <v>17</v>
      </c>
      <c r="J16" s="9" t="s">
        <v>18</v>
      </c>
      <c r="K16" s="9" t="s">
        <v>19</v>
      </c>
      <c r="L16" s="10" t="s">
        <v>20</v>
      </c>
      <c r="M16" s="21"/>
      <c r="N16" s="7" t="s">
        <v>13</v>
      </c>
      <c r="O16" s="8" t="s">
        <v>12</v>
      </c>
      <c r="P16" s="9" t="s">
        <v>22</v>
      </c>
      <c r="Q16" s="9" t="s">
        <v>23</v>
      </c>
      <c r="R16" s="9" t="s">
        <v>4</v>
      </c>
      <c r="S16" s="9" t="s">
        <v>24</v>
      </c>
      <c r="T16" s="9" t="s">
        <v>5</v>
      </c>
      <c r="U16" s="9" t="s">
        <v>25</v>
      </c>
      <c r="V16" s="10" t="s">
        <v>26</v>
      </c>
    </row>
    <row r="17" spans="2:22" ht="50.1" customHeight="1" x14ac:dyDescent="0.25">
      <c r="B17" s="130"/>
      <c r="D17" s="2">
        <v>1</v>
      </c>
      <c r="E17" s="51" t="s">
        <v>60</v>
      </c>
      <c r="F17" s="26">
        <v>40</v>
      </c>
      <c r="G17" s="26">
        <v>1</v>
      </c>
      <c r="H17" s="26">
        <f>F17*G17</f>
        <v>40</v>
      </c>
      <c r="I17" s="26">
        <v>0</v>
      </c>
      <c r="J17" s="26">
        <v>0</v>
      </c>
      <c r="K17" s="26">
        <f t="shared" ref="K17:L26" si="0">I17*J17</f>
        <v>0</v>
      </c>
      <c r="L17" s="26">
        <f t="shared" si="0"/>
        <v>0</v>
      </c>
      <c r="M17" s="15"/>
      <c r="N17" s="2">
        <v>1</v>
      </c>
      <c r="O17" s="43" t="s">
        <v>65</v>
      </c>
      <c r="P17" s="26">
        <v>30</v>
      </c>
      <c r="Q17" s="26">
        <v>2</v>
      </c>
      <c r="R17" s="26">
        <f>P17*Q17</f>
        <v>60</v>
      </c>
      <c r="S17" s="26">
        <v>0</v>
      </c>
      <c r="T17" s="26">
        <v>0</v>
      </c>
      <c r="U17" s="26">
        <v>0</v>
      </c>
      <c r="V17" s="26">
        <f>P17*U17</f>
        <v>0</v>
      </c>
    </row>
    <row r="18" spans="2:22" ht="50.1" customHeight="1" x14ac:dyDescent="0.25">
      <c r="B18" s="130"/>
      <c r="D18" s="3">
        <v>2</v>
      </c>
      <c r="E18" s="42" t="s">
        <v>61</v>
      </c>
      <c r="F18" s="27">
        <v>20</v>
      </c>
      <c r="G18" s="27">
        <v>3</v>
      </c>
      <c r="H18" s="27">
        <f t="shared" ref="H18:J26" si="1">F18*G18</f>
        <v>60</v>
      </c>
      <c r="I18" s="27">
        <v>0</v>
      </c>
      <c r="J18" s="27">
        <v>0</v>
      </c>
      <c r="K18" s="27">
        <f t="shared" si="0"/>
        <v>0</v>
      </c>
      <c r="L18" s="27">
        <f t="shared" si="0"/>
        <v>0</v>
      </c>
      <c r="M18" s="15"/>
      <c r="N18" s="3">
        <v>2</v>
      </c>
      <c r="O18" s="42" t="s">
        <v>66</v>
      </c>
      <c r="P18" s="27">
        <v>20</v>
      </c>
      <c r="Q18" s="27">
        <v>2</v>
      </c>
      <c r="R18" s="27">
        <f t="shared" ref="R18:R26" si="2">P18*Q18</f>
        <v>40</v>
      </c>
      <c r="S18" s="27">
        <v>0</v>
      </c>
      <c r="T18" s="27">
        <v>0</v>
      </c>
      <c r="U18" s="27">
        <v>0</v>
      </c>
      <c r="V18" s="27">
        <f t="shared" ref="V18:V26" si="3">P18*U18</f>
        <v>0</v>
      </c>
    </row>
    <row r="19" spans="2:22" ht="50.1" customHeight="1" x14ac:dyDescent="0.25">
      <c r="B19" s="130"/>
      <c r="D19" s="3">
        <v>3</v>
      </c>
      <c r="E19" s="42" t="s">
        <v>183</v>
      </c>
      <c r="F19" s="27">
        <v>20</v>
      </c>
      <c r="G19" s="27">
        <v>0</v>
      </c>
      <c r="H19" s="27">
        <f t="shared" si="1"/>
        <v>0</v>
      </c>
      <c r="I19" s="27">
        <f t="shared" si="1"/>
        <v>0</v>
      </c>
      <c r="J19" s="27">
        <f t="shared" si="1"/>
        <v>0</v>
      </c>
      <c r="K19" s="27">
        <f t="shared" si="0"/>
        <v>0</v>
      </c>
      <c r="L19" s="27">
        <f t="shared" si="0"/>
        <v>0</v>
      </c>
      <c r="M19" s="15"/>
      <c r="N19" s="3">
        <v>3</v>
      </c>
      <c r="O19" s="42" t="s">
        <v>67</v>
      </c>
      <c r="P19" s="27">
        <v>20</v>
      </c>
      <c r="Q19" s="27">
        <v>2</v>
      </c>
      <c r="R19" s="27">
        <f t="shared" si="2"/>
        <v>40</v>
      </c>
      <c r="S19" s="27">
        <v>0</v>
      </c>
      <c r="T19" s="27">
        <v>0</v>
      </c>
      <c r="U19" s="27">
        <v>0</v>
      </c>
      <c r="V19" s="27">
        <f t="shared" si="3"/>
        <v>0</v>
      </c>
    </row>
    <row r="20" spans="2:22" ht="50.1" customHeight="1" x14ac:dyDescent="0.25">
      <c r="B20" s="130"/>
      <c r="D20" s="3">
        <v>4</v>
      </c>
      <c r="E20" s="42" t="s">
        <v>263</v>
      </c>
      <c r="F20" s="27">
        <v>10</v>
      </c>
      <c r="G20" s="27">
        <v>0</v>
      </c>
      <c r="H20" s="27">
        <f t="shared" si="1"/>
        <v>0</v>
      </c>
      <c r="I20" s="27">
        <f t="shared" si="1"/>
        <v>0</v>
      </c>
      <c r="J20" s="27">
        <f t="shared" si="1"/>
        <v>0</v>
      </c>
      <c r="K20" s="27">
        <f t="shared" si="0"/>
        <v>0</v>
      </c>
      <c r="L20" s="27">
        <f t="shared" si="0"/>
        <v>0</v>
      </c>
      <c r="M20" s="15"/>
      <c r="N20" s="3">
        <v>4</v>
      </c>
      <c r="O20" s="4"/>
      <c r="P20" s="27"/>
      <c r="Q20" s="27">
        <v>0</v>
      </c>
      <c r="R20" s="27">
        <f t="shared" si="2"/>
        <v>0</v>
      </c>
      <c r="S20" s="27">
        <v>0</v>
      </c>
      <c r="T20" s="27">
        <v>0</v>
      </c>
      <c r="U20" s="27">
        <v>0</v>
      </c>
      <c r="V20" s="27">
        <f t="shared" si="3"/>
        <v>0</v>
      </c>
    </row>
    <row r="21" spans="2:22" ht="50.1" customHeight="1" x14ac:dyDescent="0.25">
      <c r="B21" s="130"/>
      <c r="D21" s="3">
        <v>5</v>
      </c>
      <c r="E21" s="42" t="s">
        <v>64</v>
      </c>
      <c r="F21" s="27">
        <v>10</v>
      </c>
      <c r="G21" s="27">
        <v>0</v>
      </c>
      <c r="H21" s="27">
        <f t="shared" si="1"/>
        <v>0</v>
      </c>
      <c r="I21" s="27">
        <f t="shared" si="1"/>
        <v>0</v>
      </c>
      <c r="J21" s="27">
        <f t="shared" si="1"/>
        <v>0</v>
      </c>
      <c r="K21" s="27">
        <f t="shared" si="0"/>
        <v>0</v>
      </c>
      <c r="L21" s="27">
        <f t="shared" si="0"/>
        <v>0</v>
      </c>
      <c r="M21" s="15"/>
      <c r="N21" s="3">
        <v>5</v>
      </c>
      <c r="O21" s="4"/>
      <c r="P21" s="27"/>
      <c r="Q21" s="27">
        <v>0</v>
      </c>
      <c r="R21" s="27">
        <f t="shared" si="2"/>
        <v>0</v>
      </c>
      <c r="S21" s="27">
        <v>0</v>
      </c>
      <c r="T21" s="27">
        <v>0</v>
      </c>
      <c r="U21" s="27">
        <v>0</v>
      </c>
      <c r="V21" s="27">
        <f t="shared" si="3"/>
        <v>0</v>
      </c>
    </row>
    <row r="22" spans="2:22" ht="50.1" customHeight="1" x14ac:dyDescent="0.25">
      <c r="B22" s="130"/>
      <c r="D22" s="3">
        <v>6</v>
      </c>
      <c r="E22" s="4"/>
      <c r="F22" s="27"/>
      <c r="G22" s="27">
        <v>0</v>
      </c>
      <c r="H22" s="27">
        <f t="shared" si="1"/>
        <v>0</v>
      </c>
      <c r="I22" s="27">
        <f t="shared" si="1"/>
        <v>0</v>
      </c>
      <c r="J22" s="27">
        <f t="shared" si="1"/>
        <v>0</v>
      </c>
      <c r="K22" s="27">
        <f t="shared" si="0"/>
        <v>0</v>
      </c>
      <c r="L22" s="27">
        <f t="shared" si="0"/>
        <v>0</v>
      </c>
      <c r="M22" s="15"/>
      <c r="N22" s="3">
        <v>6</v>
      </c>
      <c r="O22" s="4"/>
      <c r="P22" s="27"/>
      <c r="Q22" s="27">
        <v>0</v>
      </c>
      <c r="R22" s="27">
        <f t="shared" si="2"/>
        <v>0</v>
      </c>
      <c r="S22" s="27">
        <v>0</v>
      </c>
      <c r="T22" s="27">
        <v>0</v>
      </c>
      <c r="U22" s="27">
        <v>0</v>
      </c>
      <c r="V22" s="27">
        <f t="shared" si="3"/>
        <v>0</v>
      </c>
    </row>
    <row r="23" spans="2:22" ht="50.1" customHeight="1" x14ac:dyDescent="0.25">
      <c r="B23" s="130"/>
      <c r="D23" s="3">
        <v>7</v>
      </c>
      <c r="E23" s="4"/>
      <c r="F23" s="27"/>
      <c r="G23" s="27">
        <v>0</v>
      </c>
      <c r="H23" s="27">
        <f t="shared" si="1"/>
        <v>0</v>
      </c>
      <c r="I23" s="27">
        <f t="shared" si="1"/>
        <v>0</v>
      </c>
      <c r="J23" s="27">
        <f t="shared" si="1"/>
        <v>0</v>
      </c>
      <c r="K23" s="27">
        <f t="shared" si="0"/>
        <v>0</v>
      </c>
      <c r="L23" s="27">
        <f t="shared" si="0"/>
        <v>0</v>
      </c>
      <c r="M23" s="15"/>
      <c r="N23" s="3">
        <v>7</v>
      </c>
      <c r="O23" s="4"/>
      <c r="P23" s="27"/>
      <c r="Q23" s="27"/>
      <c r="R23" s="27">
        <f t="shared" si="2"/>
        <v>0</v>
      </c>
      <c r="S23" s="27">
        <v>0</v>
      </c>
      <c r="T23" s="27">
        <v>0</v>
      </c>
      <c r="U23" s="27">
        <v>0</v>
      </c>
      <c r="V23" s="27">
        <f t="shared" si="3"/>
        <v>0</v>
      </c>
    </row>
    <row r="24" spans="2:22" ht="50.1" customHeight="1" x14ac:dyDescent="0.25">
      <c r="B24" s="130"/>
      <c r="D24" s="3">
        <v>8</v>
      </c>
      <c r="E24" s="4"/>
      <c r="F24" s="27"/>
      <c r="G24" s="27">
        <v>0</v>
      </c>
      <c r="H24" s="27">
        <f t="shared" si="1"/>
        <v>0</v>
      </c>
      <c r="I24" s="27">
        <f t="shared" si="1"/>
        <v>0</v>
      </c>
      <c r="J24" s="27">
        <f t="shared" si="1"/>
        <v>0</v>
      </c>
      <c r="K24" s="27">
        <f t="shared" si="0"/>
        <v>0</v>
      </c>
      <c r="L24" s="27">
        <f t="shared" si="0"/>
        <v>0</v>
      </c>
      <c r="M24" s="15"/>
      <c r="N24" s="3">
        <v>8</v>
      </c>
      <c r="O24" s="4"/>
      <c r="P24" s="27"/>
      <c r="Q24" s="27"/>
      <c r="R24" s="27">
        <f t="shared" si="2"/>
        <v>0</v>
      </c>
      <c r="S24" s="27">
        <v>0</v>
      </c>
      <c r="T24" s="27">
        <v>0</v>
      </c>
      <c r="U24" s="27">
        <v>0</v>
      </c>
      <c r="V24" s="27">
        <f t="shared" si="3"/>
        <v>0</v>
      </c>
    </row>
    <row r="25" spans="2:22" ht="50.1" customHeight="1" x14ac:dyDescent="0.25">
      <c r="B25" s="130"/>
      <c r="D25" s="3">
        <v>9</v>
      </c>
      <c r="E25" s="4"/>
      <c r="F25" s="27"/>
      <c r="G25" s="27">
        <v>0</v>
      </c>
      <c r="H25" s="27">
        <f t="shared" si="1"/>
        <v>0</v>
      </c>
      <c r="I25" s="27">
        <f t="shared" si="1"/>
        <v>0</v>
      </c>
      <c r="J25" s="27">
        <f t="shared" si="1"/>
        <v>0</v>
      </c>
      <c r="K25" s="27">
        <f t="shared" si="0"/>
        <v>0</v>
      </c>
      <c r="L25" s="27">
        <f t="shared" si="0"/>
        <v>0</v>
      </c>
      <c r="M25" s="15"/>
      <c r="N25" s="3">
        <v>9</v>
      </c>
      <c r="O25" s="4"/>
      <c r="P25" s="27"/>
      <c r="Q25" s="27"/>
      <c r="R25" s="27">
        <f t="shared" si="2"/>
        <v>0</v>
      </c>
      <c r="S25" s="27">
        <v>0</v>
      </c>
      <c r="T25" s="27">
        <v>0</v>
      </c>
      <c r="U25" s="27">
        <v>0</v>
      </c>
      <c r="V25" s="27">
        <f t="shared" si="3"/>
        <v>0</v>
      </c>
    </row>
    <row r="26" spans="2:22" ht="50.1" customHeight="1" x14ac:dyDescent="0.25">
      <c r="B26" s="130"/>
      <c r="D26" s="5">
        <v>10</v>
      </c>
      <c r="E26" s="6"/>
      <c r="F26" s="28"/>
      <c r="G26" s="28">
        <v>0</v>
      </c>
      <c r="H26" s="28">
        <f t="shared" si="1"/>
        <v>0</v>
      </c>
      <c r="I26" s="28">
        <f t="shared" si="1"/>
        <v>0</v>
      </c>
      <c r="J26" s="28">
        <f t="shared" si="1"/>
        <v>0</v>
      </c>
      <c r="K26" s="28">
        <f t="shared" si="0"/>
        <v>0</v>
      </c>
      <c r="L26" s="28">
        <f t="shared" si="0"/>
        <v>0</v>
      </c>
      <c r="M26" s="15"/>
      <c r="N26" s="5">
        <v>10</v>
      </c>
      <c r="O26" s="6"/>
      <c r="P26" s="28"/>
      <c r="Q26" s="28"/>
      <c r="R26" s="28">
        <f t="shared" si="2"/>
        <v>0</v>
      </c>
      <c r="S26" s="28">
        <v>0</v>
      </c>
      <c r="T26" s="28">
        <f>P26*S26</f>
        <v>0</v>
      </c>
      <c r="U26" s="28">
        <v>0</v>
      </c>
      <c r="V26" s="28">
        <f t="shared" si="3"/>
        <v>0</v>
      </c>
    </row>
    <row r="27" spans="2:22" ht="20.100000000000001" customHeight="1" x14ac:dyDescent="0.25">
      <c r="B27" s="130"/>
      <c r="D27" s="124" t="s">
        <v>21</v>
      </c>
      <c r="E27" s="125"/>
      <c r="F27" s="11">
        <f>SUM(F17:F26)</f>
        <v>100</v>
      </c>
      <c r="G27" s="11">
        <f>SUM(G17:G26)</f>
        <v>4</v>
      </c>
      <c r="H27" s="11">
        <f>SUM(H17:H26)</f>
        <v>100</v>
      </c>
      <c r="I27" s="11">
        <v>0</v>
      </c>
      <c r="J27" s="11">
        <v>0</v>
      </c>
      <c r="K27" s="11">
        <v>0</v>
      </c>
      <c r="L27" s="12">
        <f>J27*K27</f>
        <v>0</v>
      </c>
      <c r="M27" s="15"/>
      <c r="N27" s="124" t="s">
        <v>21</v>
      </c>
      <c r="O27" s="125"/>
      <c r="P27" s="11">
        <f>SUM(P17:P26)</f>
        <v>70</v>
      </c>
      <c r="Q27" s="11">
        <f>Q17+Q18+Q19+Q20+Q21</f>
        <v>6</v>
      </c>
      <c r="R27" s="11">
        <f>SUM(R17:R26)</f>
        <v>140</v>
      </c>
      <c r="S27" s="11">
        <v>0</v>
      </c>
      <c r="T27" s="11">
        <f>SUM(T17:T26)</f>
        <v>0</v>
      </c>
      <c r="U27" s="11">
        <v>0</v>
      </c>
      <c r="V27" s="12">
        <f>SUM(V17:V26)</f>
        <v>0</v>
      </c>
    </row>
    <row r="28" spans="2:22" ht="15" customHeight="1" x14ac:dyDescent="0.25">
      <c r="D28" s="15"/>
      <c r="E28" s="22"/>
      <c r="F28" s="23"/>
      <c r="G28" s="23"/>
      <c r="H28" s="23"/>
      <c r="I28" s="23"/>
      <c r="J28" s="23"/>
      <c r="K28" s="23"/>
      <c r="L28" s="23"/>
      <c r="M28" s="15"/>
      <c r="N28" s="15"/>
      <c r="O28" s="24"/>
      <c r="P28" s="23"/>
      <c r="Q28" s="23"/>
      <c r="R28" s="23"/>
      <c r="S28" s="23"/>
      <c r="T28" s="23"/>
      <c r="U28" s="23"/>
      <c r="V28" s="23"/>
    </row>
    <row r="29" spans="2:22" ht="15" customHeight="1" x14ac:dyDescent="0.25">
      <c r="D29" s="15"/>
      <c r="E29" s="22"/>
      <c r="F29" s="23"/>
      <c r="G29" s="23"/>
      <c r="H29" s="23"/>
      <c r="I29" s="23"/>
      <c r="J29" s="23"/>
      <c r="K29" s="23"/>
      <c r="L29" s="23"/>
      <c r="M29" s="15"/>
      <c r="N29" s="15"/>
      <c r="P29" s="23"/>
      <c r="Q29" s="23"/>
      <c r="R29" s="23"/>
      <c r="S29" s="23"/>
      <c r="T29" s="23"/>
      <c r="U29" s="23"/>
      <c r="V29" s="23"/>
    </row>
    <row r="30" spans="2:22" ht="15" customHeight="1" x14ac:dyDescent="0.25">
      <c r="D30" s="15"/>
      <c r="E30" s="22"/>
      <c r="F30" s="23"/>
      <c r="G30" s="23"/>
      <c r="H30" s="23"/>
      <c r="I30" s="23"/>
      <c r="J30" s="23"/>
      <c r="K30" s="23"/>
      <c r="L30" s="23"/>
      <c r="M30" s="15"/>
      <c r="N30" s="15"/>
      <c r="O30" s="24"/>
      <c r="P30" s="23"/>
      <c r="Q30" s="23"/>
      <c r="R30" s="23"/>
      <c r="S30" s="23"/>
      <c r="T30" s="23"/>
      <c r="U30" s="23"/>
      <c r="V30" s="23"/>
    </row>
    <row r="31" spans="2:22" ht="30" customHeight="1" x14ac:dyDescent="0.25">
      <c r="B31" s="25"/>
      <c r="D31" s="128" t="s">
        <v>8</v>
      </c>
      <c r="E31" s="128"/>
      <c r="F31" s="128"/>
      <c r="G31" s="128"/>
      <c r="H31" s="128"/>
      <c r="I31" s="128"/>
      <c r="J31" s="128"/>
      <c r="K31" s="128"/>
      <c r="L31" s="128"/>
      <c r="M31" s="15"/>
      <c r="N31" s="129" t="s">
        <v>9</v>
      </c>
      <c r="O31" s="129"/>
      <c r="P31" s="129"/>
      <c r="Q31" s="129"/>
      <c r="R31" s="129"/>
      <c r="S31" s="129"/>
      <c r="T31" s="129"/>
      <c r="U31" s="129"/>
      <c r="V31" s="129"/>
    </row>
    <row r="32" spans="2:22" ht="9.9" customHeight="1" x14ac:dyDescent="0.25">
      <c r="B32" s="25"/>
      <c r="D32" s="19"/>
      <c r="E32" s="19"/>
      <c r="F32" s="15"/>
      <c r="G32" s="15"/>
      <c r="H32" s="15"/>
      <c r="I32" s="15"/>
      <c r="J32" s="15"/>
      <c r="K32" s="15"/>
      <c r="L32" s="15"/>
      <c r="M32" s="15"/>
      <c r="N32" s="19"/>
      <c r="O32" s="19"/>
      <c r="P32" s="15"/>
      <c r="Q32" s="15"/>
      <c r="R32" s="15"/>
      <c r="S32" s="15"/>
      <c r="T32" s="15"/>
      <c r="U32" s="15"/>
      <c r="V32" s="15"/>
    </row>
    <row r="33" spans="2:22" ht="50.1" customHeight="1" x14ac:dyDescent="0.25">
      <c r="B33" s="121" t="s">
        <v>37</v>
      </c>
      <c r="D33" s="7" t="s">
        <v>13</v>
      </c>
      <c r="E33" s="8" t="s">
        <v>12</v>
      </c>
      <c r="F33" s="9" t="s">
        <v>27</v>
      </c>
      <c r="G33" s="9" t="s">
        <v>28</v>
      </c>
      <c r="H33" s="9" t="s">
        <v>4</v>
      </c>
      <c r="I33" s="9" t="s">
        <v>29</v>
      </c>
      <c r="J33" s="9" t="s">
        <v>30</v>
      </c>
      <c r="K33" s="9" t="s">
        <v>31</v>
      </c>
      <c r="L33" s="10" t="s">
        <v>32</v>
      </c>
      <c r="M33" s="15"/>
      <c r="N33" s="7" t="s">
        <v>13</v>
      </c>
      <c r="O33" s="8" t="s">
        <v>12</v>
      </c>
      <c r="P33" s="9" t="s">
        <v>33</v>
      </c>
      <c r="Q33" s="9" t="s">
        <v>34</v>
      </c>
      <c r="R33" s="9" t="s">
        <v>4</v>
      </c>
      <c r="S33" s="9" t="s">
        <v>24</v>
      </c>
      <c r="T33" s="9" t="s">
        <v>30</v>
      </c>
      <c r="U33" s="9" t="s">
        <v>35</v>
      </c>
      <c r="V33" s="10" t="s">
        <v>36</v>
      </c>
    </row>
    <row r="34" spans="2:22" ht="63" customHeight="1" x14ac:dyDescent="0.25">
      <c r="B34" s="121"/>
      <c r="D34" s="2">
        <v>1</v>
      </c>
      <c r="E34" s="43" t="s">
        <v>68</v>
      </c>
      <c r="F34" s="26">
        <v>40</v>
      </c>
      <c r="G34" s="26">
        <v>2</v>
      </c>
      <c r="H34" s="26">
        <f>F34*G34</f>
        <v>80</v>
      </c>
      <c r="I34" s="26">
        <v>0</v>
      </c>
      <c r="J34" s="26">
        <f t="shared" ref="J34:J43" si="4">F34*I34</f>
        <v>0</v>
      </c>
      <c r="K34" s="26">
        <v>0</v>
      </c>
      <c r="L34" s="26">
        <f t="shared" ref="L34:L43" si="5">F34*K34</f>
        <v>0</v>
      </c>
      <c r="M34" s="15"/>
      <c r="N34" s="2">
        <v>1</v>
      </c>
      <c r="O34" s="43" t="s">
        <v>59</v>
      </c>
      <c r="P34" s="26">
        <v>40</v>
      </c>
      <c r="Q34" s="26">
        <v>2</v>
      </c>
      <c r="R34" s="26">
        <f>P34*Q34</f>
        <v>80</v>
      </c>
      <c r="S34" s="26">
        <v>0</v>
      </c>
      <c r="T34" s="26">
        <v>0</v>
      </c>
      <c r="U34" s="26">
        <v>0</v>
      </c>
      <c r="V34" s="26">
        <f t="shared" ref="V34:V43" si="6">P34*U34</f>
        <v>0</v>
      </c>
    </row>
    <row r="35" spans="2:22" ht="50.1" customHeight="1" x14ac:dyDescent="0.25">
      <c r="B35" s="121"/>
      <c r="D35" s="3">
        <v>2</v>
      </c>
      <c r="E35" s="42" t="s">
        <v>69</v>
      </c>
      <c r="F35" s="27">
        <v>30</v>
      </c>
      <c r="G35" s="27">
        <v>3</v>
      </c>
      <c r="H35" s="27">
        <f t="shared" ref="H35:H43" si="7">F35*G35</f>
        <v>90</v>
      </c>
      <c r="I35" s="27">
        <v>0</v>
      </c>
      <c r="J35" s="27">
        <f t="shared" si="4"/>
        <v>0</v>
      </c>
      <c r="K35" s="27">
        <v>0</v>
      </c>
      <c r="L35" s="27">
        <f t="shared" si="5"/>
        <v>0</v>
      </c>
      <c r="M35" s="15"/>
      <c r="N35" s="3">
        <v>2</v>
      </c>
      <c r="O35" s="42" t="s">
        <v>184</v>
      </c>
      <c r="P35" s="27">
        <v>30</v>
      </c>
      <c r="Q35" s="27">
        <v>3</v>
      </c>
      <c r="R35" s="27">
        <f t="shared" ref="R35:R43" si="8">P35*Q35</f>
        <v>90</v>
      </c>
      <c r="S35" s="27">
        <v>0</v>
      </c>
      <c r="T35" s="27">
        <v>0</v>
      </c>
      <c r="U35" s="27">
        <v>0</v>
      </c>
      <c r="V35" s="27">
        <f t="shared" si="6"/>
        <v>0</v>
      </c>
    </row>
    <row r="36" spans="2:22" ht="50.1" customHeight="1" x14ac:dyDescent="0.25">
      <c r="B36" s="121"/>
      <c r="D36" s="3">
        <v>3</v>
      </c>
      <c r="E36" s="42" t="s">
        <v>70</v>
      </c>
      <c r="F36" s="27">
        <v>30</v>
      </c>
      <c r="G36" s="27">
        <v>3</v>
      </c>
      <c r="H36" s="27">
        <f t="shared" si="7"/>
        <v>90</v>
      </c>
      <c r="I36" s="27">
        <v>0</v>
      </c>
      <c r="J36" s="27">
        <f t="shared" si="4"/>
        <v>0</v>
      </c>
      <c r="K36" s="27">
        <v>0</v>
      </c>
      <c r="L36" s="27">
        <f t="shared" si="5"/>
        <v>0</v>
      </c>
      <c r="M36" s="15"/>
      <c r="N36" s="3">
        <v>3</v>
      </c>
      <c r="O36" s="42" t="s">
        <v>185</v>
      </c>
      <c r="P36" s="27">
        <v>30</v>
      </c>
      <c r="Q36" s="27">
        <v>0</v>
      </c>
      <c r="R36" s="27">
        <f t="shared" si="8"/>
        <v>0</v>
      </c>
      <c r="S36" s="27">
        <v>0</v>
      </c>
      <c r="T36" s="27">
        <v>0</v>
      </c>
      <c r="U36" s="27">
        <v>0</v>
      </c>
      <c r="V36" s="27">
        <f t="shared" si="6"/>
        <v>0</v>
      </c>
    </row>
    <row r="37" spans="2:22" ht="50.1" customHeight="1" x14ac:dyDescent="0.25">
      <c r="B37" s="121"/>
      <c r="D37" s="3">
        <v>4</v>
      </c>
      <c r="E37" s="4"/>
      <c r="F37" s="27">
        <v>0</v>
      </c>
      <c r="G37" s="27">
        <v>2</v>
      </c>
      <c r="H37" s="27">
        <f t="shared" si="7"/>
        <v>0</v>
      </c>
      <c r="I37" s="27">
        <v>0</v>
      </c>
      <c r="J37" s="27">
        <f t="shared" si="4"/>
        <v>0</v>
      </c>
      <c r="K37" s="27">
        <v>0</v>
      </c>
      <c r="L37" s="27">
        <f t="shared" si="5"/>
        <v>0</v>
      </c>
      <c r="M37" s="15"/>
      <c r="N37" s="3">
        <v>4</v>
      </c>
      <c r="O37" s="42" t="s">
        <v>252</v>
      </c>
      <c r="P37" s="27"/>
      <c r="Q37" s="27">
        <v>0</v>
      </c>
      <c r="R37" s="27">
        <f t="shared" si="8"/>
        <v>0</v>
      </c>
      <c r="S37" s="27">
        <v>0</v>
      </c>
      <c r="T37" s="27">
        <v>0</v>
      </c>
      <c r="U37" s="27">
        <v>0</v>
      </c>
      <c r="V37" s="27">
        <f t="shared" si="6"/>
        <v>0</v>
      </c>
    </row>
    <row r="38" spans="2:22" ht="50.1" customHeight="1" x14ac:dyDescent="0.25">
      <c r="B38" s="121"/>
      <c r="D38" s="3">
        <v>5</v>
      </c>
      <c r="E38" s="42"/>
      <c r="F38" s="27"/>
      <c r="G38" s="27"/>
      <c r="H38" s="27">
        <f t="shared" si="7"/>
        <v>0</v>
      </c>
      <c r="I38" s="27">
        <v>0</v>
      </c>
      <c r="J38" s="27">
        <f t="shared" si="4"/>
        <v>0</v>
      </c>
      <c r="K38" s="27">
        <v>0</v>
      </c>
      <c r="L38" s="27">
        <f t="shared" si="5"/>
        <v>0</v>
      </c>
      <c r="M38" s="15"/>
      <c r="N38" s="3">
        <v>5</v>
      </c>
      <c r="O38" s="4"/>
      <c r="P38" s="27"/>
      <c r="Q38" s="27">
        <v>0</v>
      </c>
      <c r="R38" s="27">
        <f t="shared" si="8"/>
        <v>0</v>
      </c>
      <c r="S38" s="27">
        <v>0</v>
      </c>
      <c r="T38" s="27">
        <v>0</v>
      </c>
      <c r="U38" s="27">
        <v>0</v>
      </c>
      <c r="V38" s="27">
        <f t="shared" si="6"/>
        <v>0</v>
      </c>
    </row>
    <row r="39" spans="2:22" ht="50.1" customHeight="1" x14ac:dyDescent="0.25">
      <c r="B39" s="121"/>
      <c r="D39" s="3">
        <v>6</v>
      </c>
      <c r="E39" s="4"/>
      <c r="F39" s="27"/>
      <c r="G39" s="27"/>
      <c r="H39" s="27">
        <f t="shared" si="7"/>
        <v>0</v>
      </c>
      <c r="I39" s="27">
        <v>0</v>
      </c>
      <c r="J39" s="27">
        <f t="shared" si="4"/>
        <v>0</v>
      </c>
      <c r="K39" s="27">
        <v>0</v>
      </c>
      <c r="L39" s="27">
        <f t="shared" si="5"/>
        <v>0</v>
      </c>
      <c r="M39" s="15"/>
      <c r="N39" s="3">
        <v>6</v>
      </c>
      <c r="O39" s="4"/>
      <c r="P39" s="27"/>
      <c r="Q39" s="27">
        <v>0</v>
      </c>
      <c r="R39" s="27">
        <f t="shared" si="8"/>
        <v>0</v>
      </c>
      <c r="S39" s="27">
        <v>0</v>
      </c>
      <c r="T39" s="27">
        <v>0</v>
      </c>
      <c r="U39" s="27">
        <v>0</v>
      </c>
      <c r="V39" s="27">
        <f t="shared" si="6"/>
        <v>0</v>
      </c>
    </row>
    <row r="40" spans="2:22" ht="50.1" customHeight="1" x14ac:dyDescent="0.25">
      <c r="B40" s="121"/>
      <c r="D40" s="3">
        <v>7</v>
      </c>
      <c r="E40" s="4"/>
      <c r="F40" s="27"/>
      <c r="G40" s="27"/>
      <c r="H40" s="27">
        <f t="shared" si="7"/>
        <v>0</v>
      </c>
      <c r="I40" s="27">
        <v>0</v>
      </c>
      <c r="J40" s="27">
        <f t="shared" si="4"/>
        <v>0</v>
      </c>
      <c r="K40" s="27">
        <v>0</v>
      </c>
      <c r="L40" s="27">
        <f t="shared" si="5"/>
        <v>0</v>
      </c>
      <c r="M40" s="15"/>
      <c r="N40" s="3">
        <v>7</v>
      </c>
      <c r="O40" s="4"/>
      <c r="P40" s="27"/>
      <c r="Q40" s="27">
        <v>0</v>
      </c>
      <c r="R40" s="27">
        <f t="shared" si="8"/>
        <v>0</v>
      </c>
      <c r="S40" s="27">
        <v>0</v>
      </c>
      <c r="T40" s="27">
        <v>0</v>
      </c>
      <c r="U40" s="27">
        <v>0</v>
      </c>
      <c r="V40" s="27">
        <f t="shared" si="6"/>
        <v>0</v>
      </c>
    </row>
    <row r="41" spans="2:22" ht="50.1" customHeight="1" x14ac:dyDescent="0.25">
      <c r="B41" s="121"/>
      <c r="D41" s="3">
        <v>8</v>
      </c>
      <c r="E41" s="4"/>
      <c r="F41" s="27"/>
      <c r="G41" s="27"/>
      <c r="H41" s="27">
        <f t="shared" si="7"/>
        <v>0</v>
      </c>
      <c r="I41" s="27">
        <v>0</v>
      </c>
      <c r="J41" s="27">
        <f t="shared" si="4"/>
        <v>0</v>
      </c>
      <c r="K41" s="27">
        <v>0</v>
      </c>
      <c r="L41" s="27">
        <f t="shared" si="5"/>
        <v>0</v>
      </c>
      <c r="M41" s="15"/>
      <c r="N41" s="3">
        <v>8</v>
      </c>
      <c r="O41" s="4"/>
      <c r="P41" s="27"/>
      <c r="Q41" s="27">
        <v>0</v>
      </c>
      <c r="R41" s="27">
        <f t="shared" si="8"/>
        <v>0</v>
      </c>
      <c r="S41" s="27">
        <v>0</v>
      </c>
      <c r="T41" s="27">
        <v>0</v>
      </c>
      <c r="U41" s="27">
        <v>0</v>
      </c>
      <c r="V41" s="27">
        <f t="shared" si="6"/>
        <v>0</v>
      </c>
    </row>
    <row r="42" spans="2:22" ht="50.1" customHeight="1" x14ac:dyDescent="0.25">
      <c r="B42" s="121"/>
      <c r="D42" s="3">
        <v>9</v>
      </c>
      <c r="E42" s="4"/>
      <c r="F42" s="27"/>
      <c r="G42" s="27"/>
      <c r="H42" s="27">
        <f t="shared" si="7"/>
        <v>0</v>
      </c>
      <c r="I42" s="27">
        <v>0</v>
      </c>
      <c r="J42" s="27">
        <f t="shared" si="4"/>
        <v>0</v>
      </c>
      <c r="K42" s="27">
        <v>0</v>
      </c>
      <c r="L42" s="27">
        <f t="shared" si="5"/>
        <v>0</v>
      </c>
      <c r="M42" s="15"/>
      <c r="N42" s="3">
        <v>9</v>
      </c>
      <c r="O42" s="4"/>
      <c r="P42" s="27"/>
      <c r="Q42" s="27">
        <v>0</v>
      </c>
      <c r="R42" s="27">
        <f t="shared" si="8"/>
        <v>0</v>
      </c>
      <c r="S42" s="27">
        <v>0</v>
      </c>
      <c r="T42" s="27">
        <f>P42*S42</f>
        <v>0</v>
      </c>
      <c r="U42" s="27">
        <v>0</v>
      </c>
      <c r="V42" s="27">
        <f t="shared" si="6"/>
        <v>0</v>
      </c>
    </row>
    <row r="43" spans="2:22" ht="50.1" customHeight="1" x14ac:dyDescent="0.25">
      <c r="B43" s="121"/>
      <c r="D43" s="5">
        <v>10</v>
      </c>
      <c r="E43" s="6"/>
      <c r="F43" s="28"/>
      <c r="G43" s="28"/>
      <c r="H43" s="28">
        <f t="shared" si="7"/>
        <v>0</v>
      </c>
      <c r="I43" s="28">
        <v>0</v>
      </c>
      <c r="J43" s="28">
        <f t="shared" si="4"/>
        <v>0</v>
      </c>
      <c r="K43" s="28">
        <v>0</v>
      </c>
      <c r="L43" s="28">
        <f t="shared" si="5"/>
        <v>0</v>
      </c>
      <c r="M43" s="15"/>
      <c r="N43" s="5">
        <v>10</v>
      </c>
      <c r="O43" s="6"/>
      <c r="P43" s="28"/>
      <c r="Q43" s="28">
        <v>0</v>
      </c>
      <c r="R43" s="28">
        <f t="shared" si="8"/>
        <v>0</v>
      </c>
      <c r="S43" s="28">
        <v>0</v>
      </c>
      <c r="T43" s="28">
        <f>P43*S43</f>
        <v>0</v>
      </c>
      <c r="U43" s="28">
        <v>0</v>
      </c>
      <c r="V43" s="28">
        <f t="shared" si="6"/>
        <v>0</v>
      </c>
    </row>
    <row r="44" spans="2:22" ht="20.100000000000001" customHeight="1" x14ac:dyDescent="0.25">
      <c r="B44" s="121"/>
      <c r="D44" s="124"/>
      <c r="E44" s="125" t="s">
        <v>7</v>
      </c>
      <c r="F44" s="11">
        <f>SUM(F34:F43)</f>
        <v>100</v>
      </c>
      <c r="G44" s="11">
        <f>SUM(G34:G43)</f>
        <v>10</v>
      </c>
      <c r="H44" s="11">
        <f>SUM(H34:H43)</f>
        <v>260</v>
      </c>
      <c r="I44" s="11">
        <v>0</v>
      </c>
      <c r="J44" s="11">
        <f>SUM(J34:J43)</f>
        <v>0</v>
      </c>
      <c r="K44" s="11">
        <v>0</v>
      </c>
      <c r="L44" s="12">
        <f>SUM(L34:L43)</f>
        <v>0</v>
      </c>
      <c r="M44" s="15"/>
      <c r="N44" s="124"/>
      <c r="O44" s="125" t="s">
        <v>7</v>
      </c>
      <c r="P44" s="11">
        <f>SUM(P34:P43)</f>
        <v>100</v>
      </c>
      <c r="Q44" s="11">
        <f>SUM(Q34:Q43)</f>
        <v>5</v>
      </c>
      <c r="R44" s="11"/>
      <c r="S44" s="11">
        <v>0</v>
      </c>
      <c r="T44" s="11">
        <f>SUM(T34:T43)</f>
        <v>0</v>
      </c>
      <c r="U44" s="11">
        <v>0</v>
      </c>
      <c r="V44" s="12">
        <f>SUM(V34:V43)</f>
        <v>0</v>
      </c>
    </row>
    <row r="45" spans="2:22" ht="15" customHeight="1" x14ac:dyDescent="0.25"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protectedRanges>
    <protectedRange sqref="U17:U26" name="Cl 3"/>
    <protectedRange sqref="S17:S26" name="Cl 2"/>
    <protectedRange sqref="Q17:Q26" name="Cl 1"/>
    <protectedRange sqref="P17:P26" name="Peso"/>
    <protectedRange sqref="U34:U43" name="Cl 3_1"/>
    <protectedRange sqref="S34:S43" name="Cl 2_1"/>
    <protectedRange sqref="Q34:Q43" name="Cl 1_1"/>
    <protectedRange sqref="P34:P43" name="Peso_1"/>
    <protectedRange sqref="G17:G26" name="Cl 1_2"/>
    <protectedRange sqref="F17:F26" name="Peso_2"/>
    <protectedRange sqref="K34:K43" name="Cl 3_3"/>
    <protectedRange sqref="I34:I43" name="Cl 2_3"/>
    <protectedRange sqref="G34:G43" name="Cl 1_3"/>
    <protectedRange sqref="F34:F43" name="Peso_3"/>
  </protectedRanges>
  <mergeCells count="20">
    <mergeCell ref="C10:L10"/>
    <mergeCell ref="T2:V2"/>
    <mergeCell ref="T3:V3"/>
    <mergeCell ref="T4:V4"/>
    <mergeCell ref="B16:B27"/>
    <mergeCell ref="C7:L7"/>
    <mergeCell ref="B2:E4"/>
    <mergeCell ref="F2:R4"/>
    <mergeCell ref="C8:L8"/>
    <mergeCell ref="C9:L9"/>
    <mergeCell ref="B33:B44"/>
    <mergeCell ref="C11:L11"/>
    <mergeCell ref="D27:E27"/>
    <mergeCell ref="N27:O27"/>
    <mergeCell ref="N44:O44"/>
    <mergeCell ref="D14:L14"/>
    <mergeCell ref="N14:V14"/>
    <mergeCell ref="D44:E44"/>
    <mergeCell ref="D31:L31"/>
    <mergeCell ref="N31:V31"/>
  </mergeCells>
  <pageMargins left="0.7" right="0.7" top="0.75" bottom="0.75" header="0.3" footer="0.3"/>
  <pageSetup paperSize="9" orientation="portrait" r:id="rId1"/>
  <ignoredErrors>
    <ignoredError sqref="T3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47"/>
  <sheetViews>
    <sheetView showGridLines="0" tabSelected="1" topLeftCell="A23" zoomScale="74" zoomScaleNormal="90" workbookViewId="0">
      <selection activeCell="D11" sqref="D11"/>
    </sheetView>
  </sheetViews>
  <sheetFormatPr baseColWidth="10" defaultColWidth="11.44140625" defaultRowHeight="13.8" x14ac:dyDescent="0.25"/>
  <cols>
    <col min="1" max="1" width="3.6640625" style="32" customWidth="1"/>
    <col min="2" max="3" width="11.44140625" style="32"/>
    <col min="4" max="4" width="39.6640625" style="32" customWidth="1"/>
    <col min="5" max="5" width="18.77734375" style="32" customWidth="1"/>
    <col min="6" max="10" width="11.44140625" style="32"/>
    <col min="11" max="11" width="9" style="32" customWidth="1"/>
    <col min="12" max="12" width="23" style="32" customWidth="1"/>
    <col min="13" max="13" width="22.44140625" style="32" customWidth="1"/>
    <col min="14" max="14" width="21.44140625" style="32" customWidth="1"/>
    <col min="15" max="15" width="21.21875" style="32" customWidth="1"/>
    <col min="16" max="16" width="19.109375" style="32" customWidth="1"/>
    <col min="17" max="17" width="17.44140625" style="32" customWidth="1"/>
    <col min="18" max="18" width="23.44140625" style="32" customWidth="1"/>
    <col min="19" max="19" width="23.109375" style="32" customWidth="1"/>
    <col min="20" max="20" width="18" style="32" customWidth="1"/>
    <col min="21" max="21" width="20" style="32" customWidth="1"/>
    <col min="22" max="16384" width="11.44140625" style="32"/>
  </cols>
  <sheetData>
    <row r="2" spans="2:21" s="13" customFormat="1" ht="24.9" customHeight="1" x14ac:dyDescent="0.25">
      <c r="B2" s="92"/>
      <c r="C2" s="93"/>
      <c r="D2" s="93"/>
      <c r="E2" s="94"/>
      <c r="F2" s="101" t="s">
        <v>53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7" t="s">
        <v>231</v>
      </c>
      <c r="T2" s="108"/>
      <c r="U2" s="109"/>
    </row>
    <row r="3" spans="2:21" s="13" customFormat="1" ht="24.9" customHeight="1" x14ac:dyDescent="0.25">
      <c r="B3" s="95"/>
      <c r="C3" s="96"/>
      <c r="D3" s="96"/>
      <c r="E3" s="97"/>
      <c r="F3" s="103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10" t="s">
        <v>232</v>
      </c>
      <c r="T3" s="111"/>
      <c r="U3" s="112"/>
    </row>
    <row r="4" spans="2:21" s="13" customFormat="1" ht="24.9" customHeight="1" x14ac:dyDescent="0.25">
      <c r="B4" s="98"/>
      <c r="C4" s="99"/>
      <c r="D4" s="99"/>
      <c r="E4" s="100"/>
      <c r="F4" s="105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7" t="s">
        <v>233</v>
      </c>
      <c r="T4" s="108"/>
      <c r="U4" s="109"/>
    </row>
    <row r="5" spans="2:21" ht="15" customHeight="1" x14ac:dyDescent="0.25"/>
    <row r="6" spans="2:21" ht="15" customHeight="1" x14ac:dyDescent="0.25">
      <c r="M6" s="57"/>
      <c r="N6" s="119" t="s">
        <v>228</v>
      </c>
      <c r="O6" s="120"/>
      <c r="P6" s="118" t="s">
        <v>227</v>
      </c>
      <c r="Q6" s="119"/>
      <c r="R6" s="119"/>
      <c r="S6" s="119"/>
      <c r="T6" s="58" t="s">
        <v>10</v>
      </c>
      <c r="U6" s="58" t="s">
        <v>182</v>
      </c>
    </row>
    <row r="7" spans="2:21" ht="52.2" x14ac:dyDescent="0.3">
      <c r="B7" s="88" t="s">
        <v>41</v>
      </c>
      <c r="C7" s="88"/>
      <c r="D7" s="88"/>
      <c r="E7" s="34" t="s">
        <v>73</v>
      </c>
      <c r="F7" s="88" t="s">
        <v>42</v>
      </c>
      <c r="G7" s="88"/>
      <c r="H7" s="88"/>
      <c r="I7" s="88"/>
      <c r="J7" s="88"/>
      <c r="K7" s="88"/>
      <c r="L7" s="52" t="s">
        <v>96</v>
      </c>
      <c r="M7" s="53" t="s">
        <v>78</v>
      </c>
      <c r="N7" s="54" t="s">
        <v>114</v>
      </c>
      <c r="O7" s="54" t="s">
        <v>115</v>
      </c>
      <c r="P7" s="54" t="s">
        <v>230</v>
      </c>
      <c r="Q7" s="55" t="s">
        <v>116</v>
      </c>
      <c r="R7" s="56" t="s">
        <v>229</v>
      </c>
      <c r="S7" s="56" t="s">
        <v>11</v>
      </c>
      <c r="T7" s="56" t="s">
        <v>10</v>
      </c>
      <c r="U7" s="56" t="s">
        <v>182</v>
      </c>
    </row>
    <row r="8" spans="2:21" ht="49.8" customHeight="1" x14ac:dyDescent="0.25">
      <c r="B8" s="74">
        <v>1</v>
      </c>
      <c r="C8" s="33" t="s">
        <v>43</v>
      </c>
      <c r="D8" s="44" t="s">
        <v>60</v>
      </c>
      <c r="E8" s="113" t="s">
        <v>74</v>
      </c>
      <c r="F8" s="114" t="s">
        <v>188</v>
      </c>
      <c r="G8" s="115"/>
      <c r="H8" s="115"/>
      <c r="I8" s="115"/>
      <c r="J8" s="115"/>
      <c r="K8" s="115"/>
      <c r="L8" s="73" t="s">
        <v>189</v>
      </c>
      <c r="M8" s="87" t="s">
        <v>190</v>
      </c>
      <c r="N8" s="87" t="s">
        <v>191</v>
      </c>
      <c r="O8" s="87" t="s">
        <v>192</v>
      </c>
      <c r="P8" s="81" t="s">
        <v>187</v>
      </c>
      <c r="Q8" s="87" t="s">
        <v>193</v>
      </c>
      <c r="R8" s="80">
        <v>2025</v>
      </c>
      <c r="S8" s="80" t="s">
        <v>149</v>
      </c>
      <c r="T8" s="80">
        <v>3</v>
      </c>
      <c r="U8" s="80" t="s">
        <v>240</v>
      </c>
    </row>
    <row r="9" spans="2:21" ht="54" customHeight="1" x14ac:dyDescent="0.25">
      <c r="B9" s="74"/>
      <c r="C9" s="33" t="s">
        <v>44</v>
      </c>
      <c r="D9" s="44" t="s">
        <v>184</v>
      </c>
      <c r="E9" s="113"/>
      <c r="F9" s="116"/>
      <c r="G9" s="117"/>
      <c r="H9" s="117"/>
      <c r="I9" s="117"/>
      <c r="J9" s="117"/>
      <c r="K9" s="117"/>
      <c r="L9" s="73"/>
      <c r="M9" s="87"/>
      <c r="N9" s="87"/>
      <c r="O9" s="87"/>
      <c r="P9" s="82"/>
      <c r="Q9" s="87"/>
      <c r="R9" s="80"/>
      <c r="S9" s="80"/>
      <c r="T9" s="80"/>
      <c r="U9" s="80"/>
    </row>
    <row r="10" spans="2:21" ht="40.799999999999997" customHeight="1" x14ac:dyDescent="0.25">
      <c r="B10" s="74">
        <v>2</v>
      </c>
      <c r="C10" s="33" t="s">
        <v>43</v>
      </c>
      <c r="D10" s="44" t="s">
        <v>61</v>
      </c>
      <c r="E10" s="75" t="s">
        <v>74</v>
      </c>
      <c r="F10" s="77" t="s">
        <v>75</v>
      </c>
      <c r="G10" s="77"/>
      <c r="H10" s="77"/>
      <c r="I10" s="77"/>
      <c r="J10" s="77"/>
      <c r="K10" s="77"/>
      <c r="L10" s="73" t="s">
        <v>196</v>
      </c>
      <c r="M10" s="80" t="s">
        <v>85</v>
      </c>
      <c r="N10" s="80" t="s">
        <v>197</v>
      </c>
      <c r="O10" s="80" t="s">
        <v>198</v>
      </c>
      <c r="P10" s="78" t="s">
        <v>194</v>
      </c>
      <c r="Q10" s="80" t="s">
        <v>199</v>
      </c>
      <c r="R10" s="80">
        <v>2025</v>
      </c>
      <c r="S10" s="80" t="s">
        <v>150</v>
      </c>
      <c r="T10" s="80">
        <v>2</v>
      </c>
      <c r="U10" s="80" t="s">
        <v>237</v>
      </c>
    </row>
    <row r="11" spans="2:21" ht="57" customHeight="1" x14ac:dyDescent="0.25">
      <c r="B11" s="74"/>
      <c r="C11" s="33" t="s">
        <v>44</v>
      </c>
      <c r="D11" s="44" t="s">
        <v>186</v>
      </c>
      <c r="E11" s="76"/>
      <c r="F11" s="77"/>
      <c r="G11" s="77"/>
      <c r="H11" s="77"/>
      <c r="I11" s="77"/>
      <c r="J11" s="77"/>
      <c r="K11" s="77"/>
      <c r="L11" s="73"/>
      <c r="M11" s="80"/>
      <c r="N11" s="80"/>
      <c r="O11" s="80"/>
      <c r="P11" s="79"/>
      <c r="Q11" s="80"/>
      <c r="R11" s="80"/>
      <c r="S11" s="80"/>
      <c r="T11" s="80"/>
      <c r="U11" s="80"/>
    </row>
    <row r="12" spans="2:21" ht="48" customHeight="1" x14ac:dyDescent="0.25">
      <c r="B12" s="74">
        <v>3</v>
      </c>
      <c r="C12" s="33" t="s">
        <v>43</v>
      </c>
      <c r="D12" s="44" t="s">
        <v>183</v>
      </c>
      <c r="E12" s="75" t="s">
        <v>74</v>
      </c>
      <c r="F12" s="77" t="s">
        <v>200</v>
      </c>
      <c r="G12" s="77"/>
      <c r="H12" s="77"/>
      <c r="I12" s="77"/>
      <c r="J12" s="77"/>
      <c r="K12" s="77"/>
      <c r="L12" s="86" t="s">
        <v>100</v>
      </c>
      <c r="M12" s="80" t="s">
        <v>202</v>
      </c>
      <c r="N12" s="80" t="s">
        <v>203</v>
      </c>
      <c r="O12" s="80" t="s">
        <v>117</v>
      </c>
      <c r="P12" s="78" t="s">
        <v>201</v>
      </c>
      <c r="Q12" s="80" t="s">
        <v>204</v>
      </c>
      <c r="R12" s="80">
        <v>2025</v>
      </c>
      <c r="S12" s="80" t="s">
        <v>149</v>
      </c>
      <c r="T12" s="80">
        <v>3</v>
      </c>
      <c r="U12" s="80" t="s">
        <v>251</v>
      </c>
    </row>
    <row r="13" spans="2:21" ht="60" x14ac:dyDescent="0.25">
      <c r="B13" s="74"/>
      <c r="C13" s="33" t="s">
        <v>44</v>
      </c>
      <c r="D13" s="44" t="s">
        <v>72</v>
      </c>
      <c r="E13" s="76"/>
      <c r="F13" s="77"/>
      <c r="G13" s="77"/>
      <c r="H13" s="77"/>
      <c r="I13" s="77"/>
      <c r="J13" s="77"/>
      <c r="K13" s="77"/>
      <c r="L13" s="86"/>
      <c r="M13" s="80"/>
      <c r="N13" s="80"/>
      <c r="O13" s="80"/>
      <c r="P13" s="79"/>
      <c r="Q13" s="80"/>
      <c r="R13" s="80"/>
      <c r="S13" s="80"/>
      <c r="T13" s="80"/>
      <c r="U13" s="80"/>
    </row>
    <row r="14" spans="2:21" ht="45" customHeight="1" x14ac:dyDescent="0.25">
      <c r="B14" s="74">
        <v>4</v>
      </c>
      <c r="C14" s="33" t="s">
        <v>43</v>
      </c>
      <c r="D14" s="44" t="s">
        <v>63</v>
      </c>
      <c r="E14" s="75" t="s">
        <v>74</v>
      </c>
      <c r="F14" s="77" t="s">
        <v>207</v>
      </c>
      <c r="G14" s="77"/>
      <c r="H14" s="77"/>
      <c r="I14" s="77"/>
      <c r="J14" s="77"/>
      <c r="K14" s="77"/>
      <c r="L14" s="73" t="s">
        <v>101</v>
      </c>
      <c r="M14" s="80" t="s">
        <v>86</v>
      </c>
      <c r="N14" s="80" t="s">
        <v>118</v>
      </c>
      <c r="O14" s="80" t="s">
        <v>119</v>
      </c>
      <c r="P14" s="78" t="s">
        <v>205</v>
      </c>
      <c r="Q14" s="80" t="s">
        <v>206</v>
      </c>
      <c r="R14" s="80">
        <v>2025</v>
      </c>
      <c r="S14" s="80" t="s">
        <v>150</v>
      </c>
      <c r="T14" s="80">
        <v>2</v>
      </c>
      <c r="U14" s="80" t="s">
        <v>238</v>
      </c>
    </row>
    <row r="15" spans="2:21" ht="43.2" customHeight="1" x14ac:dyDescent="0.25">
      <c r="B15" s="74"/>
      <c r="C15" s="33" t="s">
        <v>44</v>
      </c>
      <c r="D15" s="44" t="s">
        <v>184</v>
      </c>
      <c r="E15" s="76"/>
      <c r="F15" s="77"/>
      <c r="G15" s="77"/>
      <c r="H15" s="77"/>
      <c r="I15" s="77"/>
      <c r="J15" s="77"/>
      <c r="K15" s="77"/>
      <c r="L15" s="73"/>
      <c r="M15" s="80"/>
      <c r="N15" s="80"/>
      <c r="O15" s="80"/>
      <c r="P15" s="79"/>
      <c r="Q15" s="80"/>
      <c r="R15" s="80"/>
      <c r="S15" s="80"/>
      <c r="T15" s="80"/>
      <c r="U15" s="80"/>
    </row>
    <row r="16" spans="2:21" ht="30" customHeight="1" x14ac:dyDescent="0.25">
      <c r="B16" s="74">
        <v>5</v>
      </c>
      <c r="C16" s="33" t="s">
        <v>43</v>
      </c>
      <c r="D16" s="44" t="s">
        <v>64</v>
      </c>
      <c r="E16" s="75" t="s">
        <v>74</v>
      </c>
      <c r="F16" s="77" t="s">
        <v>76</v>
      </c>
      <c r="G16" s="77"/>
      <c r="H16" s="77"/>
      <c r="I16" s="77"/>
      <c r="J16" s="77"/>
      <c r="K16" s="77"/>
      <c r="L16" s="73" t="s">
        <v>102</v>
      </c>
      <c r="M16" s="73" t="s">
        <v>87</v>
      </c>
      <c r="N16" s="73" t="s">
        <v>209</v>
      </c>
      <c r="O16" s="73" t="s">
        <v>120</v>
      </c>
      <c r="P16" s="78" t="s">
        <v>208</v>
      </c>
      <c r="Q16" s="73" t="s">
        <v>210</v>
      </c>
      <c r="R16" s="83">
        <v>2025</v>
      </c>
      <c r="S16" s="73" t="s">
        <v>151</v>
      </c>
      <c r="T16" s="83">
        <v>3</v>
      </c>
      <c r="U16" s="73" t="s">
        <v>239</v>
      </c>
    </row>
    <row r="17" spans="2:21" ht="45" x14ac:dyDescent="0.25">
      <c r="B17" s="74"/>
      <c r="C17" s="33" t="s">
        <v>44</v>
      </c>
      <c r="D17" s="44" t="s">
        <v>59</v>
      </c>
      <c r="E17" s="76"/>
      <c r="F17" s="77"/>
      <c r="G17" s="77"/>
      <c r="H17" s="77"/>
      <c r="I17" s="77"/>
      <c r="J17" s="77"/>
      <c r="K17" s="77"/>
      <c r="L17" s="73"/>
      <c r="M17" s="73"/>
      <c r="N17" s="73"/>
      <c r="O17" s="73"/>
      <c r="P17" s="79"/>
      <c r="Q17" s="73"/>
      <c r="R17" s="83"/>
      <c r="S17" s="73"/>
      <c r="T17" s="83"/>
      <c r="U17" s="73"/>
    </row>
    <row r="18" spans="2:21" ht="39" customHeight="1" x14ac:dyDescent="0.25">
      <c r="B18" s="74">
        <v>6</v>
      </c>
      <c r="C18" s="66" t="s">
        <v>43</v>
      </c>
      <c r="D18" s="67" t="s">
        <v>64</v>
      </c>
      <c r="E18" s="75" t="s">
        <v>74</v>
      </c>
      <c r="F18" s="77" t="s">
        <v>254</v>
      </c>
      <c r="G18" s="77"/>
      <c r="H18" s="77"/>
      <c r="I18" s="77"/>
      <c r="J18" s="77"/>
      <c r="K18" s="77"/>
      <c r="L18" s="73" t="s">
        <v>255</v>
      </c>
      <c r="M18" s="73" t="s">
        <v>256</v>
      </c>
      <c r="N18" s="73" t="s">
        <v>257</v>
      </c>
      <c r="O18" s="73" t="s">
        <v>258</v>
      </c>
      <c r="P18" s="78" t="s">
        <v>259</v>
      </c>
      <c r="Q18" s="73" t="s">
        <v>260</v>
      </c>
      <c r="R18" s="83" t="s">
        <v>261</v>
      </c>
      <c r="S18" s="73" t="s">
        <v>151</v>
      </c>
      <c r="T18" s="83">
        <v>3</v>
      </c>
      <c r="U18" s="73" t="s">
        <v>262</v>
      </c>
    </row>
    <row r="19" spans="2:21" ht="69" customHeight="1" x14ac:dyDescent="0.25">
      <c r="B19" s="74"/>
      <c r="C19" s="66" t="s">
        <v>44</v>
      </c>
      <c r="D19" s="67" t="s">
        <v>253</v>
      </c>
      <c r="E19" s="76"/>
      <c r="F19" s="77"/>
      <c r="G19" s="77"/>
      <c r="H19" s="77"/>
      <c r="I19" s="77"/>
      <c r="J19" s="77"/>
      <c r="K19" s="77"/>
      <c r="L19" s="73"/>
      <c r="M19" s="73"/>
      <c r="N19" s="73"/>
      <c r="O19" s="73"/>
      <c r="P19" s="79"/>
      <c r="Q19" s="73"/>
      <c r="R19" s="83"/>
      <c r="S19" s="73"/>
      <c r="T19" s="83"/>
      <c r="U19" s="73"/>
    </row>
    <row r="20" spans="2:21" ht="15" x14ac:dyDescent="0.25">
      <c r="B20" s="71"/>
      <c r="C20" s="69"/>
      <c r="D20" s="69"/>
      <c r="E20" s="69"/>
      <c r="F20" s="69"/>
      <c r="G20" s="69"/>
      <c r="H20" s="69"/>
      <c r="I20" s="68"/>
      <c r="J20" s="68"/>
      <c r="K20" s="68"/>
      <c r="L20" s="68"/>
      <c r="M20" s="69"/>
      <c r="N20" s="68"/>
      <c r="O20" s="72"/>
      <c r="P20" s="68"/>
      <c r="Q20" s="68"/>
      <c r="R20" s="68"/>
    </row>
    <row r="21" spans="2:21" ht="21" x14ac:dyDescent="0.25">
      <c r="B21" s="37"/>
      <c r="C21" s="38"/>
      <c r="D21" s="39"/>
      <c r="E21" s="36"/>
      <c r="F21" s="40"/>
      <c r="G21" s="40"/>
      <c r="H21" s="40"/>
      <c r="I21" s="40"/>
      <c r="J21" s="40"/>
      <c r="K21" s="40"/>
      <c r="L21" s="40"/>
    </row>
    <row r="22" spans="2:21" ht="64.2" customHeight="1" x14ac:dyDescent="0.3">
      <c r="B22" s="88" t="s">
        <v>45</v>
      </c>
      <c r="C22" s="88"/>
      <c r="D22" s="88"/>
      <c r="E22" s="34" t="s">
        <v>73</v>
      </c>
      <c r="F22" s="88" t="s">
        <v>46</v>
      </c>
      <c r="G22" s="88"/>
      <c r="H22" s="88"/>
      <c r="I22" s="88"/>
      <c r="J22" s="88"/>
      <c r="K22" s="88"/>
      <c r="L22" s="45" t="s">
        <v>99</v>
      </c>
      <c r="M22" s="46" t="s">
        <v>78</v>
      </c>
      <c r="N22" s="48" t="s">
        <v>114</v>
      </c>
      <c r="O22" s="48" t="s">
        <v>115</v>
      </c>
      <c r="P22" s="45" t="s">
        <v>195</v>
      </c>
      <c r="Q22" s="49" t="s">
        <v>116</v>
      </c>
      <c r="R22" s="49" t="s">
        <v>147</v>
      </c>
      <c r="S22" s="50" t="s">
        <v>11</v>
      </c>
      <c r="T22" s="50" t="s">
        <v>10</v>
      </c>
      <c r="U22" s="56" t="s">
        <v>182</v>
      </c>
    </row>
    <row r="23" spans="2:21" ht="30" customHeight="1" x14ac:dyDescent="0.25">
      <c r="B23" s="74">
        <v>1</v>
      </c>
      <c r="C23" s="33" t="s">
        <v>43</v>
      </c>
      <c r="D23" s="44" t="s">
        <v>60</v>
      </c>
      <c r="E23" s="73" t="s">
        <v>74</v>
      </c>
      <c r="F23" s="89" t="s">
        <v>77</v>
      </c>
      <c r="G23" s="89"/>
      <c r="H23" s="89"/>
      <c r="I23" s="89"/>
      <c r="J23" s="89"/>
      <c r="K23" s="89"/>
      <c r="L23" s="73" t="s">
        <v>103</v>
      </c>
      <c r="M23" s="73" t="s">
        <v>88</v>
      </c>
      <c r="N23" s="80" t="s">
        <v>121</v>
      </c>
      <c r="O23" s="80" t="s">
        <v>122</v>
      </c>
      <c r="P23" s="84" t="s">
        <v>211</v>
      </c>
      <c r="Q23" s="80" t="s">
        <v>212</v>
      </c>
      <c r="R23" s="80" t="s">
        <v>148</v>
      </c>
      <c r="S23" s="80" t="s">
        <v>174</v>
      </c>
      <c r="T23" s="80">
        <v>3</v>
      </c>
      <c r="U23" s="80" t="s">
        <v>241</v>
      </c>
    </row>
    <row r="24" spans="2:21" ht="57" customHeight="1" x14ac:dyDescent="0.25">
      <c r="B24" s="74"/>
      <c r="C24" s="33" t="s">
        <v>47</v>
      </c>
      <c r="D24" s="44" t="s">
        <v>65</v>
      </c>
      <c r="E24" s="73"/>
      <c r="F24" s="89"/>
      <c r="G24" s="89"/>
      <c r="H24" s="89"/>
      <c r="I24" s="89"/>
      <c r="J24" s="89"/>
      <c r="K24" s="89"/>
      <c r="L24" s="73"/>
      <c r="M24" s="73"/>
      <c r="N24" s="80"/>
      <c r="O24" s="80"/>
      <c r="P24" s="85"/>
      <c r="Q24" s="80"/>
      <c r="R24" s="80"/>
      <c r="S24" s="80"/>
      <c r="T24" s="80"/>
      <c r="U24" s="80"/>
    </row>
    <row r="25" spans="2:21" ht="20.399999999999999" customHeight="1" x14ac:dyDescent="0.25">
      <c r="B25" s="74">
        <v>2</v>
      </c>
      <c r="C25" s="33" t="s">
        <v>43</v>
      </c>
      <c r="D25" s="44" t="s">
        <v>61</v>
      </c>
      <c r="E25" s="73" t="s">
        <v>74</v>
      </c>
      <c r="F25" s="89" t="s">
        <v>215</v>
      </c>
      <c r="G25" s="89"/>
      <c r="H25" s="89"/>
      <c r="I25" s="89"/>
      <c r="J25" s="89"/>
      <c r="K25" s="89"/>
      <c r="L25" s="73" t="s">
        <v>104</v>
      </c>
      <c r="M25" s="86" t="s">
        <v>79</v>
      </c>
      <c r="N25" s="80" t="s">
        <v>123</v>
      </c>
      <c r="O25" s="80" t="s">
        <v>124</v>
      </c>
      <c r="P25" s="78" t="s">
        <v>213</v>
      </c>
      <c r="Q25" s="80" t="s">
        <v>214</v>
      </c>
      <c r="R25" s="80" t="s">
        <v>148</v>
      </c>
      <c r="S25" s="80" t="s">
        <v>175</v>
      </c>
      <c r="T25" s="80">
        <v>2</v>
      </c>
      <c r="U25" s="80" t="s">
        <v>242</v>
      </c>
    </row>
    <row r="26" spans="2:21" ht="47.4" customHeight="1" x14ac:dyDescent="0.25">
      <c r="B26" s="74"/>
      <c r="C26" s="33" t="s">
        <v>47</v>
      </c>
      <c r="D26" s="44" t="s">
        <v>67</v>
      </c>
      <c r="E26" s="73"/>
      <c r="F26" s="89"/>
      <c r="G26" s="89"/>
      <c r="H26" s="89"/>
      <c r="I26" s="89"/>
      <c r="J26" s="89"/>
      <c r="K26" s="89"/>
      <c r="L26" s="73"/>
      <c r="M26" s="86"/>
      <c r="N26" s="80"/>
      <c r="O26" s="80"/>
      <c r="P26" s="79"/>
      <c r="Q26" s="80"/>
      <c r="R26" s="80"/>
      <c r="S26" s="80"/>
      <c r="T26" s="80"/>
      <c r="U26" s="80"/>
    </row>
    <row r="27" spans="2:21" ht="30" customHeight="1" x14ac:dyDescent="0.25">
      <c r="B27" s="74">
        <v>3</v>
      </c>
      <c r="C27" s="33" t="s">
        <v>43</v>
      </c>
      <c r="D27" s="44" t="s">
        <v>62</v>
      </c>
      <c r="E27" s="73" t="s">
        <v>74</v>
      </c>
      <c r="F27" s="77" t="s">
        <v>216</v>
      </c>
      <c r="G27" s="77"/>
      <c r="H27" s="77"/>
      <c r="I27" s="77"/>
      <c r="J27" s="77"/>
      <c r="K27" s="77"/>
      <c r="L27" s="73" t="s">
        <v>105</v>
      </c>
      <c r="M27" s="73" t="s">
        <v>89</v>
      </c>
      <c r="N27" s="80" t="s">
        <v>125</v>
      </c>
      <c r="O27" s="80" t="s">
        <v>126</v>
      </c>
      <c r="P27" s="78" t="s">
        <v>217</v>
      </c>
      <c r="Q27" s="80" t="s">
        <v>218</v>
      </c>
      <c r="R27" s="80" t="s">
        <v>148</v>
      </c>
      <c r="S27" s="80" t="s">
        <v>174</v>
      </c>
      <c r="T27" s="80">
        <v>3</v>
      </c>
      <c r="U27" s="80" t="s">
        <v>243</v>
      </c>
    </row>
    <row r="28" spans="2:21" ht="37.799999999999997" customHeight="1" x14ac:dyDescent="0.25">
      <c r="B28" s="74"/>
      <c r="C28" s="33" t="s">
        <v>47</v>
      </c>
      <c r="D28" s="44" t="s">
        <v>66</v>
      </c>
      <c r="E28" s="73"/>
      <c r="F28" s="77"/>
      <c r="G28" s="77"/>
      <c r="H28" s="77"/>
      <c r="I28" s="77"/>
      <c r="J28" s="77"/>
      <c r="K28" s="77"/>
      <c r="L28" s="73"/>
      <c r="M28" s="73"/>
      <c r="N28" s="80"/>
      <c r="O28" s="80"/>
      <c r="P28" s="79"/>
      <c r="Q28" s="80"/>
      <c r="R28" s="80"/>
      <c r="S28" s="80"/>
      <c r="T28" s="80"/>
      <c r="U28" s="80"/>
    </row>
    <row r="29" spans="2:21" ht="37.799999999999997" customHeight="1" x14ac:dyDescent="0.25">
      <c r="B29" s="68"/>
      <c r="C29" s="69"/>
      <c r="D29" s="69"/>
      <c r="E29" s="69"/>
      <c r="F29" s="69"/>
      <c r="G29" s="69"/>
      <c r="H29" s="69"/>
      <c r="I29" s="68"/>
      <c r="J29" s="68"/>
      <c r="K29" s="70"/>
      <c r="L29" s="70"/>
      <c r="M29" s="69"/>
      <c r="N29" s="70"/>
      <c r="O29" s="70"/>
      <c r="P29" s="70"/>
      <c r="Q29" s="70"/>
      <c r="R29" s="70"/>
    </row>
    <row r="30" spans="2:21" ht="20.399999999999999" customHeight="1" x14ac:dyDescent="0.25">
      <c r="B30" s="37"/>
      <c r="C30" s="38"/>
      <c r="D30" s="39"/>
      <c r="E30" s="36"/>
      <c r="F30" s="40"/>
      <c r="G30" s="40"/>
      <c r="H30" s="40"/>
      <c r="I30" s="40"/>
      <c r="J30" s="40"/>
      <c r="K30" s="40"/>
      <c r="L30" s="40"/>
    </row>
    <row r="31" spans="2:21" ht="33.6" customHeight="1" x14ac:dyDescent="0.3">
      <c r="B31" s="88" t="s">
        <v>48</v>
      </c>
      <c r="C31" s="88"/>
      <c r="D31" s="88"/>
      <c r="E31" s="34" t="s">
        <v>73</v>
      </c>
      <c r="F31" s="88" t="s">
        <v>49</v>
      </c>
      <c r="G31" s="88"/>
      <c r="H31" s="88"/>
      <c r="I31" s="88"/>
      <c r="J31" s="88"/>
      <c r="K31" s="88"/>
      <c r="L31" s="45" t="s">
        <v>96</v>
      </c>
      <c r="M31" s="46" t="s">
        <v>78</v>
      </c>
      <c r="N31" s="48" t="s">
        <v>114</v>
      </c>
      <c r="O31" s="48" t="s">
        <v>115</v>
      </c>
      <c r="P31" s="45" t="s">
        <v>195</v>
      </c>
      <c r="Q31" s="49" t="s">
        <v>116</v>
      </c>
      <c r="R31" s="49" t="s">
        <v>147</v>
      </c>
      <c r="S31" s="50" t="s">
        <v>11</v>
      </c>
      <c r="T31" s="50" t="s">
        <v>10</v>
      </c>
      <c r="U31" s="56" t="s">
        <v>182</v>
      </c>
    </row>
    <row r="32" spans="2:21" ht="75" x14ac:dyDescent="0.25">
      <c r="B32" s="74">
        <v>1</v>
      </c>
      <c r="C32" s="33" t="s">
        <v>50</v>
      </c>
      <c r="D32" s="44" t="s">
        <v>68</v>
      </c>
      <c r="E32" s="86" t="s">
        <v>74</v>
      </c>
      <c r="F32" s="77" t="s">
        <v>82</v>
      </c>
      <c r="G32" s="77"/>
      <c r="H32" s="77"/>
      <c r="I32" s="77"/>
      <c r="J32" s="77"/>
      <c r="K32" s="77"/>
      <c r="L32" s="73" t="s">
        <v>106</v>
      </c>
      <c r="M32" s="73" t="s">
        <v>90</v>
      </c>
      <c r="N32" s="80" t="s">
        <v>127</v>
      </c>
      <c r="O32" s="80" t="s">
        <v>128</v>
      </c>
      <c r="P32" s="78" t="s">
        <v>220</v>
      </c>
      <c r="Q32" s="80" t="s">
        <v>129</v>
      </c>
      <c r="R32" s="80" t="s">
        <v>148</v>
      </c>
      <c r="S32" s="80" t="s">
        <v>176</v>
      </c>
      <c r="T32" s="80">
        <v>3</v>
      </c>
      <c r="U32" s="80" t="s">
        <v>245</v>
      </c>
    </row>
    <row r="33" spans="2:21" ht="87" customHeight="1" x14ac:dyDescent="0.25">
      <c r="B33" s="74"/>
      <c r="C33" s="33" t="s">
        <v>44</v>
      </c>
      <c r="D33" s="44" t="s">
        <v>59</v>
      </c>
      <c r="E33" s="86"/>
      <c r="F33" s="77"/>
      <c r="G33" s="77"/>
      <c r="H33" s="77"/>
      <c r="I33" s="77"/>
      <c r="J33" s="77"/>
      <c r="K33" s="77"/>
      <c r="L33" s="73"/>
      <c r="M33" s="73"/>
      <c r="N33" s="80"/>
      <c r="O33" s="80"/>
      <c r="P33" s="79"/>
      <c r="Q33" s="80"/>
      <c r="R33" s="80"/>
      <c r="S33" s="80"/>
      <c r="T33" s="80"/>
      <c r="U33" s="80"/>
    </row>
    <row r="34" spans="2:21" ht="75.599999999999994" customHeight="1" x14ac:dyDescent="0.25">
      <c r="B34" s="74">
        <v>2</v>
      </c>
      <c r="C34" s="33" t="s">
        <v>50</v>
      </c>
      <c r="D34" s="44" t="s">
        <v>68</v>
      </c>
      <c r="E34" s="86" t="s">
        <v>74</v>
      </c>
      <c r="F34" s="77" t="s">
        <v>83</v>
      </c>
      <c r="G34" s="77"/>
      <c r="H34" s="77"/>
      <c r="I34" s="77"/>
      <c r="J34" s="77"/>
      <c r="K34" s="77"/>
      <c r="L34" s="73" t="s">
        <v>107</v>
      </c>
      <c r="M34" s="73" t="s">
        <v>91</v>
      </c>
      <c r="N34" s="80" t="s">
        <v>130</v>
      </c>
      <c r="O34" s="80" t="s">
        <v>131</v>
      </c>
      <c r="P34" s="84" t="s">
        <v>219</v>
      </c>
      <c r="Q34" s="80"/>
      <c r="R34" s="80" t="s">
        <v>148</v>
      </c>
      <c r="S34" s="80" t="s">
        <v>176</v>
      </c>
      <c r="T34" s="80">
        <v>2</v>
      </c>
      <c r="U34" s="80" t="s">
        <v>244</v>
      </c>
    </row>
    <row r="35" spans="2:21" ht="48.6" customHeight="1" x14ac:dyDescent="0.25">
      <c r="B35" s="74"/>
      <c r="C35" s="33" t="s">
        <v>44</v>
      </c>
      <c r="D35" s="44" t="s">
        <v>71</v>
      </c>
      <c r="E35" s="86"/>
      <c r="F35" s="77"/>
      <c r="G35" s="77"/>
      <c r="H35" s="77"/>
      <c r="I35" s="77"/>
      <c r="J35" s="77"/>
      <c r="K35" s="77"/>
      <c r="L35" s="73"/>
      <c r="M35" s="73"/>
      <c r="N35" s="80"/>
      <c r="O35" s="80"/>
      <c r="P35" s="85"/>
      <c r="Q35" s="80"/>
      <c r="R35" s="80"/>
      <c r="S35" s="80"/>
      <c r="T35" s="80"/>
      <c r="U35" s="80"/>
    </row>
    <row r="36" spans="2:21" ht="45" x14ac:dyDescent="0.25">
      <c r="B36" s="74">
        <v>3</v>
      </c>
      <c r="C36" s="33" t="s">
        <v>50</v>
      </c>
      <c r="D36" s="44" t="s">
        <v>69</v>
      </c>
      <c r="E36" s="86" t="s">
        <v>74</v>
      </c>
      <c r="F36" s="77" t="s">
        <v>221</v>
      </c>
      <c r="G36" s="77"/>
      <c r="H36" s="77"/>
      <c r="I36" s="77"/>
      <c r="J36" s="77"/>
      <c r="K36" s="77"/>
      <c r="L36" s="73" t="s">
        <v>108</v>
      </c>
      <c r="M36" s="73" t="s">
        <v>92</v>
      </c>
      <c r="N36" s="80" t="s">
        <v>132</v>
      </c>
      <c r="O36" s="80" t="s">
        <v>133</v>
      </c>
      <c r="P36" s="84" t="s">
        <v>223</v>
      </c>
      <c r="Q36" s="80" t="s">
        <v>134</v>
      </c>
      <c r="R36" s="80" t="s">
        <v>148</v>
      </c>
      <c r="S36" s="80" t="s">
        <v>178</v>
      </c>
      <c r="T36" s="80">
        <v>3</v>
      </c>
      <c r="U36" s="80" t="s">
        <v>246</v>
      </c>
    </row>
    <row r="37" spans="2:21" ht="46.2" customHeight="1" x14ac:dyDescent="0.25">
      <c r="B37" s="74"/>
      <c r="C37" s="33" t="s">
        <v>44</v>
      </c>
      <c r="D37" s="44" t="s">
        <v>59</v>
      </c>
      <c r="E37" s="86"/>
      <c r="F37" s="77"/>
      <c r="G37" s="77"/>
      <c r="H37" s="77"/>
      <c r="I37" s="77"/>
      <c r="J37" s="77"/>
      <c r="K37" s="77"/>
      <c r="L37" s="73"/>
      <c r="M37" s="73"/>
      <c r="N37" s="80"/>
      <c r="O37" s="80"/>
      <c r="P37" s="85"/>
      <c r="Q37" s="80"/>
      <c r="R37" s="80"/>
      <c r="S37" s="80"/>
      <c r="T37" s="80"/>
      <c r="U37" s="80"/>
    </row>
    <row r="38" spans="2:21" ht="60" x14ac:dyDescent="0.25">
      <c r="B38" s="74">
        <v>4</v>
      </c>
      <c r="C38" s="33" t="s">
        <v>50</v>
      </c>
      <c r="D38" s="44" t="s">
        <v>70</v>
      </c>
      <c r="E38" s="86" t="s">
        <v>74</v>
      </c>
      <c r="F38" s="77" t="s">
        <v>84</v>
      </c>
      <c r="G38" s="77"/>
      <c r="H38" s="77"/>
      <c r="I38" s="77"/>
      <c r="J38" s="77"/>
      <c r="K38" s="77"/>
      <c r="L38" s="73" t="s">
        <v>109</v>
      </c>
      <c r="M38" s="73" t="s">
        <v>93</v>
      </c>
      <c r="N38" s="73" t="s">
        <v>135</v>
      </c>
      <c r="O38" s="73" t="s">
        <v>136</v>
      </c>
      <c r="P38" s="84" t="s">
        <v>222</v>
      </c>
      <c r="Q38" s="73" t="s">
        <v>137</v>
      </c>
      <c r="R38" s="73" t="s">
        <v>148</v>
      </c>
      <c r="S38" s="80" t="s">
        <v>177</v>
      </c>
      <c r="T38" s="80">
        <v>3</v>
      </c>
      <c r="U38" s="80" t="s">
        <v>247</v>
      </c>
    </row>
    <row r="39" spans="2:21" ht="55.2" customHeight="1" x14ac:dyDescent="0.25">
      <c r="B39" s="74"/>
      <c r="C39" s="35" t="s">
        <v>44</v>
      </c>
      <c r="D39" s="47" t="s">
        <v>59</v>
      </c>
      <c r="E39" s="86"/>
      <c r="F39" s="77"/>
      <c r="G39" s="77"/>
      <c r="H39" s="77"/>
      <c r="I39" s="77"/>
      <c r="J39" s="77"/>
      <c r="K39" s="77"/>
      <c r="L39" s="73"/>
      <c r="M39" s="73"/>
      <c r="N39" s="73"/>
      <c r="O39" s="73"/>
      <c r="P39" s="85"/>
      <c r="Q39" s="73"/>
      <c r="R39" s="73"/>
      <c r="S39" s="80"/>
      <c r="T39" s="80"/>
      <c r="U39" s="80"/>
    </row>
    <row r="40" spans="2:21" ht="21" x14ac:dyDescent="0.25">
      <c r="B40" s="37"/>
      <c r="C40" s="38"/>
      <c r="D40" s="39"/>
      <c r="E40" s="36"/>
      <c r="F40" s="40"/>
      <c r="G40" s="40"/>
      <c r="H40" s="40"/>
      <c r="I40" s="40"/>
      <c r="J40" s="40"/>
      <c r="K40" s="40"/>
      <c r="L40" s="40"/>
    </row>
    <row r="41" spans="2:21" ht="67.8" customHeight="1" x14ac:dyDescent="0.3">
      <c r="B41" s="88" t="s">
        <v>51</v>
      </c>
      <c r="C41" s="88"/>
      <c r="D41" s="88"/>
      <c r="E41" s="34" t="s">
        <v>73</v>
      </c>
      <c r="F41" s="88" t="s">
        <v>52</v>
      </c>
      <c r="G41" s="88"/>
      <c r="H41" s="88"/>
      <c r="I41" s="88"/>
      <c r="J41" s="88"/>
      <c r="K41" s="88"/>
      <c r="L41" s="45" t="s">
        <v>96</v>
      </c>
      <c r="M41" s="46" t="s">
        <v>78</v>
      </c>
      <c r="N41" s="48" t="s">
        <v>114</v>
      </c>
      <c r="O41" s="48" t="s">
        <v>115</v>
      </c>
      <c r="P41" s="45" t="s">
        <v>195</v>
      </c>
      <c r="Q41" s="49" t="s">
        <v>116</v>
      </c>
      <c r="R41" s="49" t="s">
        <v>147</v>
      </c>
      <c r="S41" s="50" t="s">
        <v>11</v>
      </c>
      <c r="T41" s="50" t="s">
        <v>10</v>
      </c>
      <c r="U41" s="56" t="s">
        <v>182</v>
      </c>
    </row>
    <row r="42" spans="2:21" ht="75" x14ac:dyDescent="0.25">
      <c r="B42" s="74">
        <v>1</v>
      </c>
      <c r="C42" s="33" t="s">
        <v>50</v>
      </c>
      <c r="D42" s="44" t="s">
        <v>68</v>
      </c>
      <c r="E42" s="90" t="s">
        <v>74</v>
      </c>
      <c r="F42" s="91" t="s">
        <v>80</v>
      </c>
      <c r="G42" s="91"/>
      <c r="H42" s="91"/>
      <c r="I42" s="91"/>
      <c r="J42" s="91"/>
      <c r="K42" s="91"/>
      <c r="L42" s="73" t="s">
        <v>110</v>
      </c>
      <c r="M42" s="73" t="s">
        <v>94</v>
      </c>
      <c r="N42" s="80" t="s">
        <v>138</v>
      </c>
      <c r="O42" s="80" t="s">
        <v>139</v>
      </c>
      <c r="P42" s="84" t="s">
        <v>224</v>
      </c>
      <c r="Q42" s="80" t="s">
        <v>140</v>
      </c>
      <c r="R42" s="80" t="s">
        <v>148</v>
      </c>
      <c r="S42" s="80" t="s">
        <v>179</v>
      </c>
      <c r="T42" s="80">
        <v>3</v>
      </c>
      <c r="U42" s="80" t="s">
        <v>248</v>
      </c>
    </row>
    <row r="43" spans="2:21" ht="30" x14ac:dyDescent="0.25">
      <c r="B43" s="74"/>
      <c r="C43" s="33" t="s">
        <v>47</v>
      </c>
      <c r="D43" s="44" t="s">
        <v>65</v>
      </c>
      <c r="E43" s="90"/>
      <c r="F43" s="91"/>
      <c r="G43" s="91"/>
      <c r="H43" s="91"/>
      <c r="I43" s="91"/>
      <c r="J43" s="91"/>
      <c r="K43" s="91"/>
      <c r="L43" s="73"/>
      <c r="M43" s="73"/>
      <c r="N43" s="80"/>
      <c r="O43" s="80"/>
      <c r="P43" s="85"/>
      <c r="Q43" s="80"/>
      <c r="R43" s="80"/>
      <c r="S43" s="80"/>
      <c r="T43" s="80"/>
      <c r="U43" s="80"/>
    </row>
    <row r="44" spans="2:21" ht="60" customHeight="1" x14ac:dyDescent="0.25">
      <c r="B44" s="74">
        <v>2</v>
      </c>
      <c r="C44" s="33" t="s">
        <v>50</v>
      </c>
      <c r="D44" s="44" t="s">
        <v>70</v>
      </c>
      <c r="E44" s="90" t="s">
        <v>74</v>
      </c>
      <c r="F44" s="91" t="s">
        <v>97</v>
      </c>
      <c r="G44" s="91"/>
      <c r="H44" s="91"/>
      <c r="I44" s="91"/>
      <c r="J44" s="91"/>
      <c r="K44" s="91"/>
      <c r="L44" s="73" t="s">
        <v>111</v>
      </c>
      <c r="M44" s="73" t="s">
        <v>112</v>
      </c>
      <c r="N44" s="80" t="s">
        <v>141</v>
      </c>
      <c r="O44" s="80" t="s">
        <v>142</v>
      </c>
      <c r="P44" s="84" t="s">
        <v>225</v>
      </c>
      <c r="Q44" s="80" t="s">
        <v>143</v>
      </c>
      <c r="R44" s="80" t="s">
        <v>148</v>
      </c>
      <c r="S44" s="80" t="s">
        <v>180</v>
      </c>
      <c r="T44" s="80">
        <v>2</v>
      </c>
      <c r="U44" s="80" t="s">
        <v>249</v>
      </c>
    </row>
    <row r="45" spans="2:21" ht="67.8" customHeight="1" x14ac:dyDescent="0.25">
      <c r="B45" s="74"/>
      <c r="C45" s="33" t="s">
        <v>47</v>
      </c>
      <c r="D45" s="44" t="s">
        <v>65</v>
      </c>
      <c r="E45" s="90"/>
      <c r="F45" s="91"/>
      <c r="G45" s="91"/>
      <c r="H45" s="91"/>
      <c r="I45" s="91"/>
      <c r="J45" s="91"/>
      <c r="K45" s="91"/>
      <c r="L45" s="73"/>
      <c r="M45" s="73"/>
      <c r="N45" s="80"/>
      <c r="O45" s="80"/>
      <c r="P45" s="85"/>
      <c r="Q45" s="80"/>
      <c r="R45" s="80"/>
      <c r="S45" s="80"/>
      <c r="T45" s="80"/>
      <c r="U45" s="80"/>
    </row>
    <row r="46" spans="2:21" ht="45" customHeight="1" x14ac:dyDescent="0.25">
      <c r="B46" s="74">
        <v>3</v>
      </c>
      <c r="C46" s="33" t="s">
        <v>50</v>
      </c>
      <c r="D46" s="44" t="s">
        <v>69</v>
      </c>
      <c r="E46" s="90" t="s">
        <v>74</v>
      </c>
      <c r="F46" s="91" t="s">
        <v>81</v>
      </c>
      <c r="G46" s="91"/>
      <c r="H46" s="91"/>
      <c r="I46" s="91"/>
      <c r="J46" s="91"/>
      <c r="K46" s="91"/>
      <c r="L46" s="73" t="s">
        <v>113</v>
      </c>
      <c r="M46" s="73" t="s">
        <v>95</v>
      </c>
      <c r="N46" s="80" t="s">
        <v>144</v>
      </c>
      <c r="O46" s="80" t="s">
        <v>145</v>
      </c>
      <c r="P46" s="84" t="s">
        <v>226</v>
      </c>
      <c r="Q46" s="80" t="s">
        <v>146</v>
      </c>
      <c r="R46" s="80" t="s">
        <v>148</v>
      </c>
      <c r="S46" s="80" t="s">
        <v>181</v>
      </c>
      <c r="T46" s="80">
        <v>3</v>
      </c>
      <c r="U46" s="80" t="s">
        <v>250</v>
      </c>
    </row>
    <row r="47" spans="2:21" ht="48.6" customHeight="1" x14ac:dyDescent="0.25">
      <c r="B47" s="74"/>
      <c r="C47" s="33" t="s">
        <v>47</v>
      </c>
      <c r="D47" s="44" t="s">
        <v>98</v>
      </c>
      <c r="E47" s="90"/>
      <c r="F47" s="91"/>
      <c r="G47" s="91"/>
      <c r="H47" s="91"/>
      <c r="I47" s="91"/>
      <c r="J47" s="91"/>
      <c r="K47" s="91"/>
      <c r="L47" s="73"/>
      <c r="M47" s="73"/>
      <c r="N47" s="80"/>
      <c r="O47" s="80"/>
      <c r="P47" s="85"/>
      <c r="Q47" s="80"/>
      <c r="R47" s="80"/>
      <c r="S47" s="80"/>
      <c r="T47" s="80"/>
      <c r="U47" s="80"/>
    </row>
  </sheetData>
  <mergeCells count="223">
    <mergeCell ref="T36:T37"/>
    <mergeCell ref="T38:T39"/>
    <mergeCell ref="T42:T43"/>
    <mergeCell ref="T44:T45"/>
    <mergeCell ref="T46:T47"/>
    <mergeCell ref="U8:U9"/>
    <mergeCell ref="U10:U11"/>
    <mergeCell ref="U12:U13"/>
    <mergeCell ref="U14:U15"/>
    <mergeCell ref="U36:U37"/>
    <mergeCell ref="U38:U39"/>
    <mergeCell ref="U42:U43"/>
    <mergeCell ref="U44:U45"/>
    <mergeCell ref="U46:U47"/>
    <mergeCell ref="U16:U17"/>
    <mergeCell ref="U23:U24"/>
    <mergeCell ref="U25:U26"/>
    <mergeCell ref="U27:U28"/>
    <mergeCell ref="U32:U33"/>
    <mergeCell ref="U34:U35"/>
    <mergeCell ref="T27:T28"/>
    <mergeCell ref="T32:T33"/>
    <mergeCell ref="T34:T35"/>
    <mergeCell ref="T14:T15"/>
    <mergeCell ref="T16:T17"/>
    <mergeCell ref="T23:T24"/>
    <mergeCell ref="T25:T26"/>
    <mergeCell ref="P23:P24"/>
    <mergeCell ref="P25:P26"/>
    <mergeCell ref="R8:R9"/>
    <mergeCell ref="R10:R11"/>
    <mergeCell ref="R12:R13"/>
    <mergeCell ref="R14:R15"/>
    <mergeCell ref="R16:R17"/>
    <mergeCell ref="R23:R24"/>
    <mergeCell ref="R25:R26"/>
    <mergeCell ref="Q8:Q9"/>
    <mergeCell ref="Q10:Q11"/>
    <mergeCell ref="Q12:Q13"/>
    <mergeCell ref="Q14:Q15"/>
    <mergeCell ref="Q16:Q17"/>
    <mergeCell ref="T18:T19"/>
    <mergeCell ref="B2:E4"/>
    <mergeCell ref="F2:R4"/>
    <mergeCell ref="S2:U2"/>
    <mergeCell ref="S3:U3"/>
    <mergeCell ref="S4:U4"/>
    <mergeCell ref="B36:B37"/>
    <mergeCell ref="E36:E37"/>
    <mergeCell ref="F36:K37"/>
    <mergeCell ref="B38:B39"/>
    <mergeCell ref="E38:E39"/>
    <mergeCell ref="F38:K39"/>
    <mergeCell ref="B7:D7"/>
    <mergeCell ref="F7:K7"/>
    <mergeCell ref="B8:B9"/>
    <mergeCell ref="E8:E9"/>
    <mergeCell ref="F8:K9"/>
    <mergeCell ref="B23:B24"/>
    <mergeCell ref="E23:E24"/>
    <mergeCell ref="F23:K24"/>
    <mergeCell ref="P6:S6"/>
    <mergeCell ref="N6:O6"/>
    <mergeCell ref="T8:T9"/>
    <mergeCell ref="T10:T11"/>
    <mergeCell ref="T12:T13"/>
    <mergeCell ref="B22:D22"/>
    <mergeCell ref="F22:K22"/>
    <mergeCell ref="B44:B45"/>
    <mergeCell ref="E44:E45"/>
    <mergeCell ref="F44:K45"/>
    <mergeCell ref="B46:B47"/>
    <mergeCell ref="E46:E47"/>
    <mergeCell ref="F46:K47"/>
    <mergeCell ref="B42:B43"/>
    <mergeCell ref="E42:E43"/>
    <mergeCell ref="F42:K43"/>
    <mergeCell ref="B41:D41"/>
    <mergeCell ref="F41:K41"/>
    <mergeCell ref="B25:B26"/>
    <mergeCell ref="E25:E26"/>
    <mergeCell ref="F25:K26"/>
    <mergeCell ref="B27:B28"/>
    <mergeCell ref="E27:E28"/>
    <mergeCell ref="F27:K28"/>
    <mergeCell ref="B34:B35"/>
    <mergeCell ref="E34:E35"/>
    <mergeCell ref="F34:K35"/>
    <mergeCell ref="B31:D31"/>
    <mergeCell ref="F31:K31"/>
    <mergeCell ref="B32:B33"/>
    <mergeCell ref="E32:E33"/>
    <mergeCell ref="F32:K33"/>
    <mergeCell ref="B10:B11"/>
    <mergeCell ref="E10:E11"/>
    <mergeCell ref="F10:K11"/>
    <mergeCell ref="L8:L9"/>
    <mergeCell ref="L10:L11"/>
    <mergeCell ref="L12:L13"/>
    <mergeCell ref="L14:L15"/>
    <mergeCell ref="L16:L17"/>
    <mergeCell ref="O8:O9"/>
    <mergeCell ref="O10:O11"/>
    <mergeCell ref="O12:O13"/>
    <mergeCell ref="O14:O15"/>
    <mergeCell ref="O16:O17"/>
    <mergeCell ref="B12:B13"/>
    <mergeCell ref="E12:E13"/>
    <mergeCell ref="F12:K13"/>
    <mergeCell ref="B14:B15"/>
    <mergeCell ref="E14:E15"/>
    <mergeCell ref="F14:K15"/>
    <mergeCell ref="B16:B17"/>
    <mergeCell ref="E16:E17"/>
    <mergeCell ref="F16:K17"/>
    <mergeCell ref="L23:L24"/>
    <mergeCell ref="M23:M24"/>
    <mergeCell ref="M8:M9"/>
    <mergeCell ref="M10:M11"/>
    <mergeCell ref="M12:M13"/>
    <mergeCell ref="M14:M15"/>
    <mergeCell ref="M16:M17"/>
    <mergeCell ref="N8:N9"/>
    <mergeCell ref="N10:N11"/>
    <mergeCell ref="N12:N13"/>
    <mergeCell ref="N14:N15"/>
    <mergeCell ref="N16:N17"/>
    <mergeCell ref="N23:N24"/>
    <mergeCell ref="L32:L33"/>
    <mergeCell ref="M32:M33"/>
    <mergeCell ref="L34:L35"/>
    <mergeCell ref="M34:M35"/>
    <mergeCell ref="L25:L26"/>
    <mergeCell ref="M25:M26"/>
    <mergeCell ref="L27:L28"/>
    <mergeCell ref="M27:M28"/>
    <mergeCell ref="N32:N33"/>
    <mergeCell ref="L46:L47"/>
    <mergeCell ref="M46:M47"/>
    <mergeCell ref="N42:N43"/>
    <mergeCell ref="L42:L43"/>
    <mergeCell ref="M42:M43"/>
    <mergeCell ref="L44:L45"/>
    <mergeCell ref="M44:M45"/>
    <mergeCell ref="L36:L37"/>
    <mergeCell ref="M36:M37"/>
    <mergeCell ref="L38:L39"/>
    <mergeCell ref="M38:M39"/>
    <mergeCell ref="O32:O33"/>
    <mergeCell ref="Q32:Q33"/>
    <mergeCell ref="O27:O28"/>
    <mergeCell ref="Q27:Q28"/>
    <mergeCell ref="O23:O24"/>
    <mergeCell ref="Q23:Q24"/>
    <mergeCell ref="N25:N26"/>
    <mergeCell ref="O25:O26"/>
    <mergeCell ref="Q25:Q26"/>
    <mergeCell ref="N27:N28"/>
    <mergeCell ref="P27:P28"/>
    <mergeCell ref="P32:P33"/>
    <mergeCell ref="O34:O35"/>
    <mergeCell ref="Q34:Q35"/>
    <mergeCell ref="N36:N37"/>
    <mergeCell ref="O36:O37"/>
    <mergeCell ref="Q36:Q37"/>
    <mergeCell ref="P42:P43"/>
    <mergeCell ref="P44:P45"/>
    <mergeCell ref="P46:P47"/>
    <mergeCell ref="R46:R47"/>
    <mergeCell ref="N34:N35"/>
    <mergeCell ref="P34:P35"/>
    <mergeCell ref="P36:P37"/>
    <mergeCell ref="P38:P39"/>
    <mergeCell ref="N46:N47"/>
    <mergeCell ref="O46:O47"/>
    <mergeCell ref="Q46:Q47"/>
    <mergeCell ref="O42:O43"/>
    <mergeCell ref="Q42:Q43"/>
    <mergeCell ref="N44:N45"/>
    <mergeCell ref="O44:O45"/>
    <mergeCell ref="Q44:Q45"/>
    <mergeCell ref="N38:N39"/>
    <mergeCell ref="O38:O39"/>
    <mergeCell ref="Q38:Q39"/>
    <mergeCell ref="R27:R28"/>
    <mergeCell ref="R32:R33"/>
    <mergeCell ref="P8:P9"/>
    <mergeCell ref="P10:P11"/>
    <mergeCell ref="P12:P13"/>
    <mergeCell ref="P14:P15"/>
    <mergeCell ref="P16:P17"/>
    <mergeCell ref="S42:S43"/>
    <mergeCell ref="S44:S45"/>
    <mergeCell ref="R38:R39"/>
    <mergeCell ref="R42:R43"/>
    <mergeCell ref="R44:R45"/>
    <mergeCell ref="R34:R35"/>
    <mergeCell ref="R36:R37"/>
    <mergeCell ref="R18:R19"/>
    <mergeCell ref="S46:S47"/>
    <mergeCell ref="S8:S9"/>
    <mergeCell ref="S10:S11"/>
    <mergeCell ref="S12:S13"/>
    <mergeCell ref="S14:S15"/>
    <mergeCell ref="S16:S17"/>
    <mergeCell ref="S23:S24"/>
    <mergeCell ref="S25:S26"/>
    <mergeCell ref="S27:S28"/>
    <mergeCell ref="S32:S33"/>
    <mergeCell ref="S34:S35"/>
    <mergeCell ref="S36:S37"/>
    <mergeCell ref="S38:S39"/>
    <mergeCell ref="S18:S19"/>
    <mergeCell ref="U18:U19"/>
    <mergeCell ref="B18:B19"/>
    <mergeCell ref="E18:E19"/>
    <mergeCell ref="F18:K19"/>
    <mergeCell ref="L18:L19"/>
    <mergeCell ref="M18:M19"/>
    <mergeCell ref="N18:N19"/>
    <mergeCell ref="O18:O19"/>
    <mergeCell ref="P18:P19"/>
    <mergeCell ref="Q18:Q19"/>
  </mergeCells>
  <phoneticPr fontId="3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2873-BA0B-41AD-95F7-A45D678CBADE}">
  <dimension ref="B1:F10"/>
  <sheetViews>
    <sheetView showGridLines="0" workbookViewId="0">
      <selection activeCell="D8" sqref="D8"/>
    </sheetView>
  </sheetViews>
  <sheetFormatPr baseColWidth="10" defaultRowHeight="14.4" x14ac:dyDescent="0.3"/>
  <cols>
    <col min="3" max="3" width="19" customWidth="1"/>
    <col min="4" max="4" width="19.88671875" customWidth="1"/>
    <col min="5" max="5" width="12.77734375" customWidth="1"/>
    <col min="6" max="6" width="17.5546875" customWidth="1"/>
  </cols>
  <sheetData>
    <row r="1" spans="2:6" ht="25.8" customHeight="1" x14ac:dyDescent="0.3">
      <c r="B1" s="136"/>
      <c r="C1" s="136"/>
      <c r="D1" s="137"/>
      <c r="E1" s="64" t="s">
        <v>235</v>
      </c>
      <c r="F1" s="64" t="s">
        <v>57</v>
      </c>
    </row>
    <row r="2" spans="2:6" ht="16.8" customHeight="1" x14ac:dyDescent="0.3">
      <c r="B2" s="136"/>
      <c r="C2" s="136"/>
      <c r="D2" s="137"/>
      <c r="E2" s="63" t="s">
        <v>236</v>
      </c>
      <c r="F2" s="65" t="s">
        <v>58</v>
      </c>
    </row>
    <row r="3" spans="2:6" ht="38.4" customHeight="1" x14ac:dyDescent="0.3">
      <c r="B3" s="138"/>
      <c r="C3" s="138"/>
      <c r="D3" s="139"/>
      <c r="E3" s="62" t="s">
        <v>233</v>
      </c>
      <c r="F3" s="64"/>
    </row>
    <row r="4" spans="2:6" ht="23.4" x14ac:dyDescent="0.3">
      <c r="B4" s="140" t="s">
        <v>152</v>
      </c>
      <c r="C4" s="141"/>
      <c r="D4" s="141"/>
      <c r="E4" s="141"/>
      <c r="F4" s="142"/>
    </row>
    <row r="5" spans="2:6" x14ac:dyDescent="0.3">
      <c r="B5" s="59"/>
      <c r="C5" s="59"/>
      <c r="D5" s="59"/>
      <c r="E5" s="59"/>
      <c r="F5" s="59"/>
    </row>
    <row r="6" spans="2:6" ht="28.8" x14ac:dyDescent="0.3">
      <c r="B6" s="60" t="s">
        <v>153</v>
      </c>
      <c r="C6" s="60" t="s">
        <v>154</v>
      </c>
      <c r="D6" s="60" t="s">
        <v>155</v>
      </c>
      <c r="E6" s="60" t="s">
        <v>156</v>
      </c>
      <c r="F6" s="60" t="s">
        <v>157</v>
      </c>
    </row>
    <row r="7" spans="2:6" ht="175.8" customHeight="1" x14ac:dyDescent="0.3">
      <c r="B7" s="61" t="s">
        <v>158</v>
      </c>
      <c r="C7" s="61">
        <v>3</v>
      </c>
      <c r="D7" s="61" t="s">
        <v>159</v>
      </c>
      <c r="E7" s="61" t="s">
        <v>160</v>
      </c>
      <c r="F7" s="61" t="s">
        <v>161</v>
      </c>
    </row>
    <row r="8" spans="2:6" ht="129.6" x14ac:dyDescent="0.3">
      <c r="B8" s="61" t="s">
        <v>162</v>
      </c>
      <c r="C8" s="61">
        <v>2</v>
      </c>
      <c r="D8" s="61" t="s">
        <v>163</v>
      </c>
      <c r="E8" s="61" t="s">
        <v>164</v>
      </c>
      <c r="F8" s="61" t="s">
        <v>165</v>
      </c>
    </row>
    <row r="9" spans="2:6" ht="100.8" x14ac:dyDescent="0.3">
      <c r="B9" s="61" t="s">
        <v>166</v>
      </c>
      <c r="C9" s="61">
        <v>1</v>
      </c>
      <c r="D9" s="61" t="s">
        <v>167</v>
      </c>
      <c r="E9" s="61" t="s">
        <v>168</v>
      </c>
      <c r="F9" s="61" t="s">
        <v>169</v>
      </c>
    </row>
    <row r="10" spans="2:6" ht="43.2" x14ac:dyDescent="0.3">
      <c r="B10" s="61" t="s">
        <v>170</v>
      </c>
      <c r="C10" s="61">
        <v>0</v>
      </c>
      <c r="D10" s="61" t="s">
        <v>171</v>
      </c>
      <c r="E10" s="61" t="s">
        <v>172</v>
      </c>
      <c r="F10" s="61" t="s">
        <v>173</v>
      </c>
    </row>
  </sheetData>
  <mergeCells count="2">
    <mergeCell ref="B1:D3"/>
    <mergeCell ref="B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98CD85-89CB-4178-B940-1A7B340667DD}"/>
</file>

<file path=customXml/itemProps2.xml><?xml version="1.0" encoding="utf-8"?>
<ds:datastoreItem xmlns:ds="http://schemas.openxmlformats.org/officeDocument/2006/customXml" ds:itemID="{FA6836D7-0374-4D03-BB05-EAF03C06844F}"/>
</file>

<file path=customXml/itemProps3.xml><?xml version="1.0" encoding="utf-8"?>
<ds:datastoreItem xmlns:ds="http://schemas.openxmlformats.org/officeDocument/2006/customXml" ds:itemID="{51CBA5DF-ECAF-49F7-8826-92567EEF41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DOFA</vt:lpstr>
      <vt:lpstr>Estrategias y Plan de trabajo</vt:lpstr>
      <vt:lpstr>Clasificacion de eficacia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2026-05-15T19:35:09Z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105700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