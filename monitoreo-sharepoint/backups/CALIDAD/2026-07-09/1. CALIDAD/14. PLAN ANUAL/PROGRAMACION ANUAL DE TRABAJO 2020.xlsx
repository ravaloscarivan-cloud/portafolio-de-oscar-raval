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BIOSTEEL DE COLOMBIA S.A\SISTEMA DE GESTION DE CALIDAD BIOSTEEL\1. CALIDAD\14. PLAN ANUAL\"/>
    </mc:Choice>
  </mc:AlternateContent>
  <xr:revisionPtr revIDLastSave="0" documentId="8_{0F725619-1AF1-4F30-98F6-EC8657BFBDD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LAN DE TRABAJO ANUAL 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Y2IQUB33+puqLSf/IrTYn82EiRw=="/>
    </ext>
  </extLst>
</workbook>
</file>

<file path=xl/calcChain.xml><?xml version="1.0" encoding="utf-8"?>
<calcChain xmlns="http://schemas.openxmlformats.org/spreadsheetml/2006/main">
  <c r="BE22" i="1" l="1"/>
  <c r="AX113" i="1" l="1"/>
  <c r="AT113" i="1"/>
  <c r="AP113" i="1"/>
  <c r="AL113" i="1"/>
  <c r="AH113" i="1"/>
  <c r="AD113" i="1"/>
  <c r="Z113" i="1"/>
  <c r="V113" i="1"/>
  <c r="R113" i="1"/>
  <c r="N113" i="1"/>
  <c r="J113" i="1"/>
  <c r="F113" i="1"/>
  <c r="AX112" i="1"/>
  <c r="AT112" i="1"/>
  <c r="AP112" i="1"/>
  <c r="AL112" i="1"/>
  <c r="AH112" i="1"/>
  <c r="AD112" i="1"/>
  <c r="Z112" i="1"/>
  <c r="V112" i="1"/>
  <c r="R112" i="1"/>
  <c r="N112" i="1"/>
  <c r="J112" i="1"/>
  <c r="F112" i="1"/>
  <c r="BC110" i="1"/>
  <c r="BB110" i="1"/>
  <c r="BC108" i="1"/>
  <c r="BB108" i="1"/>
  <c r="BE106" i="1"/>
  <c r="AX105" i="1"/>
  <c r="AT105" i="1"/>
  <c r="AP105" i="1"/>
  <c r="AL105" i="1"/>
  <c r="AH105" i="1"/>
  <c r="AD105" i="1"/>
  <c r="Z105" i="1"/>
  <c r="V105" i="1"/>
  <c r="R105" i="1"/>
  <c r="N105" i="1"/>
  <c r="J105" i="1"/>
  <c r="F105" i="1"/>
  <c r="AX104" i="1"/>
  <c r="AT104" i="1"/>
  <c r="AP104" i="1"/>
  <c r="AL104" i="1"/>
  <c r="AH104" i="1"/>
  <c r="AD104" i="1"/>
  <c r="Z104" i="1"/>
  <c r="V104" i="1"/>
  <c r="R104" i="1"/>
  <c r="N104" i="1"/>
  <c r="J104" i="1"/>
  <c r="F104" i="1"/>
  <c r="BC102" i="1"/>
  <c r="BB102" i="1"/>
  <c r="BC98" i="1"/>
  <c r="BB98" i="1"/>
  <c r="BE96" i="1"/>
  <c r="BB92" i="1"/>
  <c r="BC90" i="1"/>
  <c r="BB90" i="1"/>
  <c r="BC88" i="1"/>
  <c r="BB88" i="1"/>
  <c r="BC86" i="1"/>
  <c r="BB86" i="1"/>
  <c r="BE84" i="1"/>
  <c r="AX83" i="1"/>
  <c r="AT83" i="1"/>
  <c r="AP83" i="1"/>
  <c r="AL83" i="1"/>
  <c r="AH83" i="1"/>
  <c r="AD83" i="1"/>
  <c r="Z83" i="1"/>
  <c r="V83" i="1"/>
  <c r="R83" i="1"/>
  <c r="N83" i="1"/>
  <c r="J83" i="1"/>
  <c r="F83" i="1"/>
  <c r="AX82" i="1"/>
  <c r="AX95" i="1" s="1"/>
  <c r="AT82" i="1"/>
  <c r="AT94" i="1" s="1"/>
  <c r="AP82" i="1"/>
  <c r="AP95" i="1" s="1"/>
  <c r="AL82" i="1"/>
  <c r="AH82" i="1"/>
  <c r="AD82" i="1"/>
  <c r="Z82" i="1"/>
  <c r="Z95" i="1" s="1"/>
  <c r="V82" i="1"/>
  <c r="V95" i="1" s="1"/>
  <c r="R82" i="1"/>
  <c r="R95" i="1" s="1"/>
  <c r="N82" i="1"/>
  <c r="N94" i="1" s="1"/>
  <c r="J82" i="1"/>
  <c r="J95" i="1" s="1"/>
  <c r="F82" i="1"/>
  <c r="F95" i="1" s="1"/>
  <c r="BC80" i="1"/>
  <c r="BB80" i="1"/>
  <c r="BC76" i="1"/>
  <c r="BB76" i="1"/>
  <c r="BE74" i="1"/>
  <c r="AX73" i="1"/>
  <c r="AT73" i="1"/>
  <c r="AP73" i="1"/>
  <c r="AL73" i="1"/>
  <c r="AH73" i="1"/>
  <c r="AD73" i="1"/>
  <c r="Z73" i="1"/>
  <c r="V73" i="1"/>
  <c r="R73" i="1"/>
  <c r="N73" i="1"/>
  <c r="J73" i="1"/>
  <c r="F73" i="1"/>
  <c r="AX72" i="1"/>
  <c r="AT72" i="1"/>
  <c r="AP72" i="1"/>
  <c r="AL72" i="1"/>
  <c r="AH72" i="1"/>
  <c r="AD72" i="1"/>
  <c r="Z72" i="1"/>
  <c r="V72" i="1"/>
  <c r="R72" i="1"/>
  <c r="N72" i="1"/>
  <c r="J72" i="1"/>
  <c r="F72" i="1"/>
  <c r="BC70" i="1"/>
  <c r="BB70" i="1"/>
  <c r="BC64" i="1"/>
  <c r="BB64" i="1"/>
  <c r="BC62" i="1"/>
  <c r="BB62" i="1"/>
  <c r="BC60" i="1"/>
  <c r="BB60" i="1"/>
  <c r="BE58" i="1"/>
  <c r="AX57" i="1"/>
  <c r="AT57" i="1"/>
  <c r="AP57" i="1"/>
  <c r="AL57" i="1"/>
  <c r="AH57" i="1"/>
  <c r="AD57" i="1"/>
  <c r="Z57" i="1"/>
  <c r="V57" i="1"/>
  <c r="R57" i="1"/>
  <c r="N57" i="1"/>
  <c r="J57" i="1"/>
  <c r="F57" i="1"/>
  <c r="AX56" i="1"/>
  <c r="AT56" i="1"/>
  <c r="AP56" i="1"/>
  <c r="AL56" i="1"/>
  <c r="AH56" i="1"/>
  <c r="AD56" i="1"/>
  <c r="Z56" i="1"/>
  <c r="V56" i="1"/>
  <c r="R56" i="1"/>
  <c r="N56" i="1"/>
  <c r="J56" i="1"/>
  <c r="F56" i="1"/>
  <c r="BC54" i="1"/>
  <c r="BB54" i="1"/>
  <c r="BC52" i="1"/>
  <c r="BB52" i="1"/>
  <c r="BC50" i="1"/>
  <c r="BB50" i="1"/>
  <c r="BC48" i="1"/>
  <c r="BB48" i="1"/>
  <c r="BC46" i="1"/>
  <c r="BB46" i="1"/>
  <c r="BC44" i="1"/>
  <c r="BB44" i="1"/>
  <c r="BE42" i="1"/>
  <c r="AX41" i="1"/>
  <c r="AT41" i="1"/>
  <c r="AP41" i="1"/>
  <c r="AL41" i="1"/>
  <c r="AH41" i="1"/>
  <c r="AD41" i="1"/>
  <c r="Z41" i="1"/>
  <c r="V41" i="1"/>
  <c r="R41" i="1"/>
  <c r="N41" i="1"/>
  <c r="J41" i="1"/>
  <c r="F41" i="1"/>
  <c r="AX40" i="1"/>
  <c r="AT40" i="1"/>
  <c r="AP40" i="1"/>
  <c r="AL40" i="1"/>
  <c r="AH40" i="1"/>
  <c r="AD40" i="1"/>
  <c r="Z40" i="1"/>
  <c r="V40" i="1"/>
  <c r="R40" i="1"/>
  <c r="N40" i="1"/>
  <c r="J40" i="1"/>
  <c r="F40" i="1"/>
  <c r="BC38" i="1"/>
  <c r="BB38" i="1"/>
  <c r="BD36" i="1"/>
  <c r="BC36" i="1"/>
  <c r="BB36" i="1"/>
  <c r="BC34" i="1"/>
  <c r="BB34" i="1"/>
  <c r="BC32" i="1"/>
  <c r="BB32" i="1"/>
  <c r="BC30" i="1"/>
  <c r="BB30" i="1"/>
  <c r="BC28" i="1"/>
  <c r="BB28" i="1"/>
  <c r="BC26" i="1"/>
  <c r="BB26" i="1"/>
  <c r="BC24" i="1"/>
  <c r="BB24" i="1"/>
  <c r="AX21" i="1"/>
  <c r="AT21" i="1"/>
  <c r="AP21" i="1"/>
  <c r="AL21" i="1"/>
  <c r="AH21" i="1"/>
  <c r="AD21" i="1"/>
  <c r="Z21" i="1"/>
  <c r="V21" i="1"/>
  <c r="R21" i="1"/>
  <c r="N21" i="1"/>
  <c r="J21" i="1"/>
  <c r="F21" i="1"/>
  <c r="AX20" i="1"/>
  <c r="AT20" i="1"/>
  <c r="AP20" i="1"/>
  <c r="AL20" i="1"/>
  <c r="AH20" i="1"/>
  <c r="AD20" i="1"/>
  <c r="Z20" i="1"/>
  <c r="V20" i="1"/>
  <c r="R20" i="1"/>
  <c r="N20" i="1"/>
  <c r="J20" i="1"/>
  <c r="F20" i="1"/>
  <c r="BC18" i="1"/>
  <c r="BB18" i="1"/>
  <c r="BC16" i="1"/>
  <c r="BB16" i="1"/>
  <c r="BC14" i="1"/>
  <c r="BB14" i="1"/>
  <c r="BC12" i="1"/>
  <c r="BB12" i="1"/>
  <c r="BC10" i="1"/>
  <c r="BB10" i="1"/>
  <c r="BC8" i="1"/>
  <c r="BB8" i="1"/>
  <c r="BD38" i="1" l="1"/>
  <c r="BE112" i="1"/>
  <c r="AD94" i="1"/>
  <c r="AH95" i="1"/>
  <c r="BD18" i="1"/>
  <c r="BD16" i="1"/>
  <c r="AL95" i="1"/>
  <c r="BD14" i="1"/>
  <c r="BD8" i="1"/>
  <c r="BD70" i="1"/>
  <c r="BD88" i="1"/>
  <c r="BD80" i="1"/>
  <c r="BD86" i="1"/>
  <c r="BD90" i="1"/>
  <c r="BD34" i="1"/>
  <c r="BD48" i="1"/>
  <c r="BD52" i="1"/>
  <c r="BD12" i="1"/>
  <c r="BD46" i="1"/>
  <c r="BD50" i="1"/>
  <c r="BD54" i="1"/>
  <c r="BD110" i="1"/>
  <c r="BD10" i="1"/>
  <c r="BD20" i="1"/>
  <c r="BD64" i="1"/>
  <c r="BD112" i="1"/>
  <c r="BD104" i="1"/>
  <c r="BD82" i="1"/>
  <c r="BD62" i="1"/>
  <c r="BD60" i="1"/>
  <c r="BD72" i="1"/>
  <c r="BD44" i="1"/>
  <c r="BD30" i="1"/>
  <c r="BD24" i="1"/>
  <c r="BD26" i="1"/>
  <c r="BD28" i="1"/>
  <c r="BD32" i="1"/>
  <c r="BD40" i="1"/>
  <c r="R94" i="1"/>
  <c r="R116" i="1" s="1"/>
  <c r="AH94" i="1"/>
  <c r="AH116" i="1" s="1"/>
  <c r="AX94" i="1"/>
  <c r="AX116" i="1" s="1"/>
  <c r="N95" i="1"/>
  <c r="N116" i="1" s="1"/>
  <c r="AD95" i="1"/>
  <c r="AD116" i="1" s="1"/>
  <c r="AT95" i="1"/>
  <c r="AT116" i="1" s="1"/>
  <c r="F94" i="1"/>
  <c r="F116" i="1" s="1"/>
  <c r="V94" i="1"/>
  <c r="V116" i="1" s="1"/>
  <c r="AL94" i="1"/>
  <c r="AL116" i="1" s="1"/>
  <c r="BD98" i="1"/>
  <c r="BD108" i="1"/>
  <c r="N115" i="1"/>
  <c r="AD115" i="1"/>
  <c r="AT115" i="1"/>
  <c r="BD56" i="1"/>
  <c r="J94" i="1"/>
  <c r="J116" i="1" s="1"/>
  <c r="Z94" i="1"/>
  <c r="Z115" i="1" s="1"/>
  <c r="AP94" i="1"/>
  <c r="AP116" i="1" s="1"/>
  <c r="R115" i="1"/>
  <c r="AX115" i="1"/>
  <c r="BD76" i="1"/>
  <c r="F115" i="1"/>
  <c r="V115" i="1"/>
  <c r="AL115" i="1"/>
  <c r="AH115" i="1" l="1"/>
  <c r="AH117" i="1" s="1"/>
  <c r="J115" i="1"/>
  <c r="J117" i="1" s="1"/>
  <c r="AD117" i="1"/>
  <c r="N117" i="1"/>
  <c r="AX117" i="1"/>
  <c r="AL117" i="1"/>
  <c r="AT117" i="1"/>
  <c r="V117" i="1"/>
  <c r="R117" i="1"/>
  <c r="F117" i="1"/>
  <c r="Z116" i="1"/>
  <c r="Z117" i="1" s="1"/>
  <c r="AP115" i="1"/>
  <c r="AP117" i="1" s="1"/>
  <c r="F118" i="1" l="1"/>
  <c r="BD92" i="1"/>
  <c r="BD94" i="1"/>
</calcChain>
</file>

<file path=xl/sharedStrings.xml><?xml version="1.0" encoding="utf-8"?>
<sst xmlns="http://schemas.openxmlformats.org/spreadsheetml/2006/main" count="601" uniqueCount="109">
  <si>
    <t>CARACTERIZACIÓN</t>
  </si>
  <si>
    <t>PROGRAMADO</t>
  </si>
  <si>
    <t>P</t>
  </si>
  <si>
    <t>REALIZADO</t>
  </si>
  <si>
    <t>R</t>
  </si>
  <si>
    <t>APLAZADO</t>
  </si>
  <si>
    <t>A</t>
  </si>
  <si>
    <t>CANCELADO</t>
  </si>
  <si>
    <t>C</t>
  </si>
  <si>
    <t>INVENTARIOS</t>
  </si>
  <si>
    <t>RESPONSABLES EJECUCIÓN</t>
  </si>
  <si>
    <t>ENERO</t>
  </si>
  <si>
    <t>FEBRERO</t>
  </si>
  <si>
    <t>MARZO</t>
  </si>
  <si>
    <t>ABRIL</t>
  </si>
  <si>
    <t>MAYO</t>
  </si>
  <si>
    <t>JUNIO</t>
  </si>
  <si>
    <t xml:space="preserve">JULIO </t>
  </si>
  <si>
    <t>AGOSTO</t>
  </si>
  <si>
    <t xml:space="preserve">SEPTIEMBRE </t>
  </si>
  <si>
    <t xml:space="preserve">OCTUBRE </t>
  </si>
  <si>
    <t>NOVIEMBRE</t>
  </si>
  <si>
    <t>DICIEMBRE</t>
  </si>
  <si>
    <t>COBERTURA MENSUAL</t>
  </si>
  <si>
    <t>COSTOS DE ACTIVIDAD</t>
  </si>
  <si>
    <t>OBSERVACIONES</t>
  </si>
  <si>
    <t>EJECUTADO</t>
  </si>
  <si>
    <t>%</t>
  </si>
  <si>
    <t xml:space="preserve">INVENTARIO SELECTIVO  DE BODEGA PRINCIPAL </t>
  </si>
  <si>
    <t xml:space="preserve">PAULA DE  LEON </t>
  </si>
  <si>
    <t>INVENTARIO BODEGA FUNDACION CAMBELL</t>
  </si>
  <si>
    <t>JESNY LOMBO</t>
  </si>
  <si>
    <t>INVENTARIO BODEGA CALI</t>
  </si>
  <si>
    <t>BRYAN CALDERON</t>
  </si>
  <si>
    <t>INVNETARIO BODEGA SANTA MARTA</t>
  </si>
  <si>
    <t>INVENTARIO BODEGA SINCELEJO</t>
  </si>
  <si>
    <t>MARCELA AVILA</t>
  </si>
  <si>
    <t xml:space="preserve">INVENTARIO BODEGA CARTAGENA </t>
  </si>
  <si>
    <t>MERCEDES MORENO</t>
  </si>
  <si>
    <t>TOTAL ACTIVIDADES PROGRAMADAS</t>
  </si>
  <si>
    <t>CUMPLIMIENTO ACUMULADO</t>
  </si>
  <si>
    <t>TOTAL ACTIVIDADES EJECUTADAS</t>
  </si>
  <si>
    <t xml:space="preserve">VIAJES </t>
  </si>
  <si>
    <t>VISITA A SANTA MARTA EVALUACION TRIMESTRAL</t>
  </si>
  <si>
    <t>KEYLA PEREZ</t>
  </si>
  <si>
    <t>VISITA A CALI (VALLESALUD)- EVALUACION TRIMESTRAL</t>
  </si>
  <si>
    <t>VISITA A CARTAGENA - EVALUACION TRIMESTRAL</t>
  </si>
  <si>
    <t xml:space="preserve">VISITA A SINCELEJO - EVALUACION TRIMESTRAL </t>
  </si>
  <si>
    <t>VISITA  A FUNDACION CAMPBELL - EVALUACION TRIMESTRAL</t>
  </si>
  <si>
    <t>CAPACITACIONES</t>
  </si>
  <si>
    <t>CAPACITACIONES PARA TODO EL PERSONAL</t>
  </si>
  <si>
    <t>SILIA DIAZ</t>
  </si>
  <si>
    <t>La capacitaciones se llevan acabo con aliados e entidades gratuitas.</t>
  </si>
  <si>
    <t>PROCESO DE ALMACEN</t>
  </si>
  <si>
    <t xml:space="preserve">PROCESO DE FACTURACION </t>
  </si>
  <si>
    <t>JORGE GOMEZ</t>
  </si>
  <si>
    <t>PROCESO DE CONTABILIDAD</t>
  </si>
  <si>
    <t>MARTHA ORORZOC</t>
  </si>
  <si>
    <t>COORDINACION ASISTENCIAL</t>
  </si>
  <si>
    <t xml:space="preserve">ARREGLOS LOCATIVOS / INFRAESTRUCTURA </t>
  </si>
  <si>
    <t>RECARGA DE EXTINTORES</t>
  </si>
  <si>
    <t xml:space="preserve">FUMIGACION </t>
  </si>
  <si>
    <t xml:space="preserve">  PROMOCIÓN Y PREVENCIÓN</t>
  </si>
  <si>
    <t>EXAMENES MEDICO OCUPACIONALES</t>
  </si>
  <si>
    <t xml:space="preserve">RUMBA TERAPIAS </t>
  </si>
  <si>
    <t>La Rumba terapia se llevan acabo con aliados e entidades gratuitas.</t>
  </si>
  <si>
    <t xml:space="preserve">VACUNAS Y JORNADAS DE SALUD </t>
  </si>
  <si>
    <t xml:space="preserve">INFORMES LIDERES </t>
  </si>
  <si>
    <t>INFORME PROCESO DE CONTABILIDAD</t>
  </si>
  <si>
    <t>MARTHA OROZCO</t>
  </si>
  <si>
    <t xml:space="preserve">INFORMES PROCESOS DE FACTURACION </t>
  </si>
  <si>
    <t>INFORME PROCESO DE ALMACEN</t>
  </si>
  <si>
    <t>INFORME ASISTENCIA TECNICA</t>
  </si>
  <si>
    <t xml:space="preserve">AUDITORIAS / REVISION POR LA DIRECCION / REUNION LIDERES </t>
  </si>
  <si>
    <t xml:space="preserve">REUNION LIDERES </t>
  </si>
  <si>
    <t>NATALIA TOVAR / LIDERES DE PROCESOS</t>
  </si>
  <si>
    <t>AUDITORIA INTERNA /CALIDAD</t>
  </si>
  <si>
    <t>LIDERES DE PROCESOS / GERENCIA</t>
  </si>
  <si>
    <t xml:space="preserve">   EVALUACIÓNES DE DESEMPEÑO</t>
  </si>
  <si>
    <t xml:space="preserve">EVALUACION DE DESEMPEÑO PRIMER SEMESTRE </t>
  </si>
  <si>
    <t xml:space="preserve">EVALUACION DE DESEMPEÑO SEGUNDO SEMESTRE </t>
  </si>
  <si>
    <t xml:space="preserve">TOTAL ACTIVIDADES PROGRAMADAS AÑO </t>
  </si>
  <si>
    <t xml:space="preserve">TOTAL ACTIVIDADES EJECUTADAS AÑO </t>
  </si>
  <si>
    <t>META</t>
  </si>
  <si>
    <t>CUMPLIMIENTO ANUAL</t>
  </si>
  <si>
    <t>APROBADO POR :_____________________</t>
  </si>
  <si>
    <t>PLAN  ANUAL BIOSTEEL DE COLOMBIA 2020</t>
  </si>
  <si>
    <t>MARIA PAREJO</t>
  </si>
  <si>
    <t xml:space="preserve">IPS SIOM </t>
  </si>
  <si>
    <t>Durante esta visita la Coordinadora asistencial fue en compañía de auxiliar de sistemas de gestion  y gerente administrativa.</t>
  </si>
  <si>
    <t>visita aplazada por emergencia sanitaria  COVID-19</t>
  </si>
  <si>
    <t xml:space="preserve">INFRAESTRUCTURA U OTROS CONCEPTOS </t>
  </si>
  <si>
    <t xml:space="preserve">TRANSPORTE PERSONAL BIOSTEEL </t>
  </si>
  <si>
    <t xml:space="preserve">SILIA DIAZ </t>
  </si>
  <si>
    <t>Transporte Jairo Medina  por contingencia COVID-19 personal Biosteel de colombia S.A.</t>
  </si>
  <si>
    <t xml:space="preserve">VIATICOS POR FESTIVIDADES, TIQUETES  U OTROS CONCEPTOS </t>
  </si>
  <si>
    <t>HEISA BUELVAS</t>
  </si>
  <si>
    <t>MANTENIMIENTO DE AIRES ACONDICIONADOS / CIUDADES</t>
  </si>
  <si>
    <t>El mantemimiento paso de ser Trimestral en Barranquilla y en la ciudad de Cali.</t>
  </si>
  <si>
    <t>Arreglo de baldozas, Pintara de aredes, cinta para escaleras entre otros.</t>
  </si>
  <si>
    <t>La fumigacion se realiza de manera trimenstral.</t>
  </si>
  <si>
    <t>AUDITORIA INTERNA/ SST</t>
  </si>
  <si>
    <t>ELABORADO POR: Heisa Buelvas Luna.</t>
  </si>
  <si>
    <t>Tiquetes, visita a diverquin, festividades como dia de la mujer/ hombre, acompañamiento a sepelio, arreglos funebres,arreglos y adornos navideños.</t>
  </si>
  <si>
    <t>Meriendad y transporte.</t>
  </si>
  <si>
    <t>REUNION DE LIDERES DEL AÑO 2020 Y DESAYUNO A LIDERES./ BONOS A LIDERES.</t>
  </si>
  <si>
    <t>Estadia  y viaticos.</t>
  </si>
  <si>
    <t>MAIRA ALTAMAR</t>
  </si>
  <si>
    <t>GESTION DE  LA CALIDA Y GESTION  HUMANA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</si>
</sst>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"/>
  </numFmts>
  <fonts count="27" x14ac:knownFonts="1">
    <font>
      <sz val="10"/>
      <color rgb="FF000000"/>
      <name val="Arial"/>
    </font>
    <font>
      <sz val="12"/>
      <color rgb="FF000000"/>
      <name val="Calibri"/>
      <family val="2"/>
    </font>
    <font>
      <b/>
      <sz val="24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  <font>
      <sz val="10"/>
      <color rgb="FF000000"/>
      <name val="Calibri"/>
      <family val="2"/>
    </font>
    <font>
      <b/>
      <sz val="8"/>
      <color theme="0"/>
      <name val="Calibri"/>
      <family val="2"/>
    </font>
    <font>
      <b/>
      <sz val="9"/>
      <color theme="0"/>
      <name val="Calibri"/>
      <family val="2"/>
    </font>
    <font>
      <sz val="8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E37113"/>
        <bgColor rgb="FFE3711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548DD4"/>
        <bgColor rgb="FF548DD4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3" fillId="0" borderId="0" xfId="0" applyFont="1"/>
    <xf numFmtId="9" fontId="3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8" fillId="0" borderId="0" xfId="0" applyFont="1"/>
    <xf numFmtId="0" fontId="8" fillId="0" borderId="5" xfId="0" applyFont="1" applyBorder="1"/>
    <xf numFmtId="164" fontId="4" fillId="0" borderId="5" xfId="0" applyNumberFormat="1" applyFont="1" applyBorder="1"/>
    <xf numFmtId="0" fontId="9" fillId="2" borderId="16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/>
    </xf>
    <xf numFmtId="0" fontId="9" fillId="10" borderId="16" xfId="0" applyFont="1" applyFill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10" borderId="22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3" fillId="8" borderId="23" xfId="0" applyFont="1" applyFill="1" applyBorder="1"/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9" fillId="8" borderId="23" xfId="0" applyNumberFormat="1" applyFont="1" applyFill="1" applyBorder="1" applyAlignment="1">
      <alignment horizontal="center"/>
    </xf>
    <xf numFmtId="9" fontId="9" fillId="8" borderId="23" xfId="0" applyNumberFormat="1" applyFont="1" applyFill="1" applyBorder="1" applyAlignment="1">
      <alignment horizontal="center"/>
    </xf>
    <xf numFmtId="9" fontId="18" fillId="8" borderId="23" xfId="0" applyNumberFormat="1" applyFont="1" applyFill="1" applyBorder="1" applyAlignment="1">
      <alignment horizontal="center"/>
    </xf>
    <xf numFmtId="0" fontId="5" fillId="0" borderId="0" xfId="0" applyFont="1"/>
    <xf numFmtId="0" fontId="19" fillId="0" borderId="5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8" fillId="0" borderId="33" xfId="0" applyFont="1" applyBorder="1"/>
    <xf numFmtId="0" fontId="13" fillId="0" borderId="18" xfId="0" applyFont="1" applyBorder="1" applyAlignment="1">
      <alignment horizontal="center" vertical="center"/>
    </xf>
    <xf numFmtId="0" fontId="26" fillId="0" borderId="0" xfId="0" applyFont="1"/>
    <xf numFmtId="0" fontId="10" fillId="3" borderId="22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8" xfId="0" applyFont="1" applyBorder="1" applyAlignment="1">
      <alignment horizontal="center" wrapText="1"/>
    </xf>
    <xf numFmtId="0" fontId="22" fillId="0" borderId="19" xfId="0" applyFont="1" applyBorder="1" applyAlignment="1">
      <alignment horizontal="center" wrapText="1"/>
    </xf>
    <xf numFmtId="0" fontId="22" fillId="0" borderId="22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2" fillId="0" borderId="20" xfId="0" applyFont="1" applyBorder="1" applyAlignment="1">
      <alignment horizontal="center" wrapText="1"/>
    </xf>
    <xf numFmtId="0" fontId="22" fillId="0" borderId="17" xfId="0" applyFon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9" fontId="6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 wrapText="1"/>
    </xf>
    <xf numFmtId="0" fontId="20" fillId="8" borderId="32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21" fillId="0" borderId="8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wrapText="1"/>
    </xf>
    <xf numFmtId="0" fontId="21" fillId="0" borderId="19" xfId="0" applyFont="1" applyBorder="1" applyAlignment="1">
      <alignment horizontal="center" wrapText="1"/>
    </xf>
    <xf numFmtId="0" fontId="21" fillId="0" borderId="2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20" xfId="0" applyFont="1" applyBorder="1" applyAlignment="1">
      <alignment horizontal="center" wrapText="1"/>
    </xf>
    <xf numFmtId="0" fontId="21" fillId="0" borderId="17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2" fillId="0" borderId="8" xfId="0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10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10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10" fillId="0" borderId="7" xfId="0" applyFont="1" applyBorder="1" applyAlignment="1">
      <alignment horizontal="center" vertical="center"/>
    </xf>
    <xf numFmtId="0" fontId="6" fillId="0" borderId="12" xfId="0" applyFont="1" applyBorder="1"/>
    <xf numFmtId="9" fontId="10" fillId="0" borderId="7" xfId="0" applyNumberFormat="1" applyFont="1" applyBorder="1" applyAlignment="1">
      <alignment horizontal="center" vertical="center"/>
    </xf>
    <xf numFmtId="9" fontId="9" fillId="8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9" fontId="18" fillId="10" borderId="2" xfId="0" applyNumberFormat="1" applyFont="1" applyFill="1" applyBorder="1" applyAlignment="1">
      <alignment horizontal="center"/>
    </xf>
    <xf numFmtId="1" fontId="9" fillId="8" borderId="2" xfId="0" applyNumberFormat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1" fontId="9" fillId="8" borderId="2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0" xfId="0" applyFont="1" applyBorder="1"/>
    <xf numFmtId="0" fontId="3" fillId="0" borderId="10" xfId="0" applyFont="1" applyBorder="1" applyAlignment="1">
      <alignment horizontal="center" vertical="center" wrapText="1"/>
    </xf>
    <xf numFmtId="164" fontId="9" fillId="3" borderId="11" xfId="0" applyNumberFormat="1" applyFont="1" applyFill="1" applyBorder="1" applyAlignment="1">
      <alignment horizontal="center" vertical="center" wrapText="1"/>
    </xf>
    <xf numFmtId="0" fontId="6" fillId="0" borderId="1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6" fillId="0" borderId="21" xfId="0" applyFont="1" applyBorder="1"/>
    <xf numFmtId="0" fontId="3" fillId="0" borderId="8" xfId="0" applyFont="1" applyBorder="1" applyAlignment="1">
      <alignment horizontal="center" vertical="center" wrapText="1"/>
    </xf>
    <xf numFmtId="0" fontId="6" fillId="0" borderId="18" xfId="0" applyFont="1" applyBorder="1"/>
    <xf numFmtId="0" fontId="3" fillId="8" borderId="7" xfId="0" applyFont="1" applyFill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0" borderId="29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9" fontId="11" fillId="0" borderId="7" xfId="0" applyNumberFormat="1" applyFont="1" applyBorder="1" applyAlignment="1">
      <alignment horizontal="center" vertical="center" wrapText="1"/>
    </xf>
    <xf numFmtId="0" fontId="24" fillId="0" borderId="15" xfId="0" applyFont="1" applyBorder="1"/>
    <xf numFmtId="0" fontId="11" fillId="0" borderId="7" xfId="0" applyFont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25" fillId="0" borderId="8" xfId="0" applyFont="1" applyBorder="1" applyAlignment="1">
      <alignment horizontal="center" vertical="center" wrapText="1"/>
    </xf>
    <xf numFmtId="164" fontId="9" fillId="3" borderId="7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left" vertical="center" wrapText="1"/>
    </xf>
    <xf numFmtId="0" fontId="23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7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1057275</xdr:colOff>
      <xdr:row>0</xdr:row>
      <xdr:rowOff>19050</xdr:rowOff>
    </xdr:from>
    <xdr:ext cx="1247775" cy="1076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7275" y="19050"/>
          <a:ext cx="1247775" cy="1076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004"/>
  <sheetViews>
    <sheetView showGridLines="0" tabSelected="1" workbookViewId="0">
      <selection activeCell="B1" sqref="B1:AJ2"/>
    </sheetView>
  </sheetViews>
  <sheetFormatPr baseColWidth="10" defaultColWidth="14.42578125" defaultRowHeight="15" customHeight="1" x14ac:dyDescent="0.2"/>
  <cols>
    <col min="1" max="1" width="53.42578125" customWidth="1"/>
    <col min="2" max="2" width="4.140625" customWidth="1"/>
    <col min="3" max="3" width="5.7109375" customWidth="1"/>
    <col min="4" max="4" width="4.5703125" customWidth="1"/>
    <col min="5" max="5" width="5.7109375" customWidth="1"/>
    <col min="6" max="8" width="3.7109375" customWidth="1"/>
    <col min="9" max="9" width="3.5703125" customWidth="1"/>
    <col min="10" max="27" width="3.7109375" customWidth="1"/>
    <col min="28" max="28" width="3.5703125" customWidth="1"/>
    <col min="29" max="36" width="3.7109375" customWidth="1"/>
    <col min="37" max="37" width="4" customWidth="1"/>
    <col min="38" max="42" width="3.7109375" customWidth="1"/>
    <col min="43" max="43" width="4.5703125" customWidth="1"/>
    <col min="44" max="53" width="3.7109375" customWidth="1"/>
    <col min="54" max="54" width="11.85546875" customWidth="1"/>
    <col min="55" max="55" width="10.28515625" customWidth="1"/>
    <col min="56" max="56" width="13.7109375" customWidth="1"/>
    <col min="57" max="57" width="16.140625" customWidth="1"/>
    <col min="58" max="58" width="38.7109375" customWidth="1"/>
  </cols>
  <sheetData>
    <row r="1" spans="1:58" ht="27" customHeight="1" x14ac:dyDescent="0.2">
      <c r="A1" s="41"/>
      <c r="B1" s="64" t="s">
        <v>86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8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70"/>
    </row>
    <row r="2" spans="1:58" ht="27" customHeight="1" x14ac:dyDescent="0.2">
      <c r="A2" s="1"/>
      <c r="B2" s="66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8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70"/>
    </row>
    <row r="3" spans="1:58" ht="34.5" customHeight="1" x14ac:dyDescent="0.2">
      <c r="B3" s="152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32"/>
      <c r="AK3" s="68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70"/>
    </row>
    <row r="4" spans="1:58" ht="4.5" customHeight="1" x14ac:dyDescent="0.2">
      <c r="A4" s="15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32"/>
      <c r="AK4" s="68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70"/>
    </row>
    <row r="5" spans="1:58" ht="24.75" customHeight="1" x14ac:dyDescent="0.2">
      <c r="A5" s="6" t="s">
        <v>0</v>
      </c>
      <c r="B5" s="157" t="s">
        <v>1</v>
      </c>
      <c r="C5" s="103"/>
      <c r="D5" s="103"/>
      <c r="E5" s="103"/>
      <c r="F5" s="103"/>
      <c r="G5" s="104"/>
      <c r="H5" s="7" t="s">
        <v>2</v>
      </c>
      <c r="I5" s="154" t="s">
        <v>3</v>
      </c>
      <c r="J5" s="103"/>
      <c r="K5" s="103"/>
      <c r="L5" s="103"/>
      <c r="M5" s="103"/>
      <c r="N5" s="103"/>
      <c r="O5" s="103"/>
      <c r="P5" s="104"/>
      <c r="Q5" s="8" t="s">
        <v>4</v>
      </c>
      <c r="R5" s="155" t="s">
        <v>5</v>
      </c>
      <c r="S5" s="103"/>
      <c r="T5" s="103"/>
      <c r="U5" s="103"/>
      <c r="V5" s="103"/>
      <c r="W5" s="103"/>
      <c r="X5" s="103"/>
      <c r="Y5" s="103"/>
      <c r="Z5" s="104"/>
      <c r="AA5" s="9" t="s">
        <v>6</v>
      </c>
      <c r="AB5" s="156" t="s">
        <v>7</v>
      </c>
      <c r="AC5" s="103"/>
      <c r="AD5" s="103"/>
      <c r="AE5" s="103"/>
      <c r="AF5" s="103"/>
      <c r="AG5" s="103"/>
      <c r="AH5" s="103"/>
      <c r="AI5" s="104"/>
      <c r="AJ5" s="10" t="s">
        <v>8</v>
      </c>
      <c r="AK5" s="71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3"/>
    </row>
    <row r="6" spans="1:58" ht="14.25" customHeight="1" x14ac:dyDescent="0.2">
      <c r="A6" s="127" t="s">
        <v>9</v>
      </c>
      <c r="B6" s="128" t="s">
        <v>10</v>
      </c>
      <c r="C6" s="97"/>
      <c r="D6" s="97"/>
      <c r="E6" s="98"/>
      <c r="F6" s="102" t="s">
        <v>11</v>
      </c>
      <c r="G6" s="103"/>
      <c r="H6" s="103"/>
      <c r="I6" s="104"/>
      <c r="J6" s="102" t="s">
        <v>12</v>
      </c>
      <c r="K6" s="103"/>
      <c r="L6" s="103"/>
      <c r="M6" s="104"/>
      <c r="N6" s="102" t="s">
        <v>13</v>
      </c>
      <c r="O6" s="103"/>
      <c r="P6" s="103"/>
      <c r="Q6" s="104"/>
      <c r="R6" s="102" t="s">
        <v>14</v>
      </c>
      <c r="S6" s="103"/>
      <c r="T6" s="103"/>
      <c r="U6" s="104"/>
      <c r="V6" s="102" t="s">
        <v>15</v>
      </c>
      <c r="W6" s="103"/>
      <c r="X6" s="103"/>
      <c r="Y6" s="104"/>
      <c r="Z6" s="102" t="s">
        <v>16</v>
      </c>
      <c r="AA6" s="103"/>
      <c r="AB6" s="103"/>
      <c r="AC6" s="104"/>
      <c r="AD6" s="102" t="s">
        <v>17</v>
      </c>
      <c r="AE6" s="103"/>
      <c r="AF6" s="103"/>
      <c r="AG6" s="104"/>
      <c r="AH6" s="102" t="s">
        <v>18</v>
      </c>
      <c r="AI6" s="103"/>
      <c r="AJ6" s="103"/>
      <c r="AK6" s="104"/>
      <c r="AL6" s="102" t="s">
        <v>19</v>
      </c>
      <c r="AM6" s="103"/>
      <c r="AN6" s="103"/>
      <c r="AO6" s="104"/>
      <c r="AP6" s="102" t="s">
        <v>20</v>
      </c>
      <c r="AQ6" s="103"/>
      <c r="AR6" s="103"/>
      <c r="AS6" s="104"/>
      <c r="AT6" s="102" t="s">
        <v>21</v>
      </c>
      <c r="AU6" s="103"/>
      <c r="AV6" s="103"/>
      <c r="AW6" s="104"/>
      <c r="AX6" s="102" t="s">
        <v>22</v>
      </c>
      <c r="AY6" s="103"/>
      <c r="AZ6" s="103"/>
      <c r="BA6" s="104"/>
      <c r="BB6" s="112" t="s">
        <v>23</v>
      </c>
      <c r="BC6" s="103"/>
      <c r="BD6" s="104"/>
      <c r="BE6" s="151" t="s">
        <v>24</v>
      </c>
      <c r="BF6" s="126" t="s">
        <v>25</v>
      </c>
    </row>
    <row r="7" spans="1:58" ht="18" customHeight="1" x14ac:dyDescent="0.2">
      <c r="A7" s="106"/>
      <c r="B7" s="99"/>
      <c r="C7" s="100"/>
      <c r="D7" s="100"/>
      <c r="E7" s="101"/>
      <c r="F7" s="12">
        <v>1</v>
      </c>
      <c r="G7" s="12">
        <v>2</v>
      </c>
      <c r="H7" s="12">
        <v>3</v>
      </c>
      <c r="I7" s="12">
        <v>4</v>
      </c>
      <c r="J7" s="12">
        <v>1</v>
      </c>
      <c r="K7" s="12">
        <v>2</v>
      </c>
      <c r="L7" s="12">
        <v>3</v>
      </c>
      <c r="M7" s="12">
        <v>4</v>
      </c>
      <c r="N7" s="12">
        <v>1</v>
      </c>
      <c r="O7" s="12">
        <v>2</v>
      </c>
      <c r="P7" s="12">
        <v>3</v>
      </c>
      <c r="Q7" s="12">
        <v>4</v>
      </c>
      <c r="R7" s="12">
        <v>1</v>
      </c>
      <c r="S7" s="12">
        <v>2</v>
      </c>
      <c r="T7" s="12">
        <v>3</v>
      </c>
      <c r="U7" s="12">
        <v>4</v>
      </c>
      <c r="V7" s="13">
        <v>1</v>
      </c>
      <c r="W7" s="13">
        <v>2</v>
      </c>
      <c r="X7" s="13">
        <v>3</v>
      </c>
      <c r="Y7" s="13">
        <v>4</v>
      </c>
      <c r="Z7" s="12">
        <v>1</v>
      </c>
      <c r="AA7" s="12">
        <v>2</v>
      </c>
      <c r="AB7" s="12">
        <v>3</v>
      </c>
      <c r="AC7" s="12">
        <v>4</v>
      </c>
      <c r="AD7" s="12">
        <v>1</v>
      </c>
      <c r="AE7" s="12">
        <v>2</v>
      </c>
      <c r="AF7" s="12">
        <v>3</v>
      </c>
      <c r="AG7" s="12">
        <v>4</v>
      </c>
      <c r="AH7" s="12">
        <v>1</v>
      </c>
      <c r="AI7" s="12">
        <v>2</v>
      </c>
      <c r="AJ7" s="12">
        <v>3</v>
      </c>
      <c r="AK7" s="12">
        <v>4</v>
      </c>
      <c r="AL7" s="12">
        <v>1</v>
      </c>
      <c r="AM7" s="12">
        <v>2</v>
      </c>
      <c r="AN7" s="12">
        <v>3</v>
      </c>
      <c r="AO7" s="12">
        <v>4</v>
      </c>
      <c r="AP7" s="12">
        <v>1</v>
      </c>
      <c r="AQ7" s="12">
        <v>2</v>
      </c>
      <c r="AR7" s="12">
        <v>3</v>
      </c>
      <c r="AS7" s="12">
        <v>4</v>
      </c>
      <c r="AT7" s="12">
        <v>1</v>
      </c>
      <c r="AU7" s="12">
        <v>2</v>
      </c>
      <c r="AV7" s="12">
        <v>3</v>
      </c>
      <c r="AW7" s="12">
        <v>4</v>
      </c>
      <c r="AX7" s="12">
        <v>1</v>
      </c>
      <c r="AY7" s="12">
        <v>2</v>
      </c>
      <c r="AZ7" s="12">
        <v>3</v>
      </c>
      <c r="BA7" s="12">
        <v>4</v>
      </c>
      <c r="BB7" s="14" t="s">
        <v>1</v>
      </c>
      <c r="BC7" s="15" t="s">
        <v>26</v>
      </c>
      <c r="BD7" s="15" t="s">
        <v>27</v>
      </c>
      <c r="BE7" s="106"/>
      <c r="BF7" s="125"/>
    </row>
    <row r="8" spans="1:58" ht="20.25" customHeight="1" x14ac:dyDescent="0.2">
      <c r="A8" s="133" t="s">
        <v>28</v>
      </c>
      <c r="B8" s="96" t="s">
        <v>29</v>
      </c>
      <c r="C8" s="97"/>
      <c r="D8" s="97"/>
      <c r="E8" s="98"/>
      <c r="F8" s="16"/>
      <c r="G8" s="16"/>
      <c r="H8" s="16"/>
      <c r="I8" s="16"/>
      <c r="J8" s="16" t="s">
        <v>2</v>
      </c>
      <c r="K8" s="17"/>
      <c r="L8" s="16"/>
      <c r="M8" s="16"/>
      <c r="N8" s="16"/>
      <c r="O8" s="16"/>
      <c r="P8" s="16"/>
      <c r="Q8" s="16"/>
      <c r="R8" s="16"/>
      <c r="S8" s="16"/>
      <c r="T8" s="16" t="s">
        <v>2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 t="s">
        <v>2</v>
      </c>
      <c r="AN8" s="18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05">
        <f>COUNTIF(F8:BA8,$H$5)</f>
        <v>3</v>
      </c>
      <c r="BC8" s="105">
        <f>COUNTIF(F9:BA9,$Q$5)</f>
        <v>3</v>
      </c>
      <c r="BD8" s="107">
        <f>IFERROR(BC8/BB8,"")</f>
        <v>1</v>
      </c>
      <c r="BE8" s="19">
        <v>60000</v>
      </c>
      <c r="BF8" s="129" t="s">
        <v>104</v>
      </c>
    </row>
    <row r="9" spans="1:58" ht="20.25" customHeight="1" x14ac:dyDescent="0.2">
      <c r="A9" s="106"/>
      <c r="B9" s="99"/>
      <c r="C9" s="100"/>
      <c r="D9" s="100"/>
      <c r="E9" s="101"/>
      <c r="F9" s="16"/>
      <c r="G9" s="16"/>
      <c r="H9" s="16"/>
      <c r="I9" s="16"/>
      <c r="J9" s="16" t="s">
        <v>4</v>
      </c>
      <c r="K9" s="16"/>
      <c r="L9" s="16"/>
      <c r="M9" s="16"/>
      <c r="N9" s="16"/>
      <c r="O9" s="16"/>
      <c r="P9" s="16"/>
      <c r="Q9" s="16"/>
      <c r="R9" s="16"/>
      <c r="S9" s="16"/>
      <c r="T9" s="16" t="s">
        <v>4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 t="s">
        <v>4</v>
      </c>
      <c r="AN9" s="18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06"/>
      <c r="BC9" s="106"/>
      <c r="BD9" s="106"/>
      <c r="BE9" s="19"/>
      <c r="BF9" s="101"/>
    </row>
    <row r="10" spans="1:58" ht="20.25" customHeight="1" x14ac:dyDescent="0.2">
      <c r="A10" s="133" t="s">
        <v>30</v>
      </c>
      <c r="B10" s="96" t="s">
        <v>31</v>
      </c>
      <c r="C10" s="97"/>
      <c r="D10" s="97"/>
      <c r="E10" s="98"/>
      <c r="F10" s="16"/>
      <c r="G10" s="16"/>
      <c r="H10" s="16"/>
      <c r="I10" s="16"/>
      <c r="J10" s="16"/>
      <c r="K10" s="17"/>
      <c r="L10" s="16" t="s">
        <v>2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05">
        <f>COUNTIF(F10:BA10,$H$5)</f>
        <v>1</v>
      </c>
      <c r="BC10" s="105">
        <f>COUNTIF(F11:BA11,$Q$5)</f>
        <v>1</v>
      </c>
      <c r="BD10" s="107">
        <f>IFERROR(BC10/BB10,"")</f>
        <v>1</v>
      </c>
      <c r="BE10" s="19">
        <v>120000</v>
      </c>
      <c r="BF10" s="129" t="s">
        <v>104</v>
      </c>
    </row>
    <row r="11" spans="1:58" ht="20.25" customHeight="1" x14ac:dyDescent="0.2">
      <c r="A11" s="106"/>
      <c r="B11" s="99"/>
      <c r="C11" s="100"/>
      <c r="D11" s="100"/>
      <c r="E11" s="101"/>
      <c r="F11" s="16"/>
      <c r="G11" s="16"/>
      <c r="H11" s="16"/>
      <c r="I11" s="16"/>
      <c r="J11" s="16"/>
      <c r="K11" s="16"/>
      <c r="L11" s="16" t="s">
        <v>4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8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06"/>
      <c r="BC11" s="106"/>
      <c r="BD11" s="106"/>
      <c r="BE11" s="19"/>
      <c r="BF11" s="101"/>
    </row>
    <row r="12" spans="1:58" ht="20.25" customHeight="1" x14ac:dyDescent="0.2">
      <c r="A12" s="133" t="s">
        <v>32</v>
      </c>
      <c r="B12" s="96" t="s">
        <v>33</v>
      </c>
      <c r="C12" s="97"/>
      <c r="D12" s="97"/>
      <c r="E12" s="98"/>
      <c r="F12" s="16"/>
      <c r="G12" s="16"/>
      <c r="H12" s="16"/>
      <c r="I12" s="16"/>
      <c r="J12" s="16"/>
      <c r="K12" s="16" t="s">
        <v>2</v>
      </c>
      <c r="L12" s="16"/>
      <c r="M12" s="16"/>
      <c r="N12" s="16"/>
      <c r="O12" s="16"/>
      <c r="P12" s="16"/>
      <c r="Q12" s="16" t="s">
        <v>2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8"/>
      <c r="AO12" s="16"/>
      <c r="AP12" s="16"/>
      <c r="AQ12" s="16"/>
      <c r="AR12" s="16"/>
      <c r="AS12" s="16"/>
      <c r="AT12" s="16"/>
      <c r="AU12" s="16" t="s">
        <v>2</v>
      </c>
      <c r="AV12" s="16"/>
      <c r="AW12" s="16"/>
      <c r="AX12" s="16"/>
      <c r="AY12" s="16"/>
      <c r="AZ12" s="16"/>
      <c r="BA12" s="16"/>
      <c r="BB12" s="105">
        <f>COUNTIF(F12:BA12,$H$5)</f>
        <v>3</v>
      </c>
      <c r="BC12" s="105">
        <f>COUNTIF(F13:BA13,$Q$5)</f>
        <v>3</v>
      </c>
      <c r="BD12" s="107">
        <f>IFERROR(BC12/BB12,"")</f>
        <v>1</v>
      </c>
      <c r="BE12" s="19">
        <v>1300000</v>
      </c>
      <c r="BF12" s="129" t="s">
        <v>106</v>
      </c>
    </row>
    <row r="13" spans="1:58" ht="20.25" customHeight="1" x14ac:dyDescent="0.2">
      <c r="A13" s="106"/>
      <c r="B13" s="99"/>
      <c r="C13" s="100"/>
      <c r="D13" s="100"/>
      <c r="E13" s="101"/>
      <c r="F13" s="16"/>
      <c r="G13" s="16"/>
      <c r="H13" s="16"/>
      <c r="I13" s="16"/>
      <c r="J13" s="16"/>
      <c r="K13" s="16" t="s">
        <v>4</v>
      </c>
      <c r="L13" s="16"/>
      <c r="M13" s="16"/>
      <c r="N13" s="16"/>
      <c r="O13" s="16"/>
      <c r="P13" s="16"/>
      <c r="Q13" s="16" t="s">
        <v>4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8"/>
      <c r="AO13" s="16"/>
      <c r="AP13" s="16"/>
      <c r="AQ13" s="16"/>
      <c r="AR13" s="16"/>
      <c r="AS13" s="16"/>
      <c r="AT13" s="16"/>
      <c r="AU13" s="16" t="s">
        <v>4</v>
      </c>
      <c r="AV13" s="16"/>
      <c r="AW13" s="16"/>
      <c r="AX13" s="16"/>
      <c r="AY13" s="16"/>
      <c r="AZ13" s="16"/>
      <c r="BA13" s="16"/>
      <c r="BB13" s="106"/>
      <c r="BC13" s="106"/>
      <c r="BD13" s="106"/>
      <c r="BE13" s="19">
        <v>2098000</v>
      </c>
      <c r="BF13" s="101"/>
    </row>
    <row r="14" spans="1:58" ht="20.25" customHeight="1" x14ac:dyDescent="0.2">
      <c r="A14" s="133" t="s">
        <v>34</v>
      </c>
      <c r="B14" s="150" t="s">
        <v>107</v>
      </c>
      <c r="C14" s="97"/>
      <c r="D14" s="97"/>
      <c r="E14" s="98"/>
      <c r="F14" s="16"/>
      <c r="G14" s="16"/>
      <c r="H14" s="16"/>
      <c r="I14" s="16"/>
      <c r="J14" s="16"/>
      <c r="K14" s="16"/>
      <c r="L14" s="16"/>
      <c r="M14" s="16" t="s">
        <v>2</v>
      </c>
      <c r="N14" s="16"/>
      <c r="O14" s="16"/>
      <c r="P14" s="16"/>
      <c r="Q14" s="16"/>
      <c r="R14" s="16"/>
      <c r="S14" s="16"/>
      <c r="T14" s="16"/>
      <c r="U14" s="16" t="s">
        <v>2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8"/>
      <c r="AO14" s="16"/>
      <c r="AP14" s="16" t="s">
        <v>2</v>
      </c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05">
        <f>COUNTIF(F14:BA14,$H$5)</f>
        <v>3</v>
      </c>
      <c r="BC14" s="105">
        <f>COUNTIF(F15:BA15,$Q$5)</f>
        <v>3</v>
      </c>
      <c r="BD14" s="107">
        <f>IFERROR(BC14/BB14,"")</f>
        <v>1</v>
      </c>
      <c r="BE14" s="19">
        <v>905000</v>
      </c>
      <c r="BF14" s="129" t="s">
        <v>106</v>
      </c>
    </row>
    <row r="15" spans="1:58" ht="20.25" customHeight="1" x14ac:dyDescent="0.2">
      <c r="A15" s="106"/>
      <c r="B15" s="99"/>
      <c r="C15" s="100"/>
      <c r="D15" s="100"/>
      <c r="E15" s="101"/>
      <c r="F15" s="16"/>
      <c r="G15" s="16"/>
      <c r="H15" s="16"/>
      <c r="I15" s="16"/>
      <c r="J15" s="16"/>
      <c r="K15" s="16"/>
      <c r="L15" s="16"/>
      <c r="M15" s="16" t="s">
        <v>4</v>
      </c>
      <c r="N15" s="16"/>
      <c r="O15" s="16"/>
      <c r="P15" s="16"/>
      <c r="Q15" s="16"/>
      <c r="R15" s="16"/>
      <c r="S15" s="16"/>
      <c r="T15" s="16"/>
      <c r="U15" s="16" t="s">
        <v>4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8"/>
      <c r="AO15" s="16"/>
      <c r="AP15" s="16" t="s">
        <v>4</v>
      </c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06"/>
      <c r="BC15" s="106"/>
      <c r="BD15" s="106"/>
      <c r="BE15" s="19"/>
      <c r="BF15" s="101"/>
    </row>
    <row r="16" spans="1:58" ht="20.25" customHeight="1" x14ac:dyDescent="0.2">
      <c r="A16" s="133" t="s">
        <v>35</v>
      </c>
      <c r="B16" s="96" t="s">
        <v>36</v>
      </c>
      <c r="C16" s="97"/>
      <c r="D16" s="97"/>
      <c r="E16" s="98"/>
      <c r="F16" s="16"/>
      <c r="G16" s="16"/>
      <c r="H16" s="16"/>
      <c r="I16" s="16"/>
      <c r="J16" s="16" t="s">
        <v>2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8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05">
        <f>COUNTIF(F16:BA16,$H$5)</f>
        <v>1</v>
      </c>
      <c r="BC16" s="105">
        <f>COUNTIF(F17:BA17,$Q$5)</f>
        <v>1</v>
      </c>
      <c r="BD16" s="107">
        <f>IFERROR(BC16/BB16,"")</f>
        <v>1</v>
      </c>
      <c r="BE16" s="19">
        <v>773000</v>
      </c>
      <c r="BF16" s="129" t="s">
        <v>106</v>
      </c>
    </row>
    <row r="17" spans="1:58" ht="20.25" customHeight="1" x14ac:dyDescent="0.2">
      <c r="A17" s="106"/>
      <c r="B17" s="99"/>
      <c r="C17" s="100"/>
      <c r="D17" s="100"/>
      <c r="E17" s="101"/>
      <c r="F17" s="16"/>
      <c r="G17" s="16"/>
      <c r="H17" s="16"/>
      <c r="I17" s="16"/>
      <c r="J17" s="16" t="s">
        <v>4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8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06"/>
      <c r="BC17" s="106"/>
      <c r="BD17" s="106"/>
      <c r="BE17" s="19">
        <v>652000</v>
      </c>
      <c r="BF17" s="101"/>
    </row>
    <row r="18" spans="1:58" ht="20.25" customHeight="1" x14ac:dyDescent="0.2">
      <c r="A18" s="133" t="s">
        <v>37</v>
      </c>
      <c r="B18" s="96" t="s">
        <v>38</v>
      </c>
      <c r="C18" s="97"/>
      <c r="D18" s="97"/>
      <c r="E18" s="98"/>
      <c r="F18" s="16"/>
      <c r="G18" s="16"/>
      <c r="H18" s="16"/>
      <c r="I18" s="16"/>
      <c r="J18" s="16"/>
      <c r="K18" s="16" t="s">
        <v>2</v>
      </c>
      <c r="L18" s="16"/>
      <c r="M18" s="16"/>
      <c r="N18" s="16"/>
      <c r="O18" s="16"/>
      <c r="P18" s="16"/>
      <c r="Q18" s="16" t="s">
        <v>2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8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05">
        <f>COUNTIF(F18:BA18,$H$5)</f>
        <v>2</v>
      </c>
      <c r="BC18" s="105">
        <f>COUNTIF(F19:BA19,$Q$5)</f>
        <v>2</v>
      </c>
      <c r="BD18" s="107">
        <f>IFERROR(BC18/BB18,"")</f>
        <v>1</v>
      </c>
      <c r="BE18" s="19">
        <v>216667</v>
      </c>
      <c r="BF18" s="129" t="s">
        <v>106</v>
      </c>
    </row>
    <row r="19" spans="1:58" ht="20.25" customHeight="1" x14ac:dyDescent="0.2">
      <c r="A19" s="106"/>
      <c r="B19" s="99"/>
      <c r="C19" s="100"/>
      <c r="D19" s="100"/>
      <c r="E19" s="101"/>
      <c r="F19" s="16"/>
      <c r="G19" s="16"/>
      <c r="H19" s="16"/>
      <c r="I19" s="16"/>
      <c r="J19" s="16"/>
      <c r="K19" s="16" t="s">
        <v>4</v>
      </c>
      <c r="L19" s="16"/>
      <c r="M19" s="16"/>
      <c r="N19" s="16"/>
      <c r="O19" s="16"/>
      <c r="P19" s="16"/>
      <c r="Q19" s="16" t="s">
        <v>4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8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06"/>
      <c r="BC19" s="106"/>
      <c r="BD19" s="106"/>
      <c r="BE19" s="19">
        <v>270000</v>
      </c>
      <c r="BF19" s="101"/>
    </row>
    <row r="20" spans="1:58" ht="19.5" customHeight="1" x14ac:dyDescent="0.2">
      <c r="A20" s="117" t="s">
        <v>39</v>
      </c>
      <c r="B20" s="103"/>
      <c r="C20" s="103"/>
      <c r="D20" s="132"/>
      <c r="E20" s="20"/>
      <c r="F20" s="118">
        <f>COUNTIF(F8:I19,"P")</f>
        <v>0</v>
      </c>
      <c r="G20" s="103"/>
      <c r="H20" s="103"/>
      <c r="I20" s="104"/>
      <c r="J20" s="118">
        <f>COUNTIF(J8:M19,"P")</f>
        <v>6</v>
      </c>
      <c r="K20" s="103"/>
      <c r="L20" s="103"/>
      <c r="M20" s="104"/>
      <c r="N20" s="118">
        <f>COUNTIF(N8:Q19,"P")</f>
        <v>2</v>
      </c>
      <c r="O20" s="103"/>
      <c r="P20" s="103"/>
      <c r="Q20" s="104"/>
      <c r="R20" s="118">
        <f>COUNTIF(R8:U19,"P")</f>
        <v>2</v>
      </c>
      <c r="S20" s="103"/>
      <c r="T20" s="103"/>
      <c r="U20" s="104"/>
      <c r="V20" s="118">
        <f>COUNTIF(V8:Y19,"P")</f>
        <v>0</v>
      </c>
      <c r="W20" s="103"/>
      <c r="X20" s="103"/>
      <c r="Y20" s="104"/>
      <c r="Z20" s="118">
        <f>COUNTIF(Z8:AC19,"P")</f>
        <v>0</v>
      </c>
      <c r="AA20" s="103"/>
      <c r="AB20" s="103"/>
      <c r="AC20" s="104"/>
      <c r="AD20" s="118">
        <f>COUNTIF(AD8:AG19,"P")</f>
        <v>0</v>
      </c>
      <c r="AE20" s="103"/>
      <c r="AF20" s="103"/>
      <c r="AG20" s="104"/>
      <c r="AH20" s="118">
        <f>COUNTIF(AH8:AK19,"P")</f>
        <v>0</v>
      </c>
      <c r="AI20" s="103"/>
      <c r="AJ20" s="103"/>
      <c r="AK20" s="104"/>
      <c r="AL20" s="118">
        <f>COUNTIF(AL8:AO19,"P")</f>
        <v>1</v>
      </c>
      <c r="AM20" s="103"/>
      <c r="AN20" s="103"/>
      <c r="AO20" s="104"/>
      <c r="AP20" s="118">
        <f>COUNTIF(AP8:AS19,"P")</f>
        <v>1</v>
      </c>
      <c r="AQ20" s="103"/>
      <c r="AR20" s="103"/>
      <c r="AS20" s="104"/>
      <c r="AT20" s="118">
        <f>COUNTIF(AT8:AW19,"P")</f>
        <v>1</v>
      </c>
      <c r="AU20" s="103"/>
      <c r="AV20" s="103"/>
      <c r="AW20" s="104"/>
      <c r="AX20" s="118">
        <f>COUNTIF(AX8:BA19,"P")</f>
        <v>0</v>
      </c>
      <c r="AY20" s="103"/>
      <c r="AZ20" s="103"/>
      <c r="BA20" s="104"/>
      <c r="BB20" s="120" t="s">
        <v>40</v>
      </c>
      <c r="BC20" s="121"/>
      <c r="BD20" s="107">
        <f>+SUM(BC8:BC19)/SUM(BB8:BB19)</f>
        <v>1</v>
      </c>
      <c r="BE20" s="19">
        <v>0</v>
      </c>
      <c r="BF20" s="21"/>
    </row>
    <row r="21" spans="1:58" ht="19.5" customHeight="1" x14ac:dyDescent="0.2">
      <c r="A21" s="115" t="s">
        <v>41</v>
      </c>
      <c r="B21" s="103"/>
      <c r="C21" s="103"/>
      <c r="D21" s="132"/>
      <c r="E21" s="22"/>
      <c r="F21" s="118">
        <f>COUNTIF(F8:I19,"R")</f>
        <v>0</v>
      </c>
      <c r="G21" s="103"/>
      <c r="H21" s="103"/>
      <c r="I21" s="104"/>
      <c r="J21" s="118">
        <f>COUNTIF(J8:M19,"R")</f>
        <v>6</v>
      </c>
      <c r="K21" s="103"/>
      <c r="L21" s="103"/>
      <c r="M21" s="104"/>
      <c r="N21" s="118">
        <f>COUNTIF(N8:Q19,"R")</f>
        <v>2</v>
      </c>
      <c r="O21" s="103"/>
      <c r="P21" s="103"/>
      <c r="Q21" s="104"/>
      <c r="R21" s="118">
        <f>COUNTIF(R8:U19,"R")</f>
        <v>2</v>
      </c>
      <c r="S21" s="103"/>
      <c r="T21" s="103"/>
      <c r="U21" s="104"/>
      <c r="V21" s="118">
        <f>COUNTIF(V8:Y19,"R")</f>
        <v>0</v>
      </c>
      <c r="W21" s="103"/>
      <c r="X21" s="103"/>
      <c r="Y21" s="104"/>
      <c r="Z21" s="118">
        <f>COUNTIF(Z8:AC19,"R")</f>
        <v>0</v>
      </c>
      <c r="AA21" s="103"/>
      <c r="AB21" s="103"/>
      <c r="AC21" s="104"/>
      <c r="AD21" s="118">
        <f>COUNTIF(AD8:AG19,"R")</f>
        <v>0</v>
      </c>
      <c r="AE21" s="103"/>
      <c r="AF21" s="103"/>
      <c r="AG21" s="104"/>
      <c r="AH21" s="118">
        <f>COUNTIF(AH8:AK19,"R")</f>
        <v>0</v>
      </c>
      <c r="AI21" s="103"/>
      <c r="AJ21" s="103"/>
      <c r="AK21" s="104"/>
      <c r="AL21" s="118">
        <f>COUNTIF(AL8:AO19,"R")</f>
        <v>1</v>
      </c>
      <c r="AM21" s="103"/>
      <c r="AN21" s="103"/>
      <c r="AO21" s="104"/>
      <c r="AP21" s="118">
        <f>COUNTIF(AP8:AS19,"R")</f>
        <v>1</v>
      </c>
      <c r="AQ21" s="103"/>
      <c r="AR21" s="103"/>
      <c r="AS21" s="104"/>
      <c r="AT21" s="118">
        <f>COUNTIF(AT8:AW19,"R")</f>
        <v>1</v>
      </c>
      <c r="AU21" s="103"/>
      <c r="AV21" s="103"/>
      <c r="AW21" s="104"/>
      <c r="AX21" s="118">
        <f>COUNTIF(AX8:BA19,"R")</f>
        <v>0</v>
      </c>
      <c r="AY21" s="103"/>
      <c r="AZ21" s="103"/>
      <c r="BA21" s="104"/>
      <c r="BB21" s="99"/>
      <c r="BC21" s="122"/>
      <c r="BD21" s="106"/>
      <c r="BE21" s="19">
        <v>0</v>
      </c>
      <c r="BF21" s="23"/>
    </row>
    <row r="22" spans="1:58" ht="15" customHeight="1" x14ac:dyDescent="0.2">
      <c r="A22" s="127" t="s">
        <v>42</v>
      </c>
      <c r="B22" s="128" t="s">
        <v>10</v>
      </c>
      <c r="C22" s="97"/>
      <c r="D22" s="97"/>
      <c r="E22" s="98"/>
      <c r="F22" s="102" t="s">
        <v>11</v>
      </c>
      <c r="G22" s="103"/>
      <c r="H22" s="103"/>
      <c r="I22" s="104"/>
      <c r="J22" s="102" t="s">
        <v>12</v>
      </c>
      <c r="K22" s="103"/>
      <c r="L22" s="103"/>
      <c r="M22" s="104"/>
      <c r="N22" s="102" t="s">
        <v>13</v>
      </c>
      <c r="O22" s="103"/>
      <c r="P22" s="103"/>
      <c r="Q22" s="104"/>
      <c r="R22" s="102" t="s">
        <v>14</v>
      </c>
      <c r="S22" s="103"/>
      <c r="T22" s="103"/>
      <c r="U22" s="104"/>
      <c r="V22" s="102" t="s">
        <v>15</v>
      </c>
      <c r="W22" s="103"/>
      <c r="X22" s="103"/>
      <c r="Y22" s="104"/>
      <c r="Z22" s="102" t="s">
        <v>16</v>
      </c>
      <c r="AA22" s="103"/>
      <c r="AB22" s="103"/>
      <c r="AC22" s="104"/>
      <c r="AD22" s="102" t="s">
        <v>17</v>
      </c>
      <c r="AE22" s="103"/>
      <c r="AF22" s="103"/>
      <c r="AG22" s="104"/>
      <c r="AH22" s="102" t="s">
        <v>18</v>
      </c>
      <c r="AI22" s="103"/>
      <c r="AJ22" s="103"/>
      <c r="AK22" s="104"/>
      <c r="AL22" s="102" t="s">
        <v>19</v>
      </c>
      <c r="AM22" s="103"/>
      <c r="AN22" s="103"/>
      <c r="AO22" s="104"/>
      <c r="AP22" s="102" t="s">
        <v>20</v>
      </c>
      <c r="AQ22" s="103"/>
      <c r="AR22" s="103"/>
      <c r="AS22" s="104"/>
      <c r="AT22" s="102" t="s">
        <v>21</v>
      </c>
      <c r="AU22" s="103"/>
      <c r="AV22" s="103"/>
      <c r="AW22" s="104"/>
      <c r="AX22" s="102" t="s">
        <v>22</v>
      </c>
      <c r="AY22" s="103"/>
      <c r="AZ22" s="103"/>
      <c r="BA22" s="104"/>
      <c r="BB22" s="112" t="s">
        <v>23</v>
      </c>
      <c r="BC22" s="103"/>
      <c r="BD22" s="104"/>
      <c r="BE22" s="124">
        <f>BE8+BE10+BE11+BE16+BE17+BE18+BE19</f>
        <v>2091667</v>
      </c>
      <c r="BF22" s="126" t="s">
        <v>25</v>
      </c>
    </row>
    <row r="23" spans="1:58" ht="17.25" customHeight="1" x14ac:dyDescent="0.2">
      <c r="A23" s="106"/>
      <c r="B23" s="99"/>
      <c r="C23" s="100"/>
      <c r="D23" s="100"/>
      <c r="E23" s="101"/>
      <c r="F23" s="12">
        <v>1</v>
      </c>
      <c r="G23" s="12">
        <v>2</v>
      </c>
      <c r="H23" s="12">
        <v>3</v>
      </c>
      <c r="I23" s="12">
        <v>4</v>
      </c>
      <c r="J23" s="12">
        <v>1</v>
      </c>
      <c r="K23" s="12">
        <v>2</v>
      </c>
      <c r="L23" s="12">
        <v>3</v>
      </c>
      <c r="M23" s="12">
        <v>4</v>
      </c>
      <c r="N23" s="12">
        <v>1</v>
      </c>
      <c r="O23" s="12">
        <v>2</v>
      </c>
      <c r="P23" s="12">
        <v>3</v>
      </c>
      <c r="Q23" s="12">
        <v>4</v>
      </c>
      <c r="R23" s="12">
        <v>1</v>
      </c>
      <c r="S23" s="12">
        <v>2</v>
      </c>
      <c r="T23" s="12">
        <v>3</v>
      </c>
      <c r="U23" s="12">
        <v>4</v>
      </c>
      <c r="V23" s="13">
        <v>1</v>
      </c>
      <c r="W23" s="13">
        <v>2</v>
      </c>
      <c r="X23" s="13">
        <v>3</v>
      </c>
      <c r="Y23" s="13">
        <v>4</v>
      </c>
      <c r="Z23" s="12">
        <v>1</v>
      </c>
      <c r="AA23" s="12">
        <v>2</v>
      </c>
      <c r="AB23" s="12">
        <v>3</v>
      </c>
      <c r="AC23" s="12">
        <v>4</v>
      </c>
      <c r="AD23" s="12">
        <v>1</v>
      </c>
      <c r="AE23" s="12">
        <v>2</v>
      </c>
      <c r="AF23" s="12">
        <v>3</v>
      </c>
      <c r="AG23" s="12">
        <v>4</v>
      </c>
      <c r="AH23" s="12">
        <v>1</v>
      </c>
      <c r="AI23" s="12">
        <v>2</v>
      </c>
      <c r="AJ23" s="12">
        <v>3</v>
      </c>
      <c r="AK23" s="12">
        <v>4</v>
      </c>
      <c r="AL23" s="12">
        <v>1</v>
      </c>
      <c r="AM23" s="12">
        <v>2</v>
      </c>
      <c r="AN23" s="12">
        <v>3</v>
      </c>
      <c r="AO23" s="12">
        <v>4</v>
      </c>
      <c r="AP23" s="12">
        <v>1</v>
      </c>
      <c r="AQ23" s="12">
        <v>2</v>
      </c>
      <c r="AR23" s="12">
        <v>3</v>
      </c>
      <c r="AS23" s="12">
        <v>4</v>
      </c>
      <c r="AT23" s="12">
        <v>1</v>
      </c>
      <c r="AU23" s="12">
        <v>2</v>
      </c>
      <c r="AV23" s="12">
        <v>3</v>
      </c>
      <c r="AW23" s="12">
        <v>4</v>
      </c>
      <c r="AX23" s="12">
        <v>1</v>
      </c>
      <c r="AY23" s="12">
        <v>2</v>
      </c>
      <c r="AZ23" s="12">
        <v>3</v>
      </c>
      <c r="BA23" s="12">
        <v>4</v>
      </c>
      <c r="BB23" s="14" t="s">
        <v>1</v>
      </c>
      <c r="BC23" s="15" t="s">
        <v>26</v>
      </c>
      <c r="BD23" s="15" t="s">
        <v>27</v>
      </c>
      <c r="BE23" s="125"/>
      <c r="BF23" s="125"/>
    </row>
    <row r="24" spans="1:58" ht="20.25" customHeight="1" x14ac:dyDescent="0.2">
      <c r="A24" s="133" t="s">
        <v>43</v>
      </c>
      <c r="B24" s="96" t="s">
        <v>44</v>
      </c>
      <c r="C24" s="97"/>
      <c r="D24" s="97"/>
      <c r="E24" s="98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2</v>
      </c>
      <c r="V24" s="16"/>
      <c r="W24" s="16"/>
      <c r="X24" s="16"/>
      <c r="Y24" s="16"/>
      <c r="Z24" s="17"/>
      <c r="AA24" s="16"/>
      <c r="AB24" s="17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7"/>
      <c r="AP24" s="16"/>
      <c r="AQ24" s="16"/>
      <c r="AR24" s="16"/>
      <c r="AS24" s="16" t="s">
        <v>2</v>
      </c>
      <c r="AT24" s="16"/>
      <c r="AU24" s="16"/>
      <c r="AV24" s="16"/>
      <c r="AW24" s="17"/>
      <c r="AX24" s="16"/>
      <c r="AY24" s="16"/>
      <c r="AZ24" s="16"/>
      <c r="BA24" s="16"/>
      <c r="BB24" s="105">
        <f>COUNTIF(F24:BA24,$H$5)</f>
        <v>2</v>
      </c>
      <c r="BC24" s="105">
        <f>COUNTIF(F25:BA25,$Q$5)</f>
        <v>2</v>
      </c>
      <c r="BD24" s="107">
        <f>IFERROR(BC24/BB24,"")</f>
        <v>1</v>
      </c>
      <c r="BE24" s="19"/>
      <c r="BF24" s="129" t="s">
        <v>90</v>
      </c>
    </row>
    <row r="25" spans="1:58" ht="20.25" customHeight="1" x14ac:dyDescent="0.2">
      <c r="A25" s="106"/>
      <c r="B25" s="99"/>
      <c r="C25" s="100"/>
      <c r="D25" s="100"/>
      <c r="E25" s="101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4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4</v>
      </c>
      <c r="AT25" s="16"/>
      <c r="AU25" s="16"/>
      <c r="AV25" s="16"/>
      <c r="AW25" s="16"/>
      <c r="AX25" s="16"/>
      <c r="AY25" s="16"/>
      <c r="AZ25" s="16"/>
      <c r="BA25" s="16"/>
      <c r="BB25" s="106"/>
      <c r="BC25" s="106"/>
      <c r="BD25" s="106"/>
      <c r="BE25" s="19">
        <v>0</v>
      </c>
      <c r="BF25" s="101"/>
    </row>
    <row r="26" spans="1:58" ht="20.25" customHeight="1" x14ac:dyDescent="0.2">
      <c r="A26" s="133" t="s">
        <v>45</v>
      </c>
      <c r="B26" s="96" t="s">
        <v>44</v>
      </c>
      <c r="C26" s="97"/>
      <c r="D26" s="97"/>
      <c r="E26" s="98"/>
      <c r="F26" s="16"/>
      <c r="G26" s="16"/>
      <c r="H26" s="16"/>
      <c r="I26" s="16"/>
      <c r="J26" s="16"/>
      <c r="K26" s="16"/>
      <c r="L26" s="16"/>
      <c r="M26" s="16"/>
      <c r="N26" s="16" t="s">
        <v>2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 t="s">
        <v>2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6"/>
      <c r="AS26" s="16"/>
      <c r="AT26" s="16"/>
      <c r="AU26" s="16"/>
      <c r="AV26" s="16"/>
      <c r="AW26" s="16"/>
      <c r="AX26" s="16"/>
      <c r="AY26" s="16" t="s">
        <v>2</v>
      </c>
      <c r="AZ26" s="16"/>
      <c r="BA26" s="16"/>
      <c r="BB26" s="105">
        <f>COUNTIF(F26:BA26,$H$5)</f>
        <v>3</v>
      </c>
      <c r="BC26" s="105">
        <f>COUNTIF(F27:BA27,$Q$5)</f>
        <v>3</v>
      </c>
      <c r="BD26" s="107">
        <f>IFERROR(BC26/BB26,"")</f>
        <v>1</v>
      </c>
      <c r="BE26" s="19">
        <v>1122400</v>
      </c>
      <c r="BF26" s="86" t="s">
        <v>89</v>
      </c>
    </row>
    <row r="27" spans="1:58" ht="20.25" customHeight="1" x14ac:dyDescent="0.2">
      <c r="A27" s="106"/>
      <c r="B27" s="99"/>
      <c r="C27" s="100"/>
      <c r="D27" s="100"/>
      <c r="E27" s="101"/>
      <c r="F27" s="16"/>
      <c r="G27" s="16"/>
      <c r="H27" s="16"/>
      <c r="I27" s="16"/>
      <c r="J27" s="16"/>
      <c r="K27" s="16"/>
      <c r="L27" s="16"/>
      <c r="M27" s="16"/>
      <c r="N27" s="16" t="s">
        <v>4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 t="s">
        <v>4</v>
      </c>
      <c r="AB27" s="16"/>
      <c r="AC27" s="16"/>
      <c r="AD27" s="16"/>
      <c r="AE27" s="17"/>
      <c r="AF27" s="16"/>
      <c r="AG27" s="16"/>
      <c r="AH27" s="16"/>
      <c r="AI27" s="16"/>
      <c r="AJ27" s="16"/>
      <c r="AK27" s="16"/>
      <c r="AL27" s="16"/>
      <c r="AM27" s="16"/>
      <c r="AN27" s="16"/>
      <c r="AO27" s="17"/>
      <c r="AP27" s="16"/>
      <c r="AQ27" s="16"/>
      <c r="AR27" s="16"/>
      <c r="AS27" s="16"/>
      <c r="AT27" s="16"/>
      <c r="AU27" s="16"/>
      <c r="AV27" s="16"/>
      <c r="AW27" s="16"/>
      <c r="AX27" s="16"/>
      <c r="AY27" s="16" t="s">
        <v>4</v>
      </c>
      <c r="AZ27" s="16"/>
      <c r="BA27" s="16"/>
      <c r="BB27" s="106"/>
      <c r="BC27" s="106"/>
      <c r="BD27" s="106"/>
      <c r="BE27" s="19"/>
      <c r="BF27" s="106"/>
    </row>
    <row r="28" spans="1:58" ht="20.25" customHeight="1" x14ac:dyDescent="0.2">
      <c r="A28" s="133" t="s">
        <v>46</v>
      </c>
      <c r="B28" s="96" t="s">
        <v>44</v>
      </c>
      <c r="C28" s="97"/>
      <c r="D28" s="97"/>
      <c r="E28" s="98"/>
      <c r="F28" s="16"/>
      <c r="G28" s="16"/>
      <c r="H28" s="16"/>
      <c r="I28" s="16"/>
      <c r="J28" s="16"/>
      <c r="K28" s="16" t="s">
        <v>2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7"/>
      <c r="Z28" s="16"/>
      <c r="AA28" s="16" t="s">
        <v>2</v>
      </c>
      <c r="AB28" s="16"/>
      <c r="AC28" s="16"/>
      <c r="AD28" s="16"/>
      <c r="AE28" s="16"/>
      <c r="AF28" s="16"/>
      <c r="AG28" s="16"/>
      <c r="AH28" s="16"/>
      <c r="AI28" s="17"/>
      <c r="AJ28" s="16"/>
      <c r="AK28" s="16"/>
      <c r="AL28" s="16"/>
      <c r="AM28" s="16" t="s">
        <v>2</v>
      </c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05">
        <f>COUNTIF(F28:BA28,$H$5)</f>
        <v>3</v>
      </c>
      <c r="BC28" s="105">
        <f>COUNTIF(F29:BA29,$Q$5)</f>
        <v>3</v>
      </c>
      <c r="BD28" s="107">
        <f>IFERROR(BC28/BB28,"")</f>
        <v>1</v>
      </c>
      <c r="BE28" s="19">
        <v>327000</v>
      </c>
      <c r="BF28" s="140" t="s">
        <v>89</v>
      </c>
    </row>
    <row r="29" spans="1:58" ht="20.25" customHeight="1" x14ac:dyDescent="0.2">
      <c r="A29" s="106"/>
      <c r="B29" s="99"/>
      <c r="C29" s="100"/>
      <c r="D29" s="100"/>
      <c r="E29" s="101"/>
      <c r="F29" s="16"/>
      <c r="G29" s="16"/>
      <c r="H29" s="16"/>
      <c r="I29" s="16"/>
      <c r="J29" s="16"/>
      <c r="K29" s="16" t="s">
        <v>4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 t="s">
        <v>4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 t="s">
        <v>4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06"/>
      <c r="BC29" s="106"/>
      <c r="BD29" s="106"/>
      <c r="BE29" s="19">
        <v>0</v>
      </c>
      <c r="BF29" s="141"/>
    </row>
    <row r="30" spans="1:58" ht="20.25" customHeight="1" x14ac:dyDescent="0.2">
      <c r="A30" s="133" t="s">
        <v>47</v>
      </c>
      <c r="B30" s="96" t="s">
        <v>44</v>
      </c>
      <c r="C30" s="97"/>
      <c r="D30" s="97"/>
      <c r="E30" s="98"/>
      <c r="F30" s="16"/>
      <c r="G30" s="16"/>
      <c r="H30" s="16"/>
      <c r="I30" s="16"/>
      <c r="J30" s="16"/>
      <c r="K30" s="16"/>
      <c r="L30" s="16" t="s">
        <v>2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7"/>
      <c r="AC30" s="16" t="s">
        <v>2</v>
      </c>
      <c r="AD30" s="16"/>
      <c r="AE30" s="16"/>
      <c r="AF30" s="17"/>
      <c r="AG30" s="16"/>
      <c r="AH30" s="16"/>
      <c r="AI30" s="16"/>
      <c r="AJ30" s="17"/>
      <c r="AK30" s="16"/>
      <c r="AL30" s="16"/>
      <c r="AM30" s="16"/>
      <c r="AN30" s="17"/>
      <c r="AO30" s="16"/>
      <c r="AP30" s="16"/>
      <c r="AQ30" s="16"/>
      <c r="AR30" s="16"/>
      <c r="AS30" s="16"/>
      <c r="AT30" s="16"/>
      <c r="AU30" s="16"/>
      <c r="AV30" s="16"/>
      <c r="AW30" s="17"/>
      <c r="AX30" s="16"/>
      <c r="AY30" s="16"/>
      <c r="AZ30" s="17"/>
      <c r="BA30" s="16"/>
      <c r="BB30" s="105">
        <f>COUNTIF(F30:BA30,$H$5)</f>
        <v>2</v>
      </c>
      <c r="BC30" s="105">
        <f>COUNTIF(F31:BA31,$Q$5)</f>
        <v>2</v>
      </c>
      <c r="BD30" s="107">
        <f>IFERROR(BC30/BB30,"")</f>
        <v>1</v>
      </c>
      <c r="BE30" s="19">
        <v>699000</v>
      </c>
      <c r="BF30" s="129" t="s">
        <v>89</v>
      </c>
    </row>
    <row r="31" spans="1:58" ht="20.25" customHeight="1" x14ac:dyDescent="0.2">
      <c r="A31" s="106"/>
      <c r="B31" s="99"/>
      <c r="C31" s="100"/>
      <c r="D31" s="100"/>
      <c r="E31" s="101"/>
      <c r="F31" s="16"/>
      <c r="G31" s="16"/>
      <c r="H31" s="16"/>
      <c r="I31" s="16"/>
      <c r="J31" s="16"/>
      <c r="K31" s="16"/>
      <c r="L31" s="16" t="s">
        <v>4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 t="s">
        <v>4</v>
      </c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06"/>
      <c r="BC31" s="106"/>
      <c r="BD31" s="106"/>
      <c r="BE31" s="19"/>
      <c r="BF31" s="101"/>
    </row>
    <row r="32" spans="1:58" ht="20.25" customHeight="1" x14ac:dyDescent="0.2">
      <c r="A32" s="133" t="s">
        <v>48</v>
      </c>
      <c r="B32" s="96" t="s">
        <v>44</v>
      </c>
      <c r="C32" s="97"/>
      <c r="D32" s="97"/>
      <c r="E32" s="98"/>
      <c r="F32" s="16"/>
      <c r="G32" s="16"/>
      <c r="H32" s="16"/>
      <c r="I32" s="16"/>
      <c r="J32" s="16" t="s">
        <v>2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 t="s">
        <v>2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05">
        <f>COUNTIF(F32:BA32,$H$5)</f>
        <v>2</v>
      </c>
      <c r="BC32" s="105">
        <f>COUNTIF(F33:BA33,$Q$5)</f>
        <v>2</v>
      </c>
      <c r="BD32" s="107">
        <f>IFERROR(BC32/BB32,"")</f>
        <v>1</v>
      </c>
      <c r="BE32" s="19"/>
      <c r="BF32" s="86" t="s">
        <v>90</v>
      </c>
    </row>
    <row r="33" spans="1:58" ht="20.25" customHeight="1" x14ac:dyDescent="0.2">
      <c r="A33" s="106"/>
      <c r="B33" s="99"/>
      <c r="C33" s="100"/>
      <c r="D33" s="100"/>
      <c r="E33" s="101"/>
      <c r="F33" s="16"/>
      <c r="G33" s="16"/>
      <c r="H33" s="16"/>
      <c r="I33" s="16"/>
      <c r="J33" s="16" t="s">
        <v>4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 t="s">
        <v>4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06"/>
      <c r="BC33" s="106"/>
      <c r="BD33" s="106"/>
      <c r="BE33" s="19">
        <v>0</v>
      </c>
      <c r="BF33" s="87"/>
    </row>
    <row r="34" spans="1:58" ht="20.25" hidden="1" customHeight="1" x14ac:dyDescent="0.2">
      <c r="A34" s="149"/>
      <c r="B34" s="96"/>
      <c r="C34" s="97"/>
      <c r="D34" s="97"/>
      <c r="E34" s="98"/>
      <c r="F34" s="16"/>
      <c r="G34" s="16"/>
      <c r="H34" s="16"/>
      <c r="I34" s="16"/>
      <c r="J34" s="16"/>
      <c r="K34" s="16"/>
      <c r="L34" s="16"/>
      <c r="M34" s="17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05">
        <f>COUNTIF(F34:BA34,$H$5)</f>
        <v>0</v>
      </c>
      <c r="BC34" s="105">
        <f>COUNTIF(F35:BA35,$Q$5)</f>
        <v>0</v>
      </c>
      <c r="BD34" s="107" t="str">
        <f>IFERROR(BC34/BB34,"")</f>
        <v/>
      </c>
      <c r="BE34" s="19">
        <v>0</v>
      </c>
      <c r="BF34" s="24"/>
    </row>
    <row r="35" spans="1:58" ht="20.25" hidden="1" customHeight="1" x14ac:dyDescent="0.2">
      <c r="A35" s="106"/>
      <c r="B35" s="99"/>
      <c r="C35" s="100"/>
      <c r="D35" s="100"/>
      <c r="E35" s="101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06"/>
      <c r="BC35" s="106"/>
      <c r="BD35" s="106"/>
      <c r="BE35" s="19">
        <v>0</v>
      </c>
      <c r="BF35" s="24"/>
    </row>
    <row r="36" spans="1:58" ht="20.25" hidden="1" customHeight="1" x14ac:dyDescent="0.2">
      <c r="A36" s="133"/>
      <c r="B36" s="96"/>
      <c r="C36" s="97"/>
      <c r="D36" s="97"/>
      <c r="E36" s="98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05">
        <f>COUNTIF(F36:BA36,$H$5)</f>
        <v>0</v>
      </c>
      <c r="BC36" s="105">
        <f>COUNTIF(F37:BA37,$Q$5)</f>
        <v>0</v>
      </c>
      <c r="BD36" s="107" t="str">
        <f>IFERROR(BC36/BB36,"")</f>
        <v/>
      </c>
      <c r="BE36" s="19">
        <v>0</v>
      </c>
      <c r="BF36" s="123"/>
    </row>
    <row r="37" spans="1:58" ht="20.25" hidden="1" customHeight="1" x14ac:dyDescent="0.2">
      <c r="A37" s="106"/>
      <c r="B37" s="99"/>
      <c r="C37" s="100"/>
      <c r="D37" s="100"/>
      <c r="E37" s="101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06"/>
      <c r="BC37" s="106"/>
      <c r="BD37" s="106"/>
      <c r="BE37" s="19">
        <v>0</v>
      </c>
      <c r="BF37" s="101"/>
    </row>
    <row r="38" spans="1:58" ht="20.25" hidden="1" customHeight="1" x14ac:dyDescent="0.2">
      <c r="A38" s="133"/>
      <c r="B38" s="96"/>
      <c r="C38" s="97"/>
      <c r="D38" s="97"/>
      <c r="E38" s="98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05">
        <f>COUNTIF(F38:BA38,$H$5)</f>
        <v>0</v>
      </c>
      <c r="BC38" s="105">
        <f>COUNTIF(F39:BA39,$Q$5)</f>
        <v>0</v>
      </c>
      <c r="BD38" s="107" t="str">
        <f>IFERROR(BC38/BB38,"")</f>
        <v/>
      </c>
      <c r="BE38" s="19">
        <v>0</v>
      </c>
      <c r="BF38" s="123"/>
    </row>
    <row r="39" spans="1:58" ht="20.25" hidden="1" customHeight="1" x14ac:dyDescent="0.2">
      <c r="A39" s="106"/>
      <c r="B39" s="99"/>
      <c r="C39" s="100"/>
      <c r="D39" s="100"/>
      <c r="E39" s="101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06"/>
      <c r="BC39" s="106"/>
      <c r="BD39" s="106"/>
      <c r="BE39" s="19">
        <v>0</v>
      </c>
      <c r="BF39" s="101"/>
    </row>
    <row r="40" spans="1:58" ht="20.25" customHeight="1" x14ac:dyDescent="0.2">
      <c r="A40" s="117" t="s">
        <v>39</v>
      </c>
      <c r="B40" s="103"/>
      <c r="C40" s="103"/>
      <c r="D40" s="132"/>
      <c r="E40" s="25"/>
      <c r="F40" s="118">
        <f>COUNTIF(F24:I39,"P")</f>
        <v>0</v>
      </c>
      <c r="G40" s="103"/>
      <c r="H40" s="103"/>
      <c r="I40" s="104"/>
      <c r="J40" s="118">
        <f>COUNTIF(J24:M39,"P")</f>
        <v>3</v>
      </c>
      <c r="K40" s="103"/>
      <c r="L40" s="103"/>
      <c r="M40" s="104"/>
      <c r="N40" s="118">
        <f>COUNTIF(N24:Q39,"P")</f>
        <v>1</v>
      </c>
      <c r="O40" s="103"/>
      <c r="P40" s="103"/>
      <c r="Q40" s="104"/>
      <c r="R40" s="118">
        <f>COUNTIF(R24:U39,"P")</f>
        <v>1</v>
      </c>
      <c r="S40" s="103"/>
      <c r="T40" s="103"/>
      <c r="U40" s="104"/>
      <c r="V40" s="118">
        <f>COUNTIF(V24:Y39,"P")</f>
        <v>0</v>
      </c>
      <c r="W40" s="103"/>
      <c r="X40" s="103"/>
      <c r="Y40" s="104"/>
      <c r="Z40" s="118">
        <f>COUNTIF(Z24:AC39,"P")</f>
        <v>4</v>
      </c>
      <c r="AA40" s="103"/>
      <c r="AB40" s="103"/>
      <c r="AC40" s="104"/>
      <c r="AD40" s="118">
        <f>COUNTIF(AD24:AG39,"P")</f>
        <v>0</v>
      </c>
      <c r="AE40" s="103"/>
      <c r="AF40" s="103"/>
      <c r="AG40" s="104"/>
      <c r="AH40" s="118">
        <f>COUNTIF(AH24:AK39,"P")</f>
        <v>0</v>
      </c>
      <c r="AI40" s="103"/>
      <c r="AJ40" s="103"/>
      <c r="AK40" s="104"/>
      <c r="AL40" s="118">
        <f>COUNTIF(AL24:AO39,"P")</f>
        <v>1</v>
      </c>
      <c r="AM40" s="103"/>
      <c r="AN40" s="103"/>
      <c r="AO40" s="104"/>
      <c r="AP40" s="118">
        <f>COUNTIF(AP24:AS39,"P")</f>
        <v>1</v>
      </c>
      <c r="AQ40" s="103"/>
      <c r="AR40" s="103"/>
      <c r="AS40" s="104"/>
      <c r="AT40" s="118">
        <f>COUNTIF(AT24:AW39,"P")</f>
        <v>0</v>
      </c>
      <c r="AU40" s="103"/>
      <c r="AV40" s="103"/>
      <c r="AW40" s="104"/>
      <c r="AX40" s="118">
        <f>COUNTIF(AX24:BA39,"P")</f>
        <v>1</v>
      </c>
      <c r="AY40" s="103"/>
      <c r="AZ40" s="103"/>
      <c r="BA40" s="104"/>
      <c r="BB40" s="120" t="s">
        <v>40</v>
      </c>
      <c r="BC40" s="121"/>
      <c r="BD40" s="107">
        <f>+SUM(BC24:BC39)/SUM(BB24:BB39)</f>
        <v>1</v>
      </c>
      <c r="BE40" s="19">
        <v>0</v>
      </c>
      <c r="BF40" s="138"/>
    </row>
    <row r="41" spans="1:58" ht="20.25" customHeight="1" x14ac:dyDescent="0.2">
      <c r="A41" s="115" t="s">
        <v>41</v>
      </c>
      <c r="B41" s="103"/>
      <c r="C41" s="103"/>
      <c r="D41" s="132"/>
      <c r="E41" s="26"/>
      <c r="F41" s="118">
        <f>COUNTIF(F24:I39,"R")</f>
        <v>0</v>
      </c>
      <c r="G41" s="103"/>
      <c r="H41" s="103"/>
      <c r="I41" s="104"/>
      <c r="J41" s="118">
        <f>COUNTIF(J24:M39,"R")</f>
        <v>3</v>
      </c>
      <c r="K41" s="103"/>
      <c r="L41" s="103"/>
      <c r="M41" s="104"/>
      <c r="N41" s="118">
        <f>COUNTIF(N24:Q39,"R")</f>
        <v>1</v>
      </c>
      <c r="O41" s="103"/>
      <c r="P41" s="103"/>
      <c r="Q41" s="104"/>
      <c r="R41" s="118">
        <f>COUNTIF(R24:U39,"R")</f>
        <v>1</v>
      </c>
      <c r="S41" s="103"/>
      <c r="T41" s="103"/>
      <c r="U41" s="104"/>
      <c r="V41" s="118">
        <f>COUNTIF(V24:Y39,"R")</f>
        <v>0</v>
      </c>
      <c r="W41" s="103"/>
      <c r="X41" s="103"/>
      <c r="Y41" s="104"/>
      <c r="Z41" s="118">
        <f>COUNTIF(Z24:AC39,"R")</f>
        <v>4</v>
      </c>
      <c r="AA41" s="103"/>
      <c r="AB41" s="103"/>
      <c r="AC41" s="104"/>
      <c r="AD41" s="118">
        <f>COUNTIF(AD24:AG39,"R")</f>
        <v>0</v>
      </c>
      <c r="AE41" s="103"/>
      <c r="AF41" s="103"/>
      <c r="AG41" s="104"/>
      <c r="AH41" s="118">
        <f>COUNTIF(AH24:AK39,"R")</f>
        <v>0</v>
      </c>
      <c r="AI41" s="103"/>
      <c r="AJ41" s="103"/>
      <c r="AK41" s="104"/>
      <c r="AL41" s="118">
        <f>COUNTIF(AL24:AO39,"R")</f>
        <v>1</v>
      </c>
      <c r="AM41" s="103"/>
      <c r="AN41" s="103"/>
      <c r="AO41" s="104"/>
      <c r="AP41" s="118">
        <f>COUNTIF(AP24:AS39,"R")</f>
        <v>1</v>
      </c>
      <c r="AQ41" s="103"/>
      <c r="AR41" s="103"/>
      <c r="AS41" s="104"/>
      <c r="AT41" s="118">
        <f>COUNTIF(AT24:AW39,"R")</f>
        <v>0</v>
      </c>
      <c r="AU41" s="103"/>
      <c r="AV41" s="103"/>
      <c r="AW41" s="104"/>
      <c r="AX41" s="118">
        <f>COUNTIF(AX24:BA39,"R")</f>
        <v>1</v>
      </c>
      <c r="AY41" s="103"/>
      <c r="AZ41" s="103"/>
      <c r="BA41" s="104"/>
      <c r="BB41" s="99"/>
      <c r="BC41" s="122"/>
      <c r="BD41" s="106"/>
      <c r="BE41" s="19">
        <v>0</v>
      </c>
      <c r="BF41" s="139"/>
    </row>
    <row r="42" spans="1:58" ht="20.25" customHeight="1" x14ac:dyDescent="0.2">
      <c r="A42" s="127" t="s">
        <v>49</v>
      </c>
      <c r="B42" s="128" t="s">
        <v>10</v>
      </c>
      <c r="C42" s="97"/>
      <c r="D42" s="97"/>
      <c r="E42" s="98"/>
      <c r="F42" s="102" t="s">
        <v>11</v>
      </c>
      <c r="G42" s="103"/>
      <c r="H42" s="103"/>
      <c r="I42" s="104"/>
      <c r="J42" s="102" t="s">
        <v>12</v>
      </c>
      <c r="K42" s="103"/>
      <c r="L42" s="103"/>
      <c r="M42" s="104"/>
      <c r="N42" s="102" t="s">
        <v>13</v>
      </c>
      <c r="O42" s="103"/>
      <c r="P42" s="103"/>
      <c r="Q42" s="104"/>
      <c r="R42" s="102" t="s">
        <v>14</v>
      </c>
      <c r="S42" s="103"/>
      <c r="T42" s="103"/>
      <c r="U42" s="104"/>
      <c r="V42" s="102" t="s">
        <v>15</v>
      </c>
      <c r="W42" s="103"/>
      <c r="X42" s="103"/>
      <c r="Y42" s="104"/>
      <c r="Z42" s="102" t="s">
        <v>16</v>
      </c>
      <c r="AA42" s="103"/>
      <c r="AB42" s="103"/>
      <c r="AC42" s="104"/>
      <c r="AD42" s="102" t="s">
        <v>17</v>
      </c>
      <c r="AE42" s="103"/>
      <c r="AF42" s="103"/>
      <c r="AG42" s="104"/>
      <c r="AH42" s="102" t="s">
        <v>18</v>
      </c>
      <c r="AI42" s="103"/>
      <c r="AJ42" s="103"/>
      <c r="AK42" s="104"/>
      <c r="AL42" s="102" t="s">
        <v>19</v>
      </c>
      <c r="AM42" s="103"/>
      <c r="AN42" s="103"/>
      <c r="AO42" s="104"/>
      <c r="AP42" s="102" t="s">
        <v>20</v>
      </c>
      <c r="AQ42" s="103"/>
      <c r="AR42" s="103"/>
      <c r="AS42" s="104"/>
      <c r="AT42" s="102" t="s">
        <v>21</v>
      </c>
      <c r="AU42" s="103"/>
      <c r="AV42" s="103"/>
      <c r="AW42" s="104"/>
      <c r="AX42" s="102" t="s">
        <v>22</v>
      </c>
      <c r="AY42" s="103"/>
      <c r="AZ42" s="103"/>
      <c r="BA42" s="104"/>
      <c r="BB42" s="112" t="s">
        <v>23</v>
      </c>
      <c r="BC42" s="103"/>
      <c r="BD42" s="104"/>
      <c r="BE42" s="124">
        <f>BE24+BE25+BE26+BE27+BE28+BE29+BE30+BE31+BE32+BE33+BE40+BE41</f>
        <v>2148400</v>
      </c>
      <c r="BF42" s="126" t="s">
        <v>25</v>
      </c>
    </row>
    <row r="43" spans="1:58" ht="20.25" customHeight="1" x14ac:dyDescent="0.2">
      <c r="A43" s="106"/>
      <c r="B43" s="99"/>
      <c r="C43" s="100"/>
      <c r="D43" s="100"/>
      <c r="E43" s="101"/>
      <c r="F43" s="12">
        <v>1</v>
      </c>
      <c r="G43" s="12">
        <v>2</v>
      </c>
      <c r="H43" s="12">
        <v>3</v>
      </c>
      <c r="I43" s="12">
        <v>4</v>
      </c>
      <c r="J43" s="12">
        <v>1</v>
      </c>
      <c r="K43" s="12">
        <v>2</v>
      </c>
      <c r="L43" s="12">
        <v>3</v>
      </c>
      <c r="M43" s="12">
        <v>4</v>
      </c>
      <c r="N43" s="12">
        <v>1</v>
      </c>
      <c r="O43" s="12">
        <v>2</v>
      </c>
      <c r="P43" s="12">
        <v>3</v>
      </c>
      <c r="Q43" s="12">
        <v>4</v>
      </c>
      <c r="R43" s="12">
        <v>1</v>
      </c>
      <c r="S43" s="12">
        <v>2</v>
      </c>
      <c r="T43" s="12">
        <v>3</v>
      </c>
      <c r="U43" s="12">
        <v>4</v>
      </c>
      <c r="V43" s="13">
        <v>1</v>
      </c>
      <c r="W43" s="13">
        <v>2</v>
      </c>
      <c r="X43" s="13">
        <v>3</v>
      </c>
      <c r="Y43" s="13">
        <v>4</v>
      </c>
      <c r="Z43" s="12">
        <v>1</v>
      </c>
      <c r="AA43" s="12">
        <v>2</v>
      </c>
      <c r="AB43" s="12">
        <v>3</v>
      </c>
      <c r="AC43" s="12">
        <v>4</v>
      </c>
      <c r="AD43" s="12">
        <v>1</v>
      </c>
      <c r="AE43" s="12">
        <v>2</v>
      </c>
      <c r="AF43" s="12">
        <v>3</v>
      </c>
      <c r="AG43" s="12">
        <v>4</v>
      </c>
      <c r="AH43" s="12">
        <v>1</v>
      </c>
      <c r="AI43" s="12">
        <v>2</v>
      </c>
      <c r="AJ43" s="12">
        <v>3</v>
      </c>
      <c r="AK43" s="12">
        <v>4</v>
      </c>
      <c r="AL43" s="12">
        <v>1</v>
      </c>
      <c r="AM43" s="12">
        <v>2</v>
      </c>
      <c r="AN43" s="12">
        <v>3</v>
      </c>
      <c r="AO43" s="12">
        <v>4</v>
      </c>
      <c r="AP43" s="12">
        <v>1</v>
      </c>
      <c r="AQ43" s="12">
        <v>2</v>
      </c>
      <c r="AR43" s="12">
        <v>3</v>
      </c>
      <c r="AS43" s="12">
        <v>4</v>
      </c>
      <c r="AT43" s="12">
        <v>1</v>
      </c>
      <c r="AU43" s="12">
        <v>2</v>
      </c>
      <c r="AV43" s="12">
        <v>3</v>
      </c>
      <c r="AW43" s="12">
        <v>4</v>
      </c>
      <c r="AX43" s="12">
        <v>1</v>
      </c>
      <c r="AY43" s="12">
        <v>2</v>
      </c>
      <c r="AZ43" s="12">
        <v>3</v>
      </c>
      <c r="BA43" s="12">
        <v>4</v>
      </c>
      <c r="BB43" s="15" t="s">
        <v>1</v>
      </c>
      <c r="BC43" s="15" t="s">
        <v>26</v>
      </c>
      <c r="BD43" s="15" t="s">
        <v>27</v>
      </c>
      <c r="BE43" s="125"/>
      <c r="BF43" s="125"/>
    </row>
    <row r="44" spans="1:58" ht="20.25" customHeight="1" x14ac:dyDescent="0.2">
      <c r="A44" s="133" t="s">
        <v>50</v>
      </c>
      <c r="B44" s="96" t="s">
        <v>51</v>
      </c>
      <c r="C44" s="97"/>
      <c r="D44" s="97"/>
      <c r="E44" s="98"/>
      <c r="F44" s="27"/>
      <c r="G44" s="27" t="s">
        <v>2</v>
      </c>
      <c r="H44" s="27"/>
      <c r="I44" s="27"/>
      <c r="J44" s="27"/>
      <c r="K44" s="27" t="s">
        <v>2</v>
      </c>
      <c r="L44" s="27"/>
      <c r="M44" s="27"/>
      <c r="N44" s="27"/>
      <c r="O44" s="28"/>
      <c r="P44" s="27" t="s">
        <v>2</v>
      </c>
      <c r="Q44" s="27"/>
      <c r="R44" s="27"/>
      <c r="S44" s="27"/>
      <c r="T44" s="27" t="s">
        <v>2</v>
      </c>
      <c r="U44" s="27"/>
      <c r="V44" s="27"/>
      <c r="W44" s="27"/>
      <c r="X44" s="27"/>
      <c r="Y44" s="27" t="s">
        <v>2</v>
      </c>
      <c r="Z44" s="27"/>
      <c r="AA44" s="27"/>
      <c r="AB44" s="27"/>
      <c r="AC44" s="27" t="s">
        <v>2</v>
      </c>
      <c r="AD44" s="27"/>
      <c r="AE44" s="27" t="s">
        <v>2</v>
      </c>
      <c r="AF44" s="27"/>
      <c r="AG44" s="27"/>
      <c r="AH44" s="27"/>
      <c r="AI44" s="27" t="s">
        <v>2</v>
      </c>
      <c r="AJ44" s="27"/>
      <c r="AK44" s="27"/>
      <c r="AL44" s="27"/>
      <c r="AM44" s="27" t="s">
        <v>2</v>
      </c>
      <c r="AN44" s="27"/>
      <c r="AO44" s="27"/>
      <c r="AP44" s="27"/>
      <c r="AQ44" s="27"/>
      <c r="AR44" s="27"/>
      <c r="AS44" s="27"/>
      <c r="AT44" s="27"/>
      <c r="AU44" s="27"/>
      <c r="AV44" s="27" t="s">
        <v>2</v>
      </c>
      <c r="AW44" s="27"/>
      <c r="AX44" s="27"/>
      <c r="AY44" s="27"/>
      <c r="AZ44" s="27"/>
      <c r="BA44" s="27"/>
      <c r="BB44" s="105">
        <f>COUNTIF(F44:BA44,$H$5)</f>
        <v>10</v>
      </c>
      <c r="BC44" s="105">
        <f>COUNTIF(F45:BA45,$Q$5)</f>
        <v>10</v>
      </c>
      <c r="BD44" s="107">
        <f>IFERROR(BC44/BB44,"")</f>
        <v>1</v>
      </c>
      <c r="BE44" s="19">
        <v>0</v>
      </c>
      <c r="BF44" s="148" t="s">
        <v>52</v>
      </c>
    </row>
    <row r="45" spans="1:58" ht="20.25" customHeight="1" x14ac:dyDescent="0.2">
      <c r="A45" s="106"/>
      <c r="B45" s="99"/>
      <c r="C45" s="100"/>
      <c r="D45" s="100"/>
      <c r="E45" s="101"/>
      <c r="F45" s="27"/>
      <c r="G45" s="27" t="s">
        <v>4</v>
      </c>
      <c r="H45" s="27"/>
      <c r="I45" s="27"/>
      <c r="J45" s="27"/>
      <c r="K45" s="27" t="s">
        <v>4</v>
      </c>
      <c r="L45" s="27"/>
      <c r="M45" s="27"/>
      <c r="N45" s="27"/>
      <c r="O45" s="27"/>
      <c r="P45" s="27" t="s">
        <v>4</v>
      </c>
      <c r="Q45" s="27"/>
      <c r="R45" s="27"/>
      <c r="S45" s="27"/>
      <c r="T45" s="27" t="s">
        <v>4</v>
      </c>
      <c r="U45" s="27"/>
      <c r="V45" s="27"/>
      <c r="W45" s="27"/>
      <c r="X45" s="27"/>
      <c r="Y45" s="27" t="s">
        <v>4</v>
      </c>
      <c r="Z45" s="27"/>
      <c r="AA45" s="27"/>
      <c r="AB45" s="27"/>
      <c r="AC45" s="27" t="s">
        <v>4</v>
      </c>
      <c r="AD45" s="27"/>
      <c r="AE45" s="27" t="s">
        <v>4</v>
      </c>
      <c r="AF45" s="27"/>
      <c r="AG45" s="27"/>
      <c r="AH45" s="27"/>
      <c r="AI45" s="27" t="s">
        <v>4</v>
      </c>
      <c r="AJ45" s="27"/>
      <c r="AK45" s="27"/>
      <c r="AL45" s="27"/>
      <c r="AM45" s="27" t="s">
        <v>4</v>
      </c>
      <c r="AN45" s="27"/>
      <c r="AO45" s="27"/>
      <c r="AP45" s="27"/>
      <c r="AQ45" s="27"/>
      <c r="AR45" s="27"/>
      <c r="AS45" s="27"/>
      <c r="AT45" s="27"/>
      <c r="AU45" s="27"/>
      <c r="AV45" s="27" t="s">
        <v>4</v>
      </c>
      <c r="AW45" s="27"/>
      <c r="AX45" s="27"/>
      <c r="AY45" s="27"/>
      <c r="AZ45" s="27"/>
      <c r="BA45" s="27"/>
      <c r="BB45" s="106"/>
      <c r="BC45" s="106"/>
      <c r="BD45" s="106"/>
      <c r="BE45" s="19">
        <v>0</v>
      </c>
      <c r="BF45" s="101"/>
    </row>
    <row r="46" spans="1:58" ht="20.25" customHeight="1" x14ac:dyDescent="0.2">
      <c r="A46" s="133" t="s">
        <v>53</v>
      </c>
      <c r="B46" s="96" t="s">
        <v>29</v>
      </c>
      <c r="C46" s="97"/>
      <c r="D46" s="97"/>
      <c r="E46" s="98"/>
      <c r="F46" s="27"/>
      <c r="G46" s="27"/>
      <c r="H46" s="27"/>
      <c r="I46" s="27" t="s">
        <v>2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 t="s">
        <v>2</v>
      </c>
      <c r="U46" s="27"/>
      <c r="V46" s="27"/>
      <c r="W46" s="27"/>
      <c r="X46" s="27" t="s">
        <v>2</v>
      </c>
      <c r="Y46" s="27"/>
      <c r="Z46" s="28"/>
      <c r="AA46" s="27"/>
      <c r="AB46" s="27"/>
      <c r="AC46" s="27" t="s">
        <v>2</v>
      </c>
      <c r="AD46" s="27"/>
      <c r="AE46" s="27"/>
      <c r="AF46" s="27" t="s">
        <v>2</v>
      </c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105">
        <f>COUNTIF(F46:BA46,$H$5)</f>
        <v>5</v>
      </c>
      <c r="BC46" s="105">
        <f>COUNTIF(F47:BA47,$Q$5)</f>
        <v>5</v>
      </c>
      <c r="BD46" s="107">
        <f>IFERROR(BC46/BB46,"")</f>
        <v>1</v>
      </c>
      <c r="BE46" s="19">
        <v>0</v>
      </c>
      <c r="BF46" s="148" t="s">
        <v>52</v>
      </c>
    </row>
    <row r="47" spans="1:58" ht="20.25" customHeight="1" x14ac:dyDescent="0.2">
      <c r="A47" s="106"/>
      <c r="B47" s="99"/>
      <c r="C47" s="100"/>
      <c r="D47" s="100"/>
      <c r="E47" s="101"/>
      <c r="F47" s="27"/>
      <c r="G47" s="27"/>
      <c r="H47" s="27"/>
      <c r="I47" s="27" t="s">
        <v>4</v>
      </c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 t="s">
        <v>4</v>
      </c>
      <c r="U47" s="27"/>
      <c r="V47" s="28"/>
      <c r="W47" s="27"/>
      <c r="X47" s="27" t="s">
        <v>4</v>
      </c>
      <c r="Y47" s="27"/>
      <c r="Z47" s="27"/>
      <c r="AA47" s="27"/>
      <c r="AB47" s="27"/>
      <c r="AC47" s="27" t="s">
        <v>4</v>
      </c>
      <c r="AD47" s="27"/>
      <c r="AE47" s="27"/>
      <c r="AF47" s="27" t="s">
        <v>4</v>
      </c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106"/>
      <c r="BC47" s="106"/>
      <c r="BD47" s="106"/>
      <c r="BE47" s="19">
        <v>0</v>
      </c>
      <c r="BF47" s="101"/>
    </row>
    <row r="48" spans="1:58" ht="20.25" customHeight="1" x14ac:dyDescent="0.2">
      <c r="A48" s="133" t="s">
        <v>54</v>
      </c>
      <c r="B48" s="96" t="s">
        <v>55</v>
      </c>
      <c r="C48" s="97"/>
      <c r="D48" s="97"/>
      <c r="E48" s="98"/>
      <c r="F48" s="27"/>
      <c r="G48" s="27"/>
      <c r="H48" s="27"/>
      <c r="I48" s="27" t="s">
        <v>2</v>
      </c>
      <c r="J48" s="27"/>
      <c r="K48" s="27"/>
      <c r="L48" s="27"/>
      <c r="M48" s="27" t="s">
        <v>2</v>
      </c>
      <c r="N48" s="27"/>
      <c r="O48" s="28"/>
      <c r="P48" s="27"/>
      <c r="Q48" s="27" t="s">
        <v>2</v>
      </c>
      <c r="R48" s="27"/>
      <c r="S48" s="27"/>
      <c r="T48" s="27"/>
      <c r="U48" s="27" t="s">
        <v>2</v>
      </c>
      <c r="V48" s="27"/>
      <c r="W48" s="27"/>
      <c r="X48" s="27"/>
      <c r="Y48" s="27" t="s">
        <v>2</v>
      </c>
      <c r="Z48" s="27"/>
      <c r="AA48" s="27"/>
      <c r="AB48" s="27"/>
      <c r="AC48" s="27" t="s">
        <v>2</v>
      </c>
      <c r="AD48" s="27"/>
      <c r="AE48" s="27"/>
      <c r="AF48" s="27" t="s">
        <v>2</v>
      </c>
      <c r="AG48" s="28"/>
      <c r="AH48" s="27"/>
      <c r="AI48" s="27"/>
      <c r="AJ48" s="27"/>
      <c r="AK48" s="27" t="s">
        <v>2</v>
      </c>
      <c r="AL48" s="27"/>
      <c r="AM48" s="27"/>
      <c r="AN48" s="27"/>
      <c r="AO48" s="27" t="s">
        <v>2</v>
      </c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105">
        <f>COUNTIF(F48:BA48,$H$5)</f>
        <v>9</v>
      </c>
      <c r="BC48" s="105">
        <f>COUNTIF(F49:BA49,$Q$5)</f>
        <v>6</v>
      </c>
      <c r="BD48" s="107">
        <f>IFERROR(BC48/BB48,"")</f>
        <v>0.66666666666666663</v>
      </c>
      <c r="BE48" s="19">
        <v>0</v>
      </c>
      <c r="BF48" s="148" t="s">
        <v>52</v>
      </c>
    </row>
    <row r="49" spans="1:58" ht="20.25" customHeight="1" x14ac:dyDescent="0.2">
      <c r="A49" s="106"/>
      <c r="B49" s="99"/>
      <c r="C49" s="100"/>
      <c r="D49" s="100"/>
      <c r="E49" s="101"/>
      <c r="F49" s="27"/>
      <c r="G49" s="27"/>
      <c r="H49" s="27"/>
      <c r="I49" s="27" t="s">
        <v>4</v>
      </c>
      <c r="J49" s="27"/>
      <c r="K49" s="27"/>
      <c r="L49" s="27"/>
      <c r="M49" s="27" t="s">
        <v>6</v>
      </c>
      <c r="N49" s="27"/>
      <c r="O49" s="27"/>
      <c r="P49" s="27"/>
      <c r="Q49" s="27" t="s">
        <v>6</v>
      </c>
      <c r="R49" s="27"/>
      <c r="S49" s="27"/>
      <c r="T49" s="27"/>
      <c r="U49" s="27" t="s">
        <v>4</v>
      </c>
      <c r="V49" s="27"/>
      <c r="W49" s="27"/>
      <c r="X49" s="27"/>
      <c r="Y49" s="27" t="s">
        <v>6</v>
      </c>
      <c r="Z49" s="27"/>
      <c r="AA49" s="27"/>
      <c r="AB49" s="27"/>
      <c r="AC49" s="27" t="s">
        <v>4</v>
      </c>
      <c r="AD49" s="27"/>
      <c r="AE49" s="27"/>
      <c r="AF49" s="27" t="s">
        <v>4</v>
      </c>
      <c r="AG49" s="27"/>
      <c r="AH49" s="27"/>
      <c r="AI49" s="27"/>
      <c r="AJ49" s="27"/>
      <c r="AK49" s="27" t="s">
        <v>4</v>
      </c>
      <c r="AL49" s="27"/>
      <c r="AM49" s="27"/>
      <c r="AN49" s="27"/>
      <c r="AO49" s="27" t="s">
        <v>4</v>
      </c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106"/>
      <c r="BC49" s="106"/>
      <c r="BD49" s="106"/>
      <c r="BE49" s="19">
        <v>0</v>
      </c>
      <c r="BF49" s="101"/>
    </row>
    <row r="50" spans="1:58" ht="20.25" customHeight="1" x14ac:dyDescent="0.2">
      <c r="A50" s="149" t="s">
        <v>56</v>
      </c>
      <c r="B50" s="96" t="s">
        <v>57</v>
      </c>
      <c r="C50" s="97"/>
      <c r="D50" s="97"/>
      <c r="E50" s="98"/>
      <c r="F50" s="27"/>
      <c r="G50" s="27"/>
      <c r="H50" s="27"/>
      <c r="I50" s="27"/>
      <c r="J50" s="27"/>
      <c r="K50" s="27"/>
      <c r="L50" s="27" t="s">
        <v>2</v>
      </c>
      <c r="M50" s="27"/>
      <c r="N50" s="27"/>
      <c r="O50" s="27"/>
      <c r="P50" s="27" t="s">
        <v>2</v>
      </c>
      <c r="Q50" s="27"/>
      <c r="R50" s="27"/>
      <c r="S50" s="27"/>
      <c r="T50" s="27"/>
      <c r="U50" s="27" t="s">
        <v>2</v>
      </c>
      <c r="V50" s="27"/>
      <c r="W50" s="27"/>
      <c r="X50" s="27"/>
      <c r="Y50" s="27" t="s">
        <v>2</v>
      </c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105">
        <f>COUNTIF(F50:BA50,$H$5)</f>
        <v>4</v>
      </c>
      <c r="BC50" s="105">
        <f>COUNTIF(F51:BA51,$Q$5)</f>
        <v>4</v>
      </c>
      <c r="BD50" s="107">
        <f>IFERROR(BC50/BB50,"")</f>
        <v>1</v>
      </c>
      <c r="BE50" s="19">
        <v>0</v>
      </c>
      <c r="BF50" s="148" t="s">
        <v>52</v>
      </c>
    </row>
    <row r="51" spans="1:58" ht="20.25" customHeight="1" x14ac:dyDescent="0.2">
      <c r="A51" s="106"/>
      <c r="B51" s="99"/>
      <c r="C51" s="100"/>
      <c r="D51" s="100"/>
      <c r="E51" s="101"/>
      <c r="F51" s="27"/>
      <c r="G51" s="27"/>
      <c r="H51" s="27"/>
      <c r="I51" s="27"/>
      <c r="J51" s="27"/>
      <c r="K51" s="29"/>
      <c r="L51" s="27" t="s">
        <v>4</v>
      </c>
      <c r="M51" s="27"/>
      <c r="N51" s="27"/>
      <c r="O51" s="27"/>
      <c r="P51" s="27" t="s">
        <v>4</v>
      </c>
      <c r="Q51" s="27"/>
      <c r="R51" s="27"/>
      <c r="S51" s="27"/>
      <c r="T51" s="27"/>
      <c r="U51" s="27" t="s">
        <v>4</v>
      </c>
      <c r="V51" s="27"/>
      <c r="W51" s="27"/>
      <c r="X51" s="27"/>
      <c r="Y51" s="27" t="s">
        <v>4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106"/>
      <c r="BC51" s="106"/>
      <c r="BD51" s="106"/>
      <c r="BE51" s="19">
        <v>0</v>
      </c>
      <c r="BF51" s="101"/>
    </row>
    <row r="52" spans="1:58" ht="20.25" customHeight="1" x14ac:dyDescent="0.2">
      <c r="A52" s="133" t="s">
        <v>58</v>
      </c>
      <c r="B52" s="96" t="s">
        <v>44</v>
      </c>
      <c r="C52" s="97"/>
      <c r="D52" s="97"/>
      <c r="E52" s="98"/>
      <c r="F52" s="27"/>
      <c r="G52" s="27"/>
      <c r="H52" s="27"/>
      <c r="I52" s="27"/>
      <c r="J52" s="27"/>
      <c r="K52" s="27" t="s">
        <v>2</v>
      </c>
      <c r="L52" s="27"/>
      <c r="M52" s="27"/>
      <c r="N52" s="27"/>
      <c r="O52" s="27"/>
      <c r="P52" s="27" t="s">
        <v>2</v>
      </c>
      <c r="Q52" s="27"/>
      <c r="R52" s="27"/>
      <c r="S52" s="27"/>
      <c r="T52" s="27" t="s">
        <v>2</v>
      </c>
      <c r="U52" s="27"/>
      <c r="V52" s="27"/>
      <c r="W52" s="27"/>
      <c r="X52" s="27"/>
      <c r="Y52" s="27" t="s">
        <v>2</v>
      </c>
      <c r="Z52" s="27"/>
      <c r="AA52" s="27"/>
      <c r="AB52" s="27"/>
      <c r="AC52" s="27" t="s">
        <v>2</v>
      </c>
      <c r="AD52" s="27"/>
      <c r="AE52" s="27"/>
      <c r="AF52" s="27" t="s">
        <v>2</v>
      </c>
      <c r="AG52" s="27"/>
      <c r="AH52" s="27"/>
      <c r="AI52" s="27"/>
      <c r="AJ52" s="27" t="s">
        <v>2</v>
      </c>
      <c r="AK52" s="27"/>
      <c r="AL52" s="27"/>
      <c r="AM52" s="27"/>
      <c r="AN52" s="27" t="s">
        <v>2</v>
      </c>
      <c r="AO52" s="27"/>
      <c r="AP52" s="27"/>
      <c r="AQ52" s="27"/>
      <c r="AR52" s="27"/>
      <c r="AS52" s="27"/>
      <c r="AT52" s="27"/>
      <c r="AU52" s="27"/>
      <c r="AV52" s="27" t="s">
        <v>2</v>
      </c>
      <c r="AW52" s="27"/>
      <c r="AX52" s="27"/>
      <c r="AY52" s="27"/>
      <c r="AZ52" s="27"/>
      <c r="BA52" s="27"/>
      <c r="BB52" s="105">
        <f>COUNTIF(F52:BA52,$H$5)</f>
        <v>9</v>
      </c>
      <c r="BC52" s="105">
        <f>COUNTIF(F53:BA53,$Q$5)</f>
        <v>9</v>
      </c>
      <c r="BD52" s="107">
        <f>IFERROR(BC52/BB52,"")</f>
        <v>1</v>
      </c>
      <c r="BE52" s="19">
        <v>0</v>
      </c>
      <c r="BF52" s="148" t="s">
        <v>52</v>
      </c>
    </row>
    <row r="53" spans="1:58" ht="20.25" customHeight="1" x14ac:dyDescent="0.2">
      <c r="A53" s="106"/>
      <c r="B53" s="99"/>
      <c r="C53" s="100"/>
      <c r="D53" s="100"/>
      <c r="E53" s="101"/>
      <c r="F53" s="27"/>
      <c r="G53" s="27"/>
      <c r="H53" s="27"/>
      <c r="I53" s="27"/>
      <c r="J53" s="27"/>
      <c r="K53" s="27" t="s">
        <v>4</v>
      </c>
      <c r="L53" s="27"/>
      <c r="M53" s="27"/>
      <c r="N53" s="27"/>
      <c r="O53" s="27"/>
      <c r="P53" s="27" t="s">
        <v>4</v>
      </c>
      <c r="Q53" s="27"/>
      <c r="R53" s="27"/>
      <c r="S53" s="27"/>
      <c r="T53" s="27" t="s">
        <v>4</v>
      </c>
      <c r="U53" s="27"/>
      <c r="V53" s="27"/>
      <c r="W53" s="27"/>
      <c r="X53" s="27"/>
      <c r="Y53" s="27" t="s">
        <v>4</v>
      </c>
      <c r="Z53" s="27"/>
      <c r="AA53" s="27"/>
      <c r="AB53" s="27"/>
      <c r="AC53" s="27" t="s">
        <v>4</v>
      </c>
      <c r="AD53" s="27"/>
      <c r="AE53" s="27"/>
      <c r="AF53" s="27" t="s">
        <v>4</v>
      </c>
      <c r="AG53" s="27"/>
      <c r="AH53" s="27"/>
      <c r="AI53" s="27"/>
      <c r="AJ53" s="27" t="s">
        <v>4</v>
      </c>
      <c r="AK53" s="27"/>
      <c r="AL53" s="27"/>
      <c r="AM53" s="27"/>
      <c r="AN53" s="27" t="s">
        <v>4</v>
      </c>
      <c r="AO53" s="27"/>
      <c r="AP53" s="27"/>
      <c r="AQ53" s="27"/>
      <c r="AR53" s="27"/>
      <c r="AS53" s="27"/>
      <c r="AT53" s="27"/>
      <c r="AU53" s="27"/>
      <c r="AV53" s="27" t="s">
        <v>4</v>
      </c>
      <c r="AW53" s="27"/>
      <c r="AX53" s="27"/>
      <c r="AY53" s="27"/>
      <c r="AZ53" s="27"/>
      <c r="BA53" s="27"/>
      <c r="BB53" s="106"/>
      <c r="BC53" s="106"/>
      <c r="BD53" s="106"/>
      <c r="BE53" s="19">
        <v>0</v>
      </c>
      <c r="BF53" s="101"/>
    </row>
    <row r="54" spans="1:58" ht="20.25" customHeight="1" x14ac:dyDescent="0.2">
      <c r="A54" s="158" t="s">
        <v>108</v>
      </c>
      <c r="B54" s="96" t="s">
        <v>51</v>
      </c>
      <c r="C54" s="97"/>
      <c r="D54" s="97"/>
      <c r="E54" s="98"/>
      <c r="F54" s="27"/>
      <c r="G54" s="27"/>
      <c r="H54" s="27"/>
      <c r="I54" s="27"/>
      <c r="J54" s="27"/>
      <c r="K54" s="27"/>
      <c r="L54" s="27" t="s">
        <v>2</v>
      </c>
      <c r="M54" s="27"/>
      <c r="N54" s="27"/>
      <c r="O54" s="27"/>
      <c r="P54" s="27"/>
      <c r="Q54" s="27" t="s">
        <v>2</v>
      </c>
      <c r="R54" s="27"/>
      <c r="S54" s="27"/>
      <c r="T54" s="27"/>
      <c r="U54" s="27" t="s">
        <v>2</v>
      </c>
      <c r="V54" s="27"/>
      <c r="W54" s="27"/>
      <c r="X54" s="27"/>
      <c r="Y54" s="27" t="s">
        <v>2</v>
      </c>
      <c r="Z54" s="27"/>
      <c r="AA54" s="27"/>
      <c r="AB54" s="27"/>
      <c r="AC54" s="27" t="s">
        <v>2</v>
      </c>
      <c r="AD54" s="27"/>
      <c r="AE54" s="27"/>
      <c r="AF54" s="27" t="s">
        <v>2</v>
      </c>
      <c r="AG54" s="27"/>
      <c r="AH54" s="27"/>
      <c r="AI54" s="27"/>
      <c r="AJ54" s="27"/>
      <c r="AK54" s="27" t="s">
        <v>2</v>
      </c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105">
        <f>COUNTIF(F54:BA54,$H$5)</f>
        <v>7</v>
      </c>
      <c r="BC54" s="105">
        <f>COUNTIF(F55:BA55,$Q$5)</f>
        <v>7</v>
      </c>
      <c r="BD54" s="107">
        <f>IFERROR(BC54/BB54,"")</f>
        <v>1</v>
      </c>
      <c r="BE54" s="19">
        <v>0</v>
      </c>
      <c r="BF54" s="148" t="s">
        <v>52</v>
      </c>
    </row>
    <row r="55" spans="1:58" ht="20.25" customHeight="1" x14ac:dyDescent="0.2">
      <c r="A55" s="106"/>
      <c r="B55" s="99"/>
      <c r="C55" s="100"/>
      <c r="D55" s="100"/>
      <c r="E55" s="101"/>
      <c r="F55" s="27"/>
      <c r="G55" s="27"/>
      <c r="H55" s="27"/>
      <c r="I55" s="27"/>
      <c r="J55" s="27"/>
      <c r="K55" s="27"/>
      <c r="L55" s="27" t="s">
        <v>4</v>
      </c>
      <c r="M55" s="27"/>
      <c r="N55" s="27"/>
      <c r="O55" s="27"/>
      <c r="P55" s="27"/>
      <c r="Q55" s="27" t="s">
        <v>4</v>
      </c>
      <c r="R55" s="27"/>
      <c r="S55" s="27"/>
      <c r="T55" s="27"/>
      <c r="U55" s="27" t="s">
        <v>4</v>
      </c>
      <c r="V55" s="27"/>
      <c r="W55" s="27"/>
      <c r="X55" s="27"/>
      <c r="Y55" s="27" t="s">
        <v>4</v>
      </c>
      <c r="Z55" s="27"/>
      <c r="AA55" s="27"/>
      <c r="AB55" s="27"/>
      <c r="AC55" s="27" t="s">
        <v>4</v>
      </c>
      <c r="AD55" s="27"/>
      <c r="AE55" s="27"/>
      <c r="AF55" s="27" t="s">
        <v>4</v>
      </c>
      <c r="AG55" s="27"/>
      <c r="AH55" s="27"/>
      <c r="AI55" s="27"/>
      <c r="AJ55" s="27"/>
      <c r="AK55" s="27" t="s">
        <v>4</v>
      </c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106"/>
      <c r="BC55" s="106"/>
      <c r="BD55" s="106"/>
      <c r="BE55" s="19">
        <v>0</v>
      </c>
      <c r="BF55" s="101"/>
    </row>
    <row r="56" spans="1:58" ht="20.25" customHeight="1" x14ac:dyDescent="0.2">
      <c r="A56" s="117" t="s">
        <v>39</v>
      </c>
      <c r="B56" s="103"/>
      <c r="C56" s="103"/>
      <c r="D56" s="132"/>
      <c r="E56" s="25"/>
      <c r="F56" s="118">
        <f>COUNTIF(F44:I55,"P")</f>
        <v>3</v>
      </c>
      <c r="G56" s="103"/>
      <c r="H56" s="103"/>
      <c r="I56" s="104"/>
      <c r="J56" s="118">
        <f>COUNTIF(J44:M55,"P")</f>
        <v>5</v>
      </c>
      <c r="K56" s="103"/>
      <c r="L56" s="103"/>
      <c r="M56" s="104"/>
      <c r="N56" s="118">
        <f>COUNTIF(N44:Q55,"P")</f>
        <v>5</v>
      </c>
      <c r="O56" s="103"/>
      <c r="P56" s="103"/>
      <c r="Q56" s="104"/>
      <c r="R56" s="118">
        <f>COUNTIF(R44:U55,"P")</f>
        <v>6</v>
      </c>
      <c r="S56" s="103"/>
      <c r="T56" s="103"/>
      <c r="U56" s="104"/>
      <c r="V56" s="118">
        <f>COUNTIF(V44:Y55,"P")</f>
        <v>6</v>
      </c>
      <c r="W56" s="103"/>
      <c r="X56" s="103"/>
      <c r="Y56" s="104"/>
      <c r="Z56" s="118">
        <f>COUNTIF(Z44:AC55,"P")</f>
        <v>5</v>
      </c>
      <c r="AA56" s="103"/>
      <c r="AB56" s="103"/>
      <c r="AC56" s="104"/>
      <c r="AD56" s="118">
        <f>COUNTIF(AD44:AG55,"P")</f>
        <v>5</v>
      </c>
      <c r="AE56" s="103"/>
      <c r="AF56" s="103"/>
      <c r="AG56" s="104"/>
      <c r="AH56" s="118">
        <f>COUNTIF(AH44:AK55,"P")</f>
        <v>4</v>
      </c>
      <c r="AI56" s="103"/>
      <c r="AJ56" s="103"/>
      <c r="AK56" s="104"/>
      <c r="AL56" s="118">
        <f>COUNTIF(AL44:AO55,"P")</f>
        <v>3</v>
      </c>
      <c r="AM56" s="103"/>
      <c r="AN56" s="103"/>
      <c r="AO56" s="104"/>
      <c r="AP56" s="118">
        <f>COUNTIF(AP44:AS55,"P")</f>
        <v>0</v>
      </c>
      <c r="AQ56" s="103"/>
      <c r="AR56" s="103"/>
      <c r="AS56" s="104"/>
      <c r="AT56" s="118">
        <f>COUNTIF(AT44:AW55,"P")</f>
        <v>2</v>
      </c>
      <c r="AU56" s="103"/>
      <c r="AV56" s="103"/>
      <c r="AW56" s="104"/>
      <c r="AX56" s="118">
        <f>COUNTIF(AX44:BA55,"P")</f>
        <v>0</v>
      </c>
      <c r="AY56" s="103"/>
      <c r="AZ56" s="103"/>
      <c r="BA56" s="104"/>
      <c r="BB56" s="120" t="s">
        <v>40</v>
      </c>
      <c r="BC56" s="121"/>
      <c r="BD56" s="107">
        <f>+SUM(BC44:BC55)/SUM(BB44:BB55)</f>
        <v>0.93181818181818177</v>
      </c>
      <c r="BE56" s="19">
        <v>0</v>
      </c>
      <c r="BF56" s="123" t="s">
        <v>52</v>
      </c>
    </row>
    <row r="57" spans="1:58" ht="20.25" customHeight="1" x14ac:dyDescent="0.2">
      <c r="A57" s="115" t="s">
        <v>41</v>
      </c>
      <c r="B57" s="103"/>
      <c r="C57" s="103"/>
      <c r="D57" s="132"/>
      <c r="E57" s="26"/>
      <c r="F57" s="118">
        <f>COUNTIF(F44:I55,"R")</f>
        <v>3</v>
      </c>
      <c r="G57" s="103"/>
      <c r="H57" s="103"/>
      <c r="I57" s="104"/>
      <c r="J57" s="118">
        <f>COUNTIF(J44:M55,"R")</f>
        <v>4</v>
      </c>
      <c r="K57" s="103"/>
      <c r="L57" s="103"/>
      <c r="M57" s="104"/>
      <c r="N57" s="118">
        <f>COUNTIF(N44:Q55,"R")</f>
        <v>4</v>
      </c>
      <c r="O57" s="103"/>
      <c r="P57" s="103"/>
      <c r="Q57" s="104"/>
      <c r="R57" s="118">
        <f>COUNTIF(R44:U55,"R")</f>
        <v>6</v>
      </c>
      <c r="S57" s="103"/>
      <c r="T57" s="103"/>
      <c r="U57" s="104"/>
      <c r="V57" s="118">
        <f>COUNTIF(V44:Y55,"R")</f>
        <v>5</v>
      </c>
      <c r="W57" s="103"/>
      <c r="X57" s="103"/>
      <c r="Y57" s="104"/>
      <c r="Z57" s="118">
        <f>COUNTIF(Z44:AC55,"R")</f>
        <v>5</v>
      </c>
      <c r="AA57" s="103"/>
      <c r="AB57" s="103"/>
      <c r="AC57" s="104"/>
      <c r="AD57" s="118">
        <f>COUNTIF(AD44:AG55,"R")</f>
        <v>5</v>
      </c>
      <c r="AE57" s="103"/>
      <c r="AF57" s="103"/>
      <c r="AG57" s="104"/>
      <c r="AH57" s="118">
        <f>COUNTIF(AH44:AK55,"R")</f>
        <v>4</v>
      </c>
      <c r="AI57" s="103"/>
      <c r="AJ57" s="103"/>
      <c r="AK57" s="104"/>
      <c r="AL57" s="118">
        <f>COUNTIF(AL44:AO55,"R")</f>
        <v>3</v>
      </c>
      <c r="AM57" s="103"/>
      <c r="AN57" s="103"/>
      <c r="AO57" s="104"/>
      <c r="AP57" s="118">
        <f>COUNTIF(AP44:AS55,"R")</f>
        <v>0</v>
      </c>
      <c r="AQ57" s="103"/>
      <c r="AR57" s="103"/>
      <c r="AS57" s="104"/>
      <c r="AT57" s="118">
        <f>COUNTIF(AT44:AW55,"R")</f>
        <v>2</v>
      </c>
      <c r="AU57" s="103"/>
      <c r="AV57" s="103"/>
      <c r="AW57" s="104"/>
      <c r="AX57" s="118">
        <f>COUNTIF(AX44:BA55,"R")</f>
        <v>0</v>
      </c>
      <c r="AY57" s="103"/>
      <c r="AZ57" s="103"/>
      <c r="BA57" s="104"/>
      <c r="BB57" s="99"/>
      <c r="BC57" s="122"/>
      <c r="BD57" s="106"/>
      <c r="BE57" s="19">
        <v>0</v>
      </c>
      <c r="BF57" s="101"/>
    </row>
    <row r="58" spans="1:58" ht="18" customHeight="1" x14ac:dyDescent="0.2">
      <c r="A58" s="159" t="s">
        <v>91</v>
      </c>
      <c r="B58" s="128" t="s">
        <v>10</v>
      </c>
      <c r="C58" s="97"/>
      <c r="D58" s="97"/>
      <c r="E58" s="98"/>
      <c r="F58" s="102" t="s">
        <v>11</v>
      </c>
      <c r="G58" s="103"/>
      <c r="H58" s="103"/>
      <c r="I58" s="104"/>
      <c r="J58" s="102" t="s">
        <v>12</v>
      </c>
      <c r="K58" s="103"/>
      <c r="L58" s="103"/>
      <c r="M58" s="104"/>
      <c r="N58" s="102" t="s">
        <v>13</v>
      </c>
      <c r="O58" s="103"/>
      <c r="P58" s="103"/>
      <c r="Q58" s="104"/>
      <c r="R58" s="102" t="s">
        <v>14</v>
      </c>
      <c r="S58" s="103"/>
      <c r="T58" s="103"/>
      <c r="U58" s="104"/>
      <c r="V58" s="102" t="s">
        <v>15</v>
      </c>
      <c r="W58" s="103"/>
      <c r="X58" s="103"/>
      <c r="Y58" s="104"/>
      <c r="Z58" s="102" t="s">
        <v>16</v>
      </c>
      <c r="AA58" s="103"/>
      <c r="AB58" s="103"/>
      <c r="AC58" s="104"/>
      <c r="AD58" s="102" t="s">
        <v>17</v>
      </c>
      <c r="AE58" s="103"/>
      <c r="AF58" s="103"/>
      <c r="AG58" s="104"/>
      <c r="AH58" s="102" t="s">
        <v>18</v>
      </c>
      <c r="AI58" s="103"/>
      <c r="AJ58" s="103"/>
      <c r="AK58" s="104"/>
      <c r="AL58" s="102" t="s">
        <v>19</v>
      </c>
      <c r="AM58" s="103"/>
      <c r="AN58" s="103"/>
      <c r="AO58" s="104"/>
      <c r="AP58" s="102" t="s">
        <v>20</v>
      </c>
      <c r="AQ58" s="103"/>
      <c r="AR58" s="103"/>
      <c r="AS58" s="104"/>
      <c r="AT58" s="102" t="s">
        <v>21</v>
      </c>
      <c r="AU58" s="103"/>
      <c r="AV58" s="103"/>
      <c r="AW58" s="104"/>
      <c r="AX58" s="102" t="s">
        <v>22</v>
      </c>
      <c r="AY58" s="103"/>
      <c r="AZ58" s="103"/>
      <c r="BA58" s="104"/>
      <c r="BB58" s="112" t="s">
        <v>23</v>
      </c>
      <c r="BC58" s="103"/>
      <c r="BD58" s="104"/>
      <c r="BE58" s="124">
        <f>BE44+BE45+BE46+BE47+BE48+BE49+BE50+BE51+BE52+BE53+BE54+BE55+BE56+BE57</f>
        <v>0</v>
      </c>
      <c r="BF58" s="126" t="s">
        <v>25</v>
      </c>
    </row>
    <row r="59" spans="1:58" ht="27.75" customHeight="1" x14ac:dyDescent="0.2">
      <c r="A59" s="106"/>
      <c r="B59" s="99"/>
      <c r="C59" s="100"/>
      <c r="D59" s="100"/>
      <c r="E59" s="101"/>
      <c r="F59" s="12">
        <v>1</v>
      </c>
      <c r="G59" s="12">
        <v>2</v>
      </c>
      <c r="H59" s="12">
        <v>3</v>
      </c>
      <c r="I59" s="12">
        <v>4</v>
      </c>
      <c r="J59" s="12">
        <v>1</v>
      </c>
      <c r="K59" s="12">
        <v>2</v>
      </c>
      <c r="L59" s="12">
        <v>3</v>
      </c>
      <c r="M59" s="12">
        <v>4</v>
      </c>
      <c r="N59" s="12">
        <v>1</v>
      </c>
      <c r="O59" s="12">
        <v>2</v>
      </c>
      <c r="P59" s="12">
        <v>3</v>
      </c>
      <c r="Q59" s="12">
        <v>4</v>
      </c>
      <c r="R59" s="12">
        <v>1</v>
      </c>
      <c r="S59" s="12">
        <v>2</v>
      </c>
      <c r="T59" s="12">
        <v>3</v>
      </c>
      <c r="U59" s="12">
        <v>4</v>
      </c>
      <c r="V59" s="13">
        <v>1</v>
      </c>
      <c r="W59" s="13">
        <v>2</v>
      </c>
      <c r="X59" s="13">
        <v>3</v>
      </c>
      <c r="Y59" s="13">
        <v>4</v>
      </c>
      <c r="Z59" s="12">
        <v>1</v>
      </c>
      <c r="AA59" s="12">
        <v>2</v>
      </c>
      <c r="AB59" s="12">
        <v>3</v>
      </c>
      <c r="AC59" s="12">
        <v>4</v>
      </c>
      <c r="AD59" s="12">
        <v>1</v>
      </c>
      <c r="AE59" s="12">
        <v>2</v>
      </c>
      <c r="AF59" s="12">
        <v>3</v>
      </c>
      <c r="AG59" s="12">
        <v>4</v>
      </c>
      <c r="AH59" s="12">
        <v>1</v>
      </c>
      <c r="AI59" s="12">
        <v>2</v>
      </c>
      <c r="AJ59" s="12">
        <v>3</v>
      </c>
      <c r="AK59" s="12">
        <v>4</v>
      </c>
      <c r="AL59" s="12">
        <v>1</v>
      </c>
      <c r="AM59" s="12">
        <v>2</v>
      </c>
      <c r="AN59" s="12">
        <v>3</v>
      </c>
      <c r="AO59" s="12">
        <v>4</v>
      </c>
      <c r="AP59" s="12">
        <v>1</v>
      </c>
      <c r="AQ59" s="12">
        <v>2</v>
      </c>
      <c r="AR59" s="12">
        <v>3</v>
      </c>
      <c r="AS59" s="12">
        <v>4</v>
      </c>
      <c r="AT59" s="12">
        <v>1</v>
      </c>
      <c r="AU59" s="12">
        <v>2</v>
      </c>
      <c r="AV59" s="12">
        <v>3</v>
      </c>
      <c r="AW59" s="12">
        <v>4</v>
      </c>
      <c r="AX59" s="12">
        <v>1</v>
      </c>
      <c r="AY59" s="12">
        <v>2</v>
      </c>
      <c r="AZ59" s="12">
        <v>3</v>
      </c>
      <c r="BA59" s="12">
        <v>4</v>
      </c>
      <c r="BB59" s="14" t="s">
        <v>1</v>
      </c>
      <c r="BC59" s="15" t="s">
        <v>26</v>
      </c>
      <c r="BD59" s="15" t="s">
        <v>27</v>
      </c>
      <c r="BE59" s="125"/>
      <c r="BF59" s="125"/>
    </row>
    <row r="60" spans="1:58" ht="21" customHeight="1" x14ac:dyDescent="0.2">
      <c r="A60" s="149" t="s">
        <v>59</v>
      </c>
      <c r="B60" s="150" t="s">
        <v>96</v>
      </c>
      <c r="C60" s="97"/>
      <c r="D60" s="97"/>
      <c r="E60" s="98"/>
      <c r="F60" s="16"/>
      <c r="G60" s="16"/>
      <c r="H60" s="16"/>
      <c r="I60" s="16"/>
      <c r="J60" s="16"/>
      <c r="K60" s="16"/>
      <c r="L60" s="16" t="s">
        <v>2</v>
      </c>
      <c r="M60" s="16"/>
      <c r="N60" s="16"/>
      <c r="O60" s="16" t="s">
        <v>2</v>
      </c>
      <c r="P60" s="16"/>
      <c r="Q60" s="16"/>
      <c r="R60" s="16"/>
      <c r="S60" s="16"/>
      <c r="T60" s="16"/>
      <c r="U60" s="16"/>
      <c r="V60" s="16"/>
      <c r="W60" s="16"/>
      <c r="X60" s="16" t="s">
        <v>2</v>
      </c>
      <c r="Y60" s="16"/>
      <c r="Z60" s="16"/>
      <c r="AA60" s="16"/>
      <c r="AB60" s="16"/>
      <c r="AC60" s="16"/>
      <c r="AD60" s="16"/>
      <c r="AE60" s="16"/>
      <c r="AF60" s="16" t="s">
        <v>2</v>
      </c>
      <c r="AG60" s="16"/>
      <c r="AH60" s="16"/>
      <c r="AI60" s="17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05">
        <f>COUNTIF(F60:BA60,$H$5)</f>
        <v>4</v>
      </c>
      <c r="BC60" s="105">
        <f>COUNTIF(F61:BA61,$Q$5)</f>
        <v>4</v>
      </c>
      <c r="BD60" s="107">
        <f>IFERROR(BC60/BB60,"")</f>
        <v>1</v>
      </c>
      <c r="BE60" s="19"/>
      <c r="BF60" s="147" t="s">
        <v>99</v>
      </c>
    </row>
    <row r="61" spans="1:58" ht="21" customHeight="1" x14ac:dyDescent="0.2">
      <c r="A61" s="106"/>
      <c r="B61" s="99"/>
      <c r="C61" s="100"/>
      <c r="D61" s="100"/>
      <c r="E61" s="101"/>
      <c r="F61" s="16"/>
      <c r="G61" s="16"/>
      <c r="H61" s="16"/>
      <c r="I61" s="16"/>
      <c r="J61" s="16"/>
      <c r="K61" s="16"/>
      <c r="L61" s="16" t="s">
        <v>4</v>
      </c>
      <c r="M61" s="16"/>
      <c r="N61" s="16"/>
      <c r="O61" s="16" t="s">
        <v>4</v>
      </c>
      <c r="P61" s="16"/>
      <c r="Q61" s="16"/>
      <c r="R61" s="16"/>
      <c r="S61" s="16"/>
      <c r="T61" s="16"/>
      <c r="U61" s="16"/>
      <c r="V61" s="16"/>
      <c r="W61" s="16"/>
      <c r="X61" s="16"/>
      <c r="Y61" s="16" t="s">
        <v>4</v>
      </c>
      <c r="Z61" s="16"/>
      <c r="AA61" s="16"/>
      <c r="AB61" s="16"/>
      <c r="AC61" s="16"/>
      <c r="AD61" s="16"/>
      <c r="AE61" s="16"/>
      <c r="AF61" s="16" t="s">
        <v>4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06"/>
      <c r="BC61" s="106"/>
      <c r="BD61" s="106"/>
      <c r="BE61" s="19">
        <v>1290710</v>
      </c>
      <c r="BF61" s="125"/>
    </row>
    <row r="62" spans="1:58" ht="21" customHeight="1" x14ac:dyDescent="0.2">
      <c r="A62" s="158" t="s">
        <v>97</v>
      </c>
      <c r="B62" s="150" t="s">
        <v>96</v>
      </c>
      <c r="C62" s="97"/>
      <c r="D62" s="97"/>
      <c r="E62" s="98"/>
      <c r="F62" s="16"/>
      <c r="G62" s="16"/>
      <c r="H62" s="16"/>
      <c r="I62" s="16" t="s">
        <v>2</v>
      </c>
      <c r="J62" s="16"/>
      <c r="K62" s="16"/>
      <c r="L62" s="16"/>
      <c r="M62" s="16" t="s">
        <v>2</v>
      </c>
      <c r="N62" s="16"/>
      <c r="O62" s="16"/>
      <c r="P62" s="16"/>
      <c r="Q62" s="16"/>
      <c r="R62" s="16"/>
      <c r="S62" s="16"/>
      <c r="T62" s="16"/>
      <c r="U62" s="16" t="s">
        <v>2</v>
      </c>
      <c r="V62" s="16"/>
      <c r="W62" s="16"/>
      <c r="X62" s="16"/>
      <c r="Y62" s="16" t="s">
        <v>2</v>
      </c>
      <c r="Z62" s="16"/>
      <c r="AA62" s="16"/>
      <c r="AB62" s="16"/>
      <c r="AC62" s="16" t="s">
        <v>2</v>
      </c>
      <c r="AD62" s="16"/>
      <c r="AE62" s="16"/>
      <c r="AF62" s="16"/>
      <c r="AG62" s="16" t="s">
        <v>2</v>
      </c>
      <c r="AH62" s="16"/>
      <c r="AI62" s="16"/>
      <c r="AJ62" s="16"/>
      <c r="AK62" s="16" t="s">
        <v>2</v>
      </c>
      <c r="AL62" s="16"/>
      <c r="AM62" s="16"/>
      <c r="AN62" s="16"/>
      <c r="AO62" s="16" t="s">
        <v>2</v>
      </c>
      <c r="AP62" s="16"/>
      <c r="AQ62" s="16"/>
      <c r="AR62" s="16"/>
      <c r="AS62" s="16" t="s">
        <v>2</v>
      </c>
      <c r="AT62" s="16"/>
      <c r="AU62" s="16"/>
      <c r="AV62" s="16"/>
      <c r="AW62" s="16" t="s">
        <v>2</v>
      </c>
      <c r="AX62" s="16"/>
      <c r="AY62" s="16"/>
      <c r="AZ62" s="16"/>
      <c r="BA62" s="16" t="s">
        <v>2</v>
      </c>
      <c r="BB62" s="105">
        <f>COUNTIF(F62:BA62,$H$5)</f>
        <v>11</v>
      </c>
      <c r="BC62" s="105">
        <f>COUNTIF(F63:BA63,$Q$5)</f>
        <v>11</v>
      </c>
      <c r="BD62" s="107">
        <f>IFERROR(BC62/BB62,"")</f>
        <v>1</v>
      </c>
      <c r="BE62" s="19"/>
      <c r="BF62" s="147" t="s">
        <v>98</v>
      </c>
    </row>
    <row r="63" spans="1:58" ht="21" customHeight="1" x14ac:dyDescent="0.2">
      <c r="A63" s="106"/>
      <c r="B63" s="99"/>
      <c r="C63" s="100"/>
      <c r="D63" s="100"/>
      <c r="E63" s="101"/>
      <c r="F63" s="16"/>
      <c r="G63" s="16"/>
      <c r="H63" s="16"/>
      <c r="I63" s="16" t="s">
        <v>4</v>
      </c>
      <c r="J63" s="16"/>
      <c r="K63" s="16"/>
      <c r="L63" s="16"/>
      <c r="M63" s="16" t="s">
        <v>4</v>
      </c>
      <c r="N63" s="16"/>
      <c r="O63" s="16"/>
      <c r="P63" s="16"/>
      <c r="Q63" s="16"/>
      <c r="R63" s="16"/>
      <c r="S63" s="16"/>
      <c r="T63" s="16"/>
      <c r="U63" s="16" t="s">
        <v>4</v>
      </c>
      <c r="V63" s="16"/>
      <c r="W63" s="16"/>
      <c r="X63" s="16"/>
      <c r="Y63" s="16" t="s">
        <v>4</v>
      </c>
      <c r="Z63" s="16"/>
      <c r="AA63" s="16"/>
      <c r="AB63" s="16"/>
      <c r="AC63" s="16" t="s">
        <v>4</v>
      </c>
      <c r="AD63" s="16"/>
      <c r="AE63" s="16"/>
      <c r="AF63" s="16"/>
      <c r="AG63" s="16" t="s">
        <v>4</v>
      </c>
      <c r="AH63" s="16"/>
      <c r="AI63" s="16"/>
      <c r="AJ63" s="16"/>
      <c r="AK63" s="16" t="s">
        <v>4</v>
      </c>
      <c r="AL63" s="16"/>
      <c r="AM63" s="16"/>
      <c r="AN63" s="16"/>
      <c r="AO63" s="16" t="s">
        <v>4</v>
      </c>
      <c r="AP63" s="16"/>
      <c r="AQ63" s="16"/>
      <c r="AR63" s="16"/>
      <c r="AS63" s="16" t="s">
        <v>4</v>
      </c>
      <c r="AT63" s="16"/>
      <c r="AU63" s="16"/>
      <c r="AV63" s="16"/>
      <c r="AW63" s="16" t="s">
        <v>4</v>
      </c>
      <c r="AX63" s="16"/>
      <c r="AY63" s="16"/>
      <c r="AZ63" s="16"/>
      <c r="BA63" s="16" t="s">
        <v>4</v>
      </c>
      <c r="BB63" s="106"/>
      <c r="BC63" s="106"/>
      <c r="BD63" s="106"/>
      <c r="BE63" s="19">
        <v>3379517</v>
      </c>
      <c r="BF63" s="125"/>
    </row>
    <row r="64" spans="1:58" ht="21" customHeight="1" x14ac:dyDescent="0.2">
      <c r="A64" s="133" t="s">
        <v>60</v>
      </c>
      <c r="B64" s="150" t="s">
        <v>96</v>
      </c>
      <c r="C64" s="97"/>
      <c r="D64" s="97"/>
      <c r="E64" s="98"/>
      <c r="F64" s="16"/>
      <c r="G64" s="16" t="s">
        <v>2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 t="s">
        <v>2</v>
      </c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 t="s">
        <v>2</v>
      </c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05">
        <f>COUNTIF(F64:BA64,$H$5)</f>
        <v>3</v>
      </c>
      <c r="BC64" s="105">
        <f>COUNTIF(F65:BA65,$Q$5)</f>
        <v>3</v>
      </c>
      <c r="BD64" s="107">
        <f>IFERROR(BC64/BB64,"")</f>
        <v>1</v>
      </c>
      <c r="BE64" s="19"/>
      <c r="BF64" s="74"/>
    </row>
    <row r="65" spans="1:58" ht="21" customHeight="1" x14ac:dyDescent="0.2">
      <c r="A65" s="106"/>
      <c r="B65" s="99"/>
      <c r="C65" s="100"/>
      <c r="D65" s="100"/>
      <c r="E65" s="101"/>
      <c r="F65" s="16"/>
      <c r="G65" s="16" t="s">
        <v>4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 t="s">
        <v>4</v>
      </c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 t="s">
        <v>4</v>
      </c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06"/>
      <c r="BC65" s="106"/>
      <c r="BD65" s="106"/>
      <c r="BE65" s="19">
        <v>104892</v>
      </c>
      <c r="BF65" s="75"/>
    </row>
    <row r="66" spans="1:58" ht="21" customHeight="1" x14ac:dyDescent="0.2">
      <c r="A66" s="78" t="s">
        <v>95</v>
      </c>
      <c r="B66" s="80" t="s">
        <v>93</v>
      </c>
      <c r="C66" s="89"/>
      <c r="D66" s="89"/>
      <c r="E66" s="90"/>
      <c r="F66" s="16"/>
      <c r="G66" s="16"/>
      <c r="H66" s="16" t="s">
        <v>2</v>
      </c>
      <c r="I66" s="16"/>
      <c r="J66" s="16"/>
      <c r="K66" s="16"/>
      <c r="L66" s="16" t="s">
        <v>2</v>
      </c>
      <c r="M66" s="16"/>
      <c r="N66" s="16"/>
      <c r="O66" s="16"/>
      <c r="P66" s="16" t="s">
        <v>2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 t="s">
        <v>2</v>
      </c>
      <c r="BB66" s="94"/>
      <c r="BC66" s="94"/>
      <c r="BD66" s="94"/>
      <c r="BE66" s="19">
        <v>1750000</v>
      </c>
      <c r="BF66" s="76" t="s">
        <v>103</v>
      </c>
    </row>
    <row r="67" spans="1:58" ht="27" customHeight="1" x14ac:dyDescent="0.2">
      <c r="A67" s="88"/>
      <c r="B67" s="91"/>
      <c r="C67" s="92"/>
      <c r="D67" s="92"/>
      <c r="E67" s="93"/>
      <c r="F67" s="16"/>
      <c r="G67" s="16"/>
      <c r="H67" s="16" t="s">
        <v>4</v>
      </c>
      <c r="I67" s="16"/>
      <c r="J67" s="16"/>
      <c r="K67" s="16"/>
      <c r="L67" s="16" t="s">
        <v>4</v>
      </c>
      <c r="M67" s="16"/>
      <c r="N67" s="16"/>
      <c r="O67" s="16"/>
      <c r="P67" s="16" t="s">
        <v>4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 t="s">
        <v>4</v>
      </c>
      <c r="BB67" s="95"/>
      <c r="BC67" s="95"/>
      <c r="BD67" s="95"/>
      <c r="BE67" s="19">
        <v>4818120</v>
      </c>
      <c r="BF67" s="75"/>
    </row>
    <row r="68" spans="1:58" ht="17.25" customHeight="1" x14ac:dyDescent="0.2">
      <c r="A68" s="78" t="s">
        <v>92</v>
      </c>
      <c r="B68" s="80" t="s">
        <v>87</v>
      </c>
      <c r="C68" s="81"/>
      <c r="D68" s="81"/>
      <c r="E68" s="82"/>
      <c r="F68" s="16"/>
      <c r="G68" s="16"/>
      <c r="H68" s="16"/>
      <c r="I68" s="16"/>
      <c r="J68" s="16"/>
      <c r="K68" s="16"/>
      <c r="L68" s="16"/>
      <c r="M68" s="16"/>
      <c r="N68" s="16" t="s">
        <v>2</v>
      </c>
      <c r="O68" s="16"/>
      <c r="P68" s="16"/>
      <c r="Q68" s="16"/>
      <c r="R68" s="16" t="s">
        <v>2</v>
      </c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61"/>
      <c r="BC68" s="61"/>
      <c r="BD68" s="61"/>
      <c r="BE68" s="19">
        <v>806380</v>
      </c>
      <c r="BF68" s="76" t="s">
        <v>94</v>
      </c>
    </row>
    <row r="69" spans="1:58" ht="19.5" customHeight="1" x14ac:dyDescent="0.2">
      <c r="A69" s="79"/>
      <c r="B69" s="83"/>
      <c r="C69" s="84"/>
      <c r="D69" s="84"/>
      <c r="E69" s="85"/>
      <c r="F69" s="16"/>
      <c r="G69" s="16"/>
      <c r="H69" s="16"/>
      <c r="I69" s="16"/>
      <c r="J69" s="16"/>
      <c r="K69" s="16"/>
      <c r="L69" s="16"/>
      <c r="M69" s="16"/>
      <c r="N69" s="16" t="s">
        <v>4</v>
      </c>
      <c r="O69" s="16"/>
      <c r="P69" s="16"/>
      <c r="Q69" s="16"/>
      <c r="R69" s="16" t="s">
        <v>4</v>
      </c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62"/>
      <c r="BC69" s="62"/>
      <c r="BD69" s="62"/>
      <c r="BE69" s="19">
        <v>686380</v>
      </c>
      <c r="BF69" s="75"/>
    </row>
    <row r="70" spans="1:58" ht="21" customHeight="1" x14ac:dyDescent="0.2">
      <c r="A70" s="133" t="s">
        <v>61</v>
      </c>
      <c r="B70" s="96" t="s">
        <v>51</v>
      </c>
      <c r="C70" s="97"/>
      <c r="D70" s="97"/>
      <c r="E70" s="98"/>
      <c r="F70" s="16"/>
      <c r="G70" s="16"/>
      <c r="H70" s="16"/>
      <c r="I70" s="16"/>
      <c r="J70" s="16"/>
      <c r="K70" s="16"/>
      <c r="L70" s="16"/>
      <c r="M70" s="16" t="s">
        <v>2</v>
      </c>
      <c r="N70" s="16"/>
      <c r="O70" s="16"/>
      <c r="P70" s="16"/>
      <c r="Q70" s="16"/>
      <c r="R70" s="16"/>
      <c r="S70" s="16"/>
      <c r="T70" s="16" t="s">
        <v>2</v>
      </c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 t="s">
        <v>2</v>
      </c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05">
        <f>COUNTIF(F70:BA70,$H$5)</f>
        <v>3</v>
      </c>
      <c r="BC70" s="105">
        <f>COUNTIF(F71:BA71,$Q$5)</f>
        <v>2</v>
      </c>
      <c r="BD70" s="107">
        <f>IFERROR(BC70/BB70,"")</f>
        <v>0.66666666666666663</v>
      </c>
      <c r="BE70" s="19"/>
      <c r="BF70" s="76" t="s">
        <v>100</v>
      </c>
    </row>
    <row r="71" spans="1:58" ht="21" customHeight="1" x14ac:dyDescent="0.2">
      <c r="A71" s="106"/>
      <c r="B71" s="99"/>
      <c r="C71" s="100"/>
      <c r="D71" s="100"/>
      <c r="E71" s="101"/>
      <c r="F71" s="16"/>
      <c r="G71" s="16"/>
      <c r="H71" s="16"/>
      <c r="I71" s="16"/>
      <c r="J71" s="16"/>
      <c r="K71" s="16"/>
      <c r="L71" s="16"/>
      <c r="M71" s="16" t="s">
        <v>4</v>
      </c>
      <c r="N71" s="16"/>
      <c r="O71" s="16"/>
      <c r="P71" s="16"/>
      <c r="Q71" s="16"/>
      <c r="R71" s="16"/>
      <c r="S71" s="16"/>
      <c r="T71" s="16" t="s">
        <v>6</v>
      </c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 t="s">
        <v>4</v>
      </c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06"/>
      <c r="BC71" s="106"/>
      <c r="BD71" s="106"/>
      <c r="BE71" s="19">
        <v>315000</v>
      </c>
      <c r="BF71" s="77"/>
    </row>
    <row r="72" spans="1:58" ht="19.5" customHeight="1" x14ac:dyDescent="0.2">
      <c r="A72" s="117" t="s">
        <v>39</v>
      </c>
      <c r="B72" s="103"/>
      <c r="C72" s="103"/>
      <c r="D72" s="132"/>
      <c r="E72" s="25"/>
      <c r="F72" s="118">
        <f>COUNTIF(F60:I71,"P")</f>
        <v>3</v>
      </c>
      <c r="G72" s="103"/>
      <c r="H72" s="103"/>
      <c r="I72" s="104"/>
      <c r="J72" s="118">
        <f>COUNTIF(J60:M71,"P")</f>
        <v>4</v>
      </c>
      <c r="K72" s="103"/>
      <c r="L72" s="103"/>
      <c r="M72" s="104"/>
      <c r="N72" s="118">
        <f>COUNTIF(N60:Q71,"P")</f>
        <v>3</v>
      </c>
      <c r="O72" s="103"/>
      <c r="P72" s="103"/>
      <c r="Q72" s="104"/>
      <c r="R72" s="118">
        <f>COUNTIF(R60:U71,"P")</f>
        <v>4</v>
      </c>
      <c r="S72" s="103"/>
      <c r="T72" s="103"/>
      <c r="U72" s="104"/>
      <c r="V72" s="118">
        <f>COUNTIF(V60:Y71,"P")</f>
        <v>2</v>
      </c>
      <c r="W72" s="103"/>
      <c r="X72" s="103"/>
      <c r="Y72" s="104"/>
      <c r="Z72" s="118">
        <f>COUNTIF(Z60:AC71,"P")</f>
        <v>1</v>
      </c>
      <c r="AA72" s="103"/>
      <c r="AB72" s="103"/>
      <c r="AC72" s="104"/>
      <c r="AD72" s="118">
        <f>COUNTIF(AD60:AG71,"P")</f>
        <v>2</v>
      </c>
      <c r="AE72" s="103"/>
      <c r="AF72" s="103"/>
      <c r="AG72" s="104"/>
      <c r="AH72" s="118">
        <f>COUNTIF(AH60:AK71,"P")</f>
        <v>2</v>
      </c>
      <c r="AI72" s="103"/>
      <c r="AJ72" s="103"/>
      <c r="AK72" s="104"/>
      <c r="AL72" s="118">
        <f>COUNTIF(AL60:AO71,"P")</f>
        <v>1</v>
      </c>
      <c r="AM72" s="103"/>
      <c r="AN72" s="103"/>
      <c r="AO72" s="104"/>
      <c r="AP72" s="118">
        <f>COUNTIF(AP60:AS71,"P")</f>
        <v>2</v>
      </c>
      <c r="AQ72" s="103"/>
      <c r="AR72" s="103"/>
      <c r="AS72" s="104"/>
      <c r="AT72" s="118">
        <f>COUNTIF(AT60:AW71,"P")</f>
        <v>1</v>
      </c>
      <c r="AU72" s="103"/>
      <c r="AV72" s="103"/>
      <c r="AW72" s="104"/>
      <c r="AX72" s="118">
        <f>COUNTIF(AX60:BA71,"P")</f>
        <v>2</v>
      </c>
      <c r="AY72" s="103"/>
      <c r="AZ72" s="103"/>
      <c r="BA72" s="104"/>
      <c r="BB72" s="120" t="s">
        <v>40</v>
      </c>
      <c r="BC72" s="121"/>
      <c r="BD72" s="107">
        <f>+SUM(BC60:BC71)/SUM(BB60:BB71)</f>
        <v>0.95238095238095233</v>
      </c>
      <c r="BE72" s="19">
        <v>0</v>
      </c>
      <c r="BF72" s="142"/>
    </row>
    <row r="73" spans="1:58" ht="19.5" customHeight="1" x14ac:dyDescent="0.2">
      <c r="A73" s="115" t="s">
        <v>41</v>
      </c>
      <c r="B73" s="103"/>
      <c r="C73" s="103"/>
      <c r="D73" s="132"/>
      <c r="E73" s="26"/>
      <c r="F73" s="118">
        <f>COUNTIF(F60:I71,"R")</f>
        <v>3</v>
      </c>
      <c r="G73" s="103"/>
      <c r="H73" s="103"/>
      <c r="I73" s="104"/>
      <c r="J73" s="118">
        <f>COUNTIF(J60:M71,"R")</f>
        <v>4</v>
      </c>
      <c r="K73" s="103"/>
      <c r="L73" s="103"/>
      <c r="M73" s="104"/>
      <c r="N73" s="118">
        <f>COUNTIF(N60:Q71,"R")</f>
        <v>3</v>
      </c>
      <c r="O73" s="103"/>
      <c r="P73" s="103"/>
      <c r="Q73" s="104"/>
      <c r="R73" s="118">
        <f>COUNTIF(R60:U71,"R")</f>
        <v>3</v>
      </c>
      <c r="S73" s="103"/>
      <c r="T73" s="103"/>
      <c r="U73" s="104"/>
      <c r="V73" s="118">
        <f>COUNTIF(V60:Y71,"R")</f>
        <v>2</v>
      </c>
      <c r="W73" s="103"/>
      <c r="X73" s="103"/>
      <c r="Y73" s="104"/>
      <c r="Z73" s="118">
        <f>COUNTIF(Z60:AC71,"R")</f>
        <v>1</v>
      </c>
      <c r="AA73" s="103"/>
      <c r="AB73" s="103"/>
      <c r="AC73" s="104"/>
      <c r="AD73" s="118">
        <f>COUNTIF(AD60:AG71,"R")</f>
        <v>2</v>
      </c>
      <c r="AE73" s="103"/>
      <c r="AF73" s="103"/>
      <c r="AG73" s="104"/>
      <c r="AH73" s="118">
        <f>COUNTIF(AH60:AK71,"R")</f>
        <v>2</v>
      </c>
      <c r="AI73" s="103"/>
      <c r="AJ73" s="103"/>
      <c r="AK73" s="104"/>
      <c r="AL73" s="118">
        <f>COUNTIF(AL60:AO71,"R")</f>
        <v>1</v>
      </c>
      <c r="AM73" s="103"/>
      <c r="AN73" s="103"/>
      <c r="AO73" s="104"/>
      <c r="AP73" s="118">
        <f>COUNTIF(AP60:AS71,"R")</f>
        <v>2</v>
      </c>
      <c r="AQ73" s="103"/>
      <c r="AR73" s="103"/>
      <c r="AS73" s="104"/>
      <c r="AT73" s="118">
        <f>COUNTIF(AT60:AW71,"R")</f>
        <v>1</v>
      </c>
      <c r="AU73" s="103"/>
      <c r="AV73" s="103"/>
      <c r="AW73" s="104"/>
      <c r="AX73" s="118">
        <f>COUNTIF(AX60:BA71,"R")</f>
        <v>2</v>
      </c>
      <c r="AY73" s="103"/>
      <c r="AZ73" s="103"/>
      <c r="BA73" s="104"/>
      <c r="BB73" s="99"/>
      <c r="BC73" s="122"/>
      <c r="BD73" s="106"/>
      <c r="BE73" s="19">
        <v>0</v>
      </c>
      <c r="BF73" s="125"/>
    </row>
    <row r="74" spans="1:58" ht="19.5" customHeight="1" x14ac:dyDescent="0.2">
      <c r="A74" s="127" t="s">
        <v>62</v>
      </c>
      <c r="B74" s="128" t="s">
        <v>10</v>
      </c>
      <c r="C74" s="97"/>
      <c r="D74" s="97"/>
      <c r="E74" s="98"/>
      <c r="F74" s="102" t="s">
        <v>11</v>
      </c>
      <c r="G74" s="103"/>
      <c r="H74" s="103"/>
      <c r="I74" s="104"/>
      <c r="J74" s="102" t="s">
        <v>12</v>
      </c>
      <c r="K74" s="103"/>
      <c r="L74" s="103"/>
      <c r="M74" s="104"/>
      <c r="N74" s="102" t="s">
        <v>13</v>
      </c>
      <c r="O74" s="103"/>
      <c r="P74" s="103"/>
      <c r="Q74" s="104"/>
      <c r="R74" s="102" t="s">
        <v>14</v>
      </c>
      <c r="S74" s="103"/>
      <c r="T74" s="103"/>
      <c r="U74" s="104"/>
      <c r="V74" s="102" t="s">
        <v>15</v>
      </c>
      <c r="W74" s="103"/>
      <c r="X74" s="103"/>
      <c r="Y74" s="104"/>
      <c r="Z74" s="102" t="s">
        <v>16</v>
      </c>
      <c r="AA74" s="103"/>
      <c r="AB74" s="103"/>
      <c r="AC74" s="104"/>
      <c r="AD74" s="102" t="s">
        <v>17</v>
      </c>
      <c r="AE74" s="103"/>
      <c r="AF74" s="103"/>
      <c r="AG74" s="104"/>
      <c r="AH74" s="102" t="s">
        <v>18</v>
      </c>
      <c r="AI74" s="103"/>
      <c r="AJ74" s="103"/>
      <c r="AK74" s="104"/>
      <c r="AL74" s="102" t="s">
        <v>19</v>
      </c>
      <c r="AM74" s="103"/>
      <c r="AN74" s="103"/>
      <c r="AO74" s="104"/>
      <c r="AP74" s="102" t="s">
        <v>20</v>
      </c>
      <c r="AQ74" s="103"/>
      <c r="AR74" s="103"/>
      <c r="AS74" s="104"/>
      <c r="AT74" s="102" t="s">
        <v>21</v>
      </c>
      <c r="AU74" s="103"/>
      <c r="AV74" s="103"/>
      <c r="AW74" s="104"/>
      <c r="AX74" s="102" t="s">
        <v>22</v>
      </c>
      <c r="AY74" s="103"/>
      <c r="AZ74" s="103"/>
      <c r="BA74" s="104"/>
      <c r="BB74" s="112" t="s">
        <v>23</v>
      </c>
      <c r="BC74" s="103"/>
      <c r="BD74" s="104"/>
      <c r="BE74" s="124">
        <f>BE60+BE61+BE62+BE63+BE64+BE65+BE70+BE71+BE72+BE73</f>
        <v>5090119</v>
      </c>
      <c r="BF74" s="126" t="s">
        <v>25</v>
      </c>
    </row>
    <row r="75" spans="1:58" ht="19.5" customHeight="1" x14ac:dyDescent="0.2">
      <c r="A75" s="106"/>
      <c r="B75" s="99"/>
      <c r="C75" s="100"/>
      <c r="D75" s="100"/>
      <c r="E75" s="101"/>
      <c r="F75" s="12">
        <v>1</v>
      </c>
      <c r="G75" s="12">
        <v>2</v>
      </c>
      <c r="H75" s="12">
        <v>3</v>
      </c>
      <c r="I75" s="12">
        <v>4</v>
      </c>
      <c r="J75" s="12">
        <v>1</v>
      </c>
      <c r="K75" s="12">
        <v>2</v>
      </c>
      <c r="L75" s="12">
        <v>3</v>
      </c>
      <c r="M75" s="12">
        <v>4</v>
      </c>
      <c r="N75" s="12">
        <v>1</v>
      </c>
      <c r="O75" s="12">
        <v>2</v>
      </c>
      <c r="P75" s="12">
        <v>3</v>
      </c>
      <c r="Q75" s="12">
        <v>4</v>
      </c>
      <c r="R75" s="12">
        <v>1</v>
      </c>
      <c r="S75" s="12">
        <v>2</v>
      </c>
      <c r="T75" s="12">
        <v>3</v>
      </c>
      <c r="U75" s="12">
        <v>4</v>
      </c>
      <c r="V75" s="13">
        <v>1</v>
      </c>
      <c r="W75" s="13">
        <v>2</v>
      </c>
      <c r="X75" s="13">
        <v>3</v>
      </c>
      <c r="Y75" s="13">
        <v>4</v>
      </c>
      <c r="Z75" s="12">
        <v>1</v>
      </c>
      <c r="AA75" s="12">
        <v>2</v>
      </c>
      <c r="AB75" s="12">
        <v>3</v>
      </c>
      <c r="AC75" s="12">
        <v>4</v>
      </c>
      <c r="AD75" s="12">
        <v>1</v>
      </c>
      <c r="AE75" s="12">
        <v>2</v>
      </c>
      <c r="AF75" s="12">
        <v>3</v>
      </c>
      <c r="AG75" s="12">
        <v>4</v>
      </c>
      <c r="AH75" s="12">
        <v>1</v>
      </c>
      <c r="AI75" s="12">
        <v>2</v>
      </c>
      <c r="AJ75" s="12">
        <v>3</v>
      </c>
      <c r="AK75" s="12">
        <v>4</v>
      </c>
      <c r="AL75" s="12">
        <v>1</v>
      </c>
      <c r="AM75" s="12">
        <v>2</v>
      </c>
      <c r="AN75" s="12">
        <v>3</v>
      </c>
      <c r="AO75" s="12">
        <v>4</v>
      </c>
      <c r="AP75" s="12">
        <v>1</v>
      </c>
      <c r="AQ75" s="12">
        <v>2</v>
      </c>
      <c r="AR75" s="12">
        <v>3</v>
      </c>
      <c r="AS75" s="12">
        <v>4</v>
      </c>
      <c r="AT75" s="12">
        <v>1</v>
      </c>
      <c r="AU75" s="12">
        <v>2</v>
      </c>
      <c r="AV75" s="12">
        <v>3</v>
      </c>
      <c r="AW75" s="12">
        <v>4</v>
      </c>
      <c r="AX75" s="12">
        <v>1</v>
      </c>
      <c r="AY75" s="12">
        <v>2</v>
      </c>
      <c r="AZ75" s="12">
        <v>3</v>
      </c>
      <c r="BA75" s="12">
        <v>4</v>
      </c>
      <c r="BB75" s="14" t="s">
        <v>1</v>
      </c>
      <c r="BC75" s="15" t="s">
        <v>26</v>
      </c>
      <c r="BD75" s="15" t="s">
        <v>27</v>
      </c>
      <c r="BE75" s="125"/>
      <c r="BF75" s="125"/>
    </row>
    <row r="76" spans="1:58" ht="23.25" customHeight="1" x14ac:dyDescent="0.2">
      <c r="A76" s="135" t="s">
        <v>63</v>
      </c>
      <c r="B76" s="134" t="s">
        <v>96</v>
      </c>
      <c r="C76" s="97"/>
      <c r="D76" s="97"/>
      <c r="E76" s="98"/>
      <c r="F76" s="16"/>
      <c r="G76" s="16"/>
      <c r="H76" s="16"/>
      <c r="I76" s="16" t="s">
        <v>2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05">
        <f>COUNTIF(F76:BA76,$H$5)</f>
        <v>1</v>
      </c>
      <c r="BC76" s="105">
        <f>COUNTIF(F77:BA77,$Q$5)</f>
        <v>1</v>
      </c>
      <c r="BD76" s="146">
        <f>IFERROR(BC76/BB76,"")</f>
        <v>1</v>
      </c>
      <c r="BE76" s="19">
        <v>2781730</v>
      </c>
      <c r="BF76" s="143" t="s">
        <v>88</v>
      </c>
    </row>
    <row r="77" spans="1:58" ht="23.25" customHeight="1" x14ac:dyDescent="0.2">
      <c r="A77" s="106"/>
      <c r="B77" s="99"/>
      <c r="C77" s="100"/>
      <c r="D77" s="100"/>
      <c r="E77" s="101"/>
      <c r="F77" s="16"/>
      <c r="G77" s="16"/>
      <c r="H77" s="16"/>
      <c r="I77" s="16" t="s">
        <v>4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06"/>
      <c r="BC77" s="106"/>
      <c r="BD77" s="106"/>
      <c r="BE77" s="19">
        <v>0</v>
      </c>
      <c r="BF77" s="101"/>
    </row>
    <row r="78" spans="1:58" ht="23.25" customHeight="1" x14ac:dyDescent="0.2">
      <c r="A78" s="135" t="s">
        <v>64</v>
      </c>
      <c r="B78" s="134" t="s">
        <v>96</v>
      </c>
      <c r="C78" s="97"/>
      <c r="D78" s="97"/>
      <c r="E78" s="98"/>
      <c r="F78" s="16"/>
      <c r="G78" s="16"/>
      <c r="H78" s="16"/>
      <c r="I78" s="16"/>
      <c r="J78" s="16"/>
      <c r="K78" s="16"/>
      <c r="L78" s="16"/>
      <c r="M78" s="16" t="s">
        <v>2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05">
        <v>4</v>
      </c>
      <c r="BC78" s="105">
        <v>2</v>
      </c>
      <c r="BD78" s="144">
        <v>1</v>
      </c>
      <c r="BE78" s="19">
        <v>0</v>
      </c>
      <c r="BF78" s="129" t="s">
        <v>65</v>
      </c>
    </row>
    <row r="79" spans="1:58" ht="23.25" customHeight="1" x14ac:dyDescent="0.2">
      <c r="A79" s="106"/>
      <c r="B79" s="99"/>
      <c r="C79" s="100"/>
      <c r="D79" s="100"/>
      <c r="E79" s="101"/>
      <c r="F79" s="16"/>
      <c r="G79" s="16"/>
      <c r="H79" s="16"/>
      <c r="I79" s="16"/>
      <c r="J79" s="16"/>
      <c r="K79" s="16"/>
      <c r="L79" s="16"/>
      <c r="M79" s="16" t="s">
        <v>4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06"/>
      <c r="BC79" s="106"/>
      <c r="BD79" s="106"/>
      <c r="BE79" s="19">
        <v>0</v>
      </c>
      <c r="BF79" s="145"/>
    </row>
    <row r="80" spans="1:58" ht="24" customHeight="1" x14ac:dyDescent="0.2">
      <c r="A80" s="135" t="s">
        <v>66</v>
      </c>
      <c r="B80" s="131" t="s">
        <v>51</v>
      </c>
      <c r="C80" s="97"/>
      <c r="D80" s="97"/>
      <c r="E80" s="98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 t="s">
        <v>2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05">
        <f>COUNTIF(F80:BA80,$H$5)</f>
        <v>1</v>
      </c>
      <c r="BC80" s="105">
        <f>COUNTIF(F81:BA81,$Q$5)</f>
        <v>0</v>
      </c>
      <c r="BD80" s="146">
        <f>IFERROR(BC80/BB80,"")</f>
        <v>0</v>
      </c>
      <c r="BE80" s="19">
        <v>0</v>
      </c>
      <c r="BF80" s="119"/>
    </row>
    <row r="81" spans="1:58" ht="24" customHeight="1" x14ac:dyDescent="0.2">
      <c r="A81" s="106"/>
      <c r="B81" s="99"/>
      <c r="C81" s="100"/>
      <c r="D81" s="100"/>
      <c r="E81" s="101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 t="s">
        <v>6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06"/>
      <c r="BC81" s="106"/>
      <c r="BD81" s="106"/>
      <c r="BE81" s="19">
        <v>0</v>
      </c>
      <c r="BF81" s="101"/>
    </row>
    <row r="82" spans="1:58" ht="24" customHeight="1" x14ac:dyDescent="0.2">
      <c r="A82" s="117" t="s">
        <v>39</v>
      </c>
      <c r="B82" s="103"/>
      <c r="C82" s="103"/>
      <c r="D82" s="132"/>
      <c r="E82" s="25"/>
      <c r="F82" s="118">
        <f>COUNTIF(F76:I81,"P")</f>
        <v>1</v>
      </c>
      <c r="G82" s="103"/>
      <c r="H82" s="103"/>
      <c r="I82" s="104"/>
      <c r="J82" s="118">
        <f>COUNTIF(J76:M81,"P")</f>
        <v>1</v>
      </c>
      <c r="K82" s="103"/>
      <c r="L82" s="103"/>
      <c r="M82" s="104"/>
      <c r="N82" s="118">
        <f>COUNTIF(N76:Q81,"P")</f>
        <v>0</v>
      </c>
      <c r="O82" s="103"/>
      <c r="P82" s="103"/>
      <c r="Q82" s="104"/>
      <c r="R82" s="118">
        <f>COUNTIF(R76:U81,"P")</f>
        <v>0</v>
      </c>
      <c r="S82" s="103"/>
      <c r="T82" s="103"/>
      <c r="U82" s="104"/>
      <c r="V82" s="118">
        <f>COUNTIF(V76:Y81,"P")</f>
        <v>0</v>
      </c>
      <c r="W82" s="103"/>
      <c r="X82" s="103"/>
      <c r="Y82" s="104"/>
      <c r="Z82" s="118">
        <f>COUNTIF(Z76:AC81,"P")</f>
        <v>1</v>
      </c>
      <c r="AA82" s="103"/>
      <c r="AB82" s="103"/>
      <c r="AC82" s="104"/>
      <c r="AD82" s="118">
        <f>COUNTIF(AD76:AG81,"P")</f>
        <v>0</v>
      </c>
      <c r="AE82" s="103"/>
      <c r="AF82" s="103"/>
      <c r="AG82" s="104"/>
      <c r="AH82" s="118">
        <f>COUNTIF(AH76:AK81,"P")</f>
        <v>0</v>
      </c>
      <c r="AI82" s="103"/>
      <c r="AJ82" s="103"/>
      <c r="AK82" s="104"/>
      <c r="AL82" s="118">
        <f>COUNTIF(AL76:AO81,"P")</f>
        <v>0</v>
      </c>
      <c r="AM82" s="103"/>
      <c r="AN82" s="103"/>
      <c r="AO82" s="104"/>
      <c r="AP82" s="118">
        <f>COUNTIF(AP76:AS81,"P")</f>
        <v>0</v>
      </c>
      <c r="AQ82" s="103"/>
      <c r="AR82" s="103"/>
      <c r="AS82" s="104"/>
      <c r="AT82" s="118">
        <f>COUNTIF(AT76:AW81,"P")</f>
        <v>0</v>
      </c>
      <c r="AU82" s="103"/>
      <c r="AV82" s="103"/>
      <c r="AW82" s="104"/>
      <c r="AX82" s="118">
        <f>COUNTIF(AX76:BA81,"P")</f>
        <v>0</v>
      </c>
      <c r="AY82" s="103"/>
      <c r="AZ82" s="103"/>
      <c r="BA82" s="104"/>
      <c r="BB82" s="120" t="s">
        <v>40</v>
      </c>
      <c r="BC82" s="121"/>
      <c r="BD82" s="107">
        <f>+SUM(BC76:BC81)/SUM(BB76:BB81)</f>
        <v>0.5</v>
      </c>
      <c r="BE82" s="19">
        <v>0</v>
      </c>
      <c r="BF82" s="142"/>
    </row>
    <row r="83" spans="1:58" ht="24" customHeight="1" x14ac:dyDescent="0.2">
      <c r="A83" s="115" t="s">
        <v>41</v>
      </c>
      <c r="B83" s="103"/>
      <c r="C83" s="103"/>
      <c r="D83" s="132"/>
      <c r="E83" s="26"/>
      <c r="F83" s="118">
        <f>COUNTIF(F76:I81,"R")</f>
        <v>1</v>
      </c>
      <c r="G83" s="103"/>
      <c r="H83" s="103"/>
      <c r="I83" s="104"/>
      <c r="J83" s="118">
        <f>COUNTIF(J76:M81,"R")</f>
        <v>1</v>
      </c>
      <c r="K83" s="103"/>
      <c r="L83" s="103"/>
      <c r="M83" s="104"/>
      <c r="N83" s="118">
        <f>COUNTIF(N76:Q81,"R")</f>
        <v>0</v>
      </c>
      <c r="O83" s="103"/>
      <c r="P83" s="103"/>
      <c r="Q83" s="104"/>
      <c r="R83" s="118">
        <f>COUNTIF(R76:U81,"R")</f>
        <v>0</v>
      </c>
      <c r="S83" s="103"/>
      <c r="T83" s="103"/>
      <c r="U83" s="104"/>
      <c r="V83" s="118">
        <f>COUNTIF(V76:Y81,"R")</f>
        <v>0</v>
      </c>
      <c r="W83" s="103"/>
      <c r="X83" s="103"/>
      <c r="Y83" s="104"/>
      <c r="Z83" s="118">
        <f>COUNTIF(Z76:AC81,"R")</f>
        <v>0</v>
      </c>
      <c r="AA83" s="103"/>
      <c r="AB83" s="103"/>
      <c r="AC83" s="104"/>
      <c r="AD83" s="118">
        <f>COUNTIF(AD76:AG81,"R")</f>
        <v>0</v>
      </c>
      <c r="AE83" s="103"/>
      <c r="AF83" s="103"/>
      <c r="AG83" s="104"/>
      <c r="AH83" s="118">
        <f>COUNTIF(AH76:AK81,"R")</f>
        <v>0</v>
      </c>
      <c r="AI83" s="103"/>
      <c r="AJ83" s="103"/>
      <c r="AK83" s="104"/>
      <c r="AL83" s="118">
        <f>COUNTIF(AL76:AO81,"R")</f>
        <v>0</v>
      </c>
      <c r="AM83" s="103"/>
      <c r="AN83" s="103"/>
      <c r="AO83" s="104"/>
      <c r="AP83" s="118">
        <f>COUNTIF(AP76:AS81,"R")</f>
        <v>0</v>
      </c>
      <c r="AQ83" s="103"/>
      <c r="AR83" s="103"/>
      <c r="AS83" s="104"/>
      <c r="AT83" s="118">
        <f>COUNTIF(AT76:AW81,"R")</f>
        <v>0</v>
      </c>
      <c r="AU83" s="103"/>
      <c r="AV83" s="103"/>
      <c r="AW83" s="104"/>
      <c r="AX83" s="118">
        <f>COUNTIF(AX76:BA81,"R")</f>
        <v>0</v>
      </c>
      <c r="AY83" s="103"/>
      <c r="AZ83" s="103"/>
      <c r="BA83" s="104"/>
      <c r="BB83" s="99"/>
      <c r="BC83" s="122"/>
      <c r="BD83" s="106"/>
      <c r="BE83" s="19">
        <v>0</v>
      </c>
      <c r="BF83" s="125"/>
    </row>
    <row r="84" spans="1:58" ht="19.5" customHeight="1" x14ac:dyDescent="0.2">
      <c r="A84" s="127" t="s">
        <v>67</v>
      </c>
      <c r="B84" s="128" t="s">
        <v>10</v>
      </c>
      <c r="C84" s="97"/>
      <c r="D84" s="97"/>
      <c r="E84" s="98"/>
      <c r="F84" s="102" t="s">
        <v>11</v>
      </c>
      <c r="G84" s="103"/>
      <c r="H84" s="103"/>
      <c r="I84" s="104"/>
      <c r="J84" s="102" t="s">
        <v>12</v>
      </c>
      <c r="K84" s="103"/>
      <c r="L84" s="103"/>
      <c r="M84" s="104"/>
      <c r="N84" s="102" t="s">
        <v>13</v>
      </c>
      <c r="O84" s="103"/>
      <c r="P84" s="103"/>
      <c r="Q84" s="104"/>
      <c r="R84" s="102" t="s">
        <v>14</v>
      </c>
      <c r="S84" s="103"/>
      <c r="T84" s="103"/>
      <c r="U84" s="104"/>
      <c r="V84" s="102" t="s">
        <v>15</v>
      </c>
      <c r="W84" s="103"/>
      <c r="X84" s="103"/>
      <c r="Y84" s="104"/>
      <c r="Z84" s="102" t="s">
        <v>16</v>
      </c>
      <c r="AA84" s="103"/>
      <c r="AB84" s="103"/>
      <c r="AC84" s="104"/>
      <c r="AD84" s="102" t="s">
        <v>17</v>
      </c>
      <c r="AE84" s="103"/>
      <c r="AF84" s="103"/>
      <c r="AG84" s="104"/>
      <c r="AH84" s="102" t="s">
        <v>18</v>
      </c>
      <c r="AI84" s="103"/>
      <c r="AJ84" s="103"/>
      <c r="AK84" s="104"/>
      <c r="AL84" s="102" t="s">
        <v>19</v>
      </c>
      <c r="AM84" s="103"/>
      <c r="AN84" s="103"/>
      <c r="AO84" s="104"/>
      <c r="AP84" s="102" t="s">
        <v>20</v>
      </c>
      <c r="AQ84" s="103"/>
      <c r="AR84" s="103"/>
      <c r="AS84" s="104"/>
      <c r="AT84" s="102" t="s">
        <v>21</v>
      </c>
      <c r="AU84" s="103"/>
      <c r="AV84" s="103"/>
      <c r="AW84" s="104"/>
      <c r="AX84" s="102" t="s">
        <v>22</v>
      </c>
      <c r="AY84" s="103"/>
      <c r="AZ84" s="103"/>
      <c r="BA84" s="104"/>
      <c r="BB84" s="112" t="s">
        <v>23</v>
      </c>
      <c r="BC84" s="103"/>
      <c r="BD84" s="104"/>
      <c r="BE84" s="124">
        <f>BE76+BE77+BE78+BE79+BE80+BE81+BE82+BE83</f>
        <v>2781730</v>
      </c>
      <c r="BF84" s="126" t="s">
        <v>25</v>
      </c>
    </row>
    <row r="85" spans="1:58" ht="19.5" customHeight="1" x14ac:dyDescent="0.2">
      <c r="A85" s="106"/>
      <c r="B85" s="99"/>
      <c r="C85" s="100"/>
      <c r="D85" s="100"/>
      <c r="E85" s="101"/>
      <c r="F85" s="12">
        <v>1</v>
      </c>
      <c r="G85" s="12">
        <v>2</v>
      </c>
      <c r="H85" s="12">
        <v>3</v>
      </c>
      <c r="I85" s="12">
        <v>4</v>
      </c>
      <c r="J85" s="12">
        <v>1</v>
      </c>
      <c r="K85" s="12">
        <v>2</v>
      </c>
      <c r="L85" s="12">
        <v>3</v>
      </c>
      <c r="M85" s="12">
        <v>4</v>
      </c>
      <c r="N85" s="12">
        <v>1</v>
      </c>
      <c r="O85" s="12">
        <v>2</v>
      </c>
      <c r="P85" s="12">
        <v>3</v>
      </c>
      <c r="Q85" s="12">
        <v>4</v>
      </c>
      <c r="R85" s="12">
        <v>1</v>
      </c>
      <c r="S85" s="12">
        <v>2</v>
      </c>
      <c r="T85" s="12">
        <v>3</v>
      </c>
      <c r="U85" s="12">
        <v>4</v>
      </c>
      <c r="V85" s="13">
        <v>1</v>
      </c>
      <c r="W85" s="13">
        <v>2</v>
      </c>
      <c r="X85" s="13">
        <v>3</v>
      </c>
      <c r="Y85" s="13">
        <v>4</v>
      </c>
      <c r="Z85" s="12">
        <v>1</v>
      </c>
      <c r="AA85" s="12">
        <v>2</v>
      </c>
      <c r="AB85" s="12">
        <v>3</v>
      </c>
      <c r="AC85" s="12">
        <v>4</v>
      </c>
      <c r="AD85" s="12">
        <v>1</v>
      </c>
      <c r="AE85" s="12">
        <v>2</v>
      </c>
      <c r="AF85" s="12">
        <v>3</v>
      </c>
      <c r="AG85" s="12">
        <v>4</v>
      </c>
      <c r="AH85" s="12">
        <v>1</v>
      </c>
      <c r="AI85" s="12">
        <v>2</v>
      </c>
      <c r="AJ85" s="12">
        <v>3</v>
      </c>
      <c r="AK85" s="12">
        <v>4</v>
      </c>
      <c r="AL85" s="12">
        <v>1</v>
      </c>
      <c r="AM85" s="12">
        <v>2</v>
      </c>
      <c r="AN85" s="12">
        <v>3</v>
      </c>
      <c r="AO85" s="12">
        <v>4</v>
      </c>
      <c r="AP85" s="12">
        <v>1</v>
      </c>
      <c r="AQ85" s="12">
        <v>2</v>
      </c>
      <c r="AR85" s="12">
        <v>3</v>
      </c>
      <c r="AS85" s="12">
        <v>4</v>
      </c>
      <c r="AT85" s="12">
        <v>1</v>
      </c>
      <c r="AU85" s="12">
        <v>2</v>
      </c>
      <c r="AV85" s="12">
        <v>3</v>
      </c>
      <c r="AW85" s="12">
        <v>4</v>
      </c>
      <c r="AX85" s="12">
        <v>1</v>
      </c>
      <c r="AY85" s="12">
        <v>2</v>
      </c>
      <c r="AZ85" s="12">
        <v>3</v>
      </c>
      <c r="BA85" s="12">
        <v>4</v>
      </c>
      <c r="BB85" s="14" t="s">
        <v>1</v>
      </c>
      <c r="BC85" s="15" t="s">
        <v>26</v>
      </c>
      <c r="BD85" s="15" t="s">
        <v>27</v>
      </c>
      <c r="BE85" s="125"/>
      <c r="BF85" s="125"/>
    </row>
    <row r="86" spans="1:58" ht="19.5" customHeight="1" x14ac:dyDescent="0.2">
      <c r="A86" s="137" t="s">
        <v>68</v>
      </c>
      <c r="B86" s="131" t="s">
        <v>69</v>
      </c>
      <c r="C86" s="97"/>
      <c r="D86" s="97"/>
      <c r="E86" s="98"/>
      <c r="F86" s="16" t="s">
        <v>2</v>
      </c>
      <c r="G86" s="16"/>
      <c r="H86" s="16"/>
      <c r="I86" s="16"/>
      <c r="J86" s="16" t="s">
        <v>2</v>
      </c>
      <c r="K86" s="16"/>
      <c r="L86" s="16"/>
      <c r="M86" s="16"/>
      <c r="N86" s="16" t="s">
        <v>2</v>
      </c>
      <c r="O86" s="16"/>
      <c r="P86" s="16"/>
      <c r="Q86" s="16"/>
      <c r="R86" s="16" t="s">
        <v>2</v>
      </c>
      <c r="S86" s="16"/>
      <c r="T86" s="16"/>
      <c r="U86" s="16"/>
      <c r="V86" s="16" t="s">
        <v>2</v>
      </c>
      <c r="W86" s="16"/>
      <c r="X86" s="16"/>
      <c r="Y86" s="16"/>
      <c r="Z86" s="16" t="s">
        <v>2</v>
      </c>
      <c r="AA86" s="16"/>
      <c r="AB86" s="16"/>
      <c r="AC86" s="16"/>
      <c r="AD86" s="16" t="s">
        <v>2</v>
      </c>
      <c r="AE86" s="16"/>
      <c r="AF86" s="16"/>
      <c r="AG86" s="16"/>
      <c r="AH86" s="16" t="s">
        <v>2</v>
      </c>
      <c r="AI86" s="17"/>
      <c r="AJ86" s="16"/>
      <c r="AK86" s="16"/>
      <c r="AL86" s="16" t="s">
        <v>2</v>
      </c>
      <c r="AM86" s="16"/>
      <c r="AN86" s="16"/>
      <c r="AO86" s="16"/>
      <c r="AP86" s="16" t="s">
        <v>2</v>
      </c>
      <c r="AQ86" s="16"/>
      <c r="AR86" s="16"/>
      <c r="AS86" s="16"/>
      <c r="AT86" s="16" t="s">
        <v>2</v>
      </c>
      <c r="AU86" s="16"/>
      <c r="AV86" s="16"/>
      <c r="AW86" s="16"/>
      <c r="AX86" s="16" t="s">
        <v>2</v>
      </c>
      <c r="AY86" s="16"/>
      <c r="AZ86" s="16"/>
      <c r="BA86" s="16"/>
      <c r="BB86" s="105">
        <f>COUNTIF(F86:BA86,$H$5)</f>
        <v>12</v>
      </c>
      <c r="BC86" s="105">
        <f>COUNTIF(F87:BA87,$Q$5)</f>
        <v>12</v>
      </c>
      <c r="BD86" s="107">
        <f>IFERROR(BC86/BB86,"")</f>
        <v>1</v>
      </c>
      <c r="BE86" s="19">
        <v>0</v>
      </c>
      <c r="BF86" s="119"/>
    </row>
    <row r="87" spans="1:58" ht="19.5" customHeight="1" x14ac:dyDescent="0.2">
      <c r="A87" s="106"/>
      <c r="B87" s="99"/>
      <c r="C87" s="100"/>
      <c r="D87" s="100"/>
      <c r="E87" s="101"/>
      <c r="F87" s="16" t="s">
        <v>4</v>
      </c>
      <c r="G87" s="16"/>
      <c r="H87" s="16"/>
      <c r="I87" s="16"/>
      <c r="J87" s="30" t="s">
        <v>4</v>
      </c>
      <c r="K87" s="16"/>
      <c r="L87" s="16"/>
      <c r="M87" s="16"/>
      <c r="N87" s="16" t="s">
        <v>4</v>
      </c>
      <c r="O87" s="16"/>
      <c r="P87" s="16"/>
      <c r="Q87" s="16"/>
      <c r="R87" s="16" t="s">
        <v>4</v>
      </c>
      <c r="S87" s="16"/>
      <c r="T87" s="16"/>
      <c r="U87" s="16"/>
      <c r="V87" s="16" t="s">
        <v>4</v>
      </c>
      <c r="W87" s="16"/>
      <c r="X87" s="16"/>
      <c r="Y87" s="16"/>
      <c r="Z87" s="16" t="s">
        <v>4</v>
      </c>
      <c r="AA87" s="16"/>
      <c r="AB87" s="16"/>
      <c r="AC87" s="16"/>
      <c r="AD87" s="16" t="s">
        <v>4</v>
      </c>
      <c r="AE87" s="16"/>
      <c r="AF87" s="16"/>
      <c r="AG87" s="16"/>
      <c r="AH87" s="16" t="s">
        <v>4</v>
      </c>
      <c r="AI87" s="16"/>
      <c r="AJ87" s="16"/>
      <c r="AK87" s="16"/>
      <c r="AL87" s="16" t="s">
        <v>4</v>
      </c>
      <c r="AM87" s="16"/>
      <c r="AN87" s="16"/>
      <c r="AO87" s="16"/>
      <c r="AP87" s="16" t="s">
        <v>4</v>
      </c>
      <c r="AQ87" s="16"/>
      <c r="AR87" s="16"/>
      <c r="AS87" s="16"/>
      <c r="AT87" s="16" t="s">
        <v>4</v>
      </c>
      <c r="AU87" s="16"/>
      <c r="AV87" s="16"/>
      <c r="AW87" s="16"/>
      <c r="AX87" s="16" t="s">
        <v>4</v>
      </c>
      <c r="AY87" s="16"/>
      <c r="AZ87" s="16"/>
      <c r="BA87" s="16"/>
      <c r="BB87" s="106"/>
      <c r="BC87" s="106"/>
      <c r="BD87" s="106"/>
      <c r="BE87" s="19">
        <v>0</v>
      </c>
      <c r="BF87" s="101"/>
    </row>
    <row r="88" spans="1:58" ht="19.5" customHeight="1" x14ac:dyDescent="0.2">
      <c r="A88" s="136" t="s">
        <v>70</v>
      </c>
      <c r="B88" s="131" t="s">
        <v>55</v>
      </c>
      <c r="C88" s="97"/>
      <c r="D88" s="97"/>
      <c r="E88" s="98"/>
      <c r="F88" s="16" t="s">
        <v>2</v>
      </c>
      <c r="G88" s="16"/>
      <c r="H88" s="16"/>
      <c r="I88" s="16"/>
      <c r="J88" s="16" t="s">
        <v>2</v>
      </c>
      <c r="K88" s="16"/>
      <c r="L88" s="16"/>
      <c r="M88" s="16"/>
      <c r="N88" s="16" t="s">
        <v>2</v>
      </c>
      <c r="O88" s="16"/>
      <c r="P88" s="16"/>
      <c r="Q88" s="16"/>
      <c r="R88" s="16" t="s">
        <v>2</v>
      </c>
      <c r="S88" s="16"/>
      <c r="T88" s="16"/>
      <c r="U88" s="16"/>
      <c r="V88" s="16" t="s">
        <v>2</v>
      </c>
      <c r="W88" s="16"/>
      <c r="X88" s="16"/>
      <c r="Y88" s="16"/>
      <c r="Z88" s="16" t="s">
        <v>2</v>
      </c>
      <c r="AA88" s="16"/>
      <c r="AB88" s="16"/>
      <c r="AC88" s="16"/>
      <c r="AD88" s="16" t="s">
        <v>2</v>
      </c>
      <c r="AE88" s="16"/>
      <c r="AF88" s="16"/>
      <c r="AG88" s="16"/>
      <c r="AH88" s="16" t="s">
        <v>2</v>
      </c>
      <c r="AI88" s="18"/>
      <c r="AJ88" s="16"/>
      <c r="AK88" s="16"/>
      <c r="AL88" s="16" t="s">
        <v>2</v>
      </c>
      <c r="AM88" s="16"/>
      <c r="AN88" s="16"/>
      <c r="AO88" s="16"/>
      <c r="AP88" s="16" t="s">
        <v>2</v>
      </c>
      <c r="AQ88" s="16"/>
      <c r="AR88" s="16"/>
      <c r="AS88" s="16"/>
      <c r="AT88" s="16" t="s">
        <v>2</v>
      </c>
      <c r="AU88" s="16"/>
      <c r="AV88" s="16"/>
      <c r="AW88" s="16"/>
      <c r="AX88" s="16" t="s">
        <v>2</v>
      </c>
      <c r="AY88" s="16"/>
      <c r="AZ88" s="16"/>
      <c r="BA88" s="16"/>
      <c r="BB88" s="105">
        <f>COUNTIF(F88:BA88,$H$5)</f>
        <v>12</v>
      </c>
      <c r="BC88" s="105">
        <f>COUNTIF(F91:BA91,$Q$5)</f>
        <v>12</v>
      </c>
      <c r="BD88" s="107">
        <f>IFERROR(BC88/BB88,"")</f>
        <v>1</v>
      </c>
      <c r="BE88" s="19">
        <v>0</v>
      </c>
      <c r="BF88" s="119"/>
    </row>
    <row r="89" spans="1:58" ht="19.5" customHeight="1" x14ac:dyDescent="0.2">
      <c r="A89" s="106"/>
      <c r="B89" s="99"/>
      <c r="C89" s="100"/>
      <c r="D89" s="100"/>
      <c r="E89" s="101"/>
      <c r="F89" s="16" t="s">
        <v>4</v>
      </c>
      <c r="G89" s="16"/>
      <c r="H89" s="16"/>
      <c r="I89" s="16"/>
      <c r="J89" s="30" t="s">
        <v>4</v>
      </c>
      <c r="K89" s="16"/>
      <c r="L89" s="16"/>
      <c r="M89" s="16"/>
      <c r="N89" s="16" t="s">
        <v>4</v>
      </c>
      <c r="O89" s="16"/>
      <c r="P89" s="16"/>
      <c r="Q89" s="16"/>
      <c r="R89" s="16" t="s">
        <v>4</v>
      </c>
      <c r="S89" s="16"/>
      <c r="T89" s="16"/>
      <c r="U89" s="16"/>
      <c r="V89" s="16" t="s">
        <v>4</v>
      </c>
      <c r="W89" s="16"/>
      <c r="X89" s="16"/>
      <c r="Y89" s="16"/>
      <c r="Z89" s="16" t="s">
        <v>4</v>
      </c>
      <c r="AA89" s="16"/>
      <c r="AB89" s="16"/>
      <c r="AC89" s="16"/>
      <c r="AD89" s="16" t="s">
        <v>4</v>
      </c>
      <c r="AE89" s="16"/>
      <c r="AF89" s="16"/>
      <c r="AG89" s="16"/>
      <c r="AH89" s="16" t="s">
        <v>4</v>
      </c>
      <c r="AI89" s="18"/>
      <c r="AJ89" s="16"/>
      <c r="AK89" s="16"/>
      <c r="AL89" s="16" t="s">
        <v>4</v>
      </c>
      <c r="AM89" s="16"/>
      <c r="AN89" s="16"/>
      <c r="AO89" s="16"/>
      <c r="AP89" s="16" t="s">
        <v>4</v>
      </c>
      <c r="AQ89" s="16"/>
      <c r="AR89" s="16"/>
      <c r="AS89" s="16"/>
      <c r="AT89" s="16" t="s">
        <v>4</v>
      </c>
      <c r="AU89" s="16"/>
      <c r="AV89" s="16"/>
      <c r="AW89" s="16"/>
      <c r="AX89" s="16" t="s">
        <v>4</v>
      </c>
      <c r="AY89" s="16"/>
      <c r="AZ89" s="16"/>
      <c r="BA89" s="16"/>
      <c r="BB89" s="106"/>
      <c r="BC89" s="106"/>
      <c r="BD89" s="106"/>
      <c r="BE89" s="19">
        <v>0</v>
      </c>
      <c r="BF89" s="130"/>
    </row>
    <row r="90" spans="1:58" ht="19.5" customHeight="1" x14ac:dyDescent="0.2">
      <c r="A90" s="136" t="s">
        <v>71</v>
      </c>
      <c r="B90" s="131" t="s">
        <v>29</v>
      </c>
      <c r="C90" s="97"/>
      <c r="D90" s="97"/>
      <c r="E90" s="98"/>
      <c r="F90" s="16" t="s">
        <v>2</v>
      </c>
      <c r="G90" s="16"/>
      <c r="H90" s="16"/>
      <c r="I90" s="16"/>
      <c r="J90" s="16" t="s">
        <v>2</v>
      </c>
      <c r="K90" s="16"/>
      <c r="L90" s="16"/>
      <c r="M90" s="16"/>
      <c r="N90" s="16" t="s">
        <v>2</v>
      </c>
      <c r="O90" s="16"/>
      <c r="P90" s="16"/>
      <c r="Q90" s="16"/>
      <c r="R90" s="16" t="s">
        <v>2</v>
      </c>
      <c r="S90" s="16"/>
      <c r="T90" s="16"/>
      <c r="U90" s="16"/>
      <c r="V90" s="16" t="s">
        <v>2</v>
      </c>
      <c r="W90" s="16"/>
      <c r="X90" s="16"/>
      <c r="Y90" s="16"/>
      <c r="Z90" s="16" t="s">
        <v>2</v>
      </c>
      <c r="AA90" s="16"/>
      <c r="AB90" s="16"/>
      <c r="AC90" s="16"/>
      <c r="AD90" s="16" t="s">
        <v>2</v>
      </c>
      <c r="AE90" s="16"/>
      <c r="AF90" s="16"/>
      <c r="AG90" s="16"/>
      <c r="AH90" s="16" t="s">
        <v>2</v>
      </c>
      <c r="AI90" s="18"/>
      <c r="AJ90" s="16"/>
      <c r="AK90" s="16"/>
      <c r="AL90" s="16" t="s">
        <v>2</v>
      </c>
      <c r="AM90" s="16"/>
      <c r="AN90" s="16"/>
      <c r="AO90" s="16"/>
      <c r="AP90" s="16" t="s">
        <v>2</v>
      </c>
      <c r="AQ90" s="16"/>
      <c r="AR90" s="16"/>
      <c r="AS90" s="16"/>
      <c r="AT90" s="16" t="s">
        <v>2</v>
      </c>
      <c r="AU90" s="16"/>
      <c r="AV90" s="16"/>
      <c r="AW90" s="16"/>
      <c r="AX90" s="16" t="s">
        <v>2</v>
      </c>
      <c r="AY90" s="16"/>
      <c r="AZ90" s="16"/>
      <c r="BA90" s="16"/>
      <c r="BB90" s="105">
        <f>COUNTIF(F90:BA90,$H$5)</f>
        <v>12</v>
      </c>
      <c r="BC90" s="105">
        <f>COUNTIF(F93:BA93,$Q$5)</f>
        <v>12</v>
      </c>
      <c r="BD90" s="107">
        <f>IFERROR(BC90/BB90,"")</f>
        <v>1</v>
      </c>
      <c r="BE90" s="19">
        <v>0</v>
      </c>
      <c r="BF90" s="130"/>
    </row>
    <row r="91" spans="1:58" ht="19.5" customHeight="1" x14ac:dyDescent="0.2">
      <c r="A91" s="106"/>
      <c r="B91" s="99"/>
      <c r="C91" s="100"/>
      <c r="D91" s="100"/>
      <c r="E91" s="101"/>
      <c r="F91" s="16" t="s">
        <v>4</v>
      </c>
      <c r="G91" s="16"/>
      <c r="H91" s="16"/>
      <c r="I91" s="16"/>
      <c r="J91" s="16" t="s">
        <v>4</v>
      </c>
      <c r="K91" s="16"/>
      <c r="L91" s="16"/>
      <c r="M91" s="16"/>
      <c r="N91" s="16" t="s">
        <v>4</v>
      </c>
      <c r="O91" s="16"/>
      <c r="P91" s="16"/>
      <c r="Q91" s="16"/>
      <c r="R91" s="16" t="s">
        <v>4</v>
      </c>
      <c r="S91" s="16"/>
      <c r="T91" s="16"/>
      <c r="U91" s="16"/>
      <c r="V91" s="16" t="s">
        <v>4</v>
      </c>
      <c r="W91" s="16"/>
      <c r="X91" s="16"/>
      <c r="Y91" s="16"/>
      <c r="Z91" s="16" t="s">
        <v>4</v>
      </c>
      <c r="AA91" s="16"/>
      <c r="AB91" s="16"/>
      <c r="AC91" s="16"/>
      <c r="AD91" s="16" t="s">
        <v>4</v>
      </c>
      <c r="AE91" s="16"/>
      <c r="AF91" s="16"/>
      <c r="AG91" s="16"/>
      <c r="AH91" s="16" t="s">
        <v>4</v>
      </c>
      <c r="AI91" s="16"/>
      <c r="AJ91" s="16"/>
      <c r="AK91" s="16"/>
      <c r="AL91" s="16" t="s">
        <v>4</v>
      </c>
      <c r="AM91" s="16"/>
      <c r="AN91" s="16"/>
      <c r="AO91" s="16"/>
      <c r="AP91" s="16" t="s">
        <v>4</v>
      </c>
      <c r="AQ91" s="16"/>
      <c r="AR91" s="16"/>
      <c r="AS91" s="16"/>
      <c r="AT91" s="16" t="s">
        <v>4</v>
      </c>
      <c r="AU91" s="16"/>
      <c r="AV91" s="16"/>
      <c r="AW91" s="16"/>
      <c r="AX91" s="16" t="s">
        <v>4</v>
      </c>
      <c r="AY91" s="16"/>
      <c r="AZ91" s="16"/>
      <c r="BA91" s="16"/>
      <c r="BB91" s="106"/>
      <c r="BC91" s="106"/>
      <c r="BD91" s="106"/>
      <c r="BE91" s="19">
        <v>0</v>
      </c>
      <c r="BF91" s="101"/>
    </row>
    <row r="92" spans="1:58" ht="19.5" customHeight="1" x14ac:dyDescent="0.2">
      <c r="A92" s="137" t="s">
        <v>72</v>
      </c>
      <c r="B92" s="131" t="s">
        <v>44</v>
      </c>
      <c r="C92" s="97"/>
      <c r="D92" s="97"/>
      <c r="E92" s="98"/>
      <c r="F92" s="16" t="s">
        <v>2</v>
      </c>
      <c r="G92" s="16"/>
      <c r="H92" s="16"/>
      <c r="I92" s="16"/>
      <c r="J92" s="16" t="s">
        <v>2</v>
      </c>
      <c r="K92" s="16"/>
      <c r="L92" s="16"/>
      <c r="M92" s="16"/>
      <c r="N92" s="16" t="s">
        <v>2</v>
      </c>
      <c r="O92" s="16"/>
      <c r="P92" s="16"/>
      <c r="Q92" s="16"/>
      <c r="R92" s="16" t="s">
        <v>2</v>
      </c>
      <c r="S92" s="16"/>
      <c r="T92" s="16"/>
      <c r="U92" s="16"/>
      <c r="V92" s="16" t="s">
        <v>2</v>
      </c>
      <c r="W92" s="16"/>
      <c r="X92" s="16"/>
      <c r="Y92" s="16"/>
      <c r="Z92" s="16" t="s">
        <v>2</v>
      </c>
      <c r="AA92" s="16"/>
      <c r="AB92" s="16"/>
      <c r="AC92" s="16"/>
      <c r="AD92" s="16" t="s">
        <v>2</v>
      </c>
      <c r="AE92" s="16"/>
      <c r="AF92" s="16"/>
      <c r="AG92" s="16"/>
      <c r="AH92" s="16" t="s">
        <v>2</v>
      </c>
      <c r="AI92" s="18"/>
      <c r="AJ92" s="16"/>
      <c r="AK92" s="16"/>
      <c r="AL92" s="16" t="s">
        <v>2</v>
      </c>
      <c r="AM92" s="16"/>
      <c r="AN92" s="16"/>
      <c r="AO92" s="16"/>
      <c r="AP92" s="16" t="s">
        <v>2</v>
      </c>
      <c r="AQ92" s="16"/>
      <c r="AR92" s="16"/>
      <c r="AS92" s="16"/>
      <c r="AT92" s="16" t="s">
        <v>2</v>
      </c>
      <c r="AU92" s="16"/>
      <c r="AV92" s="16"/>
      <c r="AW92" s="16"/>
      <c r="AX92" s="16" t="s">
        <v>2</v>
      </c>
      <c r="AY92" s="16"/>
      <c r="AZ92" s="16"/>
      <c r="BA92" s="16"/>
      <c r="BB92" s="105">
        <f>COUNTIF(F92:BA92,$H$5)</f>
        <v>12</v>
      </c>
      <c r="BC92" s="105">
        <v>12</v>
      </c>
      <c r="BD92" s="107">
        <f>IFERROR(BC92/BB92,"")</f>
        <v>1</v>
      </c>
      <c r="BE92" s="19">
        <v>0</v>
      </c>
      <c r="BF92" s="119"/>
    </row>
    <row r="93" spans="1:58" ht="19.5" customHeight="1" x14ac:dyDescent="0.2">
      <c r="A93" s="106"/>
      <c r="B93" s="99"/>
      <c r="C93" s="100"/>
      <c r="D93" s="100"/>
      <c r="E93" s="101"/>
      <c r="F93" s="16" t="s">
        <v>4</v>
      </c>
      <c r="G93" s="16"/>
      <c r="H93" s="16"/>
      <c r="I93" s="16"/>
      <c r="J93" s="30" t="s">
        <v>4</v>
      </c>
      <c r="K93" s="16"/>
      <c r="L93" s="16"/>
      <c r="M93" s="16"/>
      <c r="N93" s="16" t="s">
        <v>4</v>
      </c>
      <c r="O93" s="16"/>
      <c r="P93" s="16"/>
      <c r="Q93" s="16"/>
      <c r="R93" s="16" t="s">
        <v>4</v>
      </c>
      <c r="S93" s="16"/>
      <c r="T93" s="16"/>
      <c r="U93" s="16"/>
      <c r="V93" s="16" t="s">
        <v>4</v>
      </c>
      <c r="W93" s="16"/>
      <c r="X93" s="16"/>
      <c r="Y93" s="16"/>
      <c r="Z93" s="16" t="s">
        <v>4</v>
      </c>
      <c r="AA93" s="16"/>
      <c r="AB93" s="16"/>
      <c r="AC93" s="16"/>
      <c r="AD93" s="16" t="s">
        <v>4</v>
      </c>
      <c r="AE93" s="16"/>
      <c r="AF93" s="16"/>
      <c r="AG93" s="16"/>
      <c r="AH93" s="16" t="s">
        <v>4</v>
      </c>
      <c r="AI93" s="17"/>
      <c r="AJ93" s="16"/>
      <c r="AK93" s="16"/>
      <c r="AL93" s="16" t="s">
        <v>4</v>
      </c>
      <c r="AM93" s="16"/>
      <c r="AN93" s="16"/>
      <c r="AO93" s="16"/>
      <c r="AP93" s="16" t="s">
        <v>4</v>
      </c>
      <c r="AQ93" s="16"/>
      <c r="AR93" s="16"/>
      <c r="AS93" s="16"/>
      <c r="AT93" s="16" t="s">
        <v>4</v>
      </c>
      <c r="AU93" s="16"/>
      <c r="AV93" s="16"/>
      <c r="AW93" s="16"/>
      <c r="AX93" s="16" t="s">
        <v>4</v>
      </c>
      <c r="AY93" s="16"/>
      <c r="AZ93" s="16"/>
      <c r="BA93" s="16"/>
      <c r="BB93" s="106"/>
      <c r="BC93" s="106"/>
      <c r="BD93" s="106"/>
      <c r="BE93" s="19">
        <v>0</v>
      </c>
      <c r="BF93" s="101"/>
    </row>
    <row r="94" spans="1:58" ht="19.5" customHeight="1" x14ac:dyDescent="0.2">
      <c r="A94" s="117" t="s">
        <v>39</v>
      </c>
      <c r="B94" s="103"/>
      <c r="C94" s="103"/>
      <c r="D94" s="103"/>
      <c r="E94" s="104"/>
      <c r="F94" s="118">
        <f>COUNTIF(F76:I93,"P")</f>
        <v>5</v>
      </c>
      <c r="G94" s="103"/>
      <c r="H94" s="103"/>
      <c r="I94" s="104"/>
      <c r="J94" s="118">
        <f>COUNTIF(J76:M93,"P")</f>
        <v>5</v>
      </c>
      <c r="K94" s="103"/>
      <c r="L94" s="103"/>
      <c r="M94" s="104"/>
      <c r="N94" s="118">
        <f>COUNTIF(N76:Q93,"P")</f>
        <v>4</v>
      </c>
      <c r="O94" s="103"/>
      <c r="P94" s="103"/>
      <c r="Q94" s="104"/>
      <c r="R94" s="118">
        <f>COUNTIF(R76:U93,"P")</f>
        <v>4</v>
      </c>
      <c r="S94" s="103"/>
      <c r="T94" s="103"/>
      <c r="U94" s="104"/>
      <c r="V94" s="118">
        <f>COUNTIF(V76:Y93,"P")</f>
        <v>4</v>
      </c>
      <c r="W94" s="103"/>
      <c r="X94" s="103"/>
      <c r="Y94" s="104"/>
      <c r="Z94" s="118">
        <f>COUNTIF(Z76:AC93,"P")</f>
        <v>5</v>
      </c>
      <c r="AA94" s="103"/>
      <c r="AB94" s="103"/>
      <c r="AC94" s="104"/>
      <c r="AD94" s="118">
        <f>COUNTIF(AD76:AG93,"P")</f>
        <v>4</v>
      </c>
      <c r="AE94" s="103"/>
      <c r="AF94" s="103"/>
      <c r="AG94" s="104"/>
      <c r="AH94" s="118">
        <f>COUNTIF(AH76:AK93,"P")</f>
        <v>4</v>
      </c>
      <c r="AI94" s="103"/>
      <c r="AJ94" s="103"/>
      <c r="AK94" s="104"/>
      <c r="AL94" s="118">
        <f>COUNTIF(AL76:AO93,"P")</f>
        <v>4</v>
      </c>
      <c r="AM94" s="103"/>
      <c r="AN94" s="103"/>
      <c r="AO94" s="104"/>
      <c r="AP94" s="118">
        <f>COUNTIF(AP76:AS93,"P")</f>
        <v>4</v>
      </c>
      <c r="AQ94" s="103"/>
      <c r="AR94" s="103"/>
      <c r="AS94" s="104"/>
      <c r="AT94" s="118">
        <f>COUNTIF(AT76:AW93,"P")</f>
        <v>4</v>
      </c>
      <c r="AU94" s="103"/>
      <c r="AV94" s="103"/>
      <c r="AW94" s="104"/>
      <c r="AX94" s="118">
        <f>COUNTIF(AX76:BA93,"P")</f>
        <v>4</v>
      </c>
      <c r="AY94" s="103"/>
      <c r="AZ94" s="103"/>
      <c r="BA94" s="104"/>
      <c r="BB94" s="120" t="s">
        <v>40</v>
      </c>
      <c r="BC94" s="121"/>
      <c r="BD94" s="107">
        <f>+SUM(BC76:BC93)/SUM(BB76:BB93)</f>
        <v>0.94444444444444442</v>
      </c>
      <c r="BE94" s="19">
        <v>0</v>
      </c>
      <c r="BF94" s="123"/>
    </row>
    <row r="95" spans="1:58" ht="19.5" customHeight="1" x14ac:dyDescent="0.2">
      <c r="A95" s="115" t="s">
        <v>41</v>
      </c>
      <c r="B95" s="103"/>
      <c r="C95" s="103"/>
      <c r="D95" s="103"/>
      <c r="E95" s="104"/>
      <c r="F95" s="118">
        <f>COUNTIF(F76:I93,"R")</f>
        <v>5</v>
      </c>
      <c r="G95" s="103"/>
      <c r="H95" s="103"/>
      <c r="I95" s="104"/>
      <c r="J95" s="118">
        <f>COUNTIF(J76:M93,"R")</f>
        <v>5</v>
      </c>
      <c r="K95" s="103"/>
      <c r="L95" s="103"/>
      <c r="M95" s="104"/>
      <c r="N95" s="118">
        <f>COUNTIF(N76:Q93,"R")</f>
        <v>4</v>
      </c>
      <c r="O95" s="103"/>
      <c r="P95" s="103"/>
      <c r="Q95" s="104"/>
      <c r="R95" s="118">
        <f>COUNTIF(R76:U93,"R")</f>
        <v>4</v>
      </c>
      <c r="S95" s="103"/>
      <c r="T95" s="103"/>
      <c r="U95" s="104"/>
      <c r="V95" s="118">
        <f>COUNTIF(V76:Y93,"R")</f>
        <v>4</v>
      </c>
      <c r="W95" s="103"/>
      <c r="X95" s="103"/>
      <c r="Y95" s="104"/>
      <c r="Z95" s="118">
        <f>COUNTIF(Z76:AC93,"R")</f>
        <v>4</v>
      </c>
      <c r="AA95" s="103"/>
      <c r="AB95" s="103"/>
      <c r="AC95" s="104"/>
      <c r="AD95" s="118">
        <f>COUNTIF(AD76:AG93,"R")</f>
        <v>4</v>
      </c>
      <c r="AE95" s="103"/>
      <c r="AF95" s="103"/>
      <c r="AG95" s="104"/>
      <c r="AH95" s="118">
        <f>COUNTIF(AH76:AK93,"R")</f>
        <v>4</v>
      </c>
      <c r="AI95" s="103"/>
      <c r="AJ95" s="103"/>
      <c r="AK95" s="104"/>
      <c r="AL95" s="118">
        <f>COUNTIF(AL76:AO93,"R")</f>
        <v>4</v>
      </c>
      <c r="AM95" s="103"/>
      <c r="AN95" s="103"/>
      <c r="AO95" s="104"/>
      <c r="AP95" s="118">
        <f>COUNTIF(AP76:AS93,"R")</f>
        <v>4</v>
      </c>
      <c r="AQ95" s="103"/>
      <c r="AR95" s="103"/>
      <c r="AS95" s="104"/>
      <c r="AT95" s="118">
        <f>COUNTIF(AT76:AW93,"R")</f>
        <v>4</v>
      </c>
      <c r="AU95" s="103"/>
      <c r="AV95" s="103"/>
      <c r="AW95" s="104"/>
      <c r="AX95" s="118">
        <f>COUNTIF(AX76:BA93,"R")</f>
        <v>4</v>
      </c>
      <c r="AY95" s="103"/>
      <c r="AZ95" s="103"/>
      <c r="BA95" s="104"/>
      <c r="BB95" s="99"/>
      <c r="BC95" s="122"/>
      <c r="BD95" s="106"/>
      <c r="BE95" s="19">
        <v>0</v>
      </c>
      <c r="BF95" s="101"/>
    </row>
    <row r="96" spans="1:58" ht="17.25" customHeight="1" x14ac:dyDescent="0.2">
      <c r="A96" s="127" t="s">
        <v>73</v>
      </c>
      <c r="B96" s="128" t="s">
        <v>10</v>
      </c>
      <c r="C96" s="97"/>
      <c r="D96" s="97"/>
      <c r="E96" s="98"/>
      <c r="F96" s="102" t="s">
        <v>11</v>
      </c>
      <c r="G96" s="103"/>
      <c r="H96" s="103"/>
      <c r="I96" s="104"/>
      <c r="J96" s="102" t="s">
        <v>12</v>
      </c>
      <c r="K96" s="103"/>
      <c r="L96" s="103"/>
      <c r="M96" s="104"/>
      <c r="N96" s="102" t="s">
        <v>13</v>
      </c>
      <c r="O96" s="103"/>
      <c r="P96" s="103"/>
      <c r="Q96" s="104"/>
      <c r="R96" s="102" t="s">
        <v>14</v>
      </c>
      <c r="S96" s="103"/>
      <c r="T96" s="103"/>
      <c r="U96" s="104"/>
      <c r="V96" s="102" t="s">
        <v>15</v>
      </c>
      <c r="W96" s="103"/>
      <c r="X96" s="103"/>
      <c r="Y96" s="104"/>
      <c r="Z96" s="102" t="s">
        <v>16</v>
      </c>
      <c r="AA96" s="103"/>
      <c r="AB96" s="103"/>
      <c r="AC96" s="104"/>
      <c r="AD96" s="102" t="s">
        <v>17</v>
      </c>
      <c r="AE96" s="103"/>
      <c r="AF96" s="103"/>
      <c r="AG96" s="104"/>
      <c r="AH96" s="102" t="s">
        <v>18</v>
      </c>
      <c r="AI96" s="103"/>
      <c r="AJ96" s="103"/>
      <c r="AK96" s="104"/>
      <c r="AL96" s="102" t="s">
        <v>19</v>
      </c>
      <c r="AM96" s="103"/>
      <c r="AN96" s="103"/>
      <c r="AO96" s="104"/>
      <c r="AP96" s="102" t="s">
        <v>20</v>
      </c>
      <c r="AQ96" s="103"/>
      <c r="AR96" s="103"/>
      <c r="AS96" s="104"/>
      <c r="AT96" s="102" t="s">
        <v>21</v>
      </c>
      <c r="AU96" s="103"/>
      <c r="AV96" s="103"/>
      <c r="AW96" s="104"/>
      <c r="AX96" s="102" t="s">
        <v>22</v>
      </c>
      <c r="AY96" s="103"/>
      <c r="AZ96" s="103"/>
      <c r="BA96" s="104"/>
      <c r="BB96" s="112" t="s">
        <v>23</v>
      </c>
      <c r="BC96" s="103"/>
      <c r="BD96" s="104"/>
      <c r="BE96" s="124">
        <f>BE86+BE87+BE88+BE89+BE90+BE91+BE92+BE93+BE94+BE95</f>
        <v>0</v>
      </c>
      <c r="BF96" s="126" t="s">
        <v>25</v>
      </c>
    </row>
    <row r="97" spans="1:58" ht="17.25" customHeight="1" x14ac:dyDescent="0.2">
      <c r="A97" s="106"/>
      <c r="B97" s="99"/>
      <c r="C97" s="100"/>
      <c r="D97" s="100"/>
      <c r="E97" s="101"/>
      <c r="F97" s="12">
        <v>1</v>
      </c>
      <c r="G97" s="52">
        <v>2</v>
      </c>
      <c r="H97" s="12">
        <v>3</v>
      </c>
      <c r="I97" s="12">
        <v>4</v>
      </c>
      <c r="J97" s="12">
        <v>1</v>
      </c>
      <c r="K97" s="12">
        <v>2</v>
      </c>
      <c r="L97" s="12">
        <v>3</v>
      </c>
      <c r="M97" s="12">
        <v>4</v>
      </c>
      <c r="N97" s="12">
        <v>1</v>
      </c>
      <c r="O97" s="12">
        <v>2</v>
      </c>
      <c r="P97" s="12">
        <v>3</v>
      </c>
      <c r="Q97" s="12">
        <v>4</v>
      </c>
      <c r="R97" s="12">
        <v>1</v>
      </c>
      <c r="S97" s="12">
        <v>2</v>
      </c>
      <c r="T97" s="12">
        <v>3</v>
      </c>
      <c r="U97" s="12">
        <v>4</v>
      </c>
      <c r="V97" s="13">
        <v>1</v>
      </c>
      <c r="W97" s="13">
        <v>2</v>
      </c>
      <c r="X97" s="13">
        <v>3</v>
      </c>
      <c r="Y97" s="13">
        <v>4</v>
      </c>
      <c r="Z97" s="12">
        <v>1</v>
      </c>
      <c r="AA97" s="12">
        <v>2</v>
      </c>
      <c r="AB97" s="52">
        <v>3</v>
      </c>
      <c r="AC97" s="12">
        <v>4</v>
      </c>
      <c r="AD97" s="12">
        <v>1</v>
      </c>
      <c r="AE97" s="12">
        <v>2</v>
      </c>
      <c r="AF97" s="12">
        <v>3</v>
      </c>
      <c r="AG97" s="12">
        <v>4</v>
      </c>
      <c r="AH97" s="12">
        <v>1</v>
      </c>
      <c r="AI97" s="12">
        <v>2</v>
      </c>
      <c r="AJ97" s="12">
        <v>3</v>
      </c>
      <c r="AK97" s="12">
        <v>4</v>
      </c>
      <c r="AL97" s="12">
        <v>1</v>
      </c>
      <c r="AM97" s="12">
        <v>2</v>
      </c>
      <c r="AN97" s="12">
        <v>3</v>
      </c>
      <c r="AO97" s="12">
        <v>4</v>
      </c>
      <c r="AP97" s="12">
        <v>1</v>
      </c>
      <c r="AQ97" s="12">
        <v>2</v>
      </c>
      <c r="AR97" s="12">
        <v>3</v>
      </c>
      <c r="AS97" s="12">
        <v>4</v>
      </c>
      <c r="AT97" s="12">
        <v>1</v>
      </c>
      <c r="AU97" s="52">
        <v>2</v>
      </c>
      <c r="AV97" s="12">
        <v>3</v>
      </c>
      <c r="AW97" s="12">
        <v>4</v>
      </c>
      <c r="AX97" s="12">
        <v>1</v>
      </c>
      <c r="AY97" s="12">
        <v>2</v>
      </c>
      <c r="AZ97" s="12">
        <v>3</v>
      </c>
      <c r="BA97" s="12">
        <v>4</v>
      </c>
      <c r="BB97" s="15" t="s">
        <v>1</v>
      </c>
      <c r="BC97" s="15" t="s">
        <v>26</v>
      </c>
      <c r="BD97" s="15" t="s">
        <v>27</v>
      </c>
      <c r="BE97" s="125"/>
      <c r="BF97" s="125"/>
    </row>
    <row r="98" spans="1:58" ht="21" customHeight="1" x14ac:dyDescent="0.2">
      <c r="A98" s="116" t="s">
        <v>74</v>
      </c>
      <c r="B98" s="96" t="s">
        <v>75</v>
      </c>
      <c r="C98" s="97"/>
      <c r="D98" s="97"/>
      <c r="E98" s="98"/>
      <c r="F98" s="16"/>
      <c r="G98" s="17"/>
      <c r="H98" s="16" t="s">
        <v>2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7"/>
      <c r="AC98" s="16"/>
      <c r="AD98" s="16"/>
      <c r="AE98" s="16"/>
      <c r="AF98" s="16"/>
      <c r="AG98" s="16" t="s">
        <v>2</v>
      </c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 t="s">
        <v>2</v>
      </c>
      <c r="AS98" s="16"/>
      <c r="AT98" s="16"/>
      <c r="AU98" s="17"/>
      <c r="AV98" s="16"/>
      <c r="AW98" s="16"/>
      <c r="AX98" s="16"/>
      <c r="AY98" s="16"/>
      <c r="AZ98" s="16"/>
      <c r="BA98" s="16" t="s">
        <v>2</v>
      </c>
      <c r="BB98" s="105">
        <f>COUNTIF(F98:BA98,$H$5)</f>
        <v>4</v>
      </c>
      <c r="BC98" s="105">
        <f>COUNTIF(F99:BA99,$Q$5)</f>
        <v>4</v>
      </c>
      <c r="BD98" s="107">
        <f>IFERROR(BC98/BB98,"")</f>
        <v>1</v>
      </c>
      <c r="BE98" s="19">
        <v>956000</v>
      </c>
      <c r="BF98" s="129" t="s">
        <v>105</v>
      </c>
    </row>
    <row r="99" spans="1:58" ht="21" customHeight="1" thickBot="1" x14ac:dyDescent="0.25">
      <c r="A99" s="106"/>
      <c r="B99" s="99"/>
      <c r="C99" s="100"/>
      <c r="D99" s="100"/>
      <c r="E99" s="101"/>
      <c r="F99" s="16"/>
      <c r="G99" s="16"/>
      <c r="H99" s="16" t="s">
        <v>4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45"/>
      <c r="Z99" s="16"/>
      <c r="AA99" s="45"/>
      <c r="AB99" s="16"/>
      <c r="AC99" s="16"/>
      <c r="AD99" s="16"/>
      <c r="AE99" s="16"/>
      <c r="AF99" s="16"/>
      <c r="AG99" s="45" t="s">
        <v>4</v>
      </c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 t="s">
        <v>4</v>
      </c>
      <c r="AS99" s="16"/>
      <c r="AT99" s="16"/>
      <c r="AU99" s="16"/>
      <c r="AV99" s="16"/>
      <c r="AW99" s="45"/>
      <c r="AX99" s="16"/>
      <c r="AY99" s="16"/>
      <c r="AZ99" s="16"/>
      <c r="BA99" s="16" t="s">
        <v>4</v>
      </c>
      <c r="BB99" s="106"/>
      <c r="BC99" s="106"/>
      <c r="BD99" s="106"/>
      <c r="BE99" s="19">
        <v>1000000</v>
      </c>
      <c r="BF99" s="101"/>
    </row>
    <row r="100" spans="1:58" s="40" customFormat="1" ht="21" customHeight="1" x14ac:dyDescent="0.2">
      <c r="A100" s="53" t="s">
        <v>101</v>
      </c>
      <c r="B100" s="55" t="s">
        <v>77</v>
      </c>
      <c r="C100" s="56"/>
      <c r="D100" s="56"/>
      <c r="E100" s="57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42"/>
      <c r="U100" s="16"/>
      <c r="V100" s="16"/>
      <c r="W100" s="16"/>
      <c r="X100" s="43"/>
      <c r="Y100" s="47"/>
      <c r="Z100" s="50"/>
      <c r="AA100" s="47"/>
      <c r="AB100" s="44"/>
      <c r="AC100" s="16"/>
      <c r="AD100" s="16"/>
      <c r="AE100" s="16"/>
      <c r="AF100" s="43"/>
      <c r="AG100" s="47"/>
      <c r="AH100" s="44"/>
      <c r="AI100" s="16"/>
      <c r="AJ100" s="16"/>
      <c r="AK100" s="16"/>
      <c r="AL100" s="16"/>
      <c r="AM100" s="16"/>
      <c r="AN100" s="16"/>
      <c r="AO100" s="42"/>
      <c r="AP100" s="16"/>
      <c r="AQ100" s="16"/>
      <c r="AR100" s="16"/>
      <c r="AS100" s="16"/>
      <c r="AT100" s="16"/>
      <c r="AU100" s="16"/>
      <c r="AV100" s="43"/>
      <c r="AW100" s="46"/>
      <c r="AX100" s="44"/>
      <c r="AY100" s="16" t="s">
        <v>2</v>
      </c>
      <c r="AZ100" s="16"/>
      <c r="BA100" s="16"/>
      <c r="BB100" s="61">
        <v>1</v>
      </c>
      <c r="BC100" s="61">
        <v>1</v>
      </c>
      <c r="BD100" s="63">
        <v>1</v>
      </c>
      <c r="BE100" s="19"/>
      <c r="BF100" s="61"/>
    </row>
    <row r="101" spans="1:58" s="40" customFormat="1" ht="21" customHeight="1" x14ac:dyDescent="0.2">
      <c r="A101" s="54"/>
      <c r="B101" s="58"/>
      <c r="C101" s="59"/>
      <c r="D101" s="59"/>
      <c r="E101" s="6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43"/>
      <c r="T101" s="47"/>
      <c r="U101" s="44"/>
      <c r="V101" s="16"/>
      <c r="W101" s="16"/>
      <c r="X101" s="16"/>
      <c r="Y101" s="42"/>
      <c r="Z101" s="43"/>
      <c r="AA101" s="47"/>
      <c r="AB101" s="44"/>
      <c r="AC101" s="16"/>
      <c r="AD101" s="16"/>
      <c r="AE101" s="16"/>
      <c r="AF101" s="43"/>
      <c r="AG101" s="47"/>
      <c r="AH101" s="44"/>
      <c r="AI101" s="16"/>
      <c r="AJ101" s="16"/>
      <c r="AK101" s="16"/>
      <c r="AL101" s="16"/>
      <c r="AM101" s="16"/>
      <c r="AN101" s="43"/>
      <c r="AO101" s="47"/>
      <c r="AP101" s="44"/>
      <c r="AQ101" s="16"/>
      <c r="AR101" s="16"/>
      <c r="AS101" s="16"/>
      <c r="AT101" s="16"/>
      <c r="AU101" s="16"/>
      <c r="AV101" s="43"/>
      <c r="AW101" s="47"/>
      <c r="AX101" s="44"/>
      <c r="AY101" s="16" t="s">
        <v>4</v>
      </c>
      <c r="AZ101" s="16"/>
      <c r="BA101" s="16"/>
      <c r="BB101" s="62"/>
      <c r="BC101" s="62"/>
      <c r="BD101" s="62"/>
      <c r="BE101" s="19"/>
      <c r="BF101" s="62"/>
    </row>
    <row r="102" spans="1:58" ht="21" customHeight="1" x14ac:dyDescent="0.2">
      <c r="A102" s="116" t="s">
        <v>76</v>
      </c>
      <c r="B102" s="96" t="s">
        <v>77</v>
      </c>
      <c r="C102" s="97"/>
      <c r="D102" s="97"/>
      <c r="E102" s="98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7"/>
      <c r="U102" s="16"/>
      <c r="V102" s="16"/>
      <c r="W102" s="16"/>
      <c r="X102" s="43"/>
      <c r="Y102" s="49"/>
      <c r="Z102" s="44"/>
      <c r="AA102" s="17"/>
      <c r="AB102" s="16"/>
      <c r="AC102" s="16"/>
      <c r="AD102" s="16"/>
      <c r="AE102" s="16"/>
      <c r="AF102" s="16" t="s">
        <v>2</v>
      </c>
      <c r="AG102" s="17"/>
      <c r="AH102" s="16"/>
      <c r="AI102" s="16"/>
      <c r="AJ102" s="16"/>
      <c r="AK102" s="16"/>
      <c r="AL102" s="16"/>
      <c r="AM102" s="16"/>
      <c r="AN102" s="43"/>
      <c r="AO102" s="49"/>
      <c r="AP102" s="44"/>
      <c r="AQ102" s="16"/>
      <c r="AR102" s="16"/>
      <c r="AS102" s="16"/>
      <c r="AT102" s="16"/>
      <c r="AU102" s="16"/>
      <c r="AV102" s="16"/>
      <c r="AW102" s="17"/>
      <c r="AX102" s="16"/>
      <c r="AY102" s="16"/>
      <c r="AZ102" s="16"/>
      <c r="BA102" s="16"/>
      <c r="BB102" s="105">
        <f>COUNTIF(F102:BA102,$H$5)</f>
        <v>1</v>
      </c>
      <c r="BC102" s="105">
        <f>COUNTIF(F103:BA103,$Q$5)</f>
        <v>0</v>
      </c>
      <c r="BD102" s="107">
        <v>0</v>
      </c>
      <c r="BE102" s="19"/>
      <c r="BF102" s="123"/>
    </row>
    <row r="103" spans="1:58" ht="21" customHeight="1" x14ac:dyDescent="0.2">
      <c r="A103" s="106"/>
      <c r="B103" s="99"/>
      <c r="C103" s="100"/>
      <c r="D103" s="100"/>
      <c r="E103" s="101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48"/>
      <c r="Z103" s="16"/>
      <c r="AA103" s="16"/>
      <c r="AB103" s="16"/>
      <c r="AC103" s="16"/>
      <c r="AD103" s="16"/>
      <c r="AE103" s="16"/>
      <c r="AF103" s="16" t="s">
        <v>6</v>
      </c>
      <c r="AG103" s="16"/>
      <c r="AH103" s="16"/>
      <c r="AI103" s="16"/>
      <c r="AJ103" s="16"/>
      <c r="AK103" s="16"/>
      <c r="AL103" s="16"/>
      <c r="AM103" s="16"/>
      <c r="AN103" s="16"/>
      <c r="AO103" s="48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06"/>
      <c r="BC103" s="106"/>
      <c r="BD103" s="106"/>
      <c r="BE103" s="19"/>
      <c r="BF103" s="101"/>
    </row>
    <row r="104" spans="1:58" ht="20.25" customHeight="1" x14ac:dyDescent="0.2">
      <c r="A104" s="117" t="s">
        <v>39</v>
      </c>
      <c r="B104" s="103"/>
      <c r="C104" s="103"/>
      <c r="D104" s="103"/>
      <c r="E104" s="104"/>
      <c r="F104" s="118">
        <f>COUNTIF(F98:I103,"P")</f>
        <v>1</v>
      </c>
      <c r="G104" s="103"/>
      <c r="H104" s="103"/>
      <c r="I104" s="104"/>
      <c r="J104" s="118">
        <f>COUNTIF(J98:M103,"P")</f>
        <v>0</v>
      </c>
      <c r="K104" s="103"/>
      <c r="L104" s="103"/>
      <c r="M104" s="104"/>
      <c r="N104" s="118">
        <f>COUNTIF(N98:Q103,"P")</f>
        <v>0</v>
      </c>
      <c r="O104" s="103"/>
      <c r="P104" s="103"/>
      <c r="Q104" s="104"/>
      <c r="R104" s="118">
        <f>COUNTIF(R98:U103,"P")</f>
        <v>0</v>
      </c>
      <c r="S104" s="103"/>
      <c r="T104" s="103"/>
      <c r="U104" s="104"/>
      <c r="V104" s="118">
        <f>COUNTIF(V98:Y103,"P")</f>
        <v>0</v>
      </c>
      <c r="W104" s="103"/>
      <c r="X104" s="103"/>
      <c r="Y104" s="104"/>
      <c r="Z104" s="118">
        <f>COUNTIF(Z98:AC103,"P")</f>
        <v>0</v>
      </c>
      <c r="AA104" s="103"/>
      <c r="AB104" s="103"/>
      <c r="AC104" s="104"/>
      <c r="AD104" s="118">
        <f>COUNTIF(AD98:AG103,"P")</f>
        <v>2</v>
      </c>
      <c r="AE104" s="103"/>
      <c r="AF104" s="103"/>
      <c r="AG104" s="104"/>
      <c r="AH104" s="118">
        <f>COUNTIF(AH98:AK103,"P")</f>
        <v>0</v>
      </c>
      <c r="AI104" s="103"/>
      <c r="AJ104" s="103"/>
      <c r="AK104" s="104"/>
      <c r="AL104" s="118">
        <f>COUNTIF(AL98:AO103,"P")</f>
        <v>0</v>
      </c>
      <c r="AM104" s="103"/>
      <c r="AN104" s="103"/>
      <c r="AO104" s="104"/>
      <c r="AP104" s="118">
        <f>COUNTIF(AP98:AS103,"P")</f>
        <v>1</v>
      </c>
      <c r="AQ104" s="103"/>
      <c r="AR104" s="103"/>
      <c r="AS104" s="104"/>
      <c r="AT104" s="118">
        <f>COUNTIF(AT98:AW103,"P")</f>
        <v>0</v>
      </c>
      <c r="AU104" s="103"/>
      <c r="AV104" s="103"/>
      <c r="AW104" s="104"/>
      <c r="AX104" s="118">
        <f>COUNTIF(AX98:BA103,"P")</f>
        <v>2</v>
      </c>
      <c r="AY104" s="103"/>
      <c r="AZ104" s="103"/>
      <c r="BA104" s="104"/>
      <c r="BB104" s="120" t="s">
        <v>40</v>
      </c>
      <c r="BC104" s="121"/>
      <c r="BD104" s="107">
        <f>+SUM(BC98:BC103)/SUM(BB98:BB103)</f>
        <v>0.83333333333333337</v>
      </c>
      <c r="BE104" s="19"/>
      <c r="BF104" s="123"/>
    </row>
    <row r="105" spans="1:58" ht="20.25" customHeight="1" x14ac:dyDescent="0.2">
      <c r="A105" s="115" t="s">
        <v>41</v>
      </c>
      <c r="B105" s="103"/>
      <c r="C105" s="103"/>
      <c r="D105" s="132"/>
      <c r="E105" s="26"/>
      <c r="F105" s="118">
        <f>COUNTIF(F98:I103,"R")</f>
        <v>1</v>
      </c>
      <c r="G105" s="103"/>
      <c r="H105" s="103"/>
      <c r="I105" s="104"/>
      <c r="J105" s="118">
        <f>COUNTIF(J98:M103,"R")</f>
        <v>0</v>
      </c>
      <c r="K105" s="103"/>
      <c r="L105" s="103"/>
      <c r="M105" s="104"/>
      <c r="N105" s="118">
        <f>COUNTIF(N98:Q103,"R")</f>
        <v>0</v>
      </c>
      <c r="O105" s="103"/>
      <c r="P105" s="103"/>
      <c r="Q105" s="104"/>
      <c r="R105" s="118">
        <f>COUNTIF(R98:U103,"R")</f>
        <v>0</v>
      </c>
      <c r="S105" s="103"/>
      <c r="T105" s="103"/>
      <c r="U105" s="104"/>
      <c r="V105" s="118">
        <f>COUNTIF(V98:Y103,"R")</f>
        <v>0</v>
      </c>
      <c r="W105" s="103"/>
      <c r="X105" s="103"/>
      <c r="Y105" s="104"/>
      <c r="Z105" s="118">
        <f>COUNTIF(Z98:AC103,"R")</f>
        <v>0</v>
      </c>
      <c r="AA105" s="103"/>
      <c r="AB105" s="103"/>
      <c r="AC105" s="104"/>
      <c r="AD105" s="118">
        <f>COUNTIF(AD98:AG103,"R")</f>
        <v>1</v>
      </c>
      <c r="AE105" s="103"/>
      <c r="AF105" s="103"/>
      <c r="AG105" s="104"/>
      <c r="AH105" s="118">
        <f>COUNTIF(AH98:AK103,"R")</f>
        <v>0</v>
      </c>
      <c r="AI105" s="103"/>
      <c r="AJ105" s="103"/>
      <c r="AK105" s="104"/>
      <c r="AL105" s="118">
        <f>COUNTIF(AL98:AO103,"R")</f>
        <v>0</v>
      </c>
      <c r="AM105" s="103"/>
      <c r="AN105" s="103"/>
      <c r="AO105" s="104"/>
      <c r="AP105" s="118">
        <f>COUNTIF(AP98:AS103,"R")</f>
        <v>1</v>
      </c>
      <c r="AQ105" s="103"/>
      <c r="AR105" s="103"/>
      <c r="AS105" s="104"/>
      <c r="AT105" s="118">
        <f>COUNTIF(AT98:AW103,"R")</f>
        <v>0</v>
      </c>
      <c r="AU105" s="103"/>
      <c r="AV105" s="103"/>
      <c r="AW105" s="104"/>
      <c r="AX105" s="118">
        <f>COUNTIF(AX98:BA103,"R")</f>
        <v>2</v>
      </c>
      <c r="AY105" s="103"/>
      <c r="AZ105" s="103"/>
      <c r="BA105" s="104"/>
      <c r="BB105" s="99"/>
      <c r="BC105" s="122"/>
      <c r="BD105" s="106"/>
      <c r="BE105" s="19"/>
      <c r="BF105" s="101"/>
    </row>
    <row r="106" spans="1:58" ht="17.25" customHeight="1" x14ac:dyDescent="0.2">
      <c r="A106" s="127" t="s">
        <v>78</v>
      </c>
      <c r="B106" s="128" t="s">
        <v>10</v>
      </c>
      <c r="C106" s="97"/>
      <c r="D106" s="97"/>
      <c r="E106" s="98"/>
      <c r="F106" s="102" t="s">
        <v>11</v>
      </c>
      <c r="G106" s="103"/>
      <c r="H106" s="103"/>
      <c r="I106" s="104"/>
      <c r="J106" s="102" t="s">
        <v>12</v>
      </c>
      <c r="K106" s="103"/>
      <c r="L106" s="103"/>
      <c r="M106" s="104"/>
      <c r="N106" s="102" t="s">
        <v>13</v>
      </c>
      <c r="O106" s="103"/>
      <c r="P106" s="103"/>
      <c r="Q106" s="104"/>
      <c r="R106" s="102" t="s">
        <v>14</v>
      </c>
      <c r="S106" s="103"/>
      <c r="T106" s="103"/>
      <c r="U106" s="104"/>
      <c r="V106" s="102" t="s">
        <v>15</v>
      </c>
      <c r="W106" s="103"/>
      <c r="X106" s="103"/>
      <c r="Y106" s="104"/>
      <c r="Z106" s="102" t="s">
        <v>16</v>
      </c>
      <c r="AA106" s="103"/>
      <c r="AB106" s="103"/>
      <c r="AC106" s="104"/>
      <c r="AD106" s="102" t="s">
        <v>17</v>
      </c>
      <c r="AE106" s="103"/>
      <c r="AF106" s="103"/>
      <c r="AG106" s="104"/>
      <c r="AH106" s="102" t="s">
        <v>18</v>
      </c>
      <c r="AI106" s="103"/>
      <c r="AJ106" s="103"/>
      <c r="AK106" s="104"/>
      <c r="AL106" s="102" t="s">
        <v>19</v>
      </c>
      <c r="AM106" s="103"/>
      <c r="AN106" s="103"/>
      <c r="AO106" s="104"/>
      <c r="AP106" s="102" t="s">
        <v>20</v>
      </c>
      <c r="AQ106" s="103"/>
      <c r="AR106" s="103"/>
      <c r="AS106" s="104"/>
      <c r="AT106" s="102" t="s">
        <v>21</v>
      </c>
      <c r="AU106" s="103"/>
      <c r="AV106" s="103"/>
      <c r="AW106" s="104"/>
      <c r="AX106" s="102" t="s">
        <v>22</v>
      </c>
      <c r="AY106" s="103"/>
      <c r="AZ106" s="103"/>
      <c r="BA106" s="104"/>
      <c r="BB106" s="112" t="s">
        <v>23</v>
      </c>
      <c r="BC106" s="103"/>
      <c r="BD106" s="104"/>
      <c r="BE106" s="124">
        <f>BE98+BE99+BE102+BE103+BE104+BE105</f>
        <v>1956000</v>
      </c>
      <c r="BF106" s="126" t="s">
        <v>25</v>
      </c>
    </row>
    <row r="107" spans="1:58" ht="17.25" customHeight="1" x14ac:dyDescent="0.2">
      <c r="A107" s="106"/>
      <c r="B107" s="99"/>
      <c r="C107" s="100"/>
      <c r="D107" s="100"/>
      <c r="E107" s="101"/>
      <c r="F107" s="12">
        <v>1</v>
      </c>
      <c r="G107" s="12">
        <v>2</v>
      </c>
      <c r="H107" s="12">
        <v>3</v>
      </c>
      <c r="I107" s="12">
        <v>4</v>
      </c>
      <c r="J107" s="12">
        <v>1</v>
      </c>
      <c r="K107" s="12">
        <v>2</v>
      </c>
      <c r="L107" s="12">
        <v>3</v>
      </c>
      <c r="M107" s="12">
        <v>4</v>
      </c>
      <c r="N107" s="12">
        <v>1</v>
      </c>
      <c r="O107" s="12">
        <v>2</v>
      </c>
      <c r="P107" s="12">
        <v>3</v>
      </c>
      <c r="Q107" s="12">
        <v>4</v>
      </c>
      <c r="R107" s="12">
        <v>1</v>
      </c>
      <c r="S107" s="12">
        <v>2</v>
      </c>
      <c r="T107" s="12">
        <v>3</v>
      </c>
      <c r="U107" s="12">
        <v>4</v>
      </c>
      <c r="V107" s="13">
        <v>1</v>
      </c>
      <c r="W107" s="13">
        <v>2</v>
      </c>
      <c r="X107" s="13">
        <v>3</v>
      </c>
      <c r="Y107" s="13">
        <v>4</v>
      </c>
      <c r="Z107" s="12">
        <v>1</v>
      </c>
      <c r="AA107" s="12">
        <v>2</v>
      </c>
      <c r="AB107" s="12">
        <v>3</v>
      </c>
      <c r="AC107" s="12">
        <v>4</v>
      </c>
      <c r="AD107" s="12">
        <v>1</v>
      </c>
      <c r="AE107" s="12">
        <v>2</v>
      </c>
      <c r="AF107" s="12">
        <v>3</v>
      </c>
      <c r="AG107" s="12">
        <v>4</v>
      </c>
      <c r="AH107" s="12">
        <v>1</v>
      </c>
      <c r="AI107" s="12">
        <v>2</v>
      </c>
      <c r="AJ107" s="12">
        <v>3</v>
      </c>
      <c r="AK107" s="12">
        <v>4</v>
      </c>
      <c r="AL107" s="12">
        <v>1</v>
      </c>
      <c r="AM107" s="12">
        <v>2</v>
      </c>
      <c r="AN107" s="12">
        <v>3</v>
      </c>
      <c r="AO107" s="12">
        <v>4</v>
      </c>
      <c r="AP107" s="12">
        <v>1</v>
      </c>
      <c r="AQ107" s="12">
        <v>2</v>
      </c>
      <c r="AR107" s="12">
        <v>3</v>
      </c>
      <c r="AS107" s="12">
        <v>4</v>
      </c>
      <c r="AT107" s="12">
        <v>1</v>
      </c>
      <c r="AU107" s="12">
        <v>2</v>
      </c>
      <c r="AV107" s="12">
        <v>3</v>
      </c>
      <c r="AW107" s="12">
        <v>4</v>
      </c>
      <c r="AX107" s="12">
        <v>1</v>
      </c>
      <c r="AY107" s="12">
        <v>2</v>
      </c>
      <c r="AZ107" s="12">
        <v>3</v>
      </c>
      <c r="BA107" s="12">
        <v>4</v>
      </c>
      <c r="BB107" s="14" t="s">
        <v>1</v>
      </c>
      <c r="BC107" s="15" t="s">
        <v>26</v>
      </c>
      <c r="BD107" s="15" t="s">
        <v>27</v>
      </c>
      <c r="BE107" s="125"/>
      <c r="BF107" s="125"/>
    </row>
    <row r="108" spans="1:58" ht="21" customHeight="1" x14ac:dyDescent="0.2">
      <c r="A108" s="116" t="s">
        <v>79</v>
      </c>
      <c r="B108" s="96" t="s">
        <v>77</v>
      </c>
      <c r="C108" s="97"/>
      <c r="D108" s="97"/>
      <c r="E108" s="98"/>
      <c r="F108" s="30"/>
      <c r="G108" s="30"/>
      <c r="H108" s="30"/>
      <c r="I108" s="16"/>
      <c r="J108" s="30"/>
      <c r="K108" s="30"/>
      <c r="L108" s="30"/>
      <c r="M108" s="16"/>
      <c r="N108" s="30"/>
      <c r="O108" s="30"/>
      <c r="P108" s="39" t="s">
        <v>2</v>
      </c>
      <c r="Q108" s="16"/>
      <c r="R108" s="30"/>
      <c r="S108" s="30"/>
      <c r="T108" s="30"/>
      <c r="U108" s="16"/>
      <c r="V108" s="30"/>
      <c r="W108" s="30"/>
      <c r="X108" s="30"/>
      <c r="Y108" s="16"/>
      <c r="Z108" s="30"/>
      <c r="AA108" s="30"/>
      <c r="AB108" s="39"/>
      <c r="AC108" s="16"/>
      <c r="AD108" s="16"/>
      <c r="AE108" s="30"/>
      <c r="AF108" s="30"/>
      <c r="AG108" s="16"/>
      <c r="AH108" s="30"/>
      <c r="AI108" s="30"/>
      <c r="AJ108" s="30"/>
      <c r="AK108" s="16"/>
      <c r="AL108" s="30"/>
      <c r="AM108" s="30"/>
      <c r="AN108" s="30"/>
      <c r="AO108" s="16"/>
      <c r="AP108" s="30"/>
      <c r="AQ108" s="30"/>
      <c r="AR108" s="30"/>
      <c r="AS108" s="16"/>
      <c r="AT108" s="30"/>
      <c r="AU108" s="30"/>
      <c r="AV108" s="30"/>
      <c r="AW108" s="16"/>
      <c r="AX108" s="30"/>
      <c r="AY108" s="30"/>
      <c r="AZ108" s="30"/>
      <c r="BA108" s="16"/>
      <c r="BB108" s="105">
        <f>COUNTIF(F108:BA108,$H$5)</f>
        <v>1</v>
      </c>
      <c r="BC108" s="105">
        <f>COUNTIF(F109:BA109,$Q$5)</f>
        <v>1</v>
      </c>
      <c r="BD108" s="107">
        <f>IFERROR(BC108/BB108,"")</f>
        <v>1</v>
      </c>
      <c r="BE108" s="19">
        <v>0</v>
      </c>
      <c r="BF108" s="123"/>
    </row>
    <row r="109" spans="1:58" ht="21" customHeight="1" x14ac:dyDescent="0.2">
      <c r="A109" s="106"/>
      <c r="B109" s="99"/>
      <c r="C109" s="100"/>
      <c r="D109" s="100"/>
      <c r="E109" s="101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 t="s">
        <v>4</v>
      </c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106"/>
      <c r="BC109" s="106"/>
      <c r="BD109" s="106"/>
      <c r="BE109" s="19">
        <v>0</v>
      </c>
      <c r="BF109" s="101"/>
    </row>
    <row r="110" spans="1:58" ht="21" customHeight="1" x14ac:dyDescent="0.2">
      <c r="A110" s="116" t="s">
        <v>80</v>
      </c>
      <c r="B110" s="96" t="s">
        <v>77</v>
      </c>
      <c r="C110" s="97"/>
      <c r="D110" s="97"/>
      <c r="E110" s="98"/>
      <c r="F110" s="30"/>
      <c r="G110" s="30"/>
      <c r="H110" s="30"/>
      <c r="I110" s="16"/>
      <c r="J110" s="30"/>
      <c r="K110" s="30"/>
      <c r="L110" s="30"/>
      <c r="M110" s="16"/>
      <c r="N110" s="30"/>
      <c r="O110" s="30"/>
      <c r="P110" s="30"/>
      <c r="Q110" s="16"/>
      <c r="R110" s="30"/>
      <c r="S110" s="30"/>
      <c r="T110" s="30"/>
      <c r="U110" s="16"/>
      <c r="V110" s="30"/>
      <c r="W110" s="30"/>
      <c r="X110" s="30"/>
      <c r="Y110" s="16"/>
      <c r="Z110" s="30"/>
      <c r="AA110" s="39" t="s">
        <v>2</v>
      </c>
      <c r="AB110" s="30"/>
      <c r="AC110" s="16"/>
      <c r="AD110" s="30"/>
      <c r="AE110" s="30"/>
      <c r="AF110" s="30"/>
      <c r="AG110" s="16"/>
      <c r="AH110" s="30"/>
      <c r="AI110" s="30"/>
      <c r="AJ110" s="30"/>
      <c r="AK110" s="16"/>
      <c r="AL110" s="30"/>
      <c r="AM110" s="30"/>
      <c r="AN110" s="30"/>
      <c r="AO110" s="16"/>
      <c r="AP110" s="30"/>
      <c r="AQ110" s="30"/>
      <c r="AR110" s="30"/>
      <c r="AS110" s="16"/>
      <c r="AT110" s="30"/>
      <c r="AU110" s="30"/>
      <c r="AV110" s="30"/>
      <c r="AW110" s="16"/>
      <c r="AX110" s="30"/>
      <c r="AY110" s="30"/>
      <c r="AZ110" s="30"/>
      <c r="BA110" s="16" t="s">
        <v>2</v>
      </c>
      <c r="BB110" s="105">
        <f>COUNTIF(F110:BA110,$H$5)</f>
        <v>2</v>
      </c>
      <c r="BC110" s="105">
        <f>COUNTIF(F111:BA111,$Q$5)</f>
        <v>2</v>
      </c>
      <c r="BD110" s="107">
        <f>IFERROR(BC110/BB110,"")</f>
        <v>1</v>
      </c>
      <c r="BE110" s="19">
        <v>0</v>
      </c>
      <c r="BF110" s="123"/>
    </row>
    <row r="111" spans="1:58" ht="21" customHeight="1" x14ac:dyDescent="0.2">
      <c r="A111" s="106"/>
      <c r="B111" s="99"/>
      <c r="C111" s="100"/>
      <c r="D111" s="100"/>
      <c r="E111" s="101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 t="s">
        <v>4</v>
      </c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 t="s">
        <v>4</v>
      </c>
      <c r="BB111" s="106"/>
      <c r="BC111" s="106"/>
      <c r="BD111" s="106"/>
      <c r="BE111" s="19">
        <v>0</v>
      </c>
      <c r="BF111" s="101"/>
    </row>
    <row r="112" spans="1:58" ht="19.5" customHeight="1" x14ac:dyDescent="0.2">
      <c r="A112" s="117" t="s">
        <v>39</v>
      </c>
      <c r="B112" s="103"/>
      <c r="C112" s="103"/>
      <c r="D112" s="103"/>
      <c r="E112" s="104"/>
      <c r="F112" s="114">
        <f>COUNTIF(F108:I111,"P")</f>
        <v>0</v>
      </c>
      <c r="G112" s="103"/>
      <c r="H112" s="103"/>
      <c r="I112" s="104"/>
      <c r="J112" s="114">
        <f>COUNTIF(J108:M111,"P")</f>
        <v>0</v>
      </c>
      <c r="K112" s="103"/>
      <c r="L112" s="103"/>
      <c r="M112" s="104"/>
      <c r="N112" s="114">
        <f>COUNTIF(N108:Q111,"P")</f>
        <v>1</v>
      </c>
      <c r="O112" s="103"/>
      <c r="P112" s="103"/>
      <c r="Q112" s="104"/>
      <c r="R112" s="114">
        <f>COUNTIF(R108:U111,"P")</f>
        <v>0</v>
      </c>
      <c r="S112" s="103"/>
      <c r="T112" s="103"/>
      <c r="U112" s="104"/>
      <c r="V112" s="114">
        <f>COUNTIF(V108:Y111,"P")</f>
        <v>0</v>
      </c>
      <c r="W112" s="103"/>
      <c r="X112" s="103"/>
      <c r="Y112" s="104"/>
      <c r="Z112" s="114">
        <f>COUNTIF(Z108:AC111,"P")</f>
        <v>1</v>
      </c>
      <c r="AA112" s="103"/>
      <c r="AB112" s="103"/>
      <c r="AC112" s="104"/>
      <c r="AD112" s="114">
        <f>COUNTIF(AD108:AG111,"P")</f>
        <v>0</v>
      </c>
      <c r="AE112" s="103"/>
      <c r="AF112" s="103"/>
      <c r="AG112" s="104"/>
      <c r="AH112" s="114">
        <f>COUNTIF(AH108:AK111,"P")</f>
        <v>0</v>
      </c>
      <c r="AI112" s="103"/>
      <c r="AJ112" s="103"/>
      <c r="AK112" s="104"/>
      <c r="AL112" s="114">
        <f>COUNTIF(AL108:AO111,"P")</f>
        <v>0</v>
      </c>
      <c r="AM112" s="103"/>
      <c r="AN112" s="103"/>
      <c r="AO112" s="104"/>
      <c r="AP112" s="114">
        <f>COUNTIF(AP108:AS111,"P")</f>
        <v>0</v>
      </c>
      <c r="AQ112" s="103"/>
      <c r="AR112" s="103"/>
      <c r="AS112" s="104"/>
      <c r="AT112" s="114">
        <f>COUNTIF(AT108:AW111,"P")</f>
        <v>0</v>
      </c>
      <c r="AU112" s="103"/>
      <c r="AV112" s="103"/>
      <c r="AW112" s="104"/>
      <c r="AX112" s="114">
        <f>COUNTIF(AX108:BA111,"P")</f>
        <v>1</v>
      </c>
      <c r="AY112" s="103"/>
      <c r="AZ112" s="103"/>
      <c r="BA112" s="104"/>
      <c r="BB112" s="120" t="s">
        <v>40</v>
      </c>
      <c r="BC112" s="121"/>
      <c r="BD112" s="107">
        <f>+SUM(BC108:BC111)/SUM(BB108:BB111)</f>
        <v>1</v>
      </c>
      <c r="BE112" s="124">
        <f>BE106+BE84+BE74+BE42+BE22</f>
        <v>14067916</v>
      </c>
      <c r="BF112" s="123"/>
    </row>
    <row r="113" spans="1:58" ht="19.5" customHeight="1" x14ac:dyDescent="0.2">
      <c r="A113" s="115" t="s">
        <v>41</v>
      </c>
      <c r="B113" s="103"/>
      <c r="C113" s="103"/>
      <c r="D113" s="103"/>
      <c r="E113" s="104"/>
      <c r="F113" s="114">
        <f>COUNTIF(F108:I111,"R")</f>
        <v>0</v>
      </c>
      <c r="G113" s="103"/>
      <c r="H113" s="103"/>
      <c r="I113" s="104"/>
      <c r="J113" s="114">
        <f>COUNTIF(J108:M111,"R")</f>
        <v>0</v>
      </c>
      <c r="K113" s="103"/>
      <c r="L113" s="103"/>
      <c r="M113" s="104"/>
      <c r="N113" s="114">
        <f>COUNTIF(N108:Q111,"R")</f>
        <v>1</v>
      </c>
      <c r="O113" s="103"/>
      <c r="P113" s="103"/>
      <c r="Q113" s="104"/>
      <c r="R113" s="114">
        <f>COUNTIF(R108:U111,"R")</f>
        <v>0</v>
      </c>
      <c r="S113" s="103"/>
      <c r="T113" s="103"/>
      <c r="U113" s="104"/>
      <c r="V113" s="114">
        <f>COUNTIF(V108:Y111,"R")</f>
        <v>0</v>
      </c>
      <c r="W113" s="103"/>
      <c r="X113" s="103"/>
      <c r="Y113" s="104"/>
      <c r="Z113" s="114">
        <f>COUNTIF(Z108:AC111,"R")</f>
        <v>1</v>
      </c>
      <c r="AA113" s="103"/>
      <c r="AB113" s="103"/>
      <c r="AC113" s="104"/>
      <c r="AD113" s="114">
        <f>COUNTIF(AD108:AG111,"R")</f>
        <v>0</v>
      </c>
      <c r="AE113" s="103"/>
      <c r="AF113" s="103"/>
      <c r="AG113" s="104"/>
      <c r="AH113" s="114">
        <f>COUNTIF(AH108:AK111,"R")</f>
        <v>0</v>
      </c>
      <c r="AI113" s="103"/>
      <c r="AJ113" s="103"/>
      <c r="AK113" s="104"/>
      <c r="AL113" s="114">
        <f>COUNTIF(AL108:AO111,"R")</f>
        <v>0</v>
      </c>
      <c r="AM113" s="103"/>
      <c r="AN113" s="103"/>
      <c r="AO113" s="104"/>
      <c r="AP113" s="114">
        <f>COUNTIF(AP108:AS111,"R")</f>
        <v>0</v>
      </c>
      <c r="AQ113" s="103"/>
      <c r="AR113" s="103"/>
      <c r="AS113" s="104"/>
      <c r="AT113" s="114">
        <f>COUNTIF(AT108:AW111,"R")</f>
        <v>0</v>
      </c>
      <c r="AU113" s="103"/>
      <c r="AV113" s="103"/>
      <c r="AW113" s="104"/>
      <c r="AX113" s="114">
        <f>COUNTIF(AX108:BA111,"R")</f>
        <v>1</v>
      </c>
      <c r="AY113" s="103"/>
      <c r="AZ113" s="103"/>
      <c r="BA113" s="104"/>
      <c r="BB113" s="99"/>
      <c r="BC113" s="122"/>
      <c r="BD113" s="106"/>
      <c r="BE113" s="125"/>
      <c r="BF113" s="101"/>
    </row>
    <row r="114" spans="1:58" ht="12.75" customHeight="1" x14ac:dyDescent="0.2">
      <c r="A114" s="11"/>
      <c r="B114" s="11"/>
      <c r="C114" s="11"/>
      <c r="D114" s="11"/>
      <c r="E114" s="31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3"/>
      <c r="BC114" s="33"/>
      <c r="BD114" s="33"/>
      <c r="BE114" s="4"/>
      <c r="BF114" s="34"/>
    </row>
    <row r="115" spans="1:58" ht="17.25" customHeight="1" x14ac:dyDescent="0.2">
      <c r="A115" s="112" t="s">
        <v>81</v>
      </c>
      <c r="B115" s="103"/>
      <c r="C115" s="103"/>
      <c r="D115" s="103"/>
      <c r="E115" s="104"/>
      <c r="F115" s="114">
        <f>COUNTIF(F8:I111,"P")</f>
        <v>12</v>
      </c>
      <c r="G115" s="103"/>
      <c r="H115" s="103"/>
      <c r="I115" s="104"/>
      <c r="J115" s="114">
        <f>COUNTIF(J8:M111,"P")</f>
        <v>23</v>
      </c>
      <c r="K115" s="103"/>
      <c r="L115" s="103"/>
      <c r="M115" s="104"/>
      <c r="N115" s="114">
        <f>COUNTIF(N8:Q111,"P")</f>
        <v>16</v>
      </c>
      <c r="O115" s="103"/>
      <c r="P115" s="103"/>
      <c r="Q115" s="104"/>
      <c r="R115" s="114">
        <f>COUNTIF(R8:U111,"P")</f>
        <v>17</v>
      </c>
      <c r="S115" s="103"/>
      <c r="T115" s="103"/>
      <c r="U115" s="104"/>
      <c r="V115" s="114">
        <f>COUNTIF(V8:Y111,"P")</f>
        <v>12</v>
      </c>
      <c r="W115" s="103"/>
      <c r="X115" s="103"/>
      <c r="Y115" s="104"/>
      <c r="Z115" s="114">
        <f>COUNTIF(Z8:AC111,"P")</f>
        <v>16</v>
      </c>
      <c r="AA115" s="103"/>
      <c r="AB115" s="103"/>
      <c r="AC115" s="104"/>
      <c r="AD115" s="114">
        <f>COUNTIF(AD8:AG111,"P")</f>
        <v>13</v>
      </c>
      <c r="AE115" s="103"/>
      <c r="AF115" s="103"/>
      <c r="AG115" s="104"/>
      <c r="AH115" s="114">
        <f>COUNTIF(AH8:AK111,"P")</f>
        <v>10</v>
      </c>
      <c r="AI115" s="103"/>
      <c r="AJ115" s="103"/>
      <c r="AK115" s="104"/>
      <c r="AL115" s="114">
        <f>COUNTIF(AL8:AO111,"P")</f>
        <v>10</v>
      </c>
      <c r="AM115" s="103"/>
      <c r="AN115" s="103"/>
      <c r="AO115" s="104"/>
      <c r="AP115" s="114">
        <f>COUNTIF(AP8:AS111,"P")</f>
        <v>9</v>
      </c>
      <c r="AQ115" s="103"/>
      <c r="AR115" s="103"/>
      <c r="AS115" s="104"/>
      <c r="AT115" s="114">
        <f>COUNTIF(AT8:AW111,"P")</f>
        <v>8</v>
      </c>
      <c r="AU115" s="103"/>
      <c r="AV115" s="103"/>
      <c r="AW115" s="104"/>
      <c r="AX115" s="114">
        <f>COUNTIF(AX8:BA111,"P")</f>
        <v>10</v>
      </c>
      <c r="AY115" s="103"/>
      <c r="AZ115" s="103"/>
      <c r="BA115" s="104"/>
      <c r="BB115" s="35"/>
      <c r="BC115" s="35"/>
      <c r="BD115" s="36"/>
      <c r="BE115" s="4"/>
      <c r="BF115" s="11"/>
    </row>
    <row r="116" spans="1:58" ht="17.25" customHeight="1" x14ac:dyDescent="0.2">
      <c r="A116" s="112" t="s">
        <v>82</v>
      </c>
      <c r="B116" s="103"/>
      <c r="C116" s="103"/>
      <c r="D116" s="103"/>
      <c r="E116" s="104"/>
      <c r="F116" s="114">
        <f>COUNTIF(F8:I111,"R")</f>
        <v>12</v>
      </c>
      <c r="G116" s="103"/>
      <c r="H116" s="103"/>
      <c r="I116" s="104"/>
      <c r="J116" s="114">
        <f>COUNTIF(J8:M111,"R")</f>
        <v>22</v>
      </c>
      <c r="K116" s="103"/>
      <c r="L116" s="103"/>
      <c r="M116" s="104"/>
      <c r="N116" s="114">
        <f>COUNTIF(N8:Q111,"R")</f>
        <v>15</v>
      </c>
      <c r="O116" s="103"/>
      <c r="P116" s="103"/>
      <c r="Q116" s="104"/>
      <c r="R116" s="114">
        <f>COUNTIF(R8:U111,"R")</f>
        <v>16</v>
      </c>
      <c r="S116" s="103"/>
      <c r="T116" s="103"/>
      <c r="U116" s="104"/>
      <c r="V116" s="114">
        <f>COUNTIF(V8:Y111,"R")</f>
        <v>11</v>
      </c>
      <c r="W116" s="103"/>
      <c r="X116" s="103"/>
      <c r="Y116" s="104"/>
      <c r="Z116" s="114">
        <f>COUNTIF(Z8:AC111,"R")</f>
        <v>15</v>
      </c>
      <c r="AA116" s="103"/>
      <c r="AB116" s="103"/>
      <c r="AC116" s="104"/>
      <c r="AD116" s="114">
        <f>COUNTIF(AD8:AG111,"R")</f>
        <v>12</v>
      </c>
      <c r="AE116" s="103"/>
      <c r="AF116" s="103"/>
      <c r="AG116" s="104"/>
      <c r="AH116" s="114">
        <f>COUNTIF(AH8:AK111,"R")</f>
        <v>10</v>
      </c>
      <c r="AI116" s="103"/>
      <c r="AJ116" s="103"/>
      <c r="AK116" s="104"/>
      <c r="AL116" s="114">
        <f>COUNTIF(AL8:AO111,"R")</f>
        <v>10</v>
      </c>
      <c r="AM116" s="103"/>
      <c r="AN116" s="103"/>
      <c r="AO116" s="104"/>
      <c r="AP116" s="114">
        <f>COUNTIF(AP8:AS111,"R")</f>
        <v>9</v>
      </c>
      <c r="AQ116" s="103"/>
      <c r="AR116" s="103"/>
      <c r="AS116" s="104"/>
      <c r="AT116" s="114">
        <f>COUNTIF(AT8:AW111,"R")</f>
        <v>8</v>
      </c>
      <c r="AU116" s="103"/>
      <c r="AV116" s="103"/>
      <c r="AW116" s="104"/>
      <c r="AX116" s="114">
        <f>COUNTIF(AX8:BA111,"R")</f>
        <v>10</v>
      </c>
      <c r="AY116" s="103"/>
      <c r="AZ116" s="103"/>
      <c r="BA116" s="104"/>
      <c r="BB116" s="35"/>
      <c r="BC116" s="35"/>
      <c r="BD116" s="36"/>
      <c r="BE116" s="4"/>
      <c r="BF116" s="11"/>
    </row>
    <row r="117" spans="1:58" ht="17.25" customHeight="1" x14ac:dyDescent="0.2">
      <c r="A117" s="112" t="s">
        <v>83</v>
      </c>
      <c r="B117" s="103"/>
      <c r="C117" s="103"/>
      <c r="D117" s="103"/>
      <c r="E117" s="104"/>
      <c r="F117" s="108">
        <f>IFERROR(F116/F115,"")</f>
        <v>1</v>
      </c>
      <c r="G117" s="103"/>
      <c r="H117" s="103"/>
      <c r="I117" s="104"/>
      <c r="J117" s="108">
        <f>IFERROR(J116/J115,"")</f>
        <v>0.95652173913043481</v>
      </c>
      <c r="K117" s="103"/>
      <c r="L117" s="103"/>
      <c r="M117" s="104"/>
      <c r="N117" s="108">
        <f>IFERROR(N116/N115,"")</f>
        <v>0.9375</v>
      </c>
      <c r="O117" s="103"/>
      <c r="P117" s="103"/>
      <c r="Q117" s="104"/>
      <c r="R117" s="108">
        <f>IFERROR(R116/R115,"")</f>
        <v>0.94117647058823528</v>
      </c>
      <c r="S117" s="103"/>
      <c r="T117" s="103"/>
      <c r="U117" s="104"/>
      <c r="V117" s="108">
        <f>IFERROR(V116/V115,"")</f>
        <v>0.91666666666666663</v>
      </c>
      <c r="W117" s="103"/>
      <c r="X117" s="103"/>
      <c r="Y117" s="104"/>
      <c r="Z117" s="108">
        <f>IFERROR(Z116/Z115,"")</f>
        <v>0.9375</v>
      </c>
      <c r="AA117" s="103"/>
      <c r="AB117" s="103"/>
      <c r="AC117" s="104"/>
      <c r="AD117" s="108">
        <f>IFERROR(AD116/AD115,"")</f>
        <v>0.92307692307692313</v>
      </c>
      <c r="AE117" s="103"/>
      <c r="AF117" s="103"/>
      <c r="AG117" s="104"/>
      <c r="AH117" s="108">
        <f>IFERROR(AH116/AH115,"")</f>
        <v>1</v>
      </c>
      <c r="AI117" s="103"/>
      <c r="AJ117" s="103"/>
      <c r="AK117" s="104"/>
      <c r="AL117" s="108">
        <f>IFERROR(AL116/AL115,"")</f>
        <v>1</v>
      </c>
      <c r="AM117" s="103"/>
      <c r="AN117" s="103"/>
      <c r="AO117" s="104"/>
      <c r="AP117" s="108">
        <f>IFERROR(AP116/AP115,"")</f>
        <v>1</v>
      </c>
      <c r="AQ117" s="103"/>
      <c r="AR117" s="103"/>
      <c r="AS117" s="104"/>
      <c r="AT117" s="108">
        <f>IFERROR(AT116/AT115,"")</f>
        <v>1</v>
      </c>
      <c r="AU117" s="103"/>
      <c r="AV117" s="103"/>
      <c r="AW117" s="104"/>
      <c r="AX117" s="108">
        <f>IFERROR(AX116/AX115,"")</f>
        <v>1</v>
      </c>
      <c r="AY117" s="103"/>
      <c r="AZ117" s="103"/>
      <c r="BA117" s="104"/>
      <c r="BB117" s="36"/>
      <c r="BC117" s="36"/>
      <c r="BD117" s="36"/>
      <c r="BE117" s="4"/>
      <c r="BF117" s="11"/>
    </row>
    <row r="118" spans="1:58" ht="17.25" customHeight="1" x14ac:dyDescent="0.25">
      <c r="A118" s="112" t="s">
        <v>84</v>
      </c>
      <c r="B118" s="103"/>
      <c r="C118" s="103"/>
      <c r="D118" s="103"/>
      <c r="E118" s="104"/>
      <c r="F118" s="113">
        <f>+SUM(F116:BA116)/SUM(F115:BA115)</f>
        <v>0.96153846153846156</v>
      </c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4"/>
      <c r="BB118" s="37"/>
      <c r="BC118" s="37"/>
      <c r="BD118" s="37"/>
      <c r="BE118" s="4"/>
      <c r="BF118" s="11"/>
    </row>
    <row r="119" spans="1:58" ht="17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3"/>
      <c r="BE119" s="4"/>
      <c r="BF119" s="5"/>
    </row>
    <row r="120" spans="1:58" ht="17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3"/>
      <c r="BE120" s="4"/>
      <c r="BF120" s="5"/>
    </row>
    <row r="121" spans="1:58" ht="17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3"/>
      <c r="BE121" s="4"/>
      <c r="BF121" s="5"/>
    </row>
    <row r="122" spans="1:58" ht="17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3"/>
      <c r="BE122" s="4"/>
      <c r="BF122" s="5"/>
    </row>
    <row r="123" spans="1:58" ht="17.25" customHeight="1" x14ac:dyDescent="0.25">
      <c r="A123" s="51" t="s">
        <v>102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2"/>
      <c r="W123" s="109" t="s">
        <v>85</v>
      </c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2"/>
      <c r="AK123" s="2"/>
      <c r="AL123" s="111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2"/>
      <c r="AY123" s="2"/>
      <c r="AZ123" s="2"/>
      <c r="BA123" s="2"/>
      <c r="BB123" s="2"/>
      <c r="BC123" s="2"/>
      <c r="BD123" s="3"/>
      <c r="BE123" s="4"/>
      <c r="BF123" s="5"/>
    </row>
    <row r="124" spans="1:58" ht="17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3"/>
      <c r="BE124" s="4"/>
      <c r="BF124" s="5"/>
    </row>
    <row r="125" spans="1:58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3"/>
      <c r="BE125" s="4"/>
      <c r="BF125" s="5"/>
    </row>
    <row r="126" spans="1:58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3"/>
      <c r="BE126" s="4"/>
      <c r="BF126" s="5"/>
    </row>
    <row r="127" spans="1:58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3"/>
      <c r="BE127" s="4"/>
      <c r="BF127" s="5"/>
    </row>
    <row r="128" spans="1:58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3"/>
      <c r="BE128" s="4"/>
      <c r="BF128" s="5"/>
    </row>
    <row r="129" spans="1:58" ht="17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3"/>
      <c r="BE129" s="4"/>
      <c r="BF129" s="5"/>
    </row>
    <row r="130" spans="1:58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3"/>
      <c r="BE130" s="4"/>
      <c r="BF130" s="5"/>
    </row>
    <row r="131" spans="1:58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3"/>
      <c r="BE131" s="4"/>
      <c r="BF131" s="5"/>
    </row>
    <row r="132" spans="1:58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3"/>
      <c r="BE132" s="4"/>
      <c r="BF132" s="5"/>
    </row>
    <row r="133" spans="1:58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3"/>
      <c r="BE133" s="4"/>
      <c r="BF133" s="5"/>
    </row>
    <row r="134" spans="1:58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3"/>
      <c r="BE134" s="4"/>
      <c r="BF134" s="5"/>
    </row>
    <row r="135" spans="1:58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3"/>
      <c r="BE135" s="4"/>
      <c r="BF135" s="5"/>
    </row>
    <row r="136" spans="1:58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3"/>
      <c r="BE136" s="4"/>
      <c r="BF136" s="5"/>
    </row>
    <row r="137" spans="1:58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3"/>
      <c r="BE137" s="4"/>
      <c r="BF137" s="5"/>
    </row>
    <row r="138" spans="1:58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3"/>
      <c r="BE138" s="4"/>
      <c r="BF138" s="5"/>
    </row>
    <row r="139" spans="1:58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3"/>
      <c r="BE139" s="4"/>
      <c r="BF139" s="5"/>
    </row>
    <row r="140" spans="1:58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3"/>
      <c r="BE140" s="4"/>
      <c r="BF140" s="5"/>
    </row>
    <row r="141" spans="1:58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3"/>
      <c r="BE141" s="4"/>
      <c r="BF141" s="5"/>
    </row>
    <row r="142" spans="1:58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3"/>
      <c r="BE142" s="4"/>
      <c r="BF142" s="5"/>
    </row>
    <row r="143" spans="1:58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3"/>
      <c r="BE143" s="4"/>
      <c r="BF143" s="5"/>
    </row>
    <row r="144" spans="1:58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3"/>
      <c r="BE144" s="4"/>
      <c r="BF144" s="5"/>
    </row>
    <row r="145" spans="1:58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3"/>
      <c r="BE145" s="4"/>
      <c r="BF145" s="5"/>
    </row>
    <row r="146" spans="1:58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3"/>
      <c r="BE146" s="4"/>
      <c r="BF146" s="5"/>
    </row>
    <row r="147" spans="1:58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3"/>
      <c r="BE147" s="4"/>
      <c r="BF147" s="5"/>
    </row>
    <row r="148" spans="1:58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3"/>
      <c r="BE148" s="4"/>
      <c r="BF148" s="5"/>
    </row>
    <row r="149" spans="1:58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3"/>
      <c r="BE149" s="4"/>
      <c r="BF149" s="5"/>
    </row>
    <row r="150" spans="1:58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3"/>
      <c r="BE150" s="4"/>
      <c r="BF150" s="5"/>
    </row>
    <row r="151" spans="1:58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3"/>
      <c r="BE151" s="4"/>
      <c r="BF151" s="5"/>
    </row>
    <row r="152" spans="1:58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3"/>
      <c r="BE152" s="4"/>
      <c r="BF152" s="5"/>
    </row>
    <row r="153" spans="1:58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3"/>
      <c r="BE153" s="4"/>
      <c r="BF153" s="5"/>
    </row>
    <row r="154" spans="1:58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3"/>
      <c r="BE154" s="4"/>
      <c r="BF154" s="5"/>
    </row>
    <row r="155" spans="1:58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3"/>
      <c r="BE155" s="4"/>
      <c r="BF155" s="5"/>
    </row>
    <row r="156" spans="1:58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3"/>
      <c r="BE156" s="4"/>
      <c r="BF156" s="5"/>
    </row>
    <row r="157" spans="1:58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3"/>
      <c r="BE157" s="4"/>
      <c r="BF157" s="5"/>
    </row>
    <row r="158" spans="1:58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3"/>
      <c r="BE158" s="4"/>
      <c r="BF158" s="5"/>
    </row>
    <row r="159" spans="1:58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3"/>
      <c r="BE159" s="4"/>
      <c r="BF159" s="5"/>
    </row>
    <row r="160" spans="1:58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3"/>
      <c r="BE160" s="4"/>
      <c r="BF160" s="5"/>
    </row>
    <row r="161" spans="1:58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3"/>
      <c r="BE161" s="4"/>
      <c r="BF161" s="5"/>
    </row>
    <row r="162" spans="1:58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3"/>
      <c r="BE162" s="4"/>
      <c r="BF162" s="5"/>
    </row>
    <row r="163" spans="1:58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3"/>
      <c r="BE163" s="4"/>
      <c r="BF163" s="5"/>
    </row>
    <row r="164" spans="1:58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3"/>
      <c r="BE164" s="4"/>
      <c r="BF164" s="5"/>
    </row>
    <row r="165" spans="1:58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3"/>
      <c r="BE165" s="4"/>
      <c r="BF165" s="5"/>
    </row>
    <row r="166" spans="1:58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3"/>
      <c r="BE166" s="4"/>
      <c r="BF166" s="5"/>
    </row>
    <row r="167" spans="1:58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3"/>
      <c r="BE167" s="4"/>
      <c r="BF167" s="5"/>
    </row>
    <row r="168" spans="1:58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3"/>
      <c r="BE168" s="4"/>
      <c r="BF168" s="5"/>
    </row>
    <row r="169" spans="1:58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3"/>
      <c r="BE169" s="4"/>
      <c r="BF169" s="5"/>
    </row>
    <row r="170" spans="1:58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3"/>
      <c r="BE170" s="4"/>
      <c r="BF170" s="5"/>
    </row>
    <row r="171" spans="1:58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3"/>
      <c r="BE171" s="4"/>
      <c r="BF171" s="5"/>
    </row>
    <row r="172" spans="1:58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3"/>
      <c r="BE172" s="4"/>
      <c r="BF172" s="5"/>
    </row>
    <row r="173" spans="1:58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3"/>
      <c r="BE173" s="4"/>
      <c r="BF173" s="5"/>
    </row>
    <row r="174" spans="1:58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3"/>
      <c r="BE174" s="4"/>
      <c r="BF174" s="5"/>
    </row>
    <row r="175" spans="1:58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3"/>
      <c r="BE175" s="4"/>
      <c r="BF175" s="5"/>
    </row>
    <row r="176" spans="1:58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3"/>
      <c r="BE176" s="4"/>
      <c r="BF176" s="5"/>
    </row>
    <row r="177" spans="1:58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3"/>
      <c r="BE177" s="4"/>
      <c r="BF177" s="5"/>
    </row>
    <row r="178" spans="1:58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3"/>
      <c r="BE178" s="4"/>
      <c r="BF178" s="5"/>
    </row>
    <row r="179" spans="1:58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3"/>
      <c r="BE179" s="4"/>
      <c r="BF179" s="5"/>
    </row>
    <row r="180" spans="1:58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3"/>
      <c r="BE180" s="4"/>
      <c r="BF180" s="5"/>
    </row>
    <row r="181" spans="1:58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3"/>
      <c r="BE181" s="4"/>
      <c r="BF181" s="5"/>
    </row>
    <row r="182" spans="1:58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3"/>
      <c r="BE182" s="4"/>
      <c r="BF182" s="5"/>
    </row>
    <row r="183" spans="1:58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3"/>
      <c r="BE183" s="4"/>
      <c r="BF183" s="5"/>
    </row>
    <row r="184" spans="1:58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3"/>
      <c r="BE184" s="4"/>
      <c r="BF184" s="5"/>
    </row>
    <row r="185" spans="1:58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3"/>
      <c r="BE185" s="4"/>
      <c r="BF185" s="5"/>
    </row>
    <row r="186" spans="1:58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3"/>
      <c r="BE186" s="4"/>
      <c r="BF186" s="5"/>
    </row>
    <row r="187" spans="1:58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3"/>
      <c r="BE187" s="4"/>
      <c r="BF187" s="5"/>
    </row>
    <row r="188" spans="1:58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3"/>
      <c r="BE188" s="4"/>
      <c r="BF188" s="5"/>
    </row>
    <row r="189" spans="1:58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3"/>
      <c r="BE189" s="4"/>
      <c r="BF189" s="5"/>
    </row>
    <row r="190" spans="1:58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3"/>
      <c r="BE190" s="4"/>
      <c r="BF190" s="5"/>
    </row>
    <row r="191" spans="1:58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3"/>
      <c r="BE191" s="4"/>
      <c r="BF191" s="5"/>
    </row>
    <row r="192" spans="1:58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3"/>
      <c r="BE192" s="4"/>
      <c r="BF192" s="5"/>
    </row>
    <row r="193" spans="1:58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3"/>
      <c r="BE193" s="4"/>
      <c r="BF193" s="5"/>
    </row>
    <row r="194" spans="1:58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3"/>
      <c r="BE194" s="4"/>
      <c r="BF194" s="5"/>
    </row>
    <row r="195" spans="1:58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3"/>
      <c r="BE195" s="4"/>
      <c r="BF195" s="5"/>
    </row>
    <row r="196" spans="1:58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3"/>
      <c r="BE196" s="4"/>
      <c r="BF196" s="5"/>
    </row>
    <row r="197" spans="1:58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3"/>
      <c r="BE197" s="4"/>
      <c r="BF197" s="5"/>
    </row>
    <row r="198" spans="1:58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3"/>
      <c r="BE198" s="4"/>
      <c r="BF198" s="5"/>
    </row>
    <row r="199" spans="1:58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3"/>
      <c r="BE199" s="4"/>
      <c r="BF199" s="5"/>
    </row>
    <row r="200" spans="1:58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3"/>
      <c r="BE200" s="4"/>
      <c r="BF200" s="5"/>
    </row>
    <row r="201" spans="1:58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3"/>
      <c r="BE201" s="4"/>
      <c r="BF201" s="5"/>
    </row>
    <row r="202" spans="1:58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3"/>
      <c r="BE202" s="4"/>
      <c r="BF202" s="5"/>
    </row>
    <row r="203" spans="1:58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3"/>
      <c r="BE203" s="4"/>
      <c r="BF203" s="5"/>
    </row>
    <row r="204" spans="1:58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3"/>
      <c r="BE204" s="4"/>
      <c r="BF204" s="5"/>
    </row>
    <row r="205" spans="1:58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3"/>
      <c r="BE205" s="4"/>
      <c r="BF205" s="5"/>
    </row>
    <row r="206" spans="1:58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3"/>
      <c r="BE206" s="4"/>
      <c r="BF206" s="5"/>
    </row>
    <row r="207" spans="1:58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3"/>
      <c r="BE207" s="4"/>
      <c r="BF207" s="5"/>
    </row>
    <row r="208" spans="1:58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3"/>
      <c r="BE208" s="4"/>
      <c r="BF208" s="5"/>
    </row>
    <row r="209" spans="1:58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3"/>
      <c r="BE209" s="4"/>
      <c r="BF209" s="5"/>
    </row>
    <row r="210" spans="1:58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3"/>
      <c r="BE210" s="4"/>
      <c r="BF210" s="5"/>
    </row>
    <row r="211" spans="1:58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3"/>
      <c r="BE211" s="4"/>
      <c r="BF211" s="5"/>
    </row>
    <row r="212" spans="1:58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3"/>
      <c r="BE212" s="4"/>
      <c r="BF212" s="5"/>
    </row>
    <row r="213" spans="1:58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3"/>
      <c r="BE213" s="4"/>
      <c r="BF213" s="5"/>
    </row>
    <row r="214" spans="1:58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3"/>
      <c r="BE214" s="4"/>
      <c r="BF214" s="5"/>
    </row>
    <row r="215" spans="1:58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3"/>
      <c r="BE215" s="4"/>
      <c r="BF215" s="5"/>
    </row>
    <row r="216" spans="1:58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3"/>
      <c r="BE216" s="4"/>
      <c r="BF216" s="5"/>
    </row>
    <row r="217" spans="1:58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3"/>
      <c r="BE217" s="4"/>
      <c r="BF217" s="5"/>
    </row>
    <row r="218" spans="1:58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3"/>
      <c r="BE218" s="4"/>
      <c r="BF218" s="5"/>
    </row>
    <row r="219" spans="1:58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3"/>
      <c r="BE219" s="4"/>
      <c r="BF219" s="5"/>
    </row>
    <row r="220" spans="1:58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3"/>
      <c r="BE220" s="4"/>
      <c r="BF220" s="5"/>
    </row>
    <row r="221" spans="1:58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3"/>
      <c r="BE221" s="4"/>
      <c r="BF221" s="5"/>
    </row>
    <row r="222" spans="1:58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3"/>
      <c r="BE222" s="4"/>
      <c r="BF222" s="5"/>
    </row>
    <row r="223" spans="1:58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3"/>
      <c r="BE223" s="4"/>
      <c r="BF223" s="5"/>
    </row>
    <row r="224" spans="1:58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3"/>
      <c r="BE224" s="4"/>
      <c r="BF224" s="5"/>
    </row>
    <row r="225" spans="1:58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3"/>
      <c r="BE225" s="4"/>
      <c r="BF225" s="5"/>
    </row>
    <row r="226" spans="1:58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3"/>
      <c r="BE226" s="4"/>
      <c r="BF226" s="5"/>
    </row>
    <row r="227" spans="1:58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3"/>
      <c r="BE227" s="4"/>
      <c r="BF227" s="5"/>
    </row>
    <row r="228" spans="1:58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3"/>
      <c r="BE228" s="4"/>
      <c r="BF228" s="5"/>
    </row>
    <row r="229" spans="1:58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3"/>
      <c r="BE229" s="4"/>
      <c r="BF229" s="5"/>
    </row>
    <row r="230" spans="1:58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3"/>
      <c r="BE230" s="4"/>
      <c r="BF230" s="5"/>
    </row>
    <row r="231" spans="1:58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3"/>
      <c r="BE231" s="4"/>
      <c r="BF231" s="5"/>
    </row>
    <row r="232" spans="1:58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3"/>
      <c r="BE232" s="4"/>
      <c r="BF232" s="5"/>
    </row>
    <row r="233" spans="1:58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3"/>
      <c r="BE233" s="4"/>
      <c r="BF233" s="5"/>
    </row>
    <row r="234" spans="1:58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"/>
      <c r="BE234" s="4"/>
      <c r="BF234" s="5"/>
    </row>
    <row r="235" spans="1:58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3"/>
      <c r="BE235" s="4"/>
      <c r="BF235" s="5"/>
    </row>
    <row r="236" spans="1:58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3"/>
      <c r="BE236" s="4"/>
      <c r="BF236" s="5"/>
    </row>
    <row r="237" spans="1:58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3"/>
      <c r="BE237" s="4"/>
      <c r="BF237" s="5"/>
    </row>
    <row r="238" spans="1:58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3"/>
      <c r="BE238" s="4"/>
      <c r="BF238" s="5"/>
    </row>
    <row r="239" spans="1:58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3"/>
      <c r="BE239" s="4"/>
      <c r="BF239" s="5"/>
    </row>
    <row r="240" spans="1:58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3"/>
      <c r="BE240" s="4"/>
      <c r="BF240" s="5"/>
    </row>
    <row r="241" spans="1:58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3"/>
      <c r="BE241" s="4"/>
      <c r="BF241" s="5"/>
    </row>
    <row r="242" spans="1:58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3"/>
      <c r="BE242" s="4"/>
      <c r="BF242" s="5"/>
    </row>
    <row r="243" spans="1:58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3"/>
      <c r="BE243" s="4"/>
      <c r="BF243" s="5"/>
    </row>
    <row r="244" spans="1:58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3"/>
      <c r="BE244" s="4"/>
      <c r="BF244" s="5"/>
    </row>
    <row r="245" spans="1:58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3"/>
      <c r="BE245" s="4"/>
      <c r="BF245" s="5"/>
    </row>
    <row r="246" spans="1:58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3"/>
      <c r="BE246" s="4"/>
      <c r="BF246" s="5"/>
    </row>
    <row r="247" spans="1:58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3"/>
      <c r="BE247" s="4"/>
      <c r="BF247" s="5"/>
    </row>
    <row r="248" spans="1:58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3"/>
      <c r="BE248" s="4"/>
      <c r="BF248" s="5"/>
    </row>
    <row r="249" spans="1:58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3"/>
      <c r="BE249" s="4"/>
      <c r="BF249" s="5"/>
    </row>
    <row r="250" spans="1:58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3"/>
      <c r="BE250" s="4"/>
      <c r="BF250" s="5"/>
    </row>
    <row r="251" spans="1:58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3"/>
      <c r="BE251" s="4"/>
      <c r="BF251" s="5"/>
    </row>
    <row r="252" spans="1:58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3"/>
      <c r="BE252" s="4"/>
      <c r="BF252" s="5"/>
    </row>
    <row r="253" spans="1:58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3"/>
      <c r="BE253" s="4"/>
      <c r="BF253" s="5"/>
    </row>
    <row r="254" spans="1:58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3"/>
      <c r="BE254" s="4"/>
      <c r="BF254" s="5"/>
    </row>
    <row r="255" spans="1:58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3"/>
      <c r="BE255" s="4"/>
      <c r="BF255" s="5"/>
    </row>
    <row r="256" spans="1:58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3"/>
      <c r="BE256" s="4"/>
      <c r="BF256" s="5"/>
    </row>
    <row r="257" spans="1:58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3"/>
      <c r="BE257" s="4"/>
      <c r="BF257" s="5"/>
    </row>
    <row r="258" spans="1:58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3"/>
      <c r="BE258" s="4"/>
      <c r="BF258" s="5"/>
    </row>
    <row r="259" spans="1:58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3"/>
      <c r="BE259" s="4"/>
      <c r="BF259" s="5"/>
    </row>
    <row r="260" spans="1:58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3"/>
      <c r="BE260" s="4"/>
      <c r="BF260" s="5"/>
    </row>
    <row r="261" spans="1:58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3"/>
      <c r="BE261" s="4"/>
      <c r="BF261" s="5"/>
    </row>
    <row r="262" spans="1:58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3"/>
      <c r="BE262" s="4"/>
      <c r="BF262" s="5"/>
    </row>
    <row r="263" spans="1:58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3"/>
      <c r="BE263" s="4"/>
      <c r="BF263" s="5"/>
    </row>
    <row r="264" spans="1:58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3"/>
      <c r="BE264" s="4"/>
      <c r="BF264" s="5"/>
    </row>
    <row r="265" spans="1:58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3"/>
      <c r="BE265" s="4"/>
      <c r="BF265" s="5"/>
    </row>
    <row r="266" spans="1:58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3"/>
      <c r="BE266" s="4"/>
      <c r="BF266" s="5"/>
    </row>
    <row r="267" spans="1:58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3"/>
      <c r="BE267" s="4"/>
      <c r="BF267" s="5"/>
    </row>
    <row r="268" spans="1:58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3"/>
      <c r="BE268" s="4"/>
      <c r="BF268" s="5"/>
    </row>
    <row r="269" spans="1:58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3"/>
      <c r="BE269" s="4"/>
      <c r="BF269" s="5"/>
    </row>
    <row r="270" spans="1:58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3"/>
      <c r="BE270" s="4"/>
      <c r="BF270" s="5"/>
    </row>
    <row r="271" spans="1:58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3"/>
      <c r="BE271" s="4"/>
      <c r="BF271" s="5"/>
    </row>
    <row r="272" spans="1:58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3"/>
      <c r="BE272" s="4"/>
      <c r="BF272" s="5"/>
    </row>
    <row r="273" spans="1:58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3"/>
      <c r="BE273" s="4"/>
      <c r="BF273" s="5"/>
    </row>
    <row r="274" spans="1:58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3"/>
      <c r="BE274" s="4"/>
      <c r="BF274" s="5"/>
    </row>
    <row r="275" spans="1:58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3"/>
      <c r="BE275" s="4"/>
      <c r="BF275" s="5"/>
    </row>
    <row r="276" spans="1:58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3"/>
      <c r="BE276" s="4"/>
      <c r="BF276" s="5"/>
    </row>
    <row r="277" spans="1:58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3"/>
      <c r="BE277" s="4"/>
      <c r="BF277" s="5"/>
    </row>
    <row r="278" spans="1:58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3"/>
      <c r="BE278" s="4"/>
      <c r="BF278" s="5"/>
    </row>
    <row r="279" spans="1:58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3"/>
      <c r="BE279" s="4"/>
      <c r="BF279" s="5"/>
    </row>
    <row r="280" spans="1:58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3"/>
      <c r="BE280" s="4"/>
      <c r="BF280" s="5"/>
    </row>
    <row r="281" spans="1:58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3"/>
      <c r="BE281" s="4"/>
      <c r="BF281" s="5"/>
    </row>
    <row r="282" spans="1:58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3"/>
      <c r="BE282" s="4"/>
      <c r="BF282" s="5"/>
    </row>
    <row r="283" spans="1:58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3"/>
      <c r="BE283" s="4"/>
      <c r="BF283" s="5"/>
    </row>
    <row r="284" spans="1:58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3"/>
      <c r="BE284" s="4"/>
      <c r="BF284" s="5"/>
    </row>
    <row r="285" spans="1:58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3"/>
      <c r="BE285" s="4"/>
      <c r="BF285" s="5"/>
    </row>
    <row r="286" spans="1:58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3"/>
      <c r="BE286" s="4"/>
      <c r="BF286" s="5"/>
    </row>
    <row r="287" spans="1:58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3"/>
      <c r="BE287" s="4"/>
      <c r="BF287" s="5"/>
    </row>
    <row r="288" spans="1:58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3"/>
      <c r="BE288" s="4"/>
      <c r="BF288" s="5"/>
    </row>
    <row r="289" spans="1:58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3"/>
      <c r="BE289" s="4"/>
      <c r="BF289" s="5"/>
    </row>
    <row r="290" spans="1:58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3"/>
      <c r="BE290" s="4"/>
      <c r="BF290" s="5"/>
    </row>
    <row r="291" spans="1:58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3"/>
      <c r="BE291" s="4"/>
      <c r="BF291" s="5"/>
    </row>
    <row r="292" spans="1:58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3"/>
      <c r="BE292" s="4"/>
      <c r="BF292" s="5"/>
    </row>
    <row r="293" spans="1:58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3"/>
      <c r="BE293" s="4"/>
      <c r="BF293" s="5"/>
    </row>
    <row r="294" spans="1:58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3"/>
      <c r="BE294" s="4"/>
      <c r="BF294" s="5"/>
    </row>
    <row r="295" spans="1:58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3"/>
      <c r="BE295" s="4"/>
      <c r="BF295" s="5"/>
    </row>
    <row r="296" spans="1:58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3"/>
      <c r="BE296" s="4"/>
      <c r="BF296" s="5"/>
    </row>
    <row r="297" spans="1:58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3"/>
      <c r="BE297" s="4"/>
      <c r="BF297" s="5"/>
    </row>
    <row r="298" spans="1:58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3"/>
      <c r="BE298" s="4"/>
      <c r="BF298" s="5"/>
    </row>
    <row r="299" spans="1:58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3"/>
      <c r="BE299" s="4"/>
      <c r="BF299" s="5"/>
    </row>
    <row r="300" spans="1:58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3"/>
      <c r="BE300" s="4"/>
      <c r="BF300" s="5"/>
    </row>
    <row r="301" spans="1:58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3"/>
      <c r="BE301" s="4"/>
      <c r="BF301" s="5"/>
    </row>
    <row r="302" spans="1:58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3"/>
      <c r="BE302" s="4"/>
      <c r="BF302" s="5"/>
    </row>
    <row r="303" spans="1:58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3"/>
      <c r="BE303" s="4"/>
      <c r="BF303" s="5"/>
    </row>
    <row r="304" spans="1:58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"/>
      <c r="BE304" s="4"/>
      <c r="BF304" s="5"/>
    </row>
    <row r="305" spans="1:58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3"/>
      <c r="BE305" s="4"/>
      <c r="BF305" s="5"/>
    </row>
    <row r="306" spans="1:58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3"/>
      <c r="BE306" s="4"/>
      <c r="BF306" s="5"/>
    </row>
    <row r="307" spans="1:58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3"/>
      <c r="BE307" s="4"/>
      <c r="BF307" s="5"/>
    </row>
    <row r="308" spans="1:58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3"/>
      <c r="BE308" s="4"/>
      <c r="BF308" s="5"/>
    </row>
    <row r="309" spans="1:58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3"/>
      <c r="BE309" s="4"/>
      <c r="BF309" s="5"/>
    </row>
    <row r="310" spans="1:58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3"/>
      <c r="BE310" s="4"/>
      <c r="BF310" s="5"/>
    </row>
    <row r="311" spans="1:58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3"/>
      <c r="BE311" s="4"/>
      <c r="BF311" s="5"/>
    </row>
    <row r="312" spans="1:58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3"/>
      <c r="BE312" s="4"/>
      <c r="BF312" s="5"/>
    </row>
    <row r="313" spans="1:58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3"/>
      <c r="BE313" s="4"/>
      <c r="BF313" s="5"/>
    </row>
    <row r="314" spans="1:58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3"/>
      <c r="BE314" s="4"/>
      <c r="BF314" s="5"/>
    </row>
    <row r="315" spans="1:58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3"/>
      <c r="BE315" s="4"/>
      <c r="BF315" s="5"/>
    </row>
    <row r="316" spans="1:58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3"/>
      <c r="BE316" s="4"/>
      <c r="BF316" s="5"/>
    </row>
    <row r="317" spans="1:58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3"/>
      <c r="BE317" s="4"/>
      <c r="BF317" s="5"/>
    </row>
    <row r="318" spans="1:58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3"/>
      <c r="BE318" s="4"/>
      <c r="BF318" s="5"/>
    </row>
    <row r="319" spans="1:58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3"/>
      <c r="BE319" s="4"/>
      <c r="BF319" s="5"/>
    </row>
    <row r="320" spans="1:58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3"/>
      <c r="BE320" s="4"/>
      <c r="BF320" s="5"/>
    </row>
    <row r="321" spans="1:58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3"/>
      <c r="BE321" s="4"/>
      <c r="BF321" s="5"/>
    </row>
    <row r="322" spans="1:58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3"/>
      <c r="BE322" s="4"/>
      <c r="BF322" s="5"/>
    </row>
    <row r="323" spans="1:58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3"/>
      <c r="BE323" s="4"/>
      <c r="BF323" s="5"/>
    </row>
    <row r="324" spans="1:58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3"/>
      <c r="BE324" s="4"/>
      <c r="BF324" s="5"/>
    </row>
    <row r="325" spans="1:58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3"/>
      <c r="BE325" s="4"/>
      <c r="BF325" s="5"/>
    </row>
    <row r="326" spans="1:58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3"/>
      <c r="BE326" s="4"/>
      <c r="BF326" s="5"/>
    </row>
    <row r="327" spans="1:58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3"/>
      <c r="BE327" s="4"/>
      <c r="BF327" s="5"/>
    </row>
    <row r="328" spans="1:58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3"/>
      <c r="BE328" s="4"/>
      <c r="BF328" s="5"/>
    </row>
    <row r="329" spans="1:58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3"/>
      <c r="BE329" s="4"/>
      <c r="BF329" s="5"/>
    </row>
    <row r="330" spans="1:58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3"/>
      <c r="BE330" s="4"/>
      <c r="BF330" s="5"/>
    </row>
    <row r="331" spans="1:58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3"/>
      <c r="BE331" s="4"/>
      <c r="BF331" s="5"/>
    </row>
    <row r="332" spans="1:58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3"/>
      <c r="BE332" s="4"/>
      <c r="BF332" s="5"/>
    </row>
    <row r="333" spans="1:58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3"/>
      <c r="BE333" s="4"/>
      <c r="BF333" s="5"/>
    </row>
    <row r="334" spans="1:58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3"/>
      <c r="BE334" s="4"/>
      <c r="BF334" s="5"/>
    </row>
    <row r="335" spans="1:58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3"/>
      <c r="BE335" s="4"/>
      <c r="BF335" s="5"/>
    </row>
    <row r="336" spans="1:58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3"/>
      <c r="BE336" s="4"/>
      <c r="BF336" s="5"/>
    </row>
    <row r="337" spans="1:58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3"/>
      <c r="BE337" s="4"/>
      <c r="BF337" s="5"/>
    </row>
    <row r="338" spans="1:58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3"/>
      <c r="BE338" s="4"/>
      <c r="BF338" s="5"/>
    </row>
    <row r="339" spans="1:58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3"/>
      <c r="BE339" s="4"/>
      <c r="BF339" s="5"/>
    </row>
    <row r="340" spans="1:58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3"/>
      <c r="BE340" s="4"/>
      <c r="BF340" s="5"/>
    </row>
    <row r="341" spans="1:58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3"/>
      <c r="BE341" s="4"/>
      <c r="BF341" s="5"/>
    </row>
    <row r="342" spans="1:58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3"/>
      <c r="BE342" s="4"/>
      <c r="BF342" s="5"/>
    </row>
    <row r="343" spans="1:58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3"/>
      <c r="BE343" s="4"/>
      <c r="BF343" s="5"/>
    </row>
    <row r="344" spans="1:58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3"/>
      <c r="BE344" s="4"/>
      <c r="BF344" s="5"/>
    </row>
    <row r="345" spans="1:58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3"/>
      <c r="BE345" s="4"/>
      <c r="BF345" s="5"/>
    </row>
    <row r="346" spans="1:58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3"/>
      <c r="BE346" s="4"/>
      <c r="BF346" s="5"/>
    </row>
    <row r="347" spans="1:58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3"/>
      <c r="BE347" s="4"/>
      <c r="BF347" s="5"/>
    </row>
    <row r="348" spans="1:58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3"/>
      <c r="BE348" s="4"/>
      <c r="BF348" s="5"/>
    </row>
    <row r="349" spans="1:58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3"/>
      <c r="BE349" s="4"/>
      <c r="BF349" s="5"/>
    </row>
    <row r="350" spans="1:58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3"/>
      <c r="BE350" s="4"/>
      <c r="BF350" s="5"/>
    </row>
    <row r="351" spans="1:58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3"/>
      <c r="BE351" s="4"/>
      <c r="BF351" s="5"/>
    </row>
    <row r="352" spans="1:58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3"/>
      <c r="BE352" s="4"/>
      <c r="BF352" s="5"/>
    </row>
    <row r="353" spans="1:58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3"/>
      <c r="BE353" s="4"/>
      <c r="BF353" s="5"/>
    </row>
    <row r="354" spans="1:58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3"/>
      <c r="BE354" s="4"/>
      <c r="BF354" s="5"/>
    </row>
    <row r="355" spans="1:58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3"/>
      <c r="BE355" s="4"/>
      <c r="BF355" s="5"/>
    </row>
    <row r="356" spans="1:58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3"/>
      <c r="BE356" s="4"/>
      <c r="BF356" s="5"/>
    </row>
    <row r="357" spans="1:58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3"/>
      <c r="BE357" s="4"/>
      <c r="BF357" s="5"/>
    </row>
    <row r="358" spans="1:58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3"/>
      <c r="BE358" s="4"/>
      <c r="BF358" s="5"/>
    </row>
    <row r="359" spans="1:58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3"/>
      <c r="BE359" s="4"/>
      <c r="BF359" s="5"/>
    </row>
    <row r="360" spans="1:58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3"/>
      <c r="BE360" s="4"/>
      <c r="BF360" s="5"/>
    </row>
    <row r="361" spans="1:58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3"/>
      <c r="BE361" s="4"/>
      <c r="BF361" s="5"/>
    </row>
    <row r="362" spans="1:58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3"/>
      <c r="BE362" s="4"/>
      <c r="BF362" s="5"/>
    </row>
    <row r="363" spans="1:58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3"/>
      <c r="BE363" s="4"/>
      <c r="BF363" s="5"/>
    </row>
    <row r="364" spans="1:58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3"/>
      <c r="BE364" s="4"/>
      <c r="BF364" s="5"/>
    </row>
    <row r="365" spans="1:58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3"/>
      <c r="BE365" s="4"/>
      <c r="BF365" s="5"/>
    </row>
    <row r="366" spans="1:58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3"/>
      <c r="BE366" s="4"/>
      <c r="BF366" s="5"/>
    </row>
    <row r="367" spans="1:58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3"/>
      <c r="BE367" s="4"/>
      <c r="BF367" s="5"/>
    </row>
    <row r="368" spans="1:58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3"/>
      <c r="BE368" s="4"/>
      <c r="BF368" s="5"/>
    </row>
    <row r="369" spans="1:58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3"/>
      <c r="BE369" s="4"/>
      <c r="BF369" s="5"/>
    </row>
    <row r="370" spans="1:58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3"/>
      <c r="BE370" s="4"/>
      <c r="BF370" s="5"/>
    </row>
    <row r="371" spans="1:58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3"/>
      <c r="BE371" s="4"/>
      <c r="BF371" s="5"/>
    </row>
    <row r="372" spans="1:58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3"/>
      <c r="BE372" s="4"/>
      <c r="BF372" s="5"/>
    </row>
    <row r="373" spans="1:58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3"/>
      <c r="BE373" s="4"/>
      <c r="BF373" s="5"/>
    </row>
    <row r="374" spans="1:58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3"/>
      <c r="BE374" s="4"/>
      <c r="BF374" s="5"/>
    </row>
    <row r="375" spans="1:58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3"/>
      <c r="BE375" s="4"/>
      <c r="BF375" s="5"/>
    </row>
    <row r="376" spans="1:58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3"/>
      <c r="BE376" s="4"/>
      <c r="BF376" s="5"/>
    </row>
    <row r="377" spans="1:58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3"/>
      <c r="BE377" s="4"/>
      <c r="BF377" s="5"/>
    </row>
    <row r="378" spans="1:58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3"/>
      <c r="BE378" s="4"/>
      <c r="BF378" s="5"/>
    </row>
    <row r="379" spans="1:58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3"/>
      <c r="BE379" s="4"/>
      <c r="BF379" s="5"/>
    </row>
    <row r="380" spans="1:58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3"/>
      <c r="BE380" s="4"/>
      <c r="BF380" s="5"/>
    </row>
    <row r="381" spans="1:58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3"/>
      <c r="BE381" s="4"/>
      <c r="BF381" s="5"/>
    </row>
    <row r="382" spans="1:58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3"/>
      <c r="BE382" s="4"/>
      <c r="BF382" s="5"/>
    </row>
    <row r="383" spans="1:58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3"/>
      <c r="BE383" s="4"/>
      <c r="BF383" s="5"/>
    </row>
    <row r="384" spans="1:58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3"/>
      <c r="BE384" s="4"/>
      <c r="BF384" s="5"/>
    </row>
    <row r="385" spans="1:58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3"/>
      <c r="BE385" s="4"/>
      <c r="BF385" s="5"/>
    </row>
    <row r="386" spans="1:58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3"/>
      <c r="BE386" s="4"/>
      <c r="BF386" s="5"/>
    </row>
    <row r="387" spans="1:58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3"/>
      <c r="BE387" s="4"/>
      <c r="BF387" s="5"/>
    </row>
    <row r="388" spans="1:58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3"/>
      <c r="BE388" s="4"/>
      <c r="BF388" s="5"/>
    </row>
    <row r="389" spans="1:58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3"/>
      <c r="BE389" s="4"/>
      <c r="BF389" s="5"/>
    </row>
    <row r="390" spans="1:58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3"/>
      <c r="BE390" s="4"/>
      <c r="BF390" s="5"/>
    </row>
    <row r="391" spans="1:58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3"/>
      <c r="BE391" s="4"/>
      <c r="BF391" s="5"/>
    </row>
    <row r="392" spans="1:58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3"/>
      <c r="BE392" s="4"/>
      <c r="BF392" s="5"/>
    </row>
    <row r="393" spans="1:58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3"/>
      <c r="BE393" s="4"/>
      <c r="BF393" s="5"/>
    </row>
    <row r="394" spans="1:58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3"/>
      <c r="BE394" s="4"/>
      <c r="BF394" s="5"/>
    </row>
    <row r="395" spans="1:58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3"/>
      <c r="BE395" s="4"/>
      <c r="BF395" s="5"/>
    </row>
    <row r="396" spans="1:58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3"/>
      <c r="BE396" s="4"/>
      <c r="BF396" s="5"/>
    </row>
    <row r="397" spans="1:58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3"/>
      <c r="BE397" s="4"/>
      <c r="BF397" s="5"/>
    </row>
    <row r="398" spans="1:58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3"/>
      <c r="BE398" s="4"/>
      <c r="BF398" s="5"/>
    </row>
    <row r="399" spans="1:58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3"/>
      <c r="BE399" s="4"/>
      <c r="BF399" s="5"/>
    </row>
    <row r="400" spans="1:58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3"/>
      <c r="BE400" s="4"/>
      <c r="BF400" s="5"/>
    </row>
    <row r="401" spans="1:58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3"/>
      <c r="BE401" s="4"/>
      <c r="BF401" s="5"/>
    </row>
    <row r="402" spans="1:58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3"/>
      <c r="BE402" s="4"/>
      <c r="BF402" s="5"/>
    </row>
    <row r="403" spans="1:58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3"/>
      <c r="BE403" s="4"/>
      <c r="BF403" s="5"/>
    </row>
    <row r="404" spans="1:58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3"/>
      <c r="BE404" s="4"/>
      <c r="BF404" s="5"/>
    </row>
    <row r="405" spans="1:58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3"/>
      <c r="BE405" s="4"/>
      <c r="BF405" s="5"/>
    </row>
    <row r="406" spans="1:58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3"/>
      <c r="BE406" s="4"/>
      <c r="BF406" s="5"/>
    </row>
    <row r="407" spans="1:58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3"/>
      <c r="BE407" s="4"/>
      <c r="BF407" s="5"/>
    </row>
    <row r="408" spans="1:58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3"/>
      <c r="BE408" s="4"/>
      <c r="BF408" s="5"/>
    </row>
    <row r="409" spans="1:58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3"/>
      <c r="BE409" s="4"/>
      <c r="BF409" s="5"/>
    </row>
    <row r="410" spans="1:58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3"/>
      <c r="BE410" s="4"/>
      <c r="BF410" s="5"/>
    </row>
    <row r="411" spans="1:58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3"/>
      <c r="BE411" s="4"/>
      <c r="BF411" s="5"/>
    </row>
    <row r="412" spans="1:58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3"/>
      <c r="BE412" s="4"/>
      <c r="BF412" s="5"/>
    </row>
    <row r="413" spans="1:58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3"/>
      <c r="BE413" s="4"/>
      <c r="BF413" s="5"/>
    </row>
    <row r="414" spans="1:58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3"/>
      <c r="BE414" s="4"/>
      <c r="BF414" s="5"/>
    </row>
    <row r="415" spans="1:58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3"/>
      <c r="BE415" s="4"/>
      <c r="BF415" s="5"/>
    </row>
    <row r="416" spans="1:58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3"/>
      <c r="BE416" s="4"/>
      <c r="BF416" s="5"/>
    </row>
    <row r="417" spans="1:58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3"/>
      <c r="BE417" s="4"/>
      <c r="BF417" s="5"/>
    </row>
    <row r="418" spans="1:58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3"/>
      <c r="BE418" s="4"/>
      <c r="BF418" s="5"/>
    </row>
    <row r="419" spans="1:58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3"/>
      <c r="BE419" s="4"/>
      <c r="BF419" s="5"/>
    </row>
    <row r="420" spans="1:58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3"/>
      <c r="BE420" s="4"/>
      <c r="BF420" s="5"/>
    </row>
    <row r="421" spans="1:58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3"/>
      <c r="BE421" s="4"/>
      <c r="BF421" s="5"/>
    </row>
    <row r="422" spans="1:58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3"/>
      <c r="BE422" s="4"/>
      <c r="BF422" s="5"/>
    </row>
    <row r="423" spans="1:58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3"/>
      <c r="BE423" s="4"/>
      <c r="BF423" s="5"/>
    </row>
    <row r="424" spans="1:58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3"/>
      <c r="BE424" s="4"/>
      <c r="BF424" s="5"/>
    </row>
    <row r="425" spans="1:58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3"/>
      <c r="BE425" s="4"/>
      <c r="BF425" s="5"/>
    </row>
    <row r="426" spans="1:58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3"/>
      <c r="BE426" s="4"/>
      <c r="BF426" s="5"/>
    </row>
    <row r="427" spans="1:58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3"/>
      <c r="BE427" s="4"/>
      <c r="BF427" s="5"/>
    </row>
    <row r="428" spans="1:58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3"/>
      <c r="BE428" s="4"/>
      <c r="BF428" s="5"/>
    </row>
    <row r="429" spans="1:58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3"/>
      <c r="BE429" s="4"/>
      <c r="BF429" s="5"/>
    </row>
    <row r="430" spans="1:58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3"/>
      <c r="BE430" s="4"/>
      <c r="BF430" s="5"/>
    </row>
    <row r="431" spans="1:58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3"/>
      <c r="BE431" s="4"/>
      <c r="BF431" s="5"/>
    </row>
    <row r="432" spans="1:58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3"/>
      <c r="BE432" s="4"/>
      <c r="BF432" s="5"/>
    </row>
    <row r="433" spans="1:58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3"/>
      <c r="BE433" s="4"/>
      <c r="BF433" s="5"/>
    </row>
    <row r="434" spans="1:58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3"/>
      <c r="BE434" s="4"/>
      <c r="BF434" s="5"/>
    </row>
    <row r="435" spans="1:58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3"/>
      <c r="BE435" s="4"/>
      <c r="BF435" s="5"/>
    </row>
    <row r="436" spans="1:58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3"/>
      <c r="BE436" s="4"/>
      <c r="BF436" s="5"/>
    </row>
    <row r="437" spans="1:58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3"/>
      <c r="BE437" s="4"/>
      <c r="BF437" s="5"/>
    </row>
    <row r="438" spans="1:58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3"/>
      <c r="BE438" s="4"/>
      <c r="BF438" s="5"/>
    </row>
    <row r="439" spans="1:58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3"/>
      <c r="BE439" s="4"/>
      <c r="BF439" s="5"/>
    </row>
    <row r="440" spans="1:58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3"/>
      <c r="BE440" s="4"/>
      <c r="BF440" s="5"/>
    </row>
    <row r="441" spans="1:58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3"/>
      <c r="BE441" s="4"/>
      <c r="BF441" s="5"/>
    </row>
    <row r="442" spans="1:58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3"/>
      <c r="BE442" s="4"/>
      <c r="BF442" s="5"/>
    </row>
    <row r="443" spans="1:58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3"/>
      <c r="BE443" s="4"/>
      <c r="BF443" s="5"/>
    </row>
    <row r="444" spans="1:58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3"/>
      <c r="BE444" s="4"/>
      <c r="BF444" s="5"/>
    </row>
    <row r="445" spans="1:58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3"/>
      <c r="BE445" s="4"/>
      <c r="BF445" s="5"/>
    </row>
    <row r="446" spans="1:58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3"/>
      <c r="BE446" s="4"/>
      <c r="BF446" s="5"/>
    </row>
    <row r="447" spans="1:58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3"/>
      <c r="BE447" s="4"/>
      <c r="BF447" s="5"/>
    </row>
    <row r="448" spans="1:58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3"/>
      <c r="BE448" s="4"/>
      <c r="BF448" s="5"/>
    </row>
    <row r="449" spans="1:58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3"/>
      <c r="BE449" s="4"/>
      <c r="BF449" s="5"/>
    </row>
    <row r="450" spans="1:58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3"/>
      <c r="BE450" s="4"/>
      <c r="BF450" s="5"/>
    </row>
    <row r="451" spans="1:58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3"/>
      <c r="BE451" s="4"/>
      <c r="BF451" s="5"/>
    </row>
    <row r="452" spans="1:58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3"/>
      <c r="BE452" s="4"/>
      <c r="BF452" s="5"/>
    </row>
    <row r="453" spans="1:58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3"/>
      <c r="BE453" s="4"/>
      <c r="BF453" s="5"/>
    </row>
    <row r="454" spans="1:58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3"/>
      <c r="BE454" s="4"/>
      <c r="BF454" s="5"/>
    </row>
    <row r="455" spans="1:58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3"/>
      <c r="BE455" s="4"/>
      <c r="BF455" s="5"/>
    </row>
    <row r="456" spans="1:58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3"/>
      <c r="BE456" s="4"/>
      <c r="BF456" s="5"/>
    </row>
    <row r="457" spans="1:58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3"/>
      <c r="BE457" s="4"/>
      <c r="BF457" s="5"/>
    </row>
    <row r="458" spans="1:58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3"/>
      <c r="BE458" s="4"/>
      <c r="BF458" s="5"/>
    </row>
    <row r="459" spans="1:58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3"/>
      <c r="BE459" s="4"/>
      <c r="BF459" s="5"/>
    </row>
    <row r="460" spans="1:58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3"/>
      <c r="BE460" s="4"/>
      <c r="BF460" s="5"/>
    </row>
    <row r="461" spans="1:58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3"/>
      <c r="BE461" s="4"/>
      <c r="BF461" s="5"/>
    </row>
    <row r="462" spans="1:58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3"/>
      <c r="BE462" s="4"/>
      <c r="BF462" s="5"/>
    </row>
    <row r="463" spans="1:58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3"/>
      <c r="BE463" s="4"/>
      <c r="BF463" s="5"/>
    </row>
    <row r="464" spans="1:58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3"/>
      <c r="BE464" s="4"/>
      <c r="BF464" s="5"/>
    </row>
    <row r="465" spans="1:58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3"/>
      <c r="BE465" s="4"/>
      <c r="BF465" s="5"/>
    </row>
    <row r="466" spans="1:58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3"/>
      <c r="BE466" s="4"/>
      <c r="BF466" s="5"/>
    </row>
    <row r="467" spans="1:58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3"/>
      <c r="BE467" s="4"/>
      <c r="BF467" s="5"/>
    </row>
    <row r="468" spans="1:58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3"/>
      <c r="BE468" s="4"/>
      <c r="BF468" s="5"/>
    </row>
    <row r="469" spans="1:58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3"/>
      <c r="BE469" s="4"/>
      <c r="BF469" s="5"/>
    </row>
    <row r="470" spans="1:58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3"/>
      <c r="BE470" s="4"/>
      <c r="BF470" s="5"/>
    </row>
    <row r="471" spans="1:58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3"/>
      <c r="BE471" s="4"/>
      <c r="BF471" s="5"/>
    </row>
    <row r="472" spans="1:58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3"/>
      <c r="BE472" s="4"/>
      <c r="BF472" s="5"/>
    </row>
    <row r="473" spans="1:58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3"/>
      <c r="BE473" s="4"/>
      <c r="BF473" s="5"/>
    </row>
    <row r="474" spans="1:58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3"/>
      <c r="BE474" s="4"/>
      <c r="BF474" s="5"/>
    </row>
    <row r="475" spans="1:58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3"/>
      <c r="BE475" s="4"/>
      <c r="BF475" s="5"/>
    </row>
    <row r="476" spans="1:58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3"/>
      <c r="BE476" s="4"/>
      <c r="BF476" s="5"/>
    </row>
    <row r="477" spans="1:58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3"/>
      <c r="BE477" s="4"/>
      <c r="BF477" s="5"/>
    </row>
    <row r="478" spans="1:58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3"/>
      <c r="BE478" s="4"/>
      <c r="BF478" s="5"/>
    </row>
    <row r="479" spans="1:58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3"/>
      <c r="BE479" s="4"/>
      <c r="BF479" s="5"/>
    </row>
    <row r="480" spans="1:58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3"/>
      <c r="BE480" s="4"/>
      <c r="BF480" s="5"/>
    </row>
    <row r="481" spans="1:58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3"/>
      <c r="BE481" s="4"/>
      <c r="BF481" s="5"/>
    </row>
    <row r="482" spans="1:58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3"/>
      <c r="BE482" s="4"/>
      <c r="BF482" s="5"/>
    </row>
    <row r="483" spans="1:58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3"/>
      <c r="BE483" s="4"/>
      <c r="BF483" s="5"/>
    </row>
    <row r="484" spans="1:58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3"/>
      <c r="BE484" s="4"/>
      <c r="BF484" s="5"/>
    </row>
    <row r="485" spans="1:58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3"/>
      <c r="BE485" s="4"/>
      <c r="BF485" s="5"/>
    </row>
    <row r="486" spans="1:58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3"/>
      <c r="BE486" s="4"/>
      <c r="BF486" s="5"/>
    </row>
    <row r="487" spans="1:58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3"/>
      <c r="BE487" s="4"/>
      <c r="BF487" s="5"/>
    </row>
    <row r="488" spans="1:58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3"/>
      <c r="BE488" s="4"/>
      <c r="BF488" s="5"/>
    </row>
    <row r="489" spans="1:58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3"/>
      <c r="BE489" s="4"/>
      <c r="BF489" s="5"/>
    </row>
    <row r="490" spans="1:58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3"/>
      <c r="BE490" s="4"/>
      <c r="BF490" s="5"/>
    </row>
    <row r="491" spans="1:58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3"/>
      <c r="BE491" s="4"/>
      <c r="BF491" s="5"/>
    </row>
    <row r="492" spans="1:58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3"/>
      <c r="BE492" s="4"/>
      <c r="BF492" s="5"/>
    </row>
    <row r="493" spans="1:58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3"/>
      <c r="BE493" s="4"/>
      <c r="BF493" s="5"/>
    </row>
    <row r="494" spans="1:58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3"/>
      <c r="BE494" s="4"/>
      <c r="BF494" s="5"/>
    </row>
    <row r="495" spans="1:58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3"/>
      <c r="BE495" s="4"/>
      <c r="BF495" s="5"/>
    </row>
    <row r="496" spans="1:58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3"/>
      <c r="BE496" s="4"/>
      <c r="BF496" s="5"/>
    </row>
    <row r="497" spans="1:58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3"/>
      <c r="BE497" s="4"/>
      <c r="BF497" s="5"/>
    </row>
    <row r="498" spans="1:58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3"/>
      <c r="BE498" s="4"/>
      <c r="BF498" s="5"/>
    </row>
    <row r="499" spans="1:58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3"/>
      <c r="BE499" s="4"/>
      <c r="BF499" s="5"/>
    </row>
    <row r="500" spans="1:58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3"/>
      <c r="BE500" s="4"/>
      <c r="BF500" s="5"/>
    </row>
    <row r="501" spans="1:58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3"/>
      <c r="BE501" s="4"/>
      <c r="BF501" s="5"/>
    </row>
    <row r="502" spans="1:58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3"/>
      <c r="BE502" s="4"/>
      <c r="BF502" s="5"/>
    </row>
    <row r="503" spans="1:58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3"/>
      <c r="BE503" s="4"/>
      <c r="BF503" s="5"/>
    </row>
    <row r="504" spans="1:58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3"/>
      <c r="BE504" s="4"/>
      <c r="BF504" s="5"/>
    </row>
    <row r="505" spans="1:58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3"/>
      <c r="BE505" s="4"/>
      <c r="BF505" s="5"/>
    </row>
    <row r="506" spans="1:58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3"/>
      <c r="BE506" s="4"/>
      <c r="BF506" s="5"/>
    </row>
    <row r="507" spans="1:58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3"/>
      <c r="BE507" s="4"/>
      <c r="BF507" s="5"/>
    </row>
    <row r="508" spans="1:58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3"/>
      <c r="BE508" s="4"/>
      <c r="BF508" s="5"/>
    </row>
    <row r="509" spans="1:58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3"/>
      <c r="BE509" s="4"/>
      <c r="BF509" s="5"/>
    </row>
    <row r="510" spans="1:58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3"/>
      <c r="BE510" s="4"/>
      <c r="BF510" s="5"/>
    </row>
    <row r="511" spans="1:58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3"/>
      <c r="BE511" s="4"/>
      <c r="BF511" s="5"/>
    </row>
    <row r="512" spans="1:58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3"/>
      <c r="BE512" s="4"/>
      <c r="BF512" s="5"/>
    </row>
    <row r="513" spans="1:58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3"/>
      <c r="BE513" s="4"/>
      <c r="BF513" s="5"/>
    </row>
    <row r="514" spans="1:58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3"/>
      <c r="BE514" s="4"/>
      <c r="BF514" s="5"/>
    </row>
    <row r="515" spans="1:58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3"/>
      <c r="BE515" s="4"/>
      <c r="BF515" s="5"/>
    </row>
    <row r="516" spans="1:58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3"/>
      <c r="BE516" s="4"/>
      <c r="BF516" s="5"/>
    </row>
    <row r="517" spans="1:58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3"/>
      <c r="BE517" s="4"/>
      <c r="BF517" s="5"/>
    </row>
    <row r="518" spans="1:58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3"/>
      <c r="BE518" s="4"/>
      <c r="BF518" s="5"/>
    </row>
    <row r="519" spans="1:58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3"/>
      <c r="BE519" s="4"/>
      <c r="BF519" s="5"/>
    </row>
    <row r="520" spans="1:58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3"/>
      <c r="BE520" s="4"/>
      <c r="BF520" s="5"/>
    </row>
    <row r="521" spans="1:58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3"/>
      <c r="BE521" s="4"/>
      <c r="BF521" s="5"/>
    </row>
    <row r="522" spans="1:58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3"/>
      <c r="BE522" s="4"/>
      <c r="BF522" s="5"/>
    </row>
    <row r="523" spans="1:58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3"/>
      <c r="BE523" s="4"/>
      <c r="BF523" s="5"/>
    </row>
    <row r="524" spans="1:58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3"/>
      <c r="BE524" s="4"/>
      <c r="BF524" s="5"/>
    </row>
    <row r="525" spans="1:58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3"/>
      <c r="BE525" s="4"/>
      <c r="BF525" s="5"/>
    </row>
    <row r="526" spans="1:58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3"/>
      <c r="BE526" s="4"/>
      <c r="BF526" s="5"/>
    </row>
    <row r="527" spans="1:58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3"/>
      <c r="BE527" s="4"/>
      <c r="BF527" s="5"/>
    </row>
    <row r="528" spans="1:58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3"/>
      <c r="BE528" s="4"/>
      <c r="BF528" s="5"/>
    </row>
    <row r="529" spans="1:58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3"/>
      <c r="BE529" s="4"/>
      <c r="BF529" s="5"/>
    </row>
    <row r="530" spans="1:58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3"/>
      <c r="BE530" s="4"/>
      <c r="BF530" s="5"/>
    </row>
    <row r="531" spans="1:58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3"/>
      <c r="BE531" s="4"/>
      <c r="BF531" s="5"/>
    </row>
    <row r="532" spans="1:58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3"/>
      <c r="BE532" s="4"/>
      <c r="BF532" s="5"/>
    </row>
    <row r="533" spans="1:58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3"/>
      <c r="BE533" s="4"/>
      <c r="BF533" s="5"/>
    </row>
    <row r="534" spans="1:58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3"/>
      <c r="BE534" s="4"/>
      <c r="BF534" s="5"/>
    </row>
    <row r="535" spans="1:58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3"/>
      <c r="BE535" s="4"/>
      <c r="BF535" s="5"/>
    </row>
    <row r="536" spans="1:58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3"/>
      <c r="BE536" s="4"/>
      <c r="BF536" s="5"/>
    </row>
    <row r="537" spans="1:58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3"/>
      <c r="BE537" s="4"/>
      <c r="BF537" s="5"/>
    </row>
    <row r="538" spans="1:58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3"/>
      <c r="BE538" s="4"/>
      <c r="BF538" s="5"/>
    </row>
    <row r="539" spans="1:58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3"/>
      <c r="BE539" s="4"/>
      <c r="BF539" s="5"/>
    </row>
    <row r="540" spans="1:58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3"/>
      <c r="BE540" s="4"/>
      <c r="BF540" s="5"/>
    </row>
    <row r="541" spans="1:58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3"/>
      <c r="BE541" s="4"/>
      <c r="BF541" s="5"/>
    </row>
    <row r="542" spans="1:58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3"/>
      <c r="BE542" s="4"/>
      <c r="BF542" s="5"/>
    </row>
    <row r="543" spans="1:58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3"/>
      <c r="BE543" s="4"/>
      <c r="BF543" s="5"/>
    </row>
    <row r="544" spans="1:58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3"/>
      <c r="BE544" s="4"/>
      <c r="BF544" s="5"/>
    </row>
    <row r="545" spans="1:58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3"/>
      <c r="BE545" s="4"/>
      <c r="BF545" s="5"/>
    </row>
    <row r="546" spans="1:58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3"/>
      <c r="BE546" s="4"/>
      <c r="BF546" s="5"/>
    </row>
    <row r="547" spans="1:58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3"/>
      <c r="BE547" s="4"/>
      <c r="BF547" s="5"/>
    </row>
    <row r="548" spans="1:58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3"/>
      <c r="BE548" s="4"/>
      <c r="BF548" s="5"/>
    </row>
    <row r="549" spans="1:58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3"/>
      <c r="BE549" s="4"/>
      <c r="BF549" s="5"/>
    </row>
    <row r="550" spans="1:58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3"/>
      <c r="BE550" s="4"/>
      <c r="BF550" s="5"/>
    </row>
    <row r="551" spans="1:58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3"/>
      <c r="BE551" s="4"/>
      <c r="BF551" s="5"/>
    </row>
    <row r="552" spans="1:58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3"/>
      <c r="BE552" s="4"/>
      <c r="BF552" s="5"/>
    </row>
    <row r="553" spans="1:58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3"/>
      <c r="BE553" s="4"/>
      <c r="BF553" s="5"/>
    </row>
    <row r="554" spans="1:58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3"/>
      <c r="BE554" s="4"/>
      <c r="BF554" s="5"/>
    </row>
    <row r="555" spans="1:58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3"/>
      <c r="BE555" s="4"/>
      <c r="BF555" s="5"/>
    </row>
    <row r="556" spans="1:58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3"/>
      <c r="BE556" s="4"/>
      <c r="BF556" s="5"/>
    </row>
    <row r="557" spans="1:58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3"/>
      <c r="BE557" s="4"/>
      <c r="BF557" s="5"/>
    </row>
    <row r="558" spans="1:58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3"/>
      <c r="BE558" s="4"/>
      <c r="BF558" s="5"/>
    </row>
    <row r="559" spans="1:58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3"/>
      <c r="BE559" s="4"/>
      <c r="BF559" s="5"/>
    </row>
    <row r="560" spans="1:58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3"/>
      <c r="BE560" s="4"/>
      <c r="BF560" s="5"/>
    </row>
    <row r="561" spans="1:58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3"/>
      <c r="BE561" s="4"/>
      <c r="BF561" s="5"/>
    </row>
    <row r="562" spans="1:58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3"/>
      <c r="BE562" s="4"/>
      <c r="BF562" s="5"/>
    </row>
    <row r="563" spans="1:58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3"/>
      <c r="BE563" s="4"/>
      <c r="BF563" s="5"/>
    </row>
    <row r="564" spans="1:58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3"/>
      <c r="BE564" s="4"/>
      <c r="BF564" s="5"/>
    </row>
    <row r="565" spans="1:58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3"/>
      <c r="BE565" s="4"/>
      <c r="BF565" s="5"/>
    </row>
    <row r="566" spans="1:58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3"/>
      <c r="BE566" s="4"/>
      <c r="BF566" s="5"/>
    </row>
    <row r="567" spans="1:58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3"/>
      <c r="BE567" s="4"/>
      <c r="BF567" s="5"/>
    </row>
    <row r="568" spans="1:58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3"/>
      <c r="BE568" s="4"/>
      <c r="BF568" s="5"/>
    </row>
    <row r="569" spans="1:58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3"/>
      <c r="BE569" s="4"/>
      <c r="BF569" s="5"/>
    </row>
    <row r="570" spans="1:58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3"/>
      <c r="BE570" s="4"/>
      <c r="BF570" s="5"/>
    </row>
    <row r="571" spans="1:58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3"/>
      <c r="BE571" s="4"/>
      <c r="BF571" s="5"/>
    </row>
    <row r="572" spans="1:58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3"/>
      <c r="BE572" s="4"/>
      <c r="BF572" s="5"/>
    </row>
    <row r="573" spans="1:58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3"/>
      <c r="BE573" s="4"/>
      <c r="BF573" s="5"/>
    </row>
    <row r="574" spans="1:58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3"/>
      <c r="BE574" s="4"/>
      <c r="BF574" s="5"/>
    </row>
    <row r="575" spans="1:58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3"/>
      <c r="BE575" s="4"/>
      <c r="BF575" s="5"/>
    </row>
    <row r="576" spans="1:58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3"/>
      <c r="BE576" s="4"/>
      <c r="BF576" s="5"/>
    </row>
    <row r="577" spans="1:58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3"/>
      <c r="BE577" s="4"/>
      <c r="BF577" s="5"/>
    </row>
    <row r="578" spans="1:58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3"/>
      <c r="BE578" s="4"/>
      <c r="BF578" s="5"/>
    </row>
    <row r="579" spans="1:58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3"/>
      <c r="BE579" s="4"/>
      <c r="BF579" s="5"/>
    </row>
    <row r="580" spans="1:58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3"/>
      <c r="BE580" s="4"/>
      <c r="BF580" s="5"/>
    </row>
    <row r="581" spans="1:58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3"/>
      <c r="BE581" s="4"/>
      <c r="BF581" s="5"/>
    </row>
    <row r="582" spans="1:58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3"/>
      <c r="BE582" s="4"/>
      <c r="BF582" s="5"/>
    </row>
    <row r="583" spans="1:58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3"/>
      <c r="BE583" s="4"/>
      <c r="BF583" s="5"/>
    </row>
    <row r="584" spans="1:58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3"/>
      <c r="BE584" s="4"/>
      <c r="BF584" s="5"/>
    </row>
    <row r="585" spans="1:58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3"/>
      <c r="BE585" s="4"/>
      <c r="BF585" s="5"/>
    </row>
    <row r="586" spans="1:58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3"/>
      <c r="BE586" s="4"/>
      <c r="BF586" s="5"/>
    </row>
    <row r="587" spans="1:58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3"/>
      <c r="BE587" s="4"/>
      <c r="BF587" s="5"/>
    </row>
    <row r="588" spans="1:58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3"/>
      <c r="BE588" s="4"/>
      <c r="BF588" s="5"/>
    </row>
    <row r="589" spans="1:58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3"/>
      <c r="BE589" s="4"/>
      <c r="BF589" s="5"/>
    </row>
    <row r="590" spans="1:58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3"/>
      <c r="BE590" s="4"/>
      <c r="BF590" s="5"/>
    </row>
    <row r="591" spans="1:58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3"/>
      <c r="BE591" s="4"/>
      <c r="BF591" s="5"/>
    </row>
    <row r="592" spans="1:58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3"/>
      <c r="BE592" s="4"/>
      <c r="BF592" s="5"/>
    </row>
    <row r="593" spans="1:58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3"/>
      <c r="BE593" s="4"/>
      <c r="BF593" s="5"/>
    </row>
    <row r="594" spans="1:58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3"/>
      <c r="BE594" s="4"/>
      <c r="BF594" s="5"/>
    </row>
    <row r="595" spans="1:58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3"/>
      <c r="BE595" s="4"/>
      <c r="BF595" s="5"/>
    </row>
    <row r="596" spans="1:58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3"/>
      <c r="BE596" s="4"/>
      <c r="BF596" s="5"/>
    </row>
    <row r="597" spans="1:58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3"/>
      <c r="BE597" s="4"/>
      <c r="BF597" s="5"/>
    </row>
    <row r="598" spans="1:58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3"/>
      <c r="BE598" s="4"/>
      <c r="BF598" s="5"/>
    </row>
    <row r="599" spans="1:58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3"/>
      <c r="BE599" s="4"/>
      <c r="BF599" s="5"/>
    </row>
    <row r="600" spans="1:58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3"/>
      <c r="BE600" s="4"/>
      <c r="BF600" s="5"/>
    </row>
    <row r="601" spans="1:58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3"/>
      <c r="BE601" s="4"/>
      <c r="BF601" s="5"/>
    </row>
    <row r="602" spans="1:58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3"/>
      <c r="BE602" s="4"/>
      <c r="BF602" s="5"/>
    </row>
    <row r="603" spans="1:58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3"/>
      <c r="BE603" s="4"/>
      <c r="BF603" s="5"/>
    </row>
    <row r="604" spans="1:58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3"/>
      <c r="BE604" s="4"/>
      <c r="BF604" s="5"/>
    </row>
    <row r="605" spans="1:58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3"/>
      <c r="BE605" s="4"/>
      <c r="BF605" s="5"/>
    </row>
    <row r="606" spans="1:58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3"/>
      <c r="BE606" s="4"/>
      <c r="BF606" s="5"/>
    </row>
    <row r="607" spans="1:58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3"/>
      <c r="BE607" s="4"/>
      <c r="BF607" s="5"/>
    </row>
    <row r="608" spans="1:58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3"/>
      <c r="BE608" s="4"/>
      <c r="BF608" s="5"/>
    </row>
    <row r="609" spans="1:58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3"/>
      <c r="BE609" s="4"/>
      <c r="BF609" s="5"/>
    </row>
    <row r="610" spans="1:58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3"/>
      <c r="BE610" s="4"/>
      <c r="BF610" s="5"/>
    </row>
    <row r="611" spans="1:58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3"/>
      <c r="BE611" s="4"/>
      <c r="BF611" s="5"/>
    </row>
    <row r="612" spans="1:58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3"/>
      <c r="BE612" s="4"/>
      <c r="BF612" s="5"/>
    </row>
    <row r="613" spans="1:58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3"/>
      <c r="BE613" s="4"/>
      <c r="BF613" s="5"/>
    </row>
    <row r="614" spans="1:58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3"/>
      <c r="BE614" s="4"/>
      <c r="BF614" s="5"/>
    </row>
    <row r="615" spans="1:58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3"/>
      <c r="BE615" s="4"/>
      <c r="BF615" s="5"/>
    </row>
    <row r="616" spans="1:58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3"/>
      <c r="BE616" s="4"/>
      <c r="BF616" s="5"/>
    </row>
    <row r="617" spans="1:58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3"/>
      <c r="BE617" s="4"/>
      <c r="BF617" s="5"/>
    </row>
    <row r="618" spans="1:58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3"/>
      <c r="BE618" s="4"/>
      <c r="BF618" s="5"/>
    </row>
    <row r="619" spans="1:58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3"/>
      <c r="BE619" s="4"/>
      <c r="BF619" s="5"/>
    </row>
    <row r="620" spans="1:58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3"/>
      <c r="BE620" s="4"/>
      <c r="BF620" s="5"/>
    </row>
    <row r="621" spans="1:58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3"/>
      <c r="BE621" s="4"/>
      <c r="BF621" s="5"/>
    </row>
    <row r="622" spans="1:58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3"/>
      <c r="BE622" s="4"/>
      <c r="BF622" s="5"/>
    </row>
    <row r="623" spans="1:58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3"/>
      <c r="BE623" s="4"/>
      <c r="BF623" s="5"/>
    </row>
    <row r="624" spans="1:58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3"/>
      <c r="BE624" s="4"/>
      <c r="BF624" s="5"/>
    </row>
    <row r="625" spans="1:58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3"/>
      <c r="BE625" s="4"/>
      <c r="BF625" s="5"/>
    </row>
    <row r="626" spans="1:58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3"/>
      <c r="BE626" s="4"/>
      <c r="BF626" s="5"/>
    </row>
    <row r="627" spans="1:58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3"/>
      <c r="BE627" s="4"/>
      <c r="BF627" s="5"/>
    </row>
    <row r="628" spans="1:58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3"/>
      <c r="BE628" s="4"/>
      <c r="BF628" s="5"/>
    </row>
    <row r="629" spans="1:58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3"/>
      <c r="BE629" s="4"/>
      <c r="BF629" s="5"/>
    </row>
    <row r="630" spans="1:58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3"/>
      <c r="BE630" s="4"/>
      <c r="BF630" s="5"/>
    </row>
    <row r="631" spans="1:58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3"/>
      <c r="BE631" s="4"/>
      <c r="BF631" s="5"/>
    </row>
    <row r="632" spans="1:58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3"/>
      <c r="BE632" s="4"/>
      <c r="BF632" s="5"/>
    </row>
    <row r="633" spans="1:58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3"/>
      <c r="BE633" s="4"/>
      <c r="BF633" s="5"/>
    </row>
    <row r="634" spans="1:58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3"/>
      <c r="BE634" s="4"/>
      <c r="BF634" s="5"/>
    </row>
    <row r="635" spans="1:58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3"/>
      <c r="BE635" s="4"/>
      <c r="BF635" s="5"/>
    </row>
    <row r="636" spans="1:58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3"/>
      <c r="BE636" s="4"/>
      <c r="BF636" s="5"/>
    </row>
    <row r="637" spans="1:58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3"/>
      <c r="BE637" s="4"/>
      <c r="BF637" s="5"/>
    </row>
    <row r="638" spans="1:58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3"/>
      <c r="BE638" s="4"/>
      <c r="BF638" s="5"/>
    </row>
    <row r="639" spans="1:58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3"/>
      <c r="BE639" s="4"/>
      <c r="BF639" s="5"/>
    </row>
    <row r="640" spans="1:58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3"/>
      <c r="BE640" s="4"/>
      <c r="BF640" s="5"/>
    </row>
    <row r="641" spans="1:58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3"/>
      <c r="BE641" s="4"/>
      <c r="BF641" s="5"/>
    </row>
    <row r="642" spans="1:58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3"/>
      <c r="BE642" s="4"/>
      <c r="BF642" s="5"/>
    </row>
    <row r="643" spans="1:58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3"/>
      <c r="BE643" s="4"/>
      <c r="BF643" s="5"/>
    </row>
    <row r="644" spans="1:58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3"/>
      <c r="BE644" s="4"/>
      <c r="BF644" s="5"/>
    </row>
    <row r="645" spans="1:58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3"/>
      <c r="BE645" s="4"/>
      <c r="BF645" s="5"/>
    </row>
    <row r="646" spans="1:58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3"/>
      <c r="BE646" s="4"/>
      <c r="BF646" s="5"/>
    </row>
    <row r="647" spans="1:58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3"/>
      <c r="BE647" s="4"/>
      <c r="BF647" s="5"/>
    </row>
    <row r="648" spans="1:58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3"/>
      <c r="BE648" s="4"/>
      <c r="BF648" s="5"/>
    </row>
    <row r="649" spans="1:58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3"/>
      <c r="BE649" s="4"/>
      <c r="BF649" s="5"/>
    </row>
    <row r="650" spans="1:58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3"/>
      <c r="BE650" s="4"/>
      <c r="BF650" s="5"/>
    </row>
    <row r="651" spans="1:58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3"/>
      <c r="BE651" s="4"/>
      <c r="BF651" s="5"/>
    </row>
    <row r="652" spans="1:58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3"/>
      <c r="BE652" s="4"/>
      <c r="BF652" s="5"/>
    </row>
    <row r="653" spans="1:58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3"/>
      <c r="BE653" s="4"/>
      <c r="BF653" s="5"/>
    </row>
    <row r="654" spans="1:58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3"/>
      <c r="BE654" s="4"/>
      <c r="BF654" s="5"/>
    </row>
    <row r="655" spans="1:58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3"/>
      <c r="BE655" s="4"/>
      <c r="BF655" s="5"/>
    </row>
    <row r="656" spans="1:58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3"/>
      <c r="BE656" s="4"/>
      <c r="BF656" s="5"/>
    </row>
    <row r="657" spans="1:58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3"/>
      <c r="BE657" s="4"/>
      <c r="BF657" s="5"/>
    </row>
    <row r="658" spans="1:58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3"/>
      <c r="BE658" s="4"/>
      <c r="BF658" s="5"/>
    </row>
    <row r="659" spans="1:58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3"/>
      <c r="BE659" s="4"/>
      <c r="BF659" s="5"/>
    </row>
    <row r="660" spans="1:58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3"/>
      <c r="BE660" s="4"/>
      <c r="BF660" s="5"/>
    </row>
    <row r="661" spans="1:58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3"/>
      <c r="BE661" s="4"/>
      <c r="BF661" s="5"/>
    </row>
    <row r="662" spans="1:58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3"/>
      <c r="BE662" s="4"/>
      <c r="BF662" s="5"/>
    </row>
    <row r="663" spans="1:58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3"/>
      <c r="BE663" s="4"/>
      <c r="BF663" s="5"/>
    </row>
    <row r="664" spans="1:58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3"/>
      <c r="BE664" s="4"/>
      <c r="BF664" s="5"/>
    </row>
    <row r="665" spans="1:58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3"/>
      <c r="BE665" s="4"/>
      <c r="BF665" s="5"/>
    </row>
    <row r="666" spans="1:58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3"/>
      <c r="BE666" s="4"/>
      <c r="BF666" s="5"/>
    </row>
    <row r="667" spans="1:58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3"/>
      <c r="BE667" s="4"/>
      <c r="BF667" s="5"/>
    </row>
    <row r="668" spans="1:58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3"/>
      <c r="BE668" s="4"/>
      <c r="BF668" s="5"/>
    </row>
    <row r="669" spans="1:58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3"/>
      <c r="BE669" s="4"/>
      <c r="BF669" s="5"/>
    </row>
    <row r="670" spans="1:58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3"/>
      <c r="BE670" s="4"/>
      <c r="BF670" s="5"/>
    </row>
    <row r="671" spans="1:58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3"/>
      <c r="BE671" s="4"/>
      <c r="BF671" s="5"/>
    </row>
    <row r="672" spans="1:58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3"/>
      <c r="BE672" s="4"/>
      <c r="BF672" s="5"/>
    </row>
    <row r="673" spans="1:58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3"/>
      <c r="BE673" s="4"/>
      <c r="BF673" s="5"/>
    </row>
    <row r="674" spans="1:58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3"/>
      <c r="BE674" s="4"/>
      <c r="BF674" s="5"/>
    </row>
    <row r="675" spans="1:58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3"/>
      <c r="BE675" s="4"/>
      <c r="BF675" s="5"/>
    </row>
    <row r="676" spans="1:58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3"/>
      <c r="BE676" s="4"/>
      <c r="BF676" s="5"/>
    </row>
    <row r="677" spans="1:58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3"/>
      <c r="BE677" s="4"/>
      <c r="BF677" s="5"/>
    </row>
    <row r="678" spans="1:58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3"/>
      <c r="BE678" s="4"/>
      <c r="BF678" s="5"/>
    </row>
    <row r="679" spans="1:58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3"/>
      <c r="BE679" s="4"/>
      <c r="BF679" s="5"/>
    </row>
    <row r="680" spans="1:58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3"/>
      <c r="BE680" s="4"/>
      <c r="BF680" s="5"/>
    </row>
    <row r="681" spans="1:58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3"/>
      <c r="BE681" s="4"/>
      <c r="BF681" s="5"/>
    </row>
    <row r="682" spans="1:58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3"/>
      <c r="BE682" s="4"/>
      <c r="BF682" s="5"/>
    </row>
    <row r="683" spans="1:58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3"/>
      <c r="BE683" s="4"/>
      <c r="BF683" s="5"/>
    </row>
    <row r="684" spans="1:58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3"/>
      <c r="BE684" s="4"/>
      <c r="BF684" s="5"/>
    </row>
    <row r="685" spans="1:58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3"/>
      <c r="BE685" s="4"/>
      <c r="BF685" s="5"/>
    </row>
    <row r="686" spans="1:58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3"/>
      <c r="BE686" s="4"/>
      <c r="BF686" s="5"/>
    </row>
    <row r="687" spans="1:58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3"/>
      <c r="BE687" s="4"/>
      <c r="BF687" s="5"/>
    </row>
    <row r="688" spans="1:58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3"/>
      <c r="BE688" s="4"/>
      <c r="BF688" s="5"/>
    </row>
    <row r="689" spans="1:58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3"/>
      <c r="BE689" s="4"/>
      <c r="BF689" s="5"/>
    </row>
    <row r="690" spans="1:58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3"/>
      <c r="BE690" s="4"/>
      <c r="BF690" s="5"/>
    </row>
    <row r="691" spans="1:58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3"/>
      <c r="BE691" s="4"/>
      <c r="BF691" s="5"/>
    </row>
    <row r="692" spans="1:58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3"/>
      <c r="BE692" s="4"/>
      <c r="BF692" s="5"/>
    </row>
    <row r="693" spans="1:58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3"/>
      <c r="BE693" s="4"/>
      <c r="BF693" s="5"/>
    </row>
    <row r="694" spans="1:58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3"/>
      <c r="BE694" s="4"/>
      <c r="BF694" s="5"/>
    </row>
    <row r="695" spans="1:58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3"/>
      <c r="BE695" s="4"/>
      <c r="BF695" s="5"/>
    </row>
    <row r="696" spans="1:58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3"/>
      <c r="BE696" s="4"/>
      <c r="BF696" s="5"/>
    </row>
    <row r="697" spans="1:58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3"/>
      <c r="BE697" s="4"/>
      <c r="BF697" s="5"/>
    </row>
    <row r="698" spans="1:58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3"/>
      <c r="BE698" s="4"/>
      <c r="BF698" s="5"/>
    </row>
    <row r="699" spans="1:58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3"/>
      <c r="BE699" s="4"/>
      <c r="BF699" s="5"/>
    </row>
    <row r="700" spans="1:58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3"/>
      <c r="BE700" s="4"/>
      <c r="BF700" s="5"/>
    </row>
    <row r="701" spans="1:58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3"/>
      <c r="BE701" s="4"/>
      <c r="BF701" s="5"/>
    </row>
    <row r="702" spans="1:58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3"/>
      <c r="BE702" s="4"/>
      <c r="BF702" s="5"/>
    </row>
    <row r="703" spans="1:58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3"/>
      <c r="BE703" s="4"/>
      <c r="BF703" s="5"/>
    </row>
    <row r="704" spans="1:58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3"/>
      <c r="BE704" s="4"/>
      <c r="BF704" s="5"/>
    </row>
    <row r="705" spans="1:58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3"/>
      <c r="BE705" s="4"/>
      <c r="BF705" s="5"/>
    </row>
    <row r="706" spans="1:58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3"/>
      <c r="BE706" s="4"/>
      <c r="BF706" s="5"/>
    </row>
    <row r="707" spans="1:58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3"/>
      <c r="BE707" s="4"/>
      <c r="BF707" s="5"/>
    </row>
    <row r="708" spans="1:58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3"/>
      <c r="BE708" s="4"/>
      <c r="BF708" s="5"/>
    </row>
    <row r="709" spans="1:58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3"/>
      <c r="BE709" s="4"/>
      <c r="BF709" s="5"/>
    </row>
    <row r="710" spans="1:58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3"/>
      <c r="BE710" s="4"/>
      <c r="BF710" s="5"/>
    </row>
    <row r="711" spans="1:58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3"/>
      <c r="BE711" s="4"/>
      <c r="BF711" s="5"/>
    </row>
    <row r="712" spans="1:58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3"/>
      <c r="BE712" s="4"/>
      <c r="BF712" s="5"/>
    </row>
    <row r="713" spans="1:58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3"/>
      <c r="BE713" s="4"/>
      <c r="BF713" s="5"/>
    </row>
    <row r="714" spans="1:58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3"/>
      <c r="BE714" s="4"/>
      <c r="BF714" s="5"/>
    </row>
    <row r="715" spans="1:58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3"/>
      <c r="BE715" s="4"/>
      <c r="BF715" s="5"/>
    </row>
    <row r="716" spans="1:58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3"/>
      <c r="BE716" s="4"/>
      <c r="BF716" s="5"/>
    </row>
    <row r="717" spans="1:58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3"/>
      <c r="BE717" s="4"/>
      <c r="BF717" s="5"/>
    </row>
    <row r="718" spans="1:58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3"/>
      <c r="BE718" s="4"/>
      <c r="BF718" s="5"/>
    </row>
    <row r="719" spans="1:58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3"/>
      <c r="BE719" s="4"/>
      <c r="BF719" s="5"/>
    </row>
    <row r="720" spans="1:58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3"/>
      <c r="BE720" s="4"/>
      <c r="BF720" s="5"/>
    </row>
    <row r="721" spans="1:58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3"/>
      <c r="BE721" s="4"/>
      <c r="BF721" s="5"/>
    </row>
    <row r="722" spans="1:58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3"/>
      <c r="BE722" s="4"/>
      <c r="BF722" s="5"/>
    </row>
    <row r="723" spans="1:58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3"/>
      <c r="BE723" s="4"/>
      <c r="BF723" s="5"/>
    </row>
    <row r="724" spans="1:58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3"/>
      <c r="BE724" s="4"/>
      <c r="BF724" s="5"/>
    </row>
    <row r="725" spans="1:58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3"/>
      <c r="BE725" s="4"/>
      <c r="BF725" s="5"/>
    </row>
    <row r="726" spans="1:58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3"/>
      <c r="BE726" s="4"/>
      <c r="BF726" s="5"/>
    </row>
    <row r="727" spans="1:58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3"/>
      <c r="BE727" s="4"/>
      <c r="BF727" s="5"/>
    </row>
    <row r="728" spans="1:58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3"/>
      <c r="BE728" s="4"/>
      <c r="BF728" s="5"/>
    </row>
    <row r="729" spans="1:58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3"/>
      <c r="BE729" s="4"/>
      <c r="BF729" s="5"/>
    </row>
    <row r="730" spans="1:58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3"/>
      <c r="BE730" s="4"/>
      <c r="BF730" s="5"/>
    </row>
    <row r="731" spans="1:58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3"/>
      <c r="BE731" s="4"/>
      <c r="BF731" s="5"/>
    </row>
    <row r="732" spans="1:58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3"/>
      <c r="BE732" s="4"/>
      <c r="BF732" s="5"/>
    </row>
    <row r="733" spans="1:58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3"/>
      <c r="BE733" s="4"/>
      <c r="BF733" s="5"/>
    </row>
    <row r="734" spans="1:58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3"/>
      <c r="BE734" s="4"/>
      <c r="BF734" s="5"/>
    </row>
    <row r="735" spans="1:58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3"/>
      <c r="BE735" s="4"/>
      <c r="BF735" s="5"/>
    </row>
    <row r="736" spans="1:58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3"/>
      <c r="BE736" s="4"/>
      <c r="BF736" s="5"/>
    </row>
    <row r="737" spans="1:58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3"/>
      <c r="BE737" s="4"/>
      <c r="BF737" s="5"/>
    </row>
    <row r="738" spans="1:58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3"/>
      <c r="BE738" s="4"/>
      <c r="BF738" s="5"/>
    </row>
    <row r="739" spans="1:58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3"/>
      <c r="BE739" s="4"/>
      <c r="BF739" s="5"/>
    </row>
    <row r="740" spans="1:58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3"/>
      <c r="BE740" s="4"/>
      <c r="BF740" s="5"/>
    </row>
    <row r="741" spans="1:58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3"/>
      <c r="BE741" s="4"/>
      <c r="BF741" s="5"/>
    </row>
    <row r="742" spans="1:58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3"/>
      <c r="BE742" s="4"/>
      <c r="BF742" s="5"/>
    </row>
    <row r="743" spans="1:58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3"/>
      <c r="BE743" s="4"/>
      <c r="BF743" s="5"/>
    </row>
    <row r="744" spans="1:58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3"/>
      <c r="BE744" s="4"/>
      <c r="BF744" s="5"/>
    </row>
    <row r="745" spans="1:58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3"/>
      <c r="BE745" s="4"/>
      <c r="BF745" s="5"/>
    </row>
    <row r="746" spans="1:58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3"/>
      <c r="BE746" s="4"/>
      <c r="BF746" s="5"/>
    </row>
    <row r="747" spans="1:58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3"/>
      <c r="BE747" s="4"/>
      <c r="BF747" s="5"/>
    </row>
    <row r="748" spans="1:58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3"/>
      <c r="BE748" s="4"/>
      <c r="BF748" s="5"/>
    </row>
    <row r="749" spans="1:58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3"/>
      <c r="BE749" s="4"/>
      <c r="BF749" s="5"/>
    </row>
    <row r="750" spans="1:58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3"/>
      <c r="BE750" s="4"/>
      <c r="BF750" s="5"/>
    </row>
    <row r="751" spans="1:58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3"/>
      <c r="BE751" s="4"/>
      <c r="BF751" s="5"/>
    </row>
    <row r="752" spans="1:58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3"/>
      <c r="BE752" s="4"/>
      <c r="BF752" s="5"/>
    </row>
    <row r="753" spans="1:58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3"/>
      <c r="BE753" s="4"/>
      <c r="BF753" s="5"/>
    </row>
    <row r="754" spans="1:58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3"/>
      <c r="BE754" s="4"/>
      <c r="BF754" s="5"/>
    </row>
    <row r="755" spans="1:58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3"/>
      <c r="BE755" s="4"/>
      <c r="BF755" s="5"/>
    </row>
    <row r="756" spans="1:58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3"/>
      <c r="BE756" s="4"/>
      <c r="BF756" s="5"/>
    </row>
    <row r="757" spans="1:58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3"/>
      <c r="BE757" s="4"/>
      <c r="BF757" s="5"/>
    </row>
    <row r="758" spans="1:58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3"/>
      <c r="BE758" s="4"/>
      <c r="BF758" s="5"/>
    </row>
    <row r="759" spans="1:58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3"/>
      <c r="BE759" s="4"/>
      <c r="BF759" s="5"/>
    </row>
    <row r="760" spans="1:58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3"/>
      <c r="BE760" s="4"/>
      <c r="BF760" s="5"/>
    </row>
    <row r="761" spans="1:58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3"/>
      <c r="BE761" s="4"/>
      <c r="BF761" s="5"/>
    </row>
    <row r="762" spans="1:58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3"/>
      <c r="BE762" s="4"/>
      <c r="BF762" s="5"/>
    </row>
    <row r="763" spans="1:58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3"/>
      <c r="BE763" s="4"/>
      <c r="BF763" s="5"/>
    </row>
    <row r="764" spans="1:58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3"/>
      <c r="BE764" s="4"/>
      <c r="BF764" s="5"/>
    </row>
    <row r="765" spans="1:58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3"/>
      <c r="BE765" s="4"/>
      <c r="BF765" s="5"/>
    </row>
    <row r="766" spans="1:58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3"/>
      <c r="BE766" s="4"/>
      <c r="BF766" s="5"/>
    </row>
    <row r="767" spans="1:58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3"/>
      <c r="BE767" s="4"/>
      <c r="BF767" s="5"/>
    </row>
    <row r="768" spans="1:58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3"/>
      <c r="BE768" s="4"/>
      <c r="BF768" s="5"/>
    </row>
    <row r="769" spans="1:58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3"/>
      <c r="BE769" s="4"/>
      <c r="BF769" s="5"/>
    </row>
    <row r="770" spans="1:58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3"/>
      <c r="BE770" s="4"/>
      <c r="BF770" s="5"/>
    </row>
    <row r="771" spans="1:58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3"/>
      <c r="BE771" s="4"/>
      <c r="BF771" s="5"/>
    </row>
    <row r="772" spans="1:58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3"/>
      <c r="BE772" s="4"/>
      <c r="BF772" s="5"/>
    </row>
    <row r="773" spans="1:58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3"/>
      <c r="BE773" s="4"/>
      <c r="BF773" s="5"/>
    </row>
    <row r="774" spans="1:58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3"/>
      <c r="BE774" s="4"/>
      <c r="BF774" s="5"/>
    </row>
    <row r="775" spans="1:58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3"/>
      <c r="BE775" s="4"/>
      <c r="BF775" s="5"/>
    </row>
    <row r="776" spans="1:58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3"/>
      <c r="BE776" s="4"/>
      <c r="BF776" s="5"/>
    </row>
    <row r="777" spans="1:58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3"/>
      <c r="BE777" s="4"/>
      <c r="BF777" s="5"/>
    </row>
    <row r="778" spans="1:58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3"/>
      <c r="BE778" s="4"/>
      <c r="BF778" s="5"/>
    </row>
    <row r="779" spans="1:58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3"/>
      <c r="BE779" s="4"/>
      <c r="BF779" s="5"/>
    </row>
    <row r="780" spans="1:58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3"/>
      <c r="BE780" s="4"/>
      <c r="BF780" s="5"/>
    </row>
    <row r="781" spans="1:58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3"/>
      <c r="BE781" s="4"/>
      <c r="BF781" s="5"/>
    </row>
    <row r="782" spans="1:58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3"/>
      <c r="BE782" s="4"/>
      <c r="BF782" s="5"/>
    </row>
    <row r="783" spans="1:58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3"/>
      <c r="BE783" s="4"/>
      <c r="BF783" s="5"/>
    </row>
    <row r="784" spans="1:58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3"/>
      <c r="BE784" s="4"/>
      <c r="BF784" s="5"/>
    </row>
    <row r="785" spans="1:58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3"/>
      <c r="BE785" s="4"/>
      <c r="BF785" s="5"/>
    </row>
    <row r="786" spans="1:58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3"/>
      <c r="BE786" s="4"/>
      <c r="BF786" s="5"/>
    </row>
    <row r="787" spans="1:58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3"/>
      <c r="BE787" s="4"/>
      <c r="BF787" s="5"/>
    </row>
    <row r="788" spans="1:58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3"/>
      <c r="BE788" s="4"/>
      <c r="BF788" s="5"/>
    </row>
    <row r="789" spans="1:58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3"/>
      <c r="BE789" s="4"/>
      <c r="BF789" s="5"/>
    </row>
    <row r="790" spans="1:58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3"/>
      <c r="BE790" s="4"/>
      <c r="BF790" s="5"/>
    </row>
    <row r="791" spans="1:58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3"/>
      <c r="BE791" s="4"/>
      <c r="BF791" s="5"/>
    </row>
    <row r="792" spans="1:58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3"/>
      <c r="BE792" s="4"/>
      <c r="BF792" s="5"/>
    </row>
    <row r="793" spans="1:58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3"/>
      <c r="BE793" s="4"/>
      <c r="BF793" s="5"/>
    </row>
    <row r="794" spans="1:58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3"/>
      <c r="BE794" s="4"/>
      <c r="BF794" s="5"/>
    </row>
    <row r="795" spans="1:58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3"/>
      <c r="BE795" s="4"/>
      <c r="BF795" s="5"/>
    </row>
    <row r="796" spans="1:58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3"/>
      <c r="BE796" s="4"/>
      <c r="BF796" s="5"/>
    </row>
    <row r="797" spans="1:58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3"/>
      <c r="BE797" s="4"/>
      <c r="BF797" s="5"/>
    </row>
    <row r="798" spans="1:58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3"/>
      <c r="BE798" s="4"/>
      <c r="BF798" s="5"/>
    </row>
    <row r="799" spans="1:58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3"/>
      <c r="BE799" s="4"/>
      <c r="BF799" s="5"/>
    </row>
    <row r="800" spans="1:58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3"/>
      <c r="BE800" s="4"/>
      <c r="BF800" s="5"/>
    </row>
    <row r="801" spans="1:58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3"/>
      <c r="BE801" s="4"/>
      <c r="BF801" s="5"/>
    </row>
    <row r="802" spans="1:58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3"/>
      <c r="BE802" s="4"/>
      <c r="BF802" s="5"/>
    </row>
    <row r="803" spans="1:58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3"/>
      <c r="BE803" s="4"/>
      <c r="BF803" s="5"/>
    </row>
    <row r="804" spans="1:58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3"/>
      <c r="BE804" s="4"/>
      <c r="BF804" s="5"/>
    </row>
    <row r="805" spans="1:58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3"/>
      <c r="BE805" s="4"/>
      <c r="BF805" s="5"/>
    </row>
    <row r="806" spans="1:58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3"/>
      <c r="BE806" s="4"/>
      <c r="BF806" s="5"/>
    </row>
    <row r="807" spans="1:58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3"/>
      <c r="BE807" s="4"/>
      <c r="BF807" s="5"/>
    </row>
    <row r="808" spans="1:58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3"/>
      <c r="BE808" s="4"/>
      <c r="BF808" s="5"/>
    </row>
    <row r="809" spans="1:58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3"/>
      <c r="BE809" s="4"/>
      <c r="BF809" s="5"/>
    </row>
    <row r="810" spans="1:58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3"/>
      <c r="BE810" s="4"/>
      <c r="BF810" s="5"/>
    </row>
    <row r="811" spans="1:58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3"/>
      <c r="BE811" s="4"/>
      <c r="BF811" s="5"/>
    </row>
    <row r="812" spans="1:58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3"/>
      <c r="BE812" s="4"/>
      <c r="BF812" s="5"/>
    </row>
    <row r="813" spans="1:58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3"/>
      <c r="BE813" s="4"/>
      <c r="BF813" s="5"/>
    </row>
    <row r="814" spans="1:58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3"/>
      <c r="BE814" s="4"/>
      <c r="BF814" s="5"/>
    </row>
    <row r="815" spans="1:58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3"/>
      <c r="BE815" s="4"/>
      <c r="BF815" s="5"/>
    </row>
    <row r="816" spans="1:58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3"/>
      <c r="BE816" s="4"/>
      <c r="BF816" s="5"/>
    </row>
    <row r="817" spans="1:58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3"/>
      <c r="BE817" s="4"/>
      <c r="BF817" s="5"/>
    </row>
    <row r="818" spans="1:58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3"/>
      <c r="BE818" s="4"/>
      <c r="BF818" s="5"/>
    </row>
    <row r="819" spans="1:58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3"/>
      <c r="BE819" s="4"/>
      <c r="BF819" s="5"/>
    </row>
    <row r="820" spans="1:58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3"/>
      <c r="BE820" s="4"/>
      <c r="BF820" s="5"/>
    </row>
    <row r="821" spans="1:58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3"/>
      <c r="BE821" s="4"/>
      <c r="BF821" s="5"/>
    </row>
    <row r="822" spans="1:58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3"/>
      <c r="BE822" s="4"/>
      <c r="BF822" s="5"/>
    </row>
    <row r="823" spans="1:58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3"/>
      <c r="BE823" s="4"/>
      <c r="BF823" s="5"/>
    </row>
    <row r="824" spans="1:58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3"/>
      <c r="BE824" s="4"/>
      <c r="BF824" s="5"/>
    </row>
    <row r="825" spans="1:58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3"/>
      <c r="BE825" s="4"/>
      <c r="BF825" s="5"/>
    </row>
    <row r="826" spans="1:58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3"/>
      <c r="BE826" s="4"/>
      <c r="BF826" s="5"/>
    </row>
    <row r="827" spans="1:58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3"/>
      <c r="BE827" s="4"/>
      <c r="BF827" s="5"/>
    </row>
    <row r="828" spans="1:58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3"/>
      <c r="BE828" s="4"/>
      <c r="BF828" s="5"/>
    </row>
    <row r="829" spans="1:58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3"/>
      <c r="BE829" s="4"/>
      <c r="BF829" s="5"/>
    </row>
    <row r="830" spans="1:58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3"/>
      <c r="BE830" s="4"/>
      <c r="BF830" s="5"/>
    </row>
    <row r="831" spans="1:58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3"/>
      <c r="BE831" s="4"/>
      <c r="BF831" s="5"/>
    </row>
    <row r="832" spans="1:58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3"/>
      <c r="BE832" s="4"/>
      <c r="BF832" s="5"/>
    </row>
    <row r="833" spans="1:58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3"/>
      <c r="BE833" s="4"/>
      <c r="BF833" s="5"/>
    </row>
    <row r="834" spans="1:58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3"/>
      <c r="BE834" s="4"/>
      <c r="BF834" s="5"/>
    </row>
    <row r="835" spans="1:58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3"/>
      <c r="BE835" s="4"/>
      <c r="BF835" s="5"/>
    </row>
    <row r="836" spans="1:58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3"/>
      <c r="BE836" s="4"/>
      <c r="BF836" s="5"/>
    </row>
    <row r="837" spans="1:58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3"/>
      <c r="BE837" s="4"/>
      <c r="BF837" s="5"/>
    </row>
    <row r="838" spans="1:58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3"/>
      <c r="BE838" s="4"/>
      <c r="BF838" s="5"/>
    </row>
    <row r="839" spans="1:58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3"/>
      <c r="BE839" s="4"/>
      <c r="BF839" s="5"/>
    </row>
    <row r="840" spans="1:58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3"/>
      <c r="BE840" s="4"/>
      <c r="BF840" s="5"/>
    </row>
    <row r="841" spans="1:58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3"/>
      <c r="BE841" s="4"/>
      <c r="BF841" s="5"/>
    </row>
    <row r="842" spans="1:58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3"/>
      <c r="BE842" s="4"/>
      <c r="BF842" s="5"/>
    </row>
    <row r="843" spans="1:58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3"/>
      <c r="BE843" s="4"/>
      <c r="BF843" s="5"/>
    </row>
    <row r="844" spans="1:58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3"/>
      <c r="BE844" s="4"/>
      <c r="BF844" s="5"/>
    </row>
    <row r="845" spans="1:58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3"/>
      <c r="BE845" s="4"/>
      <c r="BF845" s="5"/>
    </row>
    <row r="846" spans="1:58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3"/>
      <c r="BE846" s="4"/>
      <c r="BF846" s="5"/>
    </row>
    <row r="847" spans="1:58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3"/>
      <c r="BE847" s="4"/>
      <c r="BF847" s="5"/>
    </row>
    <row r="848" spans="1:58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3"/>
      <c r="BE848" s="4"/>
      <c r="BF848" s="5"/>
    </row>
    <row r="849" spans="1:58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3"/>
      <c r="BE849" s="4"/>
      <c r="BF849" s="5"/>
    </row>
    <row r="850" spans="1:58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3"/>
      <c r="BE850" s="4"/>
      <c r="BF850" s="5"/>
    </row>
    <row r="851" spans="1:58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3"/>
      <c r="BE851" s="4"/>
      <c r="BF851" s="5"/>
    </row>
    <row r="852" spans="1:58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3"/>
      <c r="BE852" s="4"/>
      <c r="BF852" s="5"/>
    </row>
    <row r="853" spans="1:58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3"/>
      <c r="BE853" s="4"/>
      <c r="BF853" s="5"/>
    </row>
    <row r="854" spans="1:58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3"/>
      <c r="BE854" s="4"/>
      <c r="BF854" s="5"/>
    </row>
    <row r="855" spans="1:58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3"/>
      <c r="BE855" s="4"/>
      <c r="BF855" s="5"/>
    </row>
    <row r="856" spans="1:58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3"/>
      <c r="BE856" s="4"/>
      <c r="BF856" s="5"/>
    </row>
    <row r="857" spans="1:58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3"/>
      <c r="BE857" s="4"/>
      <c r="BF857" s="5"/>
    </row>
    <row r="858" spans="1:58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3"/>
      <c r="BE858" s="4"/>
      <c r="BF858" s="5"/>
    </row>
    <row r="859" spans="1:58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3"/>
      <c r="BE859" s="4"/>
      <c r="BF859" s="5"/>
    </row>
    <row r="860" spans="1:58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3"/>
      <c r="BE860" s="4"/>
      <c r="BF860" s="5"/>
    </row>
    <row r="861" spans="1:58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3"/>
      <c r="BE861" s="4"/>
      <c r="BF861" s="5"/>
    </row>
    <row r="862" spans="1:58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3"/>
      <c r="BE862" s="4"/>
      <c r="BF862" s="5"/>
    </row>
    <row r="863" spans="1:58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3"/>
      <c r="BE863" s="4"/>
      <c r="BF863" s="5"/>
    </row>
    <row r="864" spans="1:58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3"/>
      <c r="BE864" s="4"/>
      <c r="BF864" s="5"/>
    </row>
    <row r="865" spans="1:58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3"/>
      <c r="BE865" s="4"/>
      <c r="BF865" s="5"/>
    </row>
    <row r="866" spans="1:58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3"/>
      <c r="BE866" s="4"/>
      <c r="BF866" s="5"/>
    </row>
    <row r="867" spans="1:58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3"/>
      <c r="BE867" s="4"/>
      <c r="BF867" s="5"/>
    </row>
    <row r="868" spans="1:58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3"/>
      <c r="BE868" s="4"/>
      <c r="BF868" s="5"/>
    </row>
    <row r="869" spans="1:58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3"/>
      <c r="BE869" s="4"/>
      <c r="BF869" s="5"/>
    </row>
    <row r="870" spans="1:58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3"/>
      <c r="BE870" s="4"/>
      <c r="BF870" s="5"/>
    </row>
    <row r="871" spans="1:58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3"/>
      <c r="BE871" s="4"/>
      <c r="BF871" s="5"/>
    </row>
    <row r="872" spans="1:58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3"/>
      <c r="BE872" s="4"/>
      <c r="BF872" s="5"/>
    </row>
    <row r="873" spans="1:58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3"/>
      <c r="BE873" s="4"/>
      <c r="BF873" s="5"/>
    </row>
    <row r="874" spans="1:58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3"/>
      <c r="BE874" s="4"/>
      <c r="BF874" s="5"/>
    </row>
    <row r="875" spans="1:58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3"/>
      <c r="BE875" s="4"/>
      <c r="BF875" s="5"/>
    </row>
    <row r="876" spans="1:58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3"/>
      <c r="BE876" s="4"/>
      <c r="BF876" s="5"/>
    </row>
    <row r="877" spans="1:58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3"/>
      <c r="BE877" s="4"/>
      <c r="BF877" s="5"/>
    </row>
    <row r="878" spans="1:58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3"/>
      <c r="BE878" s="4"/>
      <c r="BF878" s="5"/>
    </row>
    <row r="879" spans="1:58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3"/>
      <c r="BE879" s="4"/>
      <c r="BF879" s="5"/>
    </row>
    <row r="880" spans="1:58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3"/>
      <c r="BE880" s="4"/>
      <c r="BF880" s="5"/>
    </row>
    <row r="881" spans="1:58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3"/>
      <c r="BE881" s="4"/>
      <c r="BF881" s="5"/>
    </row>
    <row r="882" spans="1:58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3"/>
      <c r="BE882" s="4"/>
      <c r="BF882" s="5"/>
    </row>
    <row r="883" spans="1:58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3"/>
      <c r="BE883" s="4"/>
      <c r="BF883" s="5"/>
    </row>
    <row r="884" spans="1:58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3"/>
      <c r="BE884" s="4"/>
      <c r="BF884" s="5"/>
    </row>
    <row r="885" spans="1:58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3"/>
      <c r="BE885" s="4"/>
      <c r="BF885" s="5"/>
    </row>
    <row r="886" spans="1:58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3"/>
      <c r="BE886" s="4"/>
      <c r="BF886" s="5"/>
    </row>
    <row r="887" spans="1:58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3"/>
      <c r="BE887" s="4"/>
      <c r="BF887" s="5"/>
    </row>
    <row r="888" spans="1:58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3"/>
      <c r="BE888" s="4"/>
      <c r="BF888" s="5"/>
    </row>
    <row r="889" spans="1:58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3"/>
      <c r="BE889" s="4"/>
      <c r="BF889" s="5"/>
    </row>
    <row r="890" spans="1:58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3"/>
      <c r="BE890" s="4"/>
      <c r="BF890" s="5"/>
    </row>
    <row r="891" spans="1:58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3"/>
      <c r="BE891" s="4"/>
      <c r="BF891" s="5"/>
    </row>
    <row r="892" spans="1:58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3"/>
      <c r="BE892" s="4"/>
      <c r="BF892" s="5"/>
    </row>
    <row r="893" spans="1:58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3"/>
      <c r="BE893" s="4"/>
      <c r="BF893" s="5"/>
    </row>
    <row r="894" spans="1:58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3"/>
      <c r="BE894" s="4"/>
      <c r="BF894" s="5"/>
    </row>
    <row r="895" spans="1:58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3"/>
      <c r="BE895" s="4"/>
      <c r="BF895" s="5"/>
    </row>
    <row r="896" spans="1:58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3"/>
      <c r="BE896" s="4"/>
      <c r="BF896" s="5"/>
    </row>
    <row r="897" spans="1:58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3"/>
      <c r="BE897" s="4"/>
      <c r="BF897" s="5"/>
    </row>
    <row r="898" spans="1:58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3"/>
      <c r="BE898" s="4"/>
      <c r="BF898" s="5"/>
    </row>
    <row r="899" spans="1:58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3"/>
      <c r="BE899" s="4"/>
      <c r="BF899" s="5"/>
    </row>
    <row r="900" spans="1:58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3"/>
      <c r="BE900" s="4"/>
      <c r="BF900" s="5"/>
    </row>
    <row r="901" spans="1:58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3"/>
      <c r="BE901" s="4"/>
      <c r="BF901" s="5"/>
    </row>
    <row r="902" spans="1:58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3"/>
      <c r="BE902" s="4"/>
      <c r="BF902" s="5"/>
    </row>
    <row r="903" spans="1:58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3"/>
      <c r="BE903" s="4"/>
      <c r="BF903" s="5"/>
    </row>
    <row r="904" spans="1:58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3"/>
      <c r="BE904" s="4"/>
      <c r="BF904" s="5"/>
    </row>
    <row r="905" spans="1:58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3"/>
      <c r="BE905" s="4"/>
      <c r="BF905" s="5"/>
    </row>
    <row r="906" spans="1:58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3"/>
      <c r="BE906" s="4"/>
      <c r="BF906" s="5"/>
    </row>
    <row r="907" spans="1:58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3"/>
      <c r="BE907" s="4"/>
      <c r="BF907" s="5"/>
    </row>
    <row r="908" spans="1:58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3"/>
      <c r="BE908" s="4"/>
      <c r="BF908" s="5"/>
    </row>
    <row r="909" spans="1:58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3"/>
      <c r="BE909" s="4"/>
      <c r="BF909" s="5"/>
    </row>
    <row r="910" spans="1:58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3"/>
      <c r="BE910" s="4"/>
      <c r="BF910" s="5"/>
    </row>
    <row r="911" spans="1:58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3"/>
      <c r="BE911" s="4"/>
      <c r="BF911" s="5"/>
    </row>
    <row r="912" spans="1:58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3"/>
      <c r="BE912" s="4"/>
      <c r="BF912" s="5"/>
    </row>
    <row r="913" spans="1:58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3"/>
      <c r="BE913" s="4"/>
      <c r="BF913" s="5"/>
    </row>
    <row r="914" spans="1:58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3"/>
      <c r="BE914" s="4"/>
      <c r="BF914" s="5"/>
    </row>
    <row r="915" spans="1:58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3"/>
      <c r="BE915" s="4"/>
      <c r="BF915" s="5"/>
    </row>
    <row r="916" spans="1:58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3"/>
      <c r="BE916" s="4"/>
      <c r="BF916" s="5"/>
    </row>
    <row r="917" spans="1:58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3"/>
      <c r="BE917" s="4"/>
      <c r="BF917" s="5"/>
    </row>
    <row r="918" spans="1:58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3"/>
      <c r="BE918" s="4"/>
      <c r="BF918" s="5"/>
    </row>
    <row r="919" spans="1:58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3"/>
      <c r="BE919" s="4"/>
      <c r="BF919" s="5"/>
    </row>
    <row r="920" spans="1:58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3"/>
      <c r="BE920" s="4"/>
      <c r="BF920" s="5"/>
    </row>
    <row r="921" spans="1:58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3"/>
      <c r="BE921" s="4"/>
      <c r="BF921" s="5"/>
    </row>
    <row r="922" spans="1:58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3"/>
      <c r="BE922" s="4"/>
      <c r="BF922" s="5"/>
    </row>
    <row r="923" spans="1:58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3"/>
      <c r="BE923" s="4"/>
      <c r="BF923" s="5"/>
    </row>
    <row r="924" spans="1:58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3"/>
      <c r="BE924" s="4"/>
      <c r="BF924" s="5"/>
    </row>
    <row r="925" spans="1:58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3"/>
      <c r="BE925" s="4"/>
      <c r="BF925" s="5"/>
    </row>
    <row r="926" spans="1:58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3"/>
      <c r="BE926" s="4"/>
      <c r="BF926" s="5"/>
    </row>
    <row r="927" spans="1:58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3"/>
      <c r="BE927" s="4"/>
      <c r="BF927" s="5"/>
    </row>
    <row r="928" spans="1:58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3"/>
      <c r="BE928" s="4"/>
      <c r="BF928" s="5"/>
    </row>
    <row r="929" spans="1:58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3"/>
      <c r="BE929" s="4"/>
      <c r="BF929" s="5"/>
    </row>
    <row r="930" spans="1:58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3"/>
      <c r="BE930" s="4"/>
      <c r="BF930" s="5"/>
    </row>
    <row r="931" spans="1:58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3"/>
      <c r="BE931" s="4"/>
      <c r="BF931" s="5"/>
    </row>
    <row r="932" spans="1:58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3"/>
      <c r="BE932" s="4"/>
      <c r="BF932" s="5"/>
    </row>
    <row r="933" spans="1:58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3"/>
      <c r="BE933" s="4"/>
      <c r="BF933" s="5"/>
    </row>
    <row r="934" spans="1:58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3"/>
      <c r="BE934" s="4"/>
      <c r="BF934" s="5"/>
    </row>
    <row r="935" spans="1:58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3"/>
      <c r="BE935" s="4"/>
      <c r="BF935" s="5"/>
    </row>
    <row r="936" spans="1:58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3"/>
      <c r="BE936" s="4"/>
      <c r="BF936" s="5"/>
    </row>
    <row r="937" spans="1:58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3"/>
      <c r="BE937" s="4"/>
      <c r="BF937" s="5"/>
    </row>
    <row r="938" spans="1:58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3"/>
      <c r="BE938" s="4"/>
      <c r="BF938" s="5"/>
    </row>
    <row r="939" spans="1:58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3"/>
      <c r="BE939" s="4"/>
      <c r="BF939" s="5"/>
    </row>
    <row r="940" spans="1:58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3"/>
      <c r="BE940" s="4"/>
      <c r="BF940" s="5"/>
    </row>
    <row r="941" spans="1:58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3"/>
      <c r="BE941" s="4"/>
      <c r="BF941" s="5"/>
    </row>
    <row r="942" spans="1:58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3"/>
      <c r="BE942" s="4"/>
      <c r="BF942" s="5"/>
    </row>
    <row r="943" spans="1:58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3"/>
      <c r="BE943" s="4"/>
      <c r="BF943" s="5"/>
    </row>
    <row r="944" spans="1:58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3"/>
      <c r="BE944" s="4"/>
      <c r="BF944" s="5"/>
    </row>
    <row r="945" spans="1:58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3"/>
      <c r="BE945" s="4"/>
      <c r="BF945" s="5"/>
    </row>
    <row r="946" spans="1:58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3"/>
      <c r="BE946" s="4"/>
      <c r="BF946" s="5"/>
    </row>
    <row r="947" spans="1:58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3"/>
      <c r="BE947" s="4"/>
      <c r="BF947" s="5"/>
    </row>
    <row r="948" spans="1:58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3"/>
      <c r="BE948" s="4"/>
      <c r="BF948" s="5"/>
    </row>
    <row r="949" spans="1:58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3"/>
      <c r="BE949" s="4"/>
      <c r="BF949" s="5"/>
    </row>
    <row r="950" spans="1:58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3"/>
      <c r="BE950" s="4"/>
      <c r="BF950" s="5"/>
    </row>
    <row r="951" spans="1:58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3"/>
      <c r="BE951" s="4"/>
      <c r="BF951" s="5"/>
    </row>
    <row r="952" spans="1:58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3"/>
      <c r="BE952" s="4"/>
      <c r="BF952" s="5"/>
    </row>
    <row r="953" spans="1:58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3"/>
      <c r="BE953" s="4"/>
      <c r="BF953" s="5"/>
    </row>
    <row r="954" spans="1:58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3"/>
      <c r="BE954" s="4"/>
      <c r="BF954" s="5"/>
    </row>
    <row r="955" spans="1:58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3"/>
      <c r="BE955" s="4"/>
      <c r="BF955" s="5"/>
    </row>
    <row r="956" spans="1:58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3"/>
      <c r="BE956" s="4"/>
      <c r="BF956" s="5"/>
    </row>
    <row r="957" spans="1:58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3"/>
      <c r="BE957" s="4"/>
      <c r="BF957" s="5"/>
    </row>
    <row r="958" spans="1:58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3"/>
      <c r="BE958" s="4"/>
      <c r="BF958" s="5"/>
    </row>
    <row r="959" spans="1:58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3"/>
      <c r="BE959" s="4"/>
      <c r="BF959" s="5"/>
    </row>
    <row r="960" spans="1:58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3"/>
      <c r="BE960" s="4"/>
      <c r="BF960" s="5"/>
    </row>
    <row r="961" spans="1:58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3"/>
      <c r="BE961" s="4"/>
      <c r="BF961" s="5"/>
    </row>
    <row r="962" spans="1:58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3"/>
      <c r="BE962" s="4"/>
      <c r="BF962" s="5"/>
    </row>
    <row r="963" spans="1:58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3"/>
      <c r="BE963" s="4"/>
      <c r="BF963" s="5"/>
    </row>
    <row r="964" spans="1:58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3"/>
      <c r="BE964" s="4"/>
      <c r="BF964" s="5"/>
    </row>
    <row r="965" spans="1:58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3"/>
      <c r="BE965" s="4"/>
      <c r="BF965" s="5"/>
    </row>
    <row r="966" spans="1:58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3"/>
      <c r="BE966" s="4"/>
      <c r="BF966" s="5"/>
    </row>
    <row r="967" spans="1:58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3"/>
      <c r="BE967" s="4"/>
      <c r="BF967" s="5"/>
    </row>
    <row r="968" spans="1:58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3"/>
      <c r="BE968" s="4"/>
      <c r="BF968" s="5"/>
    </row>
    <row r="969" spans="1:58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3"/>
      <c r="BE969" s="4"/>
      <c r="BF969" s="5"/>
    </row>
    <row r="970" spans="1:58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3"/>
      <c r="BE970" s="4"/>
      <c r="BF970" s="5"/>
    </row>
    <row r="971" spans="1:58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3"/>
      <c r="BE971" s="4"/>
      <c r="BF971" s="5"/>
    </row>
    <row r="972" spans="1:58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3"/>
      <c r="BE972" s="4"/>
      <c r="BF972" s="5"/>
    </row>
    <row r="973" spans="1:58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3"/>
      <c r="BE973" s="4"/>
      <c r="BF973" s="5"/>
    </row>
    <row r="974" spans="1:58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3"/>
      <c r="BE974" s="4"/>
      <c r="BF974" s="5"/>
    </row>
    <row r="975" spans="1:58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3"/>
      <c r="BE975" s="4"/>
      <c r="BF975" s="5"/>
    </row>
    <row r="976" spans="1:58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3"/>
      <c r="BE976" s="4"/>
      <c r="BF976" s="5"/>
    </row>
    <row r="977" spans="1:58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3"/>
      <c r="BE977" s="4"/>
      <c r="BF977" s="5"/>
    </row>
    <row r="978" spans="1:58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3"/>
      <c r="BE978" s="4"/>
      <c r="BF978" s="5"/>
    </row>
    <row r="979" spans="1:58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3"/>
      <c r="BE979" s="4"/>
      <c r="BF979" s="5"/>
    </row>
    <row r="980" spans="1:58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3"/>
      <c r="BE980" s="4"/>
      <c r="BF980" s="5"/>
    </row>
    <row r="981" spans="1:58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3"/>
      <c r="BE981" s="4"/>
      <c r="BF981" s="5"/>
    </row>
    <row r="982" spans="1:58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3"/>
      <c r="BE982" s="4"/>
      <c r="BF982" s="5"/>
    </row>
    <row r="983" spans="1:58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3"/>
      <c r="BE983" s="4"/>
      <c r="BF983" s="5"/>
    </row>
    <row r="984" spans="1:58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3"/>
      <c r="BE984" s="4"/>
      <c r="BF984" s="5"/>
    </row>
    <row r="985" spans="1:58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3"/>
      <c r="BE985" s="4"/>
      <c r="BF985" s="5"/>
    </row>
    <row r="986" spans="1:58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3"/>
      <c r="BE986" s="4"/>
      <c r="BF986" s="5"/>
    </row>
    <row r="987" spans="1:58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3"/>
      <c r="BE987" s="4"/>
      <c r="BF987" s="5"/>
    </row>
    <row r="988" spans="1:58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3"/>
      <c r="BE988" s="4"/>
      <c r="BF988" s="5"/>
    </row>
    <row r="989" spans="1:58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3"/>
      <c r="BE989" s="4"/>
      <c r="BF989" s="5"/>
    </row>
    <row r="990" spans="1:58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3"/>
      <c r="BE990" s="4"/>
      <c r="BF990" s="5"/>
    </row>
    <row r="991" spans="1:58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3"/>
      <c r="BE991" s="4"/>
      <c r="BF991" s="5"/>
    </row>
    <row r="992" spans="1:58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3"/>
      <c r="BE992" s="4"/>
      <c r="BF992" s="5"/>
    </row>
    <row r="993" spans="1:58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3"/>
      <c r="BE993" s="4"/>
      <c r="BF993" s="5"/>
    </row>
    <row r="994" spans="1:58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3"/>
      <c r="BE994" s="4"/>
      <c r="BF994" s="5"/>
    </row>
    <row r="995" spans="1:58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3"/>
      <c r="BE995" s="4"/>
      <c r="BF995" s="5"/>
    </row>
    <row r="996" spans="1:58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3"/>
      <c r="BE996" s="4"/>
      <c r="BF996" s="5"/>
    </row>
    <row r="997" spans="1:58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3"/>
      <c r="BE997" s="4"/>
      <c r="BF997" s="5"/>
    </row>
    <row r="998" spans="1:58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3"/>
      <c r="BE998" s="4"/>
      <c r="BF998" s="5"/>
    </row>
    <row r="999" spans="1:58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3"/>
      <c r="BE999" s="4"/>
      <c r="BF999" s="5"/>
    </row>
    <row r="1000" spans="1:58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3"/>
      <c r="BE1000" s="4"/>
      <c r="BF1000" s="5"/>
    </row>
    <row r="1001" spans="1:58" ht="17.2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3"/>
      <c r="BE1001" s="4"/>
      <c r="BF1001" s="5"/>
    </row>
    <row r="1002" spans="1:58" ht="17.2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3"/>
      <c r="BE1002" s="4"/>
      <c r="BF1002" s="5"/>
    </row>
    <row r="1003" spans="1:58" ht="17.2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3"/>
      <c r="BE1003" s="4"/>
      <c r="BF1003" s="5"/>
    </row>
    <row r="1004" spans="1:58" ht="17.2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3"/>
      <c r="BE1004" s="4"/>
      <c r="BF1004" s="5"/>
    </row>
  </sheetData>
  <mergeCells count="645">
    <mergeCell ref="R41:U41"/>
    <mergeCell ref="V41:Y41"/>
    <mergeCell ref="Z41:AC41"/>
    <mergeCell ref="AD41:AG41"/>
    <mergeCell ref="AH42:AK42"/>
    <mergeCell ref="AL42:AO42"/>
    <mergeCell ref="AP42:AS42"/>
    <mergeCell ref="AT42:AW42"/>
    <mergeCell ref="A42:A43"/>
    <mergeCell ref="B42:E43"/>
    <mergeCell ref="F42:I42"/>
    <mergeCell ref="J42:M42"/>
    <mergeCell ref="N42:Q42"/>
    <mergeCell ref="R42:U42"/>
    <mergeCell ref="V42:Y42"/>
    <mergeCell ref="A44:A45"/>
    <mergeCell ref="B44:E45"/>
    <mergeCell ref="A46:A47"/>
    <mergeCell ref="B46:E47"/>
    <mergeCell ref="A48:A49"/>
    <mergeCell ref="B48:E49"/>
    <mergeCell ref="B50:E51"/>
    <mergeCell ref="Z42:AC42"/>
    <mergeCell ref="AD42:AG42"/>
    <mergeCell ref="B52:E53"/>
    <mergeCell ref="B54:E55"/>
    <mergeCell ref="A56:D56"/>
    <mergeCell ref="J56:M56"/>
    <mergeCell ref="N56:Q56"/>
    <mergeCell ref="R56:U56"/>
    <mergeCell ref="A50:A51"/>
    <mergeCell ref="A52:A53"/>
    <mergeCell ref="A54:A55"/>
    <mergeCell ref="F56:I56"/>
    <mergeCell ref="AH58:AK58"/>
    <mergeCell ref="AL58:AO58"/>
    <mergeCell ref="AP58:AS58"/>
    <mergeCell ref="F57:I57"/>
    <mergeCell ref="A57:D57"/>
    <mergeCell ref="R57:U57"/>
    <mergeCell ref="AP57:AS57"/>
    <mergeCell ref="AT57:AW57"/>
    <mergeCell ref="AX57:BA57"/>
    <mergeCell ref="J57:M57"/>
    <mergeCell ref="N57:Q57"/>
    <mergeCell ref="V57:Y57"/>
    <mergeCell ref="Z57:AC57"/>
    <mergeCell ref="AD57:AG57"/>
    <mergeCell ref="AH57:AK57"/>
    <mergeCell ref="AL57:AO57"/>
    <mergeCell ref="A60:A61"/>
    <mergeCell ref="B60:E61"/>
    <mergeCell ref="A62:A63"/>
    <mergeCell ref="B62:E63"/>
    <mergeCell ref="A64:A65"/>
    <mergeCell ref="B64:E65"/>
    <mergeCell ref="V56:Y56"/>
    <mergeCell ref="Z56:AC56"/>
    <mergeCell ref="AD56:AG56"/>
    <mergeCell ref="A58:A59"/>
    <mergeCell ref="B58:E59"/>
    <mergeCell ref="F58:I58"/>
    <mergeCell ref="J58:M58"/>
    <mergeCell ref="N58:Q58"/>
    <mergeCell ref="R58:U58"/>
    <mergeCell ref="V58:Y58"/>
    <mergeCell ref="Z58:AC58"/>
    <mergeCell ref="AD58:AG58"/>
    <mergeCell ref="AH20:AK20"/>
    <mergeCell ref="AL20:AO20"/>
    <mergeCell ref="AP20:AS20"/>
    <mergeCell ref="AT20:AW20"/>
    <mergeCell ref="AX20:BA20"/>
    <mergeCell ref="BB20:BC21"/>
    <mergeCell ref="BD20:BD21"/>
    <mergeCell ref="BB70:BB71"/>
    <mergeCell ref="BC70:BC71"/>
    <mergeCell ref="BD70:BD71"/>
    <mergeCell ref="AT58:AW58"/>
    <mergeCell ref="AX58:BA58"/>
    <mergeCell ref="BB60:BB61"/>
    <mergeCell ref="BC60:BC61"/>
    <mergeCell ref="BD60:BD61"/>
    <mergeCell ref="BC62:BC63"/>
    <mergeCell ref="BD62:BD63"/>
    <mergeCell ref="BB62:BB63"/>
    <mergeCell ref="BB64:BB65"/>
    <mergeCell ref="BC64:BC65"/>
    <mergeCell ref="BD64:BD65"/>
    <mergeCell ref="AH56:AK56"/>
    <mergeCell ref="AL56:AO56"/>
    <mergeCell ref="AP56:AS56"/>
    <mergeCell ref="F21:I21"/>
    <mergeCell ref="J21:M21"/>
    <mergeCell ref="N21:Q21"/>
    <mergeCell ref="R21:U21"/>
    <mergeCell ref="V21:Y21"/>
    <mergeCell ref="Z21:AC21"/>
    <mergeCell ref="AD21:AG21"/>
    <mergeCell ref="V20:Y20"/>
    <mergeCell ref="Z20:AC20"/>
    <mergeCell ref="AD20:AG20"/>
    <mergeCell ref="AX6:BA6"/>
    <mergeCell ref="BB6:BD6"/>
    <mergeCell ref="AH22:AK22"/>
    <mergeCell ref="AL22:AO22"/>
    <mergeCell ref="AP22:AS22"/>
    <mergeCell ref="AT22:AW22"/>
    <mergeCell ref="AX22:BA22"/>
    <mergeCell ref="BB22:BD22"/>
    <mergeCell ref="F22:I22"/>
    <mergeCell ref="J22:M22"/>
    <mergeCell ref="N22:Q22"/>
    <mergeCell ref="R22:U22"/>
    <mergeCell ref="V22:Y22"/>
    <mergeCell ref="Z22:AC22"/>
    <mergeCell ref="AD22:AG22"/>
    <mergeCell ref="F20:I20"/>
    <mergeCell ref="J20:M20"/>
    <mergeCell ref="N20:Q20"/>
    <mergeCell ref="R20:U20"/>
    <mergeCell ref="AH21:AK21"/>
    <mergeCell ref="AL21:AO21"/>
    <mergeCell ref="AP21:AS21"/>
    <mergeCell ref="AT21:AW21"/>
    <mergeCell ref="AX21:BA21"/>
    <mergeCell ref="AL6:AO6"/>
    <mergeCell ref="AP6:AS6"/>
    <mergeCell ref="AT6:AW6"/>
    <mergeCell ref="B5:G5"/>
    <mergeCell ref="A6:A7"/>
    <mergeCell ref="B6:E7"/>
    <mergeCell ref="F6:I6"/>
    <mergeCell ref="J6:M6"/>
    <mergeCell ref="N6:Q6"/>
    <mergeCell ref="R6:U6"/>
    <mergeCell ref="B3:AJ3"/>
    <mergeCell ref="A4:AJ4"/>
    <mergeCell ref="I5:P5"/>
    <mergeCell ref="R5:Z5"/>
    <mergeCell ref="AB5:AI5"/>
    <mergeCell ref="V6:Y6"/>
    <mergeCell ref="Z6:AC6"/>
    <mergeCell ref="AD6:AG6"/>
    <mergeCell ref="AH6:AK6"/>
    <mergeCell ref="BE6:BE7"/>
    <mergeCell ref="BF6:BF7"/>
    <mergeCell ref="BC8:BC9"/>
    <mergeCell ref="BD8:BD9"/>
    <mergeCell ref="BF8:BF9"/>
    <mergeCell ref="BF10:BF11"/>
    <mergeCell ref="BF12:BF13"/>
    <mergeCell ref="BF14:BF15"/>
    <mergeCell ref="BF16:BF17"/>
    <mergeCell ref="BD36:BD37"/>
    <mergeCell ref="BF36:BF37"/>
    <mergeCell ref="BC38:BC39"/>
    <mergeCell ref="BD38:BD39"/>
    <mergeCell ref="BF38:BF39"/>
    <mergeCell ref="BF18:BF19"/>
    <mergeCell ref="BB8:BB9"/>
    <mergeCell ref="BB10:BB11"/>
    <mergeCell ref="BC10:BC11"/>
    <mergeCell ref="BD10:BD11"/>
    <mergeCell ref="BB12:BB13"/>
    <mergeCell ref="BC12:BC13"/>
    <mergeCell ref="BD12:BD13"/>
    <mergeCell ref="BC18:BC19"/>
    <mergeCell ref="BD18:BD19"/>
    <mergeCell ref="BB14:BB15"/>
    <mergeCell ref="BC14:BC15"/>
    <mergeCell ref="BD14:BD15"/>
    <mergeCell ref="BB16:BB17"/>
    <mergeCell ref="BC16:BC17"/>
    <mergeCell ref="BD16:BD17"/>
    <mergeCell ref="BB18:BB19"/>
    <mergeCell ref="A32:A33"/>
    <mergeCell ref="A34:A35"/>
    <mergeCell ref="B26:E27"/>
    <mergeCell ref="B28:E29"/>
    <mergeCell ref="B30:E31"/>
    <mergeCell ref="B32:E33"/>
    <mergeCell ref="B34:E35"/>
    <mergeCell ref="A8:A9"/>
    <mergeCell ref="B8:E9"/>
    <mergeCell ref="A10:A11"/>
    <mergeCell ref="B10:E11"/>
    <mergeCell ref="A12:A13"/>
    <mergeCell ref="B12:E13"/>
    <mergeCell ref="B14:E15"/>
    <mergeCell ref="B16:E17"/>
    <mergeCell ref="B18:E19"/>
    <mergeCell ref="A14:A15"/>
    <mergeCell ref="A16:A17"/>
    <mergeCell ref="A18:A19"/>
    <mergeCell ref="A22:A23"/>
    <mergeCell ref="A24:A25"/>
    <mergeCell ref="A26:A27"/>
    <mergeCell ref="A20:D20"/>
    <mergeCell ref="A21:D21"/>
    <mergeCell ref="B22:E23"/>
    <mergeCell ref="B24:E25"/>
    <mergeCell ref="A28:A29"/>
    <mergeCell ref="A30:A31"/>
    <mergeCell ref="B36:E37"/>
    <mergeCell ref="B38:E39"/>
    <mergeCell ref="A41:D41"/>
    <mergeCell ref="AD40:AG40"/>
    <mergeCell ref="AH40:AK40"/>
    <mergeCell ref="AL40:AO40"/>
    <mergeCell ref="AP40:AS40"/>
    <mergeCell ref="AT40:AW40"/>
    <mergeCell ref="AP41:AS41"/>
    <mergeCell ref="AT41:AW41"/>
    <mergeCell ref="A40:D40"/>
    <mergeCell ref="F40:I40"/>
    <mergeCell ref="J40:M40"/>
    <mergeCell ref="N40:Q40"/>
    <mergeCell ref="R40:U40"/>
    <mergeCell ref="V40:Y40"/>
    <mergeCell ref="Z40:AC40"/>
    <mergeCell ref="A36:A37"/>
    <mergeCell ref="A38:A39"/>
    <mergeCell ref="AH41:AK41"/>
    <mergeCell ref="AL41:AO41"/>
    <mergeCell ref="F41:I41"/>
    <mergeCell ref="J41:M41"/>
    <mergeCell ref="N41:Q41"/>
    <mergeCell ref="BE42:BE43"/>
    <mergeCell ref="BF42:BF43"/>
    <mergeCell ref="BB44:BB45"/>
    <mergeCell ref="BC44:BC45"/>
    <mergeCell ref="BD44:BD45"/>
    <mergeCell ref="BF44:BF45"/>
    <mergeCell ref="BB46:BB47"/>
    <mergeCell ref="BC46:BC47"/>
    <mergeCell ref="BD46:BD47"/>
    <mergeCell ref="BF46:BF47"/>
    <mergeCell ref="BF62:BF63"/>
    <mergeCell ref="BB48:BB49"/>
    <mergeCell ref="BB50:BB51"/>
    <mergeCell ref="BC50:BC51"/>
    <mergeCell ref="BD50:BD51"/>
    <mergeCell ref="BB52:BB53"/>
    <mergeCell ref="BC52:BC53"/>
    <mergeCell ref="BD52:BD53"/>
    <mergeCell ref="BB54:BB55"/>
    <mergeCell ref="BC54:BC55"/>
    <mergeCell ref="BD54:BD55"/>
    <mergeCell ref="BB56:BC57"/>
    <mergeCell ref="BD56:BD57"/>
    <mergeCell ref="BB58:BD58"/>
    <mergeCell ref="BE58:BE59"/>
    <mergeCell ref="BC48:BC49"/>
    <mergeCell ref="BD48:BD49"/>
    <mergeCell ref="BF48:BF49"/>
    <mergeCell ref="BF50:BF51"/>
    <mergeCell ref="BF52:BF53"/>
    <mergeCell ref="BF54:BF55"/>
    <mergeCell ref="BF56:BF57"/>
    <mergeCell ref="BF58:BF59"/>
    <mergeCell ref="BF60:BF61"/>
    <mergeCell ref="BF72:BF73"/>
    <mergeCell ref="BB74:BD74"/>
    <mergeCell ref="BE74:BE75"/>
    <mergeCell ref="BF74:BF75"/>
    <mergeCell ref="BF76:BF77"/>
    <mergeCell ref="BC80:BC81"/>
    <mergeCell ref="BB82:BC83"/>
    <mergeCell ref="BD82:BD83"/>
    <mergeCell ref="BF82:BF83"/>
    <mergeCell ref="BB78:BB79"/>
    <mergeCell ref="BC78:BC79"/>
    <mergeCell ref="BD78:BD79"/>
    <mergeCell ref="BF78:BF79"/>
    <mergeCell ref="BB80:BB81"/>
    <mergeCell ref="BD80:BD81"/>
    <mergeCell ref="BF80:BF81"/>
    <mergeCell ref="BB76:BB77"/>
    <mergeCell ref="BC76:BC77"/>
    <mergeCell ref="BD76:BD77"/>
    <mergeCell ref="BF40:BF41"/>
    <mergeCell ref="AX41:BA41"/>
    <mergeCell ref="BE22:BE23"/>
    <mergeCell ref="BF22:BF23"/>
    <mergeCell ref="BC24:BC25"/>
    <mergeCell ref="BD24:BD25"/>
    <mergeCell ref="BF24:BF25"/>
    <mergeCell ref="BF26:BF27"/>
    <mergeCell ref="BF28:BF29"/>
    <mergeCell ref="BF30:BF31"/>
    <mergeCell ref="BB24:BB25"/>
    <mergeCell ref="BB26:BB27"/>
    <mergeCell ref="BC26:BC27"/>
    <mergeCell ref="BD26:BD27"/>
    <mergeCell ref="BB28:BB29"/>
    <mergeCell ref="BC28:BC29"/>
    <mergeCell ref="BD28:BD29"/>
    <mergeCell ref="BB30:BB31"/>
    <mergeCell ref="BC30:BC31"/>
    <mergeCell ref="BD30:BD31"/>
    <mergeCell ref="BC34:BC35"/>
    <mergeCell ref="BD34:BD35"/>
    <mergeCell ref="BB36:BB37"/>
    <mergeCell ref="BC36:BC37"/>
    <mergeCell ref="AP82:AS82"/>
    <mergeCell ref="AT82:AW82"/>
    <mergeCell ref="AX82:BA82"/>
    <mergeCell ref="AX83:BA83"/>
    <mergeCell ref="AP84:AS84"/>
    <mergeCell ref="AT84:AW84"/>
    <mergeCell ref="AX40:BA40"/>
    <mergeCell ref="BB40:BC41"/>
    <mergeCell ref="BD40:BD41"/>
    <mergeCell ref="BB72:BC73"/>
    <mergeCell ref="BD72:BD73"/>
    <mergeCell ref="BB42:BD42"/>
    <mergeCell ref="AT56:AW56"/>
    <mergeCell ref="AX56:BA56"/>
    <mergeCell ref="AP72:AS72"/>
    <mergeCell ref="AT72:AW72"/>
    <mergeCell ref="AX72:BA72"/>
    <mergeCell ref="AP73:AS73"/>
    <mergeCell ref="AT73:AW73"/>
    <mergeCell ref="AX73:BA73"/>
    <mergeCell ref="AH74:AK74"/>
    <mergeCell ref="AL74:AO74"/>
    <mergeCell ref="AP74:AS74"/>
    <mergeCell ref="AT74:AW74"/>
    <mergeCell ref="AX74:BA74"/>
    <mergeCell ref="B74:E75"/>
    <mergeCell ref="B76:E77"/>
    <mergeCell ref="A78:A79"/>
    <mergeCell ref="B78:E79"/>
    <mergeCell ref="B80:E81"/>
    <mergeCell ref="A82:D82"/>
    <mergeCell ref="A83:D83"/>
    <mergeCell ref="N94:Q94"/>
    <mergeCell ref="A88:A89"/>
    <mergeCell ref="B88:E89"/>
    <mergeCell ref="A92:A93"/>
    <mergeCell ref="B92:E93"/>
    <mergeCell ref="A94:E94"/>
    <mergeCell ref="F94:I94"/>
    <mergeCell ref="J94:M94"/>
    <mergeCell ref="A74:A75"/>
    <mergeCell ref="A76:A77"/>
    <mergeCell ref="A80:A81"/>
    <mergeCell ref="A84:A85"/>
    <mergeCell ref="A86:A87"/>
    <mergeCell ref="A90:A91"/>
    <mergeCell ref="F83:I83"/>
    <mergeCell ref="J83:M83"/>
    <mergeCell ref="F84:I84"/>
    <mergeCell ref="R94:U94"/>
    <mergeCell ref="V94:Y94"/>
    <mergeCell ref="Z94:AC94"/>
    <mergeCell ref="AD94:AG94"/>
    <mergeCell ref="AH94:AK94"/>
    <mergeCell ref="AL94:AO94"/>
    <mergeCell ref="AD95:AG95"/>
    <mergeCell ref="AH95:AK95"/>
    <mergeCell ref="AL95:AO95"/>
    <mergeCell ref="R105:U105"/>
    <mergeCell ref="V105:Y105"/>
    <mergeCell ref="Z105:AC105"/>
    <mergeCell ref="AD105:AG105"/>
    <mergeCell ref="Z96:AC96"/>
    <mergeCell ref="AD96:AG96"/>
    <mergeCell ref="AH96:AK96"/>
    <mergeCell ref="AL96:AO96"/>
    <mergeCell ref="N104:Q104"/>
    <mergeCell ref="R104:U104"/>
    <mergeCell ref="V104:Y104"/>
    <mergeCell ref="Z104:AC104"/>
    <mergeCell ref="AD104:AG104"/>
    <mergeCell ref="AH104:AK104"/>
    <mergeCell ref="AL104:AO104"/>
    <mergeCell ref="A98:A99"/>
    <mergeCell ref="B98:E99"/>
    <mergeCell ref="B102:E103"/>
    <mergeCell ref="A104:E104"/>
    <mergeCell ref="J104:M104"/>
    <mergeCell ref="A105:D105"/>
    <mergeCell ref="J105:M105"/>
    <mergeCell ref="AH106:AK106"/>
    <mergeCell ref="AL106:AO106"/>
    <mergeCell ref="F106:I106"/>
    <mergeCell ref="J106:M106"/>
    <mergeCell ref="N106:Q106"/>
    <mergeCell ref="R106:U106"/>
    <mergeCell ref="V106:Y106"/>
    <mergeCell ref="Z106:AC106"/>
    <mergeCell ref="AD106:AG106"/>
    <mergeCell ref="A102:A103"/>
    <mergeCell ref="A106:A107"/>
    <mergeCell ref="B106:E107"/>
    <mergeCell ref="AH105:AK105"/>
    <mergeCell ref="AL105:AO105"/>
    <mergeCell ref="F104:I104"/>
    <mergeCell ref="F105:I105"/>
    <mergeCell ref="N105:Q105"/>
    <mergeCell ref="A72:D72"/>
    <mergeCell ref="F72:I72"/>
    <mergeCell ref="J72:M72"/>
    <mergeCell ref="N72:Q72"/>
    <mergeCell ref="R72:U72"/>
    <mergeCell ref="V72:Y72"/>
    <mergeCell ref="AH73:AK73"/>
    <mergeCell ref="AL73:AO73"/>
    <mergeCell ref="A70:A71"/>
    <mergeCell ref="F73:I73"/>
    <mergeCell ref="J73:M73"/>
    <mergeCell ref="N73:Q73"/>
    <mergeCell ref="R73:U73"/>
    <mergeCell ref="V73:Y73"/>
    <mergeCell ref="Z73:AC73"/>
    <mergeCell ref="AD73:AG73"/>
    <mergeCell ref="A73:D73"/>
    <mergeCell ref="Z72:AC72"/>
    <mergeCell ref="AD72:AG72"/>
    <mergeCell ref="AH72:AK72"/>
    <mergeCell ref="AL72:AO72"/>
    <mergeCell ref="F74:I74"/>
    <mergeCell ref="J74:M74"/>
    <mergeCell ref="N74:Q74"/>
    <mergeCell ref="R74:U74"/>
    <mergeCell ref="V74:Y74"/>
    <mergeCell ref="Z74:AC74"/>
    <mergeCell ref="AD74:AG74"/>
    <mergeCell ref="AH82:AK82"/>
    <mergeCell ref="AL82:AO82"/>
    <mergeCell ref="F82:I82"/>
    <mergeCell ref="J82:M82"/>
    <mergeCell ref="N82:Q82"/>
    <mergeCell ref="R82:U82"/>
    <mergeCell ref="V82:Y82"/>
    <mergeCell ref="Z82:AC82"/>
    <mergeCell ref="AD82:AG82"/>
    <mergeCell ref="B84:E85"/>
    <mergeCell ref="B86:E87"/>
    <mergeCell ref="B90:E91"/>
    <mergeCell ref="AX84:BA84"/>
    <mergeCell ref="BB84:BD84"/>
    <mergeCell ref="BE84:BE85"/>
    <mergeCell ref="N83:Q83"/>
    <mergeCell ref="R83:U83"/>
    <mergeCell ref="V83:Y83"/>
    <mergeCell ref="Z83:AC83"/>
    <mergeCell ref="AD83:AG83"/>
    <mergeCell ref="AH83:AK83"/>
    <mergeCell ref="AL83:AO83"/>
    <mergeCell ref="AP83:AS83"/>
    <mergeCell ref="AT83:AW83"/>
    <mergeCell ref="AH84:AK84"/>
    <mergeCell ref="AL84:AO84"/>
    <mergeCell ref="J84:M84"/>
    <mergeCell ref="N84:Q84"/>
    <mergeCell ref="R84:U84"/>
    <mergeCell ref="V84:Y84"/>
    <mergeCell ref="Z84:AC84"/>
    <mergeCell ref="AD84:AG84"/>
    <mergeCell ref="BF84:BF85"/>
    <mergeCell ref="BC86:BC87"/>
    <mergeCell ref="BD86:BD87"/>
    <mergeCell ref="BF86:BF87"/>
    <mergeCell ref="A95:E95"/>
    <mergeCell ref="F95:I95"/>
    <mergeCell ref="J95:M95"/>
    <mergeCell ref="N95:Q95"/>
    <mergeCell ref="R95:U95"/>
    <mergeCell ref="V95:Y95"/>
    <mergeCell ref="Z95:AC95"/>
    <mergeCell ref="BB86:BB87"/>
    <mergeCell ref="BB88:BB89"/>
    <mergeCell ref="BC88:BC89"/>
    <mergeCell ref="BD88:BD89"/>
    <mergeCell ref="BF88:BF91"/>
    <mergeCell ref="BC90:BC91"/>
    <mergeCell ref="BD90:BD91"/>
    <mergeCell ref="AP95:AS95"/>
    <mergeCell ref="AT95:AW95"/>
    <mergeCell ref="AX95:BA95"/>
    <mergeCell ref="BB90:BB91"/>
    <mergeCell ref="BB92:BB93"/>
    <mergeCell ref="BD92:BD93"/>
    <mergeCell ref="A96:A97"/>
    <mergeCell ref="B96:E97"/>
    <mergeCell ref="F96:I96"/>
    <mergeCell ref="J96:M96"/>
    <mergeCell ref="N96:Q96"/>
    <mergeCell ref="R96:U96"/>
    <mergeCell ref="V96:Y96"/>
    <mergeCell ref="BF106:BF107"/>
    <mergeCell ref="BF108:BF109"/>
    <mergeCell ref="AP96:AS96"/>
    <mergeCell ref="AT96:AW96"/>
    <mergeCell ref="AX96:BA96"/>
    <mergeCell ref="BB98:BB99"/>
    <mergeCell ref="BC98:BC99"/>
    <mergeCell ref="BD98:BD99"/>
    <mergeCell ref="BF98:BF99"/>
    <mergeCell ref="BC102:BC103"/>
    <mergeCell ref="BD102:BD103"/>
    <mergeCell ref="BF102:BF103"/>
    <mergeCell ref="AP106:AS106"/>
    <mergeCell ref="AT106:AW106"/>
    <mergeCell ref="AX106:BA106"/>
    <mergeCell ref="BB102:BB103"/>
    <mergeCell ref="AP104:AS104"/>
    <mergeCell ref="AX113:BA113"/>
    <mergeCell ref="AX115:BA115"/>
    <mergeCell ref="AX116:BA116"/>
    <mergeCell ref="AX117:BA117"/>
    <mergeCell ref="BB110:BB111"/>
    <mergeCell ref="BC110:BC111"/>
    <mergeCell ref="BD110:BD111"/>
    <mergeCell ref="AX112:BA112"/>
    <mergeCell ref="BB112:BC113"/>
    <mergeCell ref="BD112:BD113"/>
    <mergeCell ref="AP112:AS112"/>
    <mergeCell ref="AT112:AW112"/>
    <mergeCell ref="BF92:BF93"/>
    <mergeCell ref="AP94:AS94"/>
    <mergeCell ref="AT94:AW94"/>
    <mergeCell ref="AX94:BA94"/>
    <mergeCell ref="BC92:BC93"/>
    <mergeCell ref="BB94:BC95"/>
    <mergeCell ref="BD94:BD95"/>
    <mergeCell ref="BF94:BF95"/>
    <mergeCell ref="BB96:BD96"/>
    <mergeCell ref="BE96:BE97"/>
    <mergeCell ref="BF96:BF97"/>
    <mergeCell ref="BF110:BF111"/>
    <mergeCell ref="BF112:BF113"/>
    <mergeCell ref="BB104:BC105"/>
    <mergeCell ref="BD104:BD105"/>
    <mergeCell ref="BF104:BF105"/>
    <mergeCell ref="BE106:BE107"/>
    <mergeCell ref="BB108:BB109"/>
    <mergeCell ref="BC108:BC109"/>
    <mergeCell ref="BD108:BD109"/>
    <mergeCell ref="BE112:BE113"/>
    <mergeCell ref="BB106:BD106"/>
    <mergeCell ref="A108:A109"/>
    <mergeCell ref="B108:E109"/>
    <mergeCell ref="A110:A111"/>
    <mergeCell ref="B110:E111"/>
    <mergeCell ref="Z115:AC115"/>
    <mergeCell ref="AD115:AG115"/>
    <mergeCell ref="AH115:AK115"/>
    <mergeCell ref="AL115:AO115"/>
    <mergeCell ref="AP115:AS115"/>
    <mergeCell ref="AP113:AS113"/>
    <mergeCell ref="A112:E112"/>
    <mergeCell ref="F112:I112"/>
    <mergeCell ref="J112:M112"/>
    <mergeCell ref="N112:Q112"/>
    <mergeCell ref="R112:U112"/>
    <mergeCell ref="V112:Y112"/>
    <mergeCell ref="Z112:AC112"/>
    <mergeCell ref="AH113:AK113"/>
    <mergeCell ref="AL113:AO113"/>
    <mergeCell ref="F113:I113"/>
    <mergeCell ref="J113:M113"/>
    <mergeCell ref="N113:Q113"/>
    <mergeCell ref="R113:U113"/>
    <mergeCell ref="V113:Y113"/>
    <mergeCell ref="A113:E113"/>
    <mergeCell ref="A115:E115"/>
    <mergeCell ref="F115:I115"/>
    <mergeCell ref="J115:M115"/>
    <mergeCell ref="N115:Q115"/>
    <mergeCell ref="R115:U115"/>
    <mergeCell ref="V115:Y115"/>
    <mergeCell ref="AD116:AG116"/>
    <mergeCell ref="AH116:AK116"/>
    <mergeCell ref="A116:E116"/>
    <mergeCell ref="F116:I116"/>
    <mergeCell ref="J116:M116"/>
    <mergeCell ref="N116:Q116"/>
    <mergeCell ref="R116:U116"/>
    <mergeCell ref="V116:Y116"/>
    <mergeCell ref="Z116:AC116"/>
    <mergeCell ref="Z113:AC113"/>
    <mergeCell ref="AD113:AG113"/>
    <mergeCell ref="W123:AI123"/>
    <mergeCell ref="AL123:AW123"/>
    <mergeCell ref="A118:E118"/>
    <mergeCell ref="F118:BA118"/>
    <mergeCell ref="A117:E117"/>
    <mergeCell ref="F117:I117"/>
    <mergeCell ref="J117:M117"/>
    <mergeCell ref="N117:Q117"/>
    <mergeCell ref="R117:U117"/>
    <mergeCell ref="V117:Y117"/>
    <mergeCell ref="Z117:AC117"/>
    <mergeCell ref="AX42:BA42"/>
    <mergeCell ref="BB32:BB33"/>
    <mergeCell ref="BC32:BC33"/>
    <mergeCell ref="BD32:BD33"/>
    <mergeCell ref="BB34:BB35"/>
    <mergeCell ref="BB38:BB39"/>
    <mergeCell ref="AD117:AG117"/>
    <mergeCell ref="AH117:AK117"/>
    <mergeCell ref="AL117:AO117"/>
    <mergeCell ref="AP117:AS117"/>
    <mergeCell ref="AT117:AW117"/>
    <mergeCell ref="AT115:AW115"/>
    <mergeCell ref="AL116:AO116"/>
    <mergeCell ref="AP116:AS116"/>
    <mergeCell ref="AT116:AW116"/>
    <mergeCell ref="AT113:AW113"/>
    <mergeCell ref="AT104:AW104"/>
    <mergeCell ref="AX104:BA104"/>
    <mergeCell ref="AP105:AS105"/>
    <mergeCell ref="AT105:AW105"/>
    <mergeCell ref="AX105:BA105"/>
    <mergeCell ref="AD112:AG112"/>
    <mergeCell ref="AH112:AK112"/>
    <mergeCell ref="AL112:AO112"/>
    <mergeCell ref="A100:A101"/>
    <mergeCell ref="B100:E101"/>
    <mergeCell ref="BB100:BB101"/>
    <mergeCell ref="BC100:BC101"/>
    <mergeCell ref="BD100:BD101"/>
    <mergeCell ref="BF100:BF101"/>
    <mergeCell ref="B1:AJ2"/>
    <mergeCell ref="AK1:BF5"/>
    <mergeCell ref="BF64:BF65"/>
    <mergeCell ref="BF70:BF71"/>
    <mergeCell ref="A68:A69"/>
    <mergeCell ref="B68:E69"/>
    <mergeCell ref="BF68:BF69"/>
    <mergeCell ref="BD68:BD69"/>
    <mergeCell ref="BC68:BC69"/>
    <mergeCell ref="BB68:BB69"/>
    <mergeCell ref="BF32:BF33"/>
    <mergeCell ref="A66:A67"/>
    <mergeCell ref="B66:E67"/>
    <mergeCell ref="BF66:BF67"/>
    <mergeCell ref="BB66:BB67"/>
    <mergeCell ref="BC66:BC67"/>
    <mergeCell ref="BD66:BD67"/>
    <mergeCell ref="B70:E71"/>
  </mergeCells>
  <conditionalFormatting sqref="AJ5">
    <cfRule type="cellIs" dxfId="206" priority="1" stopIfTrue="1" operator="equal">
      <formula>"P"</formula>
    </cfRule>
  </conditionalFormatting>
  <conditionalFormatting sqref="AQ28 AA24 AJ28:AO28 AD102:AF102 AH102:AJ102 AX102:AZ102 AP102:AV102 Y24 AG24 AC98:AF98 F30:G30 AG30:AI30 F29:BA29 AF26:AG27 AD26:AD27 F35:BA35 AN34:BA34 BA98 AV98:AY98 AJ60:BA60 AL24:AN24 AP24:AV24 AL26:AN27 K26:K27 AO8:BA11 F31:BA31 F34:L34 N34:AL34 F28:U28 F48:N48 F8:J8 F9:K9 F10:J11 M8:AM11 Z28:AH28 I30:AA30 AC30:AE30 AK30:AM30 AO30:AV30 AX30:AY30 BA30 F45:BA45 AA46:BA46 F46:Y46 AH48:BA48 F47:U47 W47:BA47 P48:AF48 F49:BA55 V60:AH60 V61:BA71 AH98:AT98 AL102:AN102 AH24:AK27 F32:M33 F77:U77 F80:BA80 P44:BA44 F81:U81 F44:N44 H24:V24 AN10 F86:AH93 AL87:BA92">
    <cfRule type="cellIs" dxfId="205" priority="2" operator="equal">
      <formula>"C"</formula>
    </cfRule>
  </conditionalFormatting>
  <conditionalFormatting sqref="AQ28 AA24 AJ28:AO28 AD102:AF102 AH102:AJ102 AX102:AZ102 AP102:AV102 Y24 AG24 AC98:AF98 F30:G30 AG30:AI30 F29:BA29 AF26:AG27 AD26:AD27 F35:BA35 AN34:BA34 BA98 AV98:AY98 AJ60:BA60 AL24:AN24 AP24:AV24 AL26:AN27 K26:K27 AO8:BA11 F31:BA31 F34:L34 N34:AL34 F28:U28 F48:N48 F8:J8 F9:K9 F10:J11 M8:AM11 Z28:AH28 I30:AA30 AC30:AE30 AK30:AM30 AO30:AV30 AX30:AY30 BA30 F45:BA45 AA46:BA46 F46:Y46 AH48:BA48 F47:U47 W47:BA47 P48:AF48 F49:BA55 V60:AH60 V61:BA71 AH98:AT98 AL102:AN102 AH24:AK27 F32:M33 F77:U77 F80:BA80 P44:BA44 F81:U81 F44:N44 H24:V24 AN10 F86:AH93 AL87:BA92">
    <cfRule type="cellIs" dxfId="204" priority="3" operator="equal">
      <formula>"A"</formula>
    </cfRule>
  </conditionalFormatting>
  <conditionalFormatting sqref="AQ28 AA24 AJ28:AO28 AD102:AF102 AH102:AJ102 AX102:AZ102 AP102:AV102 Y24 AG24 AC98:AF98 F30:G30 AG30:AI30 F29:BA29 AF26:AG27 AD26:AD27 F35:BA35 AN34:BA34 BA98 AV98:AY98 AJ60:BA60 AL24:AN24 AP24:AV24 AL26:AN27 K26:K27 AO8:BA11 F31:BA31 F34:L34 N34:AL34 F28:U28 F48:N48 F8:J8 F9:K9 F10:J11 M8:AM11 Z28:AH28 I30:AA30 AC30:AE30 AK30:AM30 AO30:AV30 AX30:AY30 BA30 F45:BA45 AA46:BA46 F46:Y46 AH48:BA48 F47:U47 W47:BA47 P48:AF48 F49:BA55 V60:AH60 V61:BA71 AH98:AT98 AL102:AN102 AH24:AK27 F32:M33 F77:U77 F80:BA80 P44:BA44 F81:U81 F44:N44 H24:V24 AN10 F86:AH93 AL87:BA92">
    <cfRule type="cellIs" dxfId="203" priority="4" operator="equal">
      <formula>"R"</formula>
    </cfRule>
  </conditionalFormatting>
  <conditionalFormatting sqref="AQ28 AA24 AJ28:AO28 AD102:AF102 AH102:AJ102 AX102:AZ102 AP102:AV102 Y24 AG24 AC98:AF98 F30:G30 AG30:AI30 F29:BA29 AF26:AG27 AD26:AD27 F35:BA35 AN34:BA34 BA98 AV98:AY98 AJ60:BA60 AL24:AN24 AP24:AV24 AL26:AN27 K26:K27 AO8:BA11 F31:BA31 F34:L34 N34:AL34 F28:U28 F48:N48 F8:J8 F9:K9 F10:J11 M8:AM11 Z28:AH28 I30:AA30 AC30:AE30 AK30:AM30 AO30:AV30 AX30:AY30 BA30 F45:BA45 AA46:BA46 F46:Y46 AH48:BA48 F47:U47 W47:BA47 P48:AF48 F49:BA55 V60:AH60 V61:BA71 AH98:AT98 AL102:AN102 AH24:AK27 F32:M33 F77:U77 F80:BA80 P44:BA44 F81:U81 F44:N44 H24:V24 AN10 F86:AH93 AL87:BA92">
    <cfRule type="cellIs" dxfId="202" priority="5" operator="equal">
      <formula>"P"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201" priority="6" operator="equal">
      <formula>"C"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200" priority="7" operator="equal">
      <formula>"A"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199" priority="8" operator="equal">
      <formula>"R"</formula>
    </cfRule>
  </conditionalFormatting>
  <conditionalFormatting sqref="H25:V25 AR28:AV28 F36:H36 AC24:AF24 Y25:AG25 W25:X27 AX24:BA24 AX28:BA28 AL25:BA25 AQ26:BA27 AP26:AP28 Y26:AC27 AE26 L27:V27 F26:J27 W24 L26:T26 V26 V28:X28 F37:BA37 J36:L36 N36:P36 R36:T36 V36:X36 Z36:AB36 AD36:AF36 AH36:AJ36 AL36:AN36 AP36:AR36 AT36:AV36 AX36:AZ36">
    <cfRule type="cellIs" dxfId="198" priority="9" operator="equal">
      <formula>"P"</formula>
    </cfRule>
  </conditionalFormatting>
  <conditionalFormatting sqref="F103:BA103 F102:G102 I102:S102 U102:X102 AB102 Z102">
    <cfRule type="cellIs" dxfId="197" priority="10" operator="equal">
      <formula>"C"</formula>
    </cfRule>
  </conditionalFormatting>
  <conditionalFormatting sqref="F103:BA103 F102:G102 I102:S102 U102:X102 AB102 Z102">
    <cfRule type="cellIs" dxfId="196" priority="11" operator="equal">
      <formula>"A"</formula>
    </cfRule>
  </conditionalFormatting>
  <conditionalFormatting sqref="F103:BA103 F102:G102 I102:S102 U102:X102 AB102 Z102">
    <cfRule type="cellIs" dxfId="195" priority="12" operator="equal">
      <formula>"R"</formula>
    </cfRule>
  </conditionalFormatting>
  <conditionalFormatting sqref="F103:BA103 F102:G102 I102:S102 U102:X102 AB102 Z102">
    <cfRule type="cellIs" dxfId="194" priority="13" operator="equal">
      <formula>"P"</formula>
    </cfRule>
  </conditionalFormatting>
  <conditionalFormatting sqref="BA102">
    <cfRule type="cellIs" dxfId="193" priority="14" operator="equal">
      <formula>"C"</formula>
    </cfRule>
  </conditionalFormatting>
  <conditionalFormatting sqref="BA102">
    <cfRule type="cellIs" dxfId="192" priority="15" operator="equal">
      <formula>"A"</formula>
    </cfRule>
  </conditionalFormatting>
  <conditionalFormatting sqref="BA102">
    <cfRule type="cellIs" dxfId="191" priority="16" operator="equal">
      <formula>"R"</formula>
    </cfRule>
  </conditionalFormatting>
  <conditionalFormatting sqref="BA102">
    <cfRule type="cellIs" dxfId="190" priority="17" operator="equal">
      <formula>"P"</formula>
    </cfRule>
  </conditionalFormatting>
  <conditionalFormatting sqref="F98 I98:AA98 W99:X101">
    <cfRule type="cellIs" dxfId="189" priority="18" operator="equal">
      <formula>"C"</formula>
    </cfRule>
  </conditionalFormatting>
  <conditionalFormatting sqref="F98 I98:AA98 W99:X101">
    <cfRule type="cellIs" dxfId="188" priority="19" operator="equal">
      <formula>"A"</formula>
    </cfRule>
  </conditionalFormatting>
  <conditionalFormatting sqref="F98 I98:AA98 W99:X101">
    <cfRule type="cellIs" dxfId="187" priority="20" operator="equal">
      <formula>"R"</formula>
    </cfRule>
  </conditionalFormatting>
  <conditionalFormatting sqref="F98 I98:AA98 W99:X101">
    <cfRule type="cellIs" dxfId="186" priority="21" operator="equal">
      <formula>"P"</formula>
    </cfRule>
  </conditionalFormatting>
  <conditionalFormatting sqref="AW28">
    <cfRule type="cellIs" dxfId="185" priority="22" operator="equal">
      <formula>"C"</formula>
    </cfRule>
  </conditionalFormatting>
  <conditionalFormatting sqref="AW28">
    <cfRule type="cellIs" dxfId="184" priority="23" operator="equal">
      <formula>"A"</formula>
    </cfRule>
  </conditionalFormatting>
  <conditionalFormatting sqref="AW28">
    <cfRule type="cellIs" dxfId="183" priority="24" operator="equal">
      <formula>"R"</formula>
    </cfRule>
  </conditionalFormatting>
  <conditionalFormatting sqref="AW28">
    <cfRule type="cellIs" dxfId="182" priority="25" operator="equal">
      <formula>"P"</formula>
    </cfRule>
  </conditionalFormatting>
  <conditionalFormatting sqref="F99:V101 Y99:AT101 AV99:BA101">
    <cfRule type="cellIs" dxfId="181" priority="26" operator="equal">
      <formula>"C"</formula>
    </cfRule>
  </conditionalFormatting>
  <conditionalFormatting sqref="F99:V101 Y99:AT101 AV99:BA101">
    <cfRule type="cellIs" dxfId="180" priority="27" operator="equal">
      <formula>"A"</formula>
    </cfRule>
  </conditionalFormatting>
  <conditionalFormatting sqref="F99:V101 Y99:AT101 AV99:BA101">
    <cfRule type="cellIs" dxfId="179" priority="28" operator="equal">
      <formula>"R"</formula>
    </cfRule>
  </conditionalFormatting>
  <conditionalFormatting sqref="F99:V101 Y99:AT101 AV99:BA101">
    <cfRule type="cellIs" dxfId="178" priority="29" operator="equal">
      <formula>"P"</formula>
    </cfRule>
  </conditionalFormatting>
  <conditionalFormatting sqref="BD110:BD111 BD44:BD55 BD60:BD66 BD86:BD93 BD24:BD39 BD70:BD71 BD68">
    <cfRule type="cellIs" dxfId="177" priority="30" operator="equal">
      <formula>1</formula>
    </cfRule>
  </conditionalFormatting>
  <conditionalFormatting sqref="AM34">
    <cfRule type="cellIs" dxfId="176" priority="31" operator="equal">
      <formula>"C"</formula>
    </cfRule>
  </conditionalFormatting>
  <conditionalFormatting sqref="AM34">
    <cfRule type="cellIs" dxfId="175" priority="32" operator="equal">
      <formula>"A"</formula>
    </cfRule>
  </conditionalFormatting>
  <conditionalFormatting sqref="AM34">
    <cfRule type="cellIs" dxfId="174" priority="33" operator="equal">
      <formula>"R"</formula>
    </cfRule>
  </conditionalFormatting>
  <conditionalFormatting sqref="AM34">
    <cfRule type="cellIs" dxfId="173" priority="34" operator="equal">
      <formula>"P"</formula>
    </cfRule>
  </conditionalFormatting>
  <conditionalFormatting sqref="H30">
    <cfRule type="cellIs" dxfId="172" priority="35" operator="equal">
      <formula>"C"</formula>
    </cfRule>
  </conditionalFormatting>
  <conditionalFormatting sqref="H30">
    <cfRule type="cellIs" dxfId="171" priority="36" operator="equal">
      <formula>"A"</formula>
    </cfRule>
  </conditionalFormatting>
  <conditionalFormatting sqref="H30">
    <cfRule type="cellIs" dxfId="170" priority="37" operator="equal">
      <formula>"R"</formula>
    </cfRule>
  </conditionalFormatting>
  <conditionalFormatting sqref="H30">
    <cfRule type="cellIs" dxfId="169" priority="38" operator="equal">
      <formula>"P"</formula>
    </cfRule>
  </conditionalFormatting>
  <conditionalFormatting sqref="H98">
    <cfRule type="cellIs" dxfId="168" priority="39" operator="equal">
      <formula>"C"</formula>
    </cfRule>
  </conditionalFormatting>
  <conditionalFormatting sqref="H98">
    <cfRule type="cellIs" dxfId="167" priority="40" operator="equal">
      <formula>"A"</formula>
    </cfRule>
  </conditionalFormatting>
  <conditionalFormatting sqref="H98">
    <cfRule type="cellIs" dxfId="166" priority="41" operator="equal">
      <formula>"R"</formula>
    </cfRule>
  </conditionalFormatting>
  <conditionalFormatting sqref="H98">
    <cfRule type="cellIs" dxfId="165" priority="42" operator="equal">
      <formula>"P"</formula>
    </cfRule>
  </conditionalFormatting>
  <conditionalFormatting sqref="H102">
    <cfRule type="cellIs" dxfId="164" priority="43" operator="equal">
      <formula>"C"</formula>
    </cfRule>
  </conditionalFormatting>
  <conditionalFormatting sqref="H102">
    <cfRule type="cellIs" dxfId="163" priority="44" operator="equal">
      <formula>"A"</formula>
    </cfRule>
  </conditionalFormatting>
  <conditionalFormatting sqref="H102">
    <cfRule type="cellIs" dxfId="162" priority="45" operator="equal">
      <formula>"R"</formula>
    </cfRule>
  </conditionalFormatting>
  <conditionalFormatting sqref="H102">
    <cfRule type="cellIs" dxfId="161" priority="46" operator="equal">
      <formula>"P"</formula>
    </cfRule>
  </conditionalFormatting>
  <conditionalFormatting sqref="F60:U71">
    <cfRule type="cellIs" dxfId="160" priority="47" operator="equal">
      <formula>"C"</formula>
    </cfRule>
  </conditionalFormatting>
  <conditionalFormatting sqref="F60:U71">
    <cfRule type="cellIs" dxfId="159" priority="48" operator="equal">
      <formula>"A"</formula>
    </cfRule>
  </conditionalFormatting>
  <conditionalFormatting sqref="F60:U71">
    <cfRule type="cellIs" dxfId="158" priority="49" operator="equal">
      <formula>"R"</formula>
    </cfRule>
  </conditionalFormatting>
  <conditionalFormatting sqref="F60:U71">
    <cfRule type="cellIs" dxfId="157" priority="50" operator="equal">
      <formula>"P"</formula>
    </cfRule>
  </conditionalFormatting>
  <conditionalFormatting sqref="X24">
    <cfRule type="cellIs" dxfId="156" priority="51" operator="equal">
      <formula>"C"</formula>
    </cfRule>
  </conditionalFormatting>
  <conditionalFormatting sqref="X24">
    <cfRule type="cellIs" dxfId="155" priority="52" operator="equal">
      <formula>"A"</formula>
    </cfRule>
  </conditionalFormatting>
  <conditionalFormatting sqref="X24">
    <cfRule type="cellIs" dxfId="154" priority="53" operator="equal">
      <formula>"R"</formula>
    </cfRule>
  </conditionalFormatting>
  <conditionalFormatting sqref="X24">
    <cfRule type="cellIs" dxfId="153" priority="54" operator="equal">
      <formula>"P"</formula>
    </cfRule>
  </conditionalFormatting>
  <conditionalFormatting sqref="AG98">
    <cfRule type="cellIs" dxfId="152" priority="55" operator="equal">
      <formula>"C"</formula>
    </cfRule>
  </conditionalFormatting>
  <conditionalFormatting sqref="AG98">
    <cfRule type="cellIs" dxfId="151" priority="56" operator="equal">
      <formula>"A"</formula>
    </cfRule>
  </conditionalFormatting>
  <conditionalFormatting sqref="AG98">
    <cfRule type="cellIs" dxfId="150" priority="57" operator="equal">
      <formula>"R"</formula>
    </cfRule>
  </conditionalFormatting>
  <conditionalFormatting sqref="AG98">
    <cfRule type="cellIs" dxfId="149" priority="58" operator="equal">
      <formula>"P"</formula>
    </cfRule>
  </conditionalFormatting>
  <conditionalFormatting sqref="AC102">
    <cfRule type="cellIs" dxfId="148" priority="59" operator="equal">
      <formula>"C"</formula>
    </cfRule>
  </conditionalFormatting>
  <conditionalFormatting sqref="AC102">
    <cfRule type="cellIs" dxfId="147" priority="60" operator="equal">
      <formula>"A"</formula>
    </cfRule>
  </conditionalFormatting>
  <conditionalFormatting sqref="AC102">
    <cfRule type="cellIs" dxfId="146" priority="61" operator="equal">
      <formula>"R"</formula>
    </cfRule>
  </conditionalFormatting>
  <conditionalFormatting sqref="AC102">
    <cfRule type="cellIs" dxfId="145" priority="62" operator="equal">
      <formula>"P"</formula>
    </cfRule>
  </conditionalFormatting>
  <conditionalFormatting sqref="U26">
    <cfRule type="cellIs" dxfId="144" priority="63" operator="equal">
      <formula>"C"</formula>
    </cfRule>
  </conditionalFormatting>
  <conditionalFormatting sqref="U26">
    <cfRule type="cellIs" dxfId="143" priority="64" operator="equal">
      <formula>"A"</formula>
    </cfRule>
  </conditionalFormatting>
  <conditionalFormatting sqref="U26">
    <cfRule type="cellIs" dxfId="142" priority="65" operator="equal">
      <formula>"R"</formula>
    </cfRule>
  </conditionalFormatting>
  <conditionalFormatting sqref="U26">
    <cfRule type="cellIs" dxfId="141" priority="66" operator="equal">
      <formula>"P"</formula>
    </cfRule>
  </conditionalFormatting>
  <conditionalFormatting sqref="F108:BA111">
    <cfRule type="cellIs" dxfId="140" priority="67" operator="equal">
      <formula>"C"</formula>
    </cfRule>
  </conditionalFormatting>
  <conditionalFormatting sqref="F108:BA111">
    <cfRule type="cellIs" dxfId="139" priority="68" operator="equal">
      <formula>"A"</formula>
    </cfRule>
  </conditionalFormatting>
  <conditionalFormatting sqref="F108:BA111">
    <cfRule type="cellIs" dxfId="138" priority="69" operator="equal">
      <formula>"R"</formula>
    </cfRule>
  </conditionalFormatting>
  <conditionalFormatting sqref="F108:BA111">
    <cfRule type="cellIs" dxfId="137" priority="70" operator="equal">
      <formula>"P"</formula>
    </cfRule>
  </conditionalFormatting>
  <conditionalFormatting sqref="L8:L11">
    <cfRule type="cellIs" dxfId="136" priority="71" operator="equal">
      <formula>"C"</formula>
    </cfRule>
  </conditionalFormatting>
  <conditionalFormatting sqref="L8:L11">
    <cfRule type="cellIs" dxfId="135" priority="72" operator="equal">
      <formula>"A"</formula>
    </cfRule>
  </conditionalFormatting>
  <conditionalFormatting sqref="L8:L11">
    <cfRule type="cellIs" dxfId="134" priority="73" operator="equal">
      <formula>"R"</formula>
    </cfRule>
  </conditionalFormatting>
  <conditionalFormatting sqref="L8:L11">
    <cfRule type="cellIs" dxfId="133" priority="74" operator="equal">
      <formula>"P"</formula>
    </cfRule>
  </conditionalFormatting>
  <conditionalFormatting sqref="N33:BA33 N32:X32 Z32:BA32">
    <cfRule type="cellIs" dxfId="132" priority="75" operator="equal">
      <formula>"C"</formula>
    </cfRule>
  </conditionalFormatting>
  <conditionalFormatting sqref="N33:BA33 N32:X32 Z32:BA32">
    <cfRule type="cellIs" dxfId="131" priority="76" operator="equal">
      <formula>"A"</formula>
    </cfRule>
  </conditionalFormatting>
  <conditionalFormatting sqref="N33:BA33 N32:X32 Z32:BA32">
    <cfRule type="cellIs" dxfId="130" priority="77" operator="equal">
      <formula>"R"</formula>
    </cfRule>
  </conditionalFormatting>
  <conditionalFormatting sqref="N33:BA33 N32:X32 Z32:BA32">
    <cfRule type="cellIs" dxfId="129" priority="78" operator="equal">
      <formula>"P"</formula>
    </cfRule>
  </conditionalFormatting>
  <conditionalFormatting sqref="Y32">
    <cfRule type="cellIs" dxfId="128" priority="79" operator="equal">
      <formula>"C"</formula>
    </cfRule>
  </conditionalFormatting>
  <conditionalFormatting sqref="Y32">
    <cfRule type="cellIs" dxfId="127" priority="80" operator="equal">
      <formula>"A"</formula>
    </cfRule>
  </conditionalFormatting>
  <conditionalFormatting sqref="Y32">
    <cfRule type="cellIs" dxfId="126" priority="81" operator="equal">
      <formula>"R"</formula>
    </cfRule>
  </conditionalFormatting>
  <conditionalFormatting sqref="Y32">
    <cfRule type="cellIs" dxfId="125" priority="82" operator="equal">
      <formula>"P"</formula>
    </cfRule>
  </conditionalFormatting>
  <conditionalFormatting sqref="I36 M36 Q36 U36 Y36 AC36 AG36 AK36 AO36 AS36 AW36 BA36">
    <cfRule type="cellIs" dxfId="124" priority="83" operator="equal">
      <formula>"C"</formula>
    </cfRule>
  </conditionalFormatting>
  <conditionalFormatting sqref="I36 M36 Q36 U36 Y36 AC36 AG36 AK36 AO36 AS36 AW36 BA36">
    <cfRule type="cellIs" dxfId="123" priority="84" operator="equal">
      <formula>"A"</formula>
    </cfRule>
  </conditionalFormatting>
  <conditionalFormatting sqref="I36 M36 Q36 U36 Y36 AC36 AG36 AK36 AO36 AS36 AW36 BA36">
    <cfRule type="cellIs" dxfId="122" priority="85" operator="equal">
      <formula>"R"</formula>
    </cfRule>
  </conditionalFormatting>
  <conditionalFormatting sqref="I36 M36 Q36 U36 Y36 AC36 AG36 AK36 AO36 AS36 AW36 BA36">
    <cfRule type="cellIs" dxfId="121" priority="86" operator="equal">
      <formula>"P"</formula>
    </cfRule>
  </conditionalFormatting>
  <conditionalFormatting sqref="F76:BA76">
    <cfRule type="cellIs" dxfId="120" priority="87" operator="equal">
      <formula>"C"</formula>
    </cfRule>
  </conditionalFormatting>
  <conditionalFormatting sqref="F76:BA76">
    <cfRule type="cellIs" dxfId="119" priority="88" operator="equal">
      <formula>"A"</formula>
    </cfRule>
  </conditionalFormatting>
  <conditionalFormatting sqref="F76:BA76">
    <cfRule type="cellIs" dxfId="118" priority="89" operator="equal">
      <formula>"R"</formula>
    </cfRule>
  </conditionalFormatting>
  <conditionalFormatting sqref="F76:BA76">
    <cfRule type="cellIs" dxfId="117" priority="90" operator="equal">
      <formula>"P"</formula>
    </cfRule>
  </conditionalFormatting>
  <conditionalFormatting sqref="F24:G25">
    <cfRule type="cellIs" dxfId="116" priority="91" operator="equal">
      <formula>"C"</formula>
    </cfRule>
  </conditionalFormatting>
  <conditionalFormatting sqref="F24:G25">
    <cfRule type="cellIs" dxfId="115" priority="92" operator="equal">
      <formula>"A"</formula>
    </cfRule>
  </conditionalFormatting>
  <conditionalFormatting sqref="F24:G25">
    <cfRule type="cellIs" dxfId="114" priority="93" operator="equal">
      <formula>"R"</formula>
    </cfRule>
  </conditionalFormatting>
  <conditionalFormatting sqref="F24:G25">
    <cfRule type="cellIs" dxfId="113" priority="94" operator="equal">
      <formula>"P"</formula>
    </cfRule>
  </conditionalFormatting>
  <conditionalFormatting sqref="AO12:BA13 F12:J13 M12:AM13">
    <cfRule type="cellIs" dxfId="112" priority="95" operator="equal">
      <formula>"C"</formula>
    </cfRule>
  </conditionalFormatting>
  <conditionalFormatting sqref="AO12:BA13 F12:J13 M12:AM13">
    <cfRule type="cellIs" dxfId="111" priority="96" operator="equal">
      <formula>"A"</formula>
    </cfRule>
  </conditionalFormatting>
  <conditionalFormatting sqref="AO12:BA13 F12:J13 M12:AM13">
    <cfRule type="cellIs" dxfId="110" priority="97" operator="equal">
      <formula>"R"</formula>
    </cfRule>
  </conditionalFormatting>
  <conditionalFormatting sqref="AO12:BA13 F12:J13 M12:AM13">
    <cfRule type="cellIs" dxfId="109" priority="98" operator="equal">
      <formula>"P"</formula>
    </cfRule>
  </conditionalFormatting>
  <conditionalFormatting sqref="AK102">
    <cfRule type="cellIs" dxfId="108" priority="99" operator="equal">
      <formula>"C"</formula>
    </cfRule>
  </conditionalFormatting>
  <conditionalFormatting sqref="AK102">
    <cfRule type="cellIs" dxfId="107" priority="100" operator="equal">
      <formula>"A"</formula>
    </cfRule>
  </conditionalFormatting>
  <conditionalFormatting sqref="AK102">
    <cfRule type="cellIs" dxfId="106" priority="101" operator="equal">
      <formula>"R"</formula>
    </cfRule>
  </conditionalFormatting>
  <conditionalFormatting sqref="AK102">
    <cfRule type="cellIs" dxfId="105" priority="102" operator="equal">
      <formula>"P"</formula>
    </cfRule>
  </conditionalFormatting>
  <conditionalFormatting sqref="F38:H38 F39:BA39 J38:L38 N38:P38 R38:T38 V38:X38 Z38:AB38 AD38:AF38 AH38:AJ38 AL38:AN38 AP38:AR38 AT38:AV38 AX38:AZ38">
    <cfRule type="cellIs" dxfId="104" priority="103" operator="equal">
      <formula>"C"</formula>
    </cfRule>
  </conditionalFormatting>
  <conditionalFormatting sqref="F38:H38 F39:BA39 J38:L38 N38:P38 R38:T38 V38:X38 Z38:AB38 AD38:AF38 AH38:AJ38 AL38:AN38 AP38:AR38 AT38:AV38 AX38:AZ38">
    <cfRule type="cellIs" dxfId="103" priority="104" operator="equal">
      <formula>"A"</formula>
    </cfRule>
  </conditionalFormatting>
  <conditionalFormatting sqref="F38:H38 F39:BA39 J38:L38 N38:P38 R38:T38 V38:X38 Z38:AB38 AD38:AF38 AH38:AJ38 AL38:AN38 AP38:AR38 AT38:AV38 AX38:AZ38">
    <cfRule type="cellIs" dxfId="102" priority="105" operator="equal">
      <formula>"R"</formula>
    </cfRule>
  </conditionalFormatting>
  <conditionalFormatting sqref="F38:H38 F39:BA39 J38:L38 N38:P38 R38:T38 V38:X38 Z38:AB38 AD38:AF38 AH38:AJ38 AL38:AN38 AP38:AR38 AT38:AV38 AX38:AZ38">
    <cfRule type="cellIs" dxfId="101" priority="106" operator="equal">
      <formula>"P"</formula>
    </cfRule>
  </conditionalFormatting>
  <conditionalFormatting sqref="I38 M38 Q38 U38 Y38 AC38 AG38 AK38 AO38 AS38 AW38 BA38">
    <cfRule type="cellIs" dxfId="100" priority="107" operator="equal">
      <formula>"C"</formula>
    </cfRule>
  </conditionalFormatting>
  <conditionalFormatting sqref="I38 M38 Q38 U38 Y38 AC38 AG38 AK38 AO38 AS38 AW38 BA38">
    <cfRule type="cellIs" dxfId="99" priority="108" operator="equal">
      <formula>"A"</formula>
    </cfRule>
  </conditionalFormatting>
  <conditionalFormatting sqref="I38 M38 Q38 U38 Y38 AC38 AG38 AK38 AO38 AS38 AW38 BA38">
    <cfRule type="cellIs" dxfId="98" priority="109" operator="equal">
      <formula>"R"</formula>
    </cfRule>
  </conditionalFormatting>
  <conditionalFormatting sqref="I38 M38 Q38 U38 Y38 AC38 AG38 AK38 AO38 AS38 AW38 BA38">
    <cfRule type="cellIs" dxfId="97" priority="110" operator="equal">
      <formula>"P"</formula>
    </cfRule>
  </conditionalFormatting>
  <conditionalFormatting sqref="AZ98">
    <cfRule type="cellIs" dxfId="96" priority="111" operator="equal">
      <formula>"C"</formula>
    </cfRule>
  </conditionalFormatting>
  <conditionalFormatting sqref="AZ98">
    <cfRule type="cellIs" dxfId="95" priority="112" operator="equal">
      <formula>"A"</formula>
    </cfRule>
  </conditionalFormatting>
  <conditionalFormatting sqref="AZ98">
    <cfRule type="cellIs" dxfId="94" priority="113" operator="equal">
      <formula>"R"</formula>
    </cfRule>
  </conditionalFormatting>
  <conditionalFormatting sqref="AZ98">
    <cfRule type="cellIs" dxfId="93" priority="114" operator="equal">
      <formula>"P"</formula>
    </cfRule>
  </conditionalFormatting>
  <conditionalFormatting sqref="AU99:AU101">
    <cfRule type="cellIs" dxfId="92" priority="115" operator="equal">
      <formula>"C"</formula>
    </cfRule>
  </conditionalFormatting>
  <conditionalFormatting sqref="AU99:AU101">
    <cfRule type="cellIs" dxfId="91" priority="116" operator="equal">
      <formula>"A"</formula>
    </cfRule>
  </conditionalFormatting>
  <conditionalFormatting sqref="AU99:AU101">
    <cfRule type="cellIs" dxfId="90" priority="117" operator="equal">
      <formula>"R"</formula>
    </cfRule>
  </conditionalFormatting>
  <conditionalFormatting sqref="AU99:AU101">
    <cfRule type="cellIs" dxfId="89" priority="118" operator="equal">
      <formula>"P"</formula>
    </cfRule>
  </conditionalFormatting>
  <conditionalFormatting sqref="V77:BA77 AJ86:BA86 AJ88:AK90 V81:BA81 AJ93:BA93 AI91:AK91 AI87:AK87 AJ92:AK92">
    <cfRule type="cellIs" dxfId="88" priority="119" operator="equal">
      <formula>"C"</formula>
    </cfRule>
  </conditionalFormatting>
  <conditionalFormatting sqref="V77:BA77 AJ86:BA86 AJ88:AK90 V81:BA81 AJ93:BA93 AI91:AK91 AI87:AK87 AJ92:AK92">
    <cfRule type="cellIs" dxfId="87" priority="120" operator="equal">
      <formula>"A"</formula>
    </cfRule>
  </conditionalFormatting>
  <conditionalFormatting sqref="V77:BA77 AJ86:BA86 AJ88:AK90 V81:BA81 AJ93:BA93 AI91:AK91 AI87:AK87 AJ92:AK92">
    <cfRule type="cellIs" dxfId="86" priority="121" operator="equal">
      <formula>"R"</formula>
    </cfRule>
  </conditionalFormatting>
  <conditionalFormatting sqref="V77:BA77 AJ86:BA86 AJ88:AK90 V81:BA81 AJ93:BA93 AI91:AK91 AI87:AK87 AJ92:AK92">
    <cfRule type="cellIs" dxfId="85" priority="122" operator="equal">
      <formula>"P"</formula>
    </cfRule>
  </conditionalFormatting>
  <conditionalFormatting sqref="L12:L13">
    <cfRule type="cellIs" dxfId="84" priority="123" operator="equal">
      <formula>"C"</formula>
    </cfRule>
  </conditionalFormatting>
  <conditionalFormatting sqref="L12:L13">
    <cfRule type="cellIs" dxfId="83" priority="124" operator="equal">
      <formula>"A"</formula>
    </cfRule>
  </conditionalFormatting>
  <conditionalFormatting sqref="L12:L13">
    <cfRule type="cellIs" dxfId="82" priority="125" operator="equal">
      <formula>"R"</formula>
    </cfRule>
  </conditionalFormatting>
  <conditionalFormatting sqref="L12:L13">
    <cfRule type="cellIs" dxfId="81" priority="126" operator="equal">
      <formula>"P"</formula>
    </cfRule>
  </conditionalFormatting>
  <conditionalFormatting sqref="AO14:BA15 F14:J15 M14:AM15">
    <cfRule type="cellIs" dxfId="80" priority="127" operator="equal">
      <formula>"C"</formula>
    </cfRule>
  </conditionalFormatting>
  <conditionalFormatting sqref="AO14:BA15 F14:J15 M14:AM15">
    <cfRule type="cellIs" dxfId="79" priority="128" operator="equal">
      <formula>"A"</formula>
    </cfRule>
  </conditionalFormatting>
  <conditionalFormatting sqref="AO14:BA15 F14:J15 M14:AM15">
    <cfRule type="cellIs" dxfId="78" priority="129" operator="equal">
      <formula>"R"</formula>
    </cfRule>
  </conditionalFormatting>
  <conditionalFormatting sqref="AO14:BA15 F14:J15 M14:AM15">
    <cfRule type="cellIs" dxfId="77" priority="130" operator="equal">
      <formula>"P"</formula>
    </cfRule>
  </conditionalFormatting>
  <conditionalFormatting sqref="L14:L15">
    <cfRule type="cellIs" dxfId="76" priority="131" operator="equal">
      <formula>"C"</formula>
    </cfRule>
  </conditionalFormatting>
  <conditionalFormatting sqref="L14:L15">
    <cfRule type="cellIs" dxfId="75" priority="132" operator="equal">
      <formula>"A"</formula>
    </cfRule>
  </conditionalFormatting>
  <conditionalFormatting sqref="L14:L15">
    <cfRule type="cellIs" dxfId="74" priority="133" operator="equal">
      <formula>"R"</formula>
    </cfRule>
  </conditionalFormatting>
  <conditionalFormatting sqref="L14:L15">
    <cfRule type="cellIs" dxfId="73" priority="134" operator="equal">
      <formula>"P"</formula>
    </cfRule>
  </conditionalFormatting>
  <conditionalFormatting sqref="AO16:BA17 F16:J17 M16:AM17">
    <cfRule type="cellIs" dxfId="72" priority="135" operator="equal">
      <formula>"C"</formula>
    </cfRule>
  </conditionalFormatting>
  <conditionalFormatting sqref="AO16:BA17 F16:J17 M16:AM17">
    <cfRule type="cellIs" dxfId="71" priority="136" operator="equal">
      <formula>"A"</formula>
    </cfRule>
  </conditionalFormatting>
  <conditionalFormatting sqref="AO16:BA17 F16:J17 M16:AM17">
    <cfRule type="cellIs" dxfId="70" priority="137" operator="equal">
      <formula>"R"</formula>
    </cfRule>
  </conditionalFormatting>
  <conditionalFormatting sqref="AO16:BA17 F16:J17 M16:AM17">
    <cfRule type="cellIs" dxfId="69" priority="138" operator="equal">
      <formula>"P"</formula>
    </cfRule>
  </conditionalFormatting>
  <conditionalFormatting sqref="L16:L17">
    <cfRule type="cellIs" dxfId="68" priority="139" operator="equal">
      <formula>"C"</formula>
    </cfRule>
  </conditionalFormatting>
  <conditionalFormatting sqref="L16:L17">
    <cfRule type="cellIs" dxfId="67" priority="140" operator="equal">
      <formula>"A"</formula>
    </cfRule>
  </conditionalFormatting>
  <conditionalFormatting sqref="L16:L17">
    <cfRule type="cellIs" dxfId="66" priority="141" operator="equal">
      <formula>"R"</formula>
    </cfRule>
  </conditionalFormatting>
  <conditionalFormatting sqref="L16:L17">
    <cfRule type="cellIs" dxfId="65" priority="142" operator="equal">
      <formula>"P"</formula>
    </cfRule>
  </conditionalFormatting>
  <conditionalFormatting sqref="AO18:BA19 F18:J19 M18:AM19">
    <cfRule type="cellIs" dxfId="64" priority="143" operator="equal">
      <formula>"C"</formula>
    </cfRule>
  </conditionalFormatting>
  <conditionalFormatting sqref="AO18:BA19 F18:J19 M18:AM19">
    <cfRule type="cellIs" dxfId="63" priority="144" operator="equal">
      <formula>"A"</formula>
    </cfRule>
  </conditionalFormatting>
  <conditionalFormatting sqref="AO18:BA19 F18:J19 M18:AM19">
    <cfRule type="cellIs" dxfId="62" priority="145" operator="equal">
      <formula>"R"</formula>
    </cfRule>
  </conditionalFormatting>
  <conditionalFormatting sqref="AO18:BA19 F18:J19 M18:AM19">
    <cfRule type="cellIs" dxfId="61" priority="146" operator="equal">
      <formula>"P"</formula>
    </cfRule>
  </conditionalFormatting>
  <conditionalFormatting sqref="L18:L19">
    <cfRule type="cellIs" dxfId="60" priority="147" operator="equal">
      <formula>"C"</formula>
    </cfRule>
  </conditionalFormatting>
  <conditionalFormatting sqref="L18:L19">
    <cfRule type="cellIs" dxfId="59" priority="148" operator="equal">
      <formula>"A"</formula>
    </cfRule>
  </conditionalFormatting>
  <conditionalFormatting sqref="L18:L19">
    <cfRule type="cellIs" dxfId="58" priority="149" operator="equal">
      <formula>"R"</formula>
    </cfRule>
  </conditionalFormatting>
  <conditionalFormatting sqref="L18:L19">
    <cfRule type="cellIs" dxfId="57" priority="150" operator="equal">
      <formula>"P"</formula>
    </cfRule>
  </conditionalFormatting>
  <conditionalFormatting sqref="K11:K12 K19">
    <cfRule type="cellIs" dxfId="56" priority="159" operator="equal">
      <formula>"C"</formula>
    </cfRule>
  </conditionalFormatting>
  <conditionalFormatting sqref="K11:K12 K19">
    <cfRule type="cellIs" dxfId="55" priority="160" operator="equal">
      <formula>"A"</formula>
    </cfRule>
  </conditionalFormatting>
  <conditionalFormatting sqref="K11:K12 K19">
    <cfRule type="cellIs" dxfId="54" priority="161" operator="equal">
      <formula>"R"</formula>
    </cfRule>
  </conditionalFormatting>
  <conditionalFormatting sqref="K11:K12 K19">
    <cfRule type="cellIs" dxfId="53" priority="162" operator="equal">
      <formula>"P"</formula>
    </cfRule>
  </conditionalFormatting>
  <conditionalFormatting sqref="K13:K14">
    <cfRule type="cellIs" dxfId="52" priority="163" operator="equal">
      <formula>"C"</formula>
    </cfRule>
  </conditionalFormatting>
  <conditionalFormatting sqref="K13:K14">
    <cfRule type="cellIs" dxfId="51" priority="164" operator="equal">
      <formula>"A"</formula>
    </cfRule>
  </conditionalFormatting>
  <conditionalFormatting sqref="K13:K14">
    <cfRule type="cellIs" dxfId="50" priority="165" operator="equal">
      <formula>"R"</formula>
    </cfRule>
  </conditionalFormatting>
  <conditionalFormatting sqref="K13:K14">
    <cfRule type="cellIs" dxfId="49" priority="166" operator="equal">
      <formula>"P"</formula>
    </cfRule>
  </conditionalFormatting>
  <conditionalFormatting sqref="K15:K16">
    <cfRule type="cellIs" dxfId="48" priority="167" operator="equal">
      <formula>"C"</formula>
    </cfRule>
  </conditionalFormatting>
  <conditionalFormatting sqref="K15:K16">
    <cfRule type="cellIs" dxfId="47" priority="168" operator="equal">
      <formula>"A"</formula>
    </cfRule>
  </conditionalFormatting>
  <conditionalFormatting sqref="K15:K16">
    <cfRule type="cellIs" dxfId="46" priority="169" operator="equal">
      <formula>"R"</formula>
    </cfRule>
  </conditionalFormatting>
  <conditionalFormatting sqref="K15:K16">
    <cfRule type="cellIs" dxfId="45" priority="170" operator="equal">
      <formula>"P"</formula>
    </cfRule>
  </conditionalFormatting>
  <conditionalFormatting sqref="K17:K18">
    <cfRule type="cellIs" dxfId="44" priority="171" operator="equal">
      <formula>"C"</formula>
    </cfRule>
  </conditionalFormatting>
  <conditionalFormatting sqref="K17:K18">
    <cfRule type="cellIs" dxfId="43" priority="172" operator="equal">
      <formula>"A"</formula>
    </cfRule>
  </conditionalFormatting>
  <conditionalFormatting sqref="K17:K18">
    <cfRule type="cellIs" dxfId="42" priority="173" operator="equal">
      <formula>"R"</formula>
    </cfRule>
  </conditionalFormatting>
  <conditionalFormatting sqref="K17:K18">
    <cfRule type="cellIs" dxfId="41" priority="174" operator="equal">
      <formula>"P"</formula>
    </cfRule>
  </conditionalFormatting>
  <conditionalFormatting sqref="F78:BA78">
    <cfRule type="cellIs" dxfId="40" priority="179" operator="equal">
      <formula>"C"</formula>
    </cfRule>
  </conditionalFormatting>
  <conditionalFormatting sqref="F78:BA78">
    <cfRule type="cellIs" dxfId="39" priority="180" operator="equal">
      <formula>"A"</formula>
    </cfRule>
  </conditionalFormatting>
  <conditionalFormatting sqref="F78:BA78">
    <cfRule type="cellIs" dxfId="38" priority="181" operator="equal">
      <formula>"R"</formula>
    </cfRule>
  </conditionalFormatting>
  <conditionalFormatting sqref="F78:BA78">
    <cfRule type="cellIs" dxfId="37" priority="182" operator="equal">
      <formula>"P"</formula>
    </cfRule>
  </conditionalFormatting>
  <conditionalFormatting sqref="F79:U79">
    <cfRule type="cellIs" dxfId="36" priority="183" operator="equal">
      <formula>"C"</formula>
    </cfRule>
  </conditionalFormatting>
  <conditionalFormatting sqref="F79:U79">
    <cfRule type="cellIs" dxfId="35" priority="184" operator="equal">
      <formula>"A"</formula>
    </cfRule>
  </conditionalFormatting>
  <conditionalFormatting sqref="F79:U79">
    <cfRule type="cellIs" dxfId="34" priority="185" operator="equal">
      <formula>"R"</formula>
    </cfRule>
  </conditionalFormatting>
  <conditionalFormatting sqref="F79:U79">
    <cfRule type="cellIs" dxfId="33" priority="186" operator="equal">
      <formula>"P"</formula>
    </cfRule>
  </conditionalFormatting>
  <conditionalFormatting sqref="V79:BA79">
    <cfRule type="cellIs" dxfId="32" priority="187" operator="equal">
      <formula>"C"</formula>
    </cfRule>
  </conditionalFormatting>
  <conditionalFormatting sqref="V79:BA79">
    <cfRule type="cellIs" dxfId="31" priority="188" operator="equal">
      <formula>"A"</formula>
    </cfRule>
  </conditionalFormatting>
  <conditionalFormatting sqref="V79:BA79">
    <cfRule type="cellIs" dxfId="30" priority="189" operator="equal">
      <formula>"R"</formula>
    </cfRule>
  </conditionalFormatting>
  <conditionalFormatting sqref="V79:BA79">
    <cfRule type="cellIs" dxfId="29" priority="190" operator="equal">
      <formula>"P"</formula>
    </cfRule>
  </conditionalFormatting>
  <conditionalFormatting sqref="BD98">
    <cfRule type="cellIs" dxfId="28" priority="191" operator="equal">
      <formula>0</formula>
    </cfRule>
  </conditionalFormatting>
  <conditionalFormatting sqref="BD98">
    <cfRule type="cellIs" dxfId="27" priority="192" operator="equal">
      <formula>1</formula>
    </cfRule>
  </conditionalFormatting>
  <conditionalFormatting sqref="BD18">
    <cfRule type="cellIs" dxfId="26" priority="195" operator="equal">
      <formula>0</formula>
    </cfRule>
  </conditionalFormatting>
  <conditionalFormatting sqref="BD18">
    <cfRule type="cellIs" dxfId="25" priority="196" operator="equal">
      <formula>1</formula>
    </cfRule>
  </conditionalFormatting>
  <conditionalFormatting sqref="BD16">
    <cfRule type="cellIs" dxfId="24" priority="197" operator="equal">
      <formula>0</formula>
    </cfRule>
  </conditionalFormatting>
  <conditionalFormatting sqref="BD16">
    <cfRule type="cellIs" dxfId="23" priority="198" operator="equal">
      <formula>1</formula>
    </cfRule>
  </conditionalFormatting>
  <conditionalFormatting sqref="BD14">
    <cfRule type="cellIs" dxfId="22" priority="199" operator="equal">
      <formula>0</formula>
    </cfRule>
  </conditionalFormatting>
  <conditionalFormatting sqref="BD14">
    <cfRule type="cellIs" dxfId="21" priority="200" operator="equal">
      <formula>1</formula>
    </cfRule>
  </conditionalFormatting>
  <conditionalFormatting sqref="BD8">
    <cfRule type="cellIs" dxfId="20" priority="201" operator="equal">
      <formula>0</formula>
    </cfRule>
  </conditionalFormatting>
  <conditionalFormatting sqref="BD8">
    <cfRule type="cellIs" dxfId="19" priority="202" operator="equal">
      <formula>1</formula>
    </cfRule>
  </conditionalFormatting>
  <conditionalFormatting sqref="BD82">
    <cfRule type="cellIs" dxfId="18" priority="203" operator="equal">
      <formula>0</formula>
    </cfRule>
  </conditionalFormatting>
  <conditionalFormatting sqref="BD82">
    <cfRule type="cellIs" dxfId="17" priority="204" operator="equal">
      <formula>1</formula>
    </cfRule>
  </conditionalFormatting>
  <conditionalFormatting sqref="BD94">
    <cfRule type="cellIs" dxfId="16" priority="205" operator="equal">
      <formula>0</formula>
    </cfRule>
  </conditionalFormatting>
  <conditionalFormatting sqref="BD94">
    <cfRule type="cellIs" dxfId="15" priority="206" operator="equal">
      <formula>1</formula>
    </cfRule>
  </conditionalFormatting>
  <conditionalFormatting sqref="BD112">
    <cfRule type="cellIs" dxfId="14" priority="207" operator="equal">
      <formula>0</formula>
    </cfRule>
  </conditionalFormatting>
  <conditionalFormatting sqref="BD112">
    <cfRule type="cellIs" dxfId="13" priority="208" operator="equal">
      <formula>1</formula>
    </cfRule>
  </conditionalFormatting>
  <conditionalFormatting sqref="BD104">
    <cfRule type="cellIs" dxfId="12" priority="209" operator="equal">
      <formula>0</formula>
    </cfRule>
  </conditionalFormatting>
  <conditionalFormatting sqref="BD104">
    <cfRule type="cellIs" dxfId="11" priority="210" operator="equal">
      <formula>1</formula>
    </cfRule>
  </conditionalFormatting>
  <conditionalFormatting sqref="BD72">
    <cfRule type="cellIs" dxfId="10" priority="211" operator="equal">
      <formula>0</formula>
    </cfRule>
  </conditionalFormatting>
  <conditionalFormatting sqref="BD72">
    <cfRule type="cellIs" dxfId="9" priority="212" operator="equal">
      <formula>1</formula>
    </cfRule>
  </conditionalFormatting>
  <conditionalFormatting sqref="BD56">
    <cfRule type="cellIs" dxfId="8" priority="213" operator="equal">
      <formula>0</formula>
    </cfRule>
  </conditionalFormatting>
  <conditionalFormatting sqref="BD56">
    <cfRule type="cellIs" dxfId="7" priority="214" operator="equal">
      <formula>1</formula>
    </cfRule>
  </conditionalFormatting>
  <conditionalFormatting sqref="BD40">
    <cfRule type="cellIs" dxfId="6" priority="215" operator="equal">
      <formula>0</formula>
    </cfRule>
  </conditionalFormatting>
  <conditionalFormatting sqref="BD40">
    <cfRule type="cellIs" dxfId="5" priority="216" operator="equal">
      <formula>1</formula>
    </cfRule>
  </conditionalFormatting>
  <conditionalFormatting sqref="BD20">
    <cfRule type="cellIs" dxfId="4" priority="217" operator="equal">
      <formula>0</formula>
    </cfRule>
  </conditionalFormatting>
  <conditionalFormatting sqref="BD20">
    <cfRule type="cellIs" dxfId="3" priority="218" operator="equal">
      <formula>1</formula>
    </cfRule>
  </conditionalFormatting>
  <conditionalFormatting sqref="BD108">
    <cfRule type="cellIs" dxfId="2" priority="219" operator="equal">
      <formula>0</formula>
    </cfRule>
  </conditionalFormatting>
  <conditionalFormatting sqref="BD108">
    <cfRule type="cellIs" dxfId="1" priority="220" operator="equal">
      <formula>1</formula>
    </cfRule>
  </conditionalFormatting>
  <conditionalFormatting sqref="AS24">
    <cfRule type="cellIs" dxfId="0" priority="221" operator="equal">
      <formula>0</formula>
    </cfRule>
  </conditionalFormatting>
  <dataValidations count="1">
    <dataValidation type="list" allowBlank="1" showErrorMessage="1" sqref="F8:J8 L8:AM8 F9:AM9 AO8:BA9 F10:J10 L10:BA10 F11:AM19 AO11:BA19 F24:Y24 AA24 AC24:AN24 AP24:AV24 AX24:BA24 F25:BA25 F26:AN26 F27:AD27 AF27:AN27 AP26:BA27 F28:X28 Z28:AH28 AJ28:BA28 F29:BA29 F30:AA30 AC30:AE30 AG30:AI30 AK30:AM30 AO30:AV30 AX30:AY30 BA30 F31:BA33 F34:L34 N34:BA34 F35:BA39 F44:N44 P44:BA44 F45:BA45 F46:Y46 AA46:BA46 F47:U47 W47:BA47 F48:N48 P48:AF48 AH48:BA48 F49:BA55 F60:AH60 AJ60:BA60 F61:BA71 F76:BA81 F86:AH86 AJ86:BA86 F87:BA87 F88:AH90 AJ88:BA90 F91:BA91 F92:AH93 AJ92:BA93 F98 H98:AA98 AC98:AT98 AV98:BA98 F99:BA101 F102:S102 U102:X102 Z102 AB102:AF102 AH102:AN102 AP102:AV102 AX102:BA102 F103:BA103 F108:BA111" xr:uid="{00000000-0002-0000-0000-000000000000}">
      <formula1>"P,R,A,C"</formula1>
    </dataValidation>
  </dataValidations>
  <printOptions horizontalCentered="1"/>
  <pageMargins left="0.35433070866141736" right="0.35433070866141736" top="0.39370078740157483" bottom="0.39370078740157483" header="0" footer="0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2578125" defaultRowHeight="15" customHeight="1" x14ac:dyDescent="0.2"/>
  <cols>
    <col min="1" max="26" width="10.710937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39F0E6-8EC4-4B7B-8CF5-251AA8B6ED0E}"/>
</file>

<file path=customXml/itemProps2.xml><?xml version="1.0" encoding="utf-8"?>
<ds:datastoreItem xmlns:ds="http://schemas.openxmlformats.org/officeDocument/2006/customXml" ds:itemID="{21E8B54E-81C8-47EB-B24B-77ABA63BD7BF}"/>
</file>

<file path=customXml/itemProps3.xml><?xml version="1.0" encoding="utf-8"?>
<ds:datastoreItem xmlns:ds="http://schemas.openxmlformats.org/officeDocument/2006/customXml" ds:itemID="{408E2F2B-F429-4D1D-8E9C-E44FA26778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TRABAJO ANUAL 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flamingo oil</dc:creator>
  <cp:lastModifiedBy>SILIA DIAZ</cp:lastModifiedBy>
  <dcterms:created xsi:type="dcterms:W3CDTF">2009-06-27T16:19:01Z</dcterms:created>
  <dcterms:modified xsi:type="dcterms:W3CDTF">2021-03-17T00:24:30Z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_dlc_DocIdItemGuid">
    <vt:lpwstr>d42514df-21b6-43eb-9d54-4fbe1bd0edf8</vt:lpwstr>
  </property>
  <property fmtid="{D5CDD505-2E9C-101B-9397-08002B2CF9AE}" pid="4" name="Order">
    <vt:r8>95200</vt:r8>
  </property>
  <property fmtid="{D5CDD505-2E9C-101B-9397-08002B2CF9AE}" pid="5" name="xd_Signature">
    <vt:bool>false</vt:bool>
  </property>
  <property fmtid="{D5CDD505-2E9C-101B-9397-08002B2CF9AE}" pid="6" name="_ExtendedDescription">
    <vt:lpwstr/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