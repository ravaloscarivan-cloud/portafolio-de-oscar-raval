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755"/>
  </bookViews>
  <sheets>
    <sheet name="PLAN DE TRABAJO ANUAL " sheetId="19" r:id="rId1"/>
    <sheet name="Hoja1" sheetId="20" r:id="rId2"/>
  </sheets>
  <definedNames>
    <definedName name="_xlnm._FilterDatabase" localSheetId="0" hidden="1">'PLAN DE TRABAJO ANUAL '!$A$5:$BF$114</definedName>
    <definedName name="_xlnm.Print_Area" localSheetId="0">'PLAN DE TRABAJO ANUAL '!$A$3:$BF$114</definedName>
    <definedName name="_xlnm.Print_Titles" localSheetId="0">'PLAN DE TRABAJO ANUAL '!$3:$7</definedName>
  </definedNames>
  <calcPr calcId="145621"/>
</workbook>
</file>

<file path=xl/calcChain.xml><?xml version="1.0" encoding="utf-8"?>
<calcChain xmlns="http://schemas.openxmlformats.org/spreadsheetml/2006/main">
  <c r="BE94" i="19" l="1"/>
  <c r="BE82" i="19"/>
  <c r="BE72" i="19"/>
  <c r="BE60" i="19"/>
  <c r="BE44" i="19"/>
  <c r="BE24" i="19"/>
  <c r="BE108" i="19" s="1"/>
  <c r="BE102" i="19"/>
  <c r="BC88" i="19" l="1"/>
  <c r="BB88" i="19"/>
  <c r="BB90" i="19"/>
  <c r="BD88" i="19" l="1"/>
  <c r="BB12" i="19"/>
  <c r="BC12" i="19"/>
  <c r="BB14" i="19"/>
  <c r="BC14" i="19"/>
  <c r="BB16" i="19"/>
  <c r="BC16" i="19"/>
  <c r="BB18" i="19"/>
  <c r="BC18" i="19"/>
  <c r="BB20" i="19"/>
  <c r="BC20" i="19"/>
  <c r="J81" i="19"/>
  <c r="N81" i="19"/>
  <c r="R81" i="19"/>
  <c r="V81" i="19"/>
  <c r="Z81" i="19"/>
  <c r="AD81" i="19"/>
  <c r="AH81" i="19"/>
  <c r="AL81" i="19"/>
  <c r="AP81" i="19"/>
  <c r="AT81" i="19"/>
  <c r="AX81" i="19"/>
  <c r="F81" i="19"/>
  <c r="J80" i="19"/>
  <c r="J93" i="19" s="1"/>
  <c r="N80" i="19"/>
  <c r="N92" i="19" s="1"/>
  <c r="R80" i="19"/>
  <c r="R93" i="19" s="1"/>
  <c r="V80" i="19"/>
  <c r="V92" i="19" s="1"/>
  <c r="Z80" i="19"/>
  <c r="Z92" i="19" s="1"/>
  <c r="AD80" i="19"/>
  <c r="AD92" i="19" s="1"/>
  <c r="AH80" i="19"/>
  <c r="AH92" i="19" s="1"/>
  <c r="AL80" i="19"/>
  <c r="AP80" i="19"/>
  <c r="AP92" i="19" s="1"/>
  <c r="AT80" i="19"/>
  <c r="AT92" i="19" s="1"/>
  <c r="AX80" i="19"/>
  <c r="F80" i="19"/>
  <c r="AP93" i="19"/>
  <c r="F100" i="19"/>
  <c r="J100" i="19"/>
  <c r="N100" i="19"/>
  <c r="R100" i="19"/>
  <c r="V100" i="19"/>
  <c r="Z100" i="19"/>
  <c r="AD100" i="19"/>
  <c r="AH100" i="19"/>
  <c r="AL100" i="19"/>
  <c r="AP100" i="19"/>
  <c r="AT100" i="19"/>
  <c r="AX100" i="19"/>
  <c r="F101" i="19"/>
  <c r="J101" i="19"/>
  <c r="N101" i="19"/>
  <c r="R101" i="19"/>
  <c r="V101" i="19"/>
  <c r="Z101" i="19"/>
  <c r="AD101" i="19"/>
  <c r="AH101" i="19"/>
  <c r="AL101" i="19"/>
  <c r="AP101" i="19"/>
  <c r="AT101" i="19"/>
  <c r="AX101" i="19"/>
  <c r="F108" i="19"/>
  <c r="J108" i="19"/>
  <c r="N108" i="19"/>
  <c r="R108" i="19"/>
  <c r="V108" i="19"/>
  <c r="Z108" i="19"/>
  <c r="AD108" i="19"/>
  <c r="AH108" i="19"/>
  <c r="AL108" i="19"/>
  <c r="AP108" i="19"/>
  <c r="AT108" i="19"/>
  <c r="AX108" i="19"/>
  <c r="F109" i="19"/>
  <c r="J109" i="19"/>
  <c r="N109" i="19"/>
  <c r="R109" i="19"/>
  <c r="V109" i="19"/>
  <c r="Z109" i="19"/>
  <c r="AD109" i="19"/>
  <c r="AH109" i="19"/>
  <c r="AL109" i="19"/>
  <c r="AP109" i="19"/>
  <c r="AT109" i="19"/>
  <c r="AX109" i="19"/>
  <c r="AX92" i="19" l="1"/>
  <c r="BD14" i="19"/>
  <c r="BD20" i="19"/>
  <c r="BD12" i="19"/>
  <c r="BD16" i="19"/>
  <c r="BD18" i="19"/>
  <c r="AX93" i="19"/>
  <c r="R92" i="19"/>
  <c r="AH93" i="19"/>
  <c r="Z93" i="19"/>
  <c r="J92" i="19"/>
  <c r="F92" i="19"/>
  <c r="AL92" i="19"/>
  <c r="AT93" i="19"/>
  <c r="AL93" i="19"/>
  <c r="AD93" i="19"/>
  <c r="V93" i="19"/>
  <c r="N93" i="19"/>
  <c r="F93" i="19"/>
  <c r="BB106" i="19"/>
  <c r="BC106" i="19"/>
  <c r="BC104" i="19"/>
  <c r="BB104" i="19"/>
  <c r="BB98" i="19"/>
  <c r="BC98" i="19"/>
  <c r="BC96" i="19"/>
  <c r="BB96" i="19"/>
  <c r="BB78" i="19"/>
  <c r="BC78" i="19"/>
  <c r="BB84" i="19"/>
  <c r="BC84" i="19"/>
  <c r="BB86" i="19"/>
  <c r="BC86" i="19"/>
  <c r="BC74" i="19"/>
  <c r="BB74" i="19"/>
  <c r="BB64" i="19"/>
  <c r="BC64" i="19"/>
  <c r="BB66" i="19"/>
  <c r="BC66" i="19"/>
  <c r="BB68" i="19"/>
  <c r="BC68" i="19"/>
  <c r="BC62" i="19"/>
  <c r="BB62" i="19"/>
  <c r="BB48" i="19"/>
  <c r="BC48" i="19"/>
  <c r="BB50" i="19"/>
  <c r="BC50" i="19"/>
  <c r="BB52" i="19"/>
  <c r="BC52" i="19"/>
  <c r="BB54" i="19"/>
  <c r="BC54" i="19"/>
  <c r="BB56" i="19"/>
  <c r="BC56" i="19"/>
  <c r="BC46" i="19"/>
  <c r="BB46" i="19"/>
  <c r="BC28" i="19"/>
  <c r="BC30" i="19"/>
  <c r="BC32" i="19"/>
  <c r="BC34" i="19"/>
  <c r="BC36" i="19"/>
  <c r="BC38" i="19"/>
  <c r="BC40" i="19"/>
  <c r="BB28" i="19"/>
  <c r="BB30" i="19"/>
  <c r="BB32" i="19"/>
  <c r="BB34" i="19"/>
  <c r="BB36" i="19"/>
  <c r="BB38" i="19"/>
  <c r="BB40" i="19"/>
  <c r="BC26" i="19"/>
  <c r="BB26" i="19"/>
  <c r="BC10" i="19"/>
  <c r="BB10" i="19"/>
  <c r="BC8" i="19"/>
  <c r="BB8" i="19"/>
  <c r="BD8" i="19" l="1"/>
  <c r="BD10" i="19"/>
  <c r="BD36" i="19"/>
  <c r="BD28" i="19"/>
  <c r="BD34" i="19"/>
  <c r="BD84" i="19"/>
  <c r="BD40" i="19"/>
  <c r="BD32" i="19"/>
  <c r="BD80" i="19"/>
  <c r="BD74" i="19"/>
  <c r="BD38" i="19"/>
  <c r="BD30" i="19"/>
  <c r="BD78" i="19"/>
  <c r="BC90" i="19"/>
  <c r="BD90" i="19" s="1"/>
  <c r="BD86" i="19"/>
  <c r="BD22" i="19"/>
  <c r="BD92" i="19" l="1"/>
  <c r="BD68" i="19"/>
  <c r="BD66" i="19"/>
  <c r="BD48" i="19" l="1"/>
  <c r="BD56" i="19"/>
  <c r="BD50" i="19"/>
  <c r="BD52" i="19"/>
  <c r="BD54" i="19"/>
  <c r="BD46" i="19"/>
  <c r="BD58" i="19"/>
  <c r="J70" i="19"/>
  <c r="N70" i="19"/>
  <c r="R70" i="19"/>
  <c r="V70" i="19"/>
  <c r="Z70" i="19"/>
  <c r="AD70" i="19"/>
  <c r="AH70" i="19"/>
  <c r="AL70" i="19"/>
  <c r="AP70" i="19"/>
  <c r="AT70" i="19"/>
  <c r="AX70" i="19"/>
  <c r="J71" i="19"/>
  <c r="N71" i="19"/>
  <c r="R71" i="19"/>
  <c r="V71" i="19"/>
  <c r="Z71" i="19"/>
  <c r="AD71" i="19"/>
  <c r="AH71" i="19"/>
  <c r="AL71" i="19"/>
  <c r="AP71" i="19"/>
  <c r="AT71" i="19"/>
  <c r="AX71" i="19"/>
  <c r="F71" i="19"/>
  <c r="F70" i="19"/>
  <c r="J58" i="19"/>
  <c r="N58" i="19"/>
  <c r="R58" i="19"/>
  <c r="V58" i="19"/>
  <c r="Z58" i="19"/>
  <c r="AD58" i="19"/>
  <c r="AH58" i="19"/>
  <c r="AL58" i="19"/>
  <c r="AP58" i="19"/>
  <c r="AT58" i="19"/>
  <c r="AX58" i="19"/>
  <c r="J59" i="19"/>
  <c r="N59" i="19"/>
  <c r="R59" i="19"/>
  <c r="V59" i="19"/>
  <c r="Z59" i="19"/>
  <c r="AD59" i="19"/>
  <c r="AH59" i="19"/>
  <c r="AL59" i="19"/>
  <c r="AP59" i="19"/>
  <c r="AT59" i="19"/>
  <c r="AX59" i="19"/>
  <c r="F59" i="19"/>
  <c r="F58" i="19"/>
  <c r="J42" i="19"/>
  <c r="N42" i="19"/>
  <c r="R42" i="19"/>
  <c r="V42" i="19"/>
  <c r="Z42" i="19"/>
  <c r="AD42" i="19"/>
  <c r="AH42" i="19"/>
  <c r="AL42" i="19"/>
  <c r="AP42" i="19"/>
  <c r="AT42" i="19"/>
  <c r="AX42" i="19"/>
  <c r="J43" i="19"/>
  <c r="N43" i="19"/>
  <c r="R43" i="19"/>
  <c r="V43" i="19"/>
  <c r="Z43" i="19"/>
  <c r="AD43" i="19"/>
  <c r="AH43" i="19"/>
  <c r="AL43" i="19"/>
  <c r="AP43" i="19"/>
  <c r="AT43" i="19"/>
  <c r="AX43" i="19"/>
  <c r="F43" i="19"/>
  <c r="F42" i="19"/>
  <c r="AH22" i="19"/>
  <c r="AL22" i="19"/>
  <c r="AP22" i="19"/>
  <c r="AT22" i="19"/>
  <c r="AX22" i="19"/>
  <c r="AH23" i="19"/>
  <c r="AL23" i="19"/>
  <c r="AP23" i="19"/>
  <c r="AT23" i="19"/>
  <c r="AX23" i="19"/>
  <c r="J22" i="19"/>
  <c r="N22" i="19"/>
  <c r="R22" i="19"/>
  <c r="V22" i="19"/>
  <c r="Z22" i="19"/>
  <c r="AD22" i="19"/>
  <c r="J23" i="19"/>
  <c r="N23" i="19"/>
  <c r="R23" i="19"/>
  <c r="V23" i="19"/>
  <c r="Z23" i="19"/>
  <c r="AD23" i="19"/>
  <c r="F23" i="19"/>
  <c r="F22" i="19"/>
  <c r="Z111" i="19" l="1"/>
  <c r="Z112" i="19"/>
  <c r="R112" i="19"/>
  <c r="R111" i="19"/>
  <c r="J111" i="19"/>
  <c r="J112" i="19"/>
  <c r="AX111" i="19"/>
  <c r="AX112" i="19"/>
  <c r="AP111" i="19"/>
  <c r="AP112" i="19"/>
  <c r="AH111" i="19"/>
  <c r="AH112" i="19"/>
  <c r="F111" i="19"/>
  <c r="F112" i="19"/>
  <c r="AD111" i="19"/>
  <c r="AD112" i="19"/>
  <c r="V112" i="19"/>
  <c r="V111" i="19"/>
  <c r="N112" i="19"/>
  <c r="N111" i="19"/>
  <c r="AT112" i="19"/>
  <c r="AT111" i="19"/>
  <c r="AL111" i="19"/>
  <c r="AL112" i="19"/>
  <c r="BD64" i="19"/>
  <c r="AT113" i="19" l="1"/>
  <c r="AH113" i="19"/>
  <c r="Z113" i="19"/>
  <c r="AX113" i="19"/>
  <c r="AP113" i="19"/>
  <c r="J113" i="19"/>
  <c r="V113" i="19"/>
  <c r="N113" i="19"/>
  <c r="F114" i="19"/>
  <c r="AL113" i="19"/>
  <c r="AD113" i="19"/>
  <c r="F113" i="19"/>
  <c r="R113" i="19"/>
  <c r="BD62" i="19" l="1"/>
  <c r="BD70" i="19" l="1"/>
  <c r="BD100" i="19"/>
  <c r="BD108" i="19"/>
  <c r="BD42" i="19"/>
  <c r="BD98" i="19"/>
  <c r="BD104" i="19"/>
  <c r="BD96" i="19"/>
  <c r="BD106" i="19"/>
  <c r="BD26" i="19"/>
</calcChain>
</file>

<file path=xl/sharedStrings.xml><?xml version="1.0" encoding="utf-8"?>
<sst xmlns="http://schemas.openxmlformats.org/spreadsheetml/2006/main" count="542" uniqueCount="96">
  <si>
    <t>DICIEMBRE</t>
  </si>
  <si>
    <t>FEBRERO</t>
  </si>
  <si>
    <t>MARZO</t>
  </si>
  <si>
    <t>ENERO</t>
  </si>
  <si>
    <t>ABRIL</t>
  </si>
  <si>
    <t>MAYO</t>
  </si>
  <si>
    <t>JUNIO</t>
  </si>
  <si>
    <t>AGOSTO</t>
  </si>
  <si>
    <t>RESPONSABLES EJECUCIÓN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</si>
  <si>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</si>
  <si>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</si>
  <si>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</si>
  <si>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</si>
  <si>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</si>
  <si>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</si>
  <si>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</si>
  <si>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</si>
  <si>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META</t>
  </si>
  <si>
    <t>CUMPLIMIENTO ANUAL</t>
  </si>
  <si>
    <t>TOTAL ACTIVIDADES PROGRAMADAS</t>
  </si>
  <si>
    <t>TOTAL ACTIVIDADES EJECUTADAS</t>
  </si>
  <si>
    <t>OBSERVACIONES</t>
  </si>
  <si>
    <t>EJECUTADO</t>
  </si>
  <si>
    <t>%</t>
  </si>
  <si>
    <t>COBERTURA MENSUAL</t>
  </si>
  <si>
    <t>CUMPLIMIENTO ACUMULADO</t>
  </si>
  <si>
    <t xml:space="preserve">TOTAL ACTIVIDADES PROGRAMADAS AÑO </t>
  </si>
  <si>
    <t xml:space="preserve">JULIO </t>
  </si>
  <si>
    <t xml:space="preserve">SEPTIEMBRE </t>
  </si>
  <si>
    <t xml:space="preserve">OCTUBRE </t>
  </si>
  <si>
    <t>NOVIEMBRE</t>
  </si>
  <si>
    <t>CARACTERIZACIÓN</t>
  </si>
  <si>
    <t xml:space="preserve">  PROMOCIÓN Y PREVENCIÓN</t>
  </si>
  <si>
    <t>Fecha de elaboración:                                                                                       
15 de enero 2019</t>
  </si>
  <si>
    <t>INVENTARIOS</t>
  </si>
  <si>
    <t>CAPACITACIONES</t>
  </si>
  <si>
    <t xml:space="preserve">   EVALUACIÓNES DE DESEMPEÑO</t>
  </si>
  <si>
    <t xml:space="preserve">AUDITORIAS / REVISION POR LA DIRECCION / REUNION LIDERES </t>
  </si>
  <si>
    <t xml:space="preserve">INFORMES LIDERES </t>
  </si>
  <si>
    <t xml:space="preserve">ARREGLOS LOCATIVOS / INFRAESTRUCTURA </t>
  </si>
  <si>
    <t>MANTENIMIENTO DE AIRES ACONDICIONADOS</t>
  </si>
  <si>
    <t>RECARGA DE EXTINTORES</t>
  </si>
  <si>
    <t xml:space="preserve">FUMIGACION </t>
  </si>
  <si>
    <t>EXAMENES MEDICO OCUPACIONALES</t>
  </si>
  <si>
    <t>INFORME PROCESO DE CONTABILIDAD</t>
  </si>
  <si>
    <t xml:space="preserve">INFORMES PROCESOS DE FACTURACION </t>
  </si>
  <si>
    <t>INFORME PROCESO DE ALMACEN</t>
  </si>
  <si>
    <t xml:space="preserve">REUNION LIDERES </t>
  </si>
  <si>
    <t>NATALIA TOVAR / LIDERES DE PROCESOS</t>
  </si>
  <si>
    <t>AUDITORIA INTERNA /CALIDAD</t>
  </si>
  <si>
    <t>LIDERES DE PROCESOS / GERENCIA</t>
  </si>
  <si>
    <t xml:space="preserve">EVALUACION DE DESEMPEÑO PRIMER SEMESTRE </t>
  </si>
  <si>
    <t xml:space="preserve">EVALUACION DE DESEMPEÑO SEGUNDO SEMESTRE </t>
  </si>
  <si>
    <t>CAPACITACIONES PARA TODO EL PERSONAL</t>
  </si>
  <si>
    <t>PROCESO DE ALMACEN</t>
  </si>
  <si>
    <t xml:space="preserve">PROCESO DE FACTURACION </t>
  </si>
  <si>
    <t>PROCESO DE CONTABILIDAD</t>
  </si>
  <si>
    <t>ELABORADO POR: ____________________________</t>
  </si>
  <si>
    <t>APROBADO POR :_____________________</t>
  </si>
  <si>
    <t xml:space="preserve">INVENTARIO SELECTIVO  DE BODEGA PRINCIPAL </t>
  </si>
  <si>
    <t>SILIA DIAZ</t>
  </si>
  <si>
    <t>SIGILFREDO SANTANA</t>
  </si>
  <si>
    <t>MARTHA ORORZOC</t>
  </si>
  <si>
    <t xml:space="preserve">PAULA DE  LEON </t>
  </si>
  <si>
    <t>INFORME ASISTENCIA TECNICA</t>
  </si>
  <si>
    <t>KEYLA PEREZ</t>
  </si>
  <si>
    <t>JORGE GOMEZ</t>
  </si>
  <si>
    <t xml:space="preserve">RUMBA TERAPIAS </t>
  </si>
  <si>
    <t xml:space="preserve">VACUNAS Y JORNADAS DE SALUD </t>
  </si>
  <si>
    <t xml:space="preserve">VIAJES </t>
  </si>
  <si>
    <t>COORDINACION ASISTENCIAL</t>
  </si>
  <si>
    <t>GESTION DE CALIDA Y HUMANA</t>
  </si>
  <si>
    <t>VISITA A CARTAGENA - EVALUACION TRIMESTRAL</t>
  </si>
  <si>
    <t>VISITA A SANTA MARTA EVALUACION TRIMESTRAL</t>
  </si>
  <si>
    <t xml:space="preserve">VISITA A SINCELEJO - EVALUACION TRIMESTRAL </t>
  </si>
  <si>
    <t>VISITA  A FUNDACION CAMPBELL - EVALUACION TRIMESTRAL</t>
  </si>
  <si>
    <t>VISITA A CALI (VALLESALUD)- EVALUACION TRIMESTRAL</t>
  </si>
  <si>
    <t>INVENTARIO BODEGA FUNDACION CAMBELL</t>
  </si>
  <si>
    <t>INVENTARIO BODEGA CALI</t>
  </si>
  <si>
    <t>INVNETARIO BODEGA SANTA MARTA</t>
  </si>
  <si>
    <t>PLAN  ANUAL BIOSTEEL DE COLOMBIA</t>
  </si>
  <si>
    <t xml:space="preserve">TOTAL ACTIVIDADES EJECUTADAS AÑO </t>
  </si>
  <si>
    <t>INVENTARIO BODEGA SINCELEJO</t>
  </si>
  <si>
    <t xml:space="preserve">INVENTARIO BODEGA CARTAGENA </t>
  </si>
  <si>
    <t>JESNY LOMBO</t>
  </si>
  <si>
    <t>BRYAN CALDERON</t>
  </si>
  <si>
    <t>MARCELA AVILA</t>
  </si>
  <si>
    <t>MERCEDES MORENO</t>
  </si>
  <si>
    <t>LORELEY JIMENEZ</t>
  </si>
  <si>
    <t>COSTOS DE ACTIVIDAD</t>
  </si>
  <si>
    <t>Se llevo acabo el inventario en compañía de la Coordinadora Administrativa Maria Parejo. Para su respectiva supervision</t>
  </si>
  <si>
    <t>La capacitaciones se llevan acabo con aliados e entidades gratuitas.</t>
  </si>
  <si>
    <t>Durante esta visita la Cooridnadora asistencial fue en compañía de la Gerente Administrativa.</t>
  </si>
  <si>
    <t>La Rumba terapia se llevan acabo con aliados e entidades gratuitas.</t>
  </si>
  <si>
    <t>Durante esta visita la Cooridnadora asistencial fue en compañía de la Gerente Administrativa, coordinadora de calidad, Coordinadora Administrativa.</t>
  </si>
  <si>
    <t>Se Brinda merienda y transporte para el personal responsable.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</si>
</sst>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rgb="FFFFCC66"/>
        </stop>
      </gradientFill>
    </fill>
    <fill>
      <patternFill patternType="solid">
        <fgColor rgb="FFFF0000"/>
        <bgColor indexed="9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9"/>
      </patternFill>
    </fill>
    <fill>
      <patternFill patternType="solid">
        <fgColor rgb="FFE37113"/>
        <bgColor indexed="9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164" fontId="28" fillId="0" borderId="0" applyFont="0" applyFill="0" applyBorder="0" applyAlignment="0" applyProtection="0"/>
  </cellStyleXfs>
  <cellXfs count="180">
    <xf numFmtId="0" fontId="0" fillId="0" borderId="0" xfId="0"/>
    <xf numFmtId="0" fontId="6" fillId="0" borderId="0" xfId="0" applyFont="1" applyBorder="1" applyAlignment="1" applyProtection="1"/>
    <xf numFmtId="0" fontId="8" fillId="0" borderId="0" xfId="0" applyFont="1" applyBorder="1" applyAlignment="1" applyProtection="1">
      <alignment vertical="center"/>
    </xf>
    <xf numFmtId="0" fontId="6" fillId="0" borderId="0" xfId="0" applyFont="1" applyBorder="1" applyProtection="1"/>
    <xf numFmtId="0" fontId="11" fillId="3" borderId="1" xfId="1" applyFont="1" applyFill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 wrapText="1"/>
    </xf>
    <xf numFmtId="9" fontId="14" fillId="0" borderId="0" xfId="2" applyFont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 vertical="center" wrapText="1"/>
    </xf>
    <xf numFmtId="0" fontId="15" fillId="5" borderId="4" xfId="0" applyFont="1" applyFill="1" applyBorder="1" applyAlignment="1" applyProtection="1">
      <alignment horizontal="center"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16" fillId="5" borderId="4" xfId="0" applyFont="1" applyFill="1" applyBorder="1" applyAlignment="1" applyProtection="1">
      <alignment vertical="center" wrapText="1"/>
    </xf>
    <xf numFmtId="0" fontId="16" fillId="5" borderId="4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19" fillId="0" borderId="9" xfId="0" applyFont="1" applyFill="1" applyBorder="1" applyAlignment="1" applyProtection="1">
      <alignment vertical="center"/>
    </xf>
    <xf numFmtId="0" fontId="19" fillId="0" borderId="12" xfId="0" applyFont="1" applyFill="1" applyBorder="1" applyAlignment="1" applyProtection="1">
      <alignment vertical="center"/>
    </xf>
    <xf numFmtId="0" fontId="6" fillId="0" borderId="0" xfId="0" applyFont="1" applyFill="1" applyBorder="1" applyProtection="1"/>
    <xf numFmtId="0" fontId="16" fillId="6" borderId="4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Protection="1"/>
    <xf numFmtId="0" fontId="11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 wrapText="1"/>
    </xf>
    <xf numFmtId="1" fontId="11" fillId="0" borderId="0" xfId="0" applyNumberFormat="1" applyFont="1" applyFill="1" applyBorder="1" applyAlignment="1" applyProtection="1">
      <alignment horizontal="center"/>
    </xf>
    <xf numFmtId="0" fontId="19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1" fontId="12" fillId="2" borderId="0" xfId="0" applyNumberFormat="1" applyFont="1" applyFill="1" applyBorder="1" applyAlignment="1" applyProtection="1">
      <alignment horizontal="center"/>
    </xf>
    <xf numFmtId="9" fontId="12" fillId="2" borderId="0" xfId="2" applyFont="1" applyFill="1" applyBorder="1" applyAlignment="1" applyProtection="1">
      <alignment horizontal="center"/>
    </xf>
    <xf numFmtId="0" fontId="11" fillId="0" borderId="0" xfId="0" applyFont="1" applyFill="1" applyBorder="1" applyAlignment="1" applyProtection="1">
      <alignment horizontal="center" vertical="center" wrapText="1"/>
      <protection locked="0"/>
    </xf>
    <xf numFmtId="9" fontId="12" fillId="2" borderId="0" xfId="0" applyNumberFormat="1" applyFont="1" applyFill="1" applyBorder="1" applyAlignment="1" applyProtection="1">
      <alignment horizontal="center"/>
    </xf>
    <xf numFmtId="9" fontId="5" fillId="2" borderId="0" xfId="0" applyNumberFormat="1" applyFont="1" applyFill="1" applyBorder="1" applyAlignment="1" applyProtection="1">
      <alignment horizontal="center"/>
    </xf>
    <xf numFmtId="9" fontId="5" fillId="2" borderId="0" xfId="2" applyFont="1" applyFill="1" applyBorder="1" applyAlignment="1" applyProtection="1">
      <alignment horizontal="center"/>
    </xf>
    <xf numFmtId="0" fontId="20" fillId="0" borderId="0" xfId="0" applyFont="1" applyBorder="1" applyProtection="1"/>
    <xf numFmtId="9" fontId="20" fillId="0" borderId="0" xfId="2" applyFont="1" applyBorder="1" applyProtection="1"/>
    <xf numFmtId="0" fontId="6" fillId="0" borderId="0" xfId="0" applyFont="1" applyBorder="1" applyAlignment="1" applyProtection="1">
      <alignment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0" fontId="10" fillId="0" borderId="0" xfId="0" applyFont="1" applyBorder="1" applyProtection="1"/>
    <xf numFmtId="0" fontId="10" fillId="0" borderId="1" xfId="0" applyFont="1" applyBorder="1" applyProtection="1"/>
    <xf numFmtId="0" fontId="10" fillId="0" borderId="0" xfId="0" applyFont="1" applyFill="1" applyBorder="1" applyProtection="1"/>
    <xf numFmtId="0" fontId="25" fillId="0" borderId="1" xfId="0" applyFont="1" applyFill="1" applyBorder="1" applyAlignment="1" applyProtection="1">
      <alignment horizontal="center" vertical="center"/>
      <protection locked="0"/>
    </xf>
    <xf numFmtId="0" fontId="15" fillId="5" borderId="4" xfId="0" applyFont="1" applyFill="1" applyBorder="1" applyAlignment="1" applyProtection="1">
      <alignment horizontal="center"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15" fillId="5" borderId="4" xfId="0" applyFont="1" applyFill="1" applyBorder="1" applyAlignment="1" applyProtection="1">
      <alignment horizontal="center"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11" fillId="9" borderId="1" xfId="0" applyFont="1" applyFill="1" applyBorder="1" applyAlignment="1" applyProtection="1">
      <alignment horizontal="center" vertical="center"/>
    </xf>
    <xf numFmtId="0" fontId="12" fillId="4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/>
    <xf numFmtId="0" fontId="27" fillId="0" borderId="0" xfId="0" applyFont="1" applyAlignment="1">
      <alignment vertical="center" wrapText="1"/>
    </xf>
    <xf numFmtId="0" fontId="17" fillId="13" borderId="9" xfId="0" applyFont="1" applyFill="1" applyBorder="1" applyAlignment="1" applyProtection="1">
      <alignment horizontal="center" vertical="center" wrapText="1"/>
    </xf>
    <xf numFmtId="0" fontId="11" fillId="13" borderId="4" xfId="0" applyFont="1" applyFill="1" applyBorder="1" applyAlignment="1" applyProtection="1">
      <alignment vertical="center" wrapText="1"/>
    </xf>
    <xf numFmtId="0" fontId="17" fillId="10" borderId="9" xfId="0" applyFont="1" applyFill="1" applyBorder="1" applyAlignment="1" applyProtection="1">
      <alignment horizontal="center" vertical="center" wrapText="1"/>
    </xf>
    <xf numFmtId="0" fontId="11" fillId="10" borderId="4" xfId="0" applyFont="1" applyFill="1" applyBorder="1" applyAlignment="1" applyProtection="1">
      <alignment vertical="center" wrapText="1"/>
    </xf>
    <xf numFmtId="0" fontId="10" fillId="11" borderId="5" xfId="1" applyFont="1" applyFill="1" applyBorder="1" applyAlignment="1" applyProtection="1">
      <alignment horizontal="center" vertical="center"/>
    </xf>
    <xf numFmtId="0" fontId="22" fillId="0" borderId="13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6" fillId="0" borderId="14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165" fontId="0" fillId="0" borderId="0" xfId="6" applyNumberFormat="1" applyFont="1" applyFill="1"/>
    <xf numFmtId="165" fontId="0" fillId="0" borderId="1" xfId="6" applyNumberFormat="1" applyFont="1" applyFill="1" applyBorder="1"/>
    <xf numFmtId="1" fontId="11" fillId="2" borderId="1" xfId="0" applyNumberFormat="1" applyFont="1" applyFill="1" applyBorder="1" applyAlignment="1" applyProtection="1">
      <alignment horizontal="center" vertical="center"/>
    </xf>
    <xf numFmtId="0" fontId="15" fillId="5" borderId="2" xfId="0" applyFont="1" applyFill="1" applyBorder="1" applyAlignment="1" applyProtection="1">
      <alignment horizontal="center" vertical="center" wrapText="1"/>
    </xf>
    <xf numFmtId="0" fontId="15" fillId="5" borderId="3" xfId="0" applyFont="1" applyFill="1" applyBorder="1" applyAlignment="1" applyProtection="1">
      <alignment horizontal="center" vertical="center" wrapText="1"/>
    </xf>
    <xf numFmtId="0" fontId="15" fillId="5" borderId="4" xfId="0" applyFont="1" applyFill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1" fontId="11" fillId="2" borderId="1" xfId="0" applyNumberFormat="1" applyFont="1" applyFill="1" applyBorder="1" applyAlignment="1" applyProtection="1">
      <alignment horizontal="center"/>
    </xf>
    <xf numFmtId="9" fontId="11" fillId="2" borderId="1" xfId="0" applyNumberFormat="1" applyFont="1" applyFill="1" applyBorder="1" applyAlignment="1" applyProtection="1">
      <alignment horizontal="center"/>
    </xf>
    <xf numFmtId="9" fontId="19" fillId="0" borderId="1" xfId="2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12" xfId="0" applyFont="1" applyFill="1" applyBorder="1" applyAlignment="1" applyProtection="1">
      <alignment horizontal="center" vertical="center" wrapText="1"/>
      <protection locked="0"/>
    </xf>
    <xf numFmtId="0" fontId="23" fillId="7" borderId="7" xfId="0" applyFont="1" applyFill="1" applyBorder="1" applyAlignment="1" applyProtection="1">
      <alignment horizontal="center" vertical="center" wrapText="1"/>
    </xf>
    <xf numFmtId="0" fontId="23" fillId="7" borderId="8" xfId="0" applyFont="1" applyFill="1" applyBorder="1" applyAlignment="1" applyProtection="1">
      <alignment horizontal="center" vertical="center" wrapText="1"/>
    </xf>
    <xf numFmtId="0" fontId="23" fillId="7" borderId="10" xfId="0" applyFont="1" applyFill="1" applyBorder="1" applyAlignment="1" applyProtection="1">
      <alignment horizontal="center" vertical="center" wrapText="1"/>
    </xf>
    <xf numFmtId="0" fontId="23" fillId="7" borderId="11" xfId="0" applyFont="1" applyFill="1" applyBorder="1" applyAlignment="1" applyProtection="1">
      <alignment horizontal="center" vertical="center" wrapText="1"/>
    </xf>
    <xf numFmtId="0" fontId="11" fillId="0" borderId="0" xfId="0" applyFont="1" applyBorder="1" applyAlignment="1" applyProtection="1">
      <alignment horizontal="center"/>
    </xf>
    <xf numFmtId="9" fontId="21" fillId="13" borderId="2" xfId="0" applyNumberFormat="1" applyFont="1" applyFill="1" applyBorder="1" applyAlignment="1" applyProtection="1">
      <alignment horizontal="center"/>
    </xf>
    <xf numFmtId="9" fontId="21" fillId="13" borderId="3" xfId="0" applyNumberFormat="1" applyFont="1" applyFill="1" applyBorder="1" applyAlignment="1" applyProtection="1">
      <alignment horizontal="center"/>
    </xf>
    <xf numFmtId="9" fontId="21" fillId="13" borderId="4" xfId="0" applyNumberFormat="1" applyFont="1" applyFill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center" vertical="center" wrapText="1"/>
    </xf>
    <xf numFmtId="0" fontId="11" fillId="5" borderId="3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1" fillId="0" borderId="9" xfId="0" applyFont="1" applyFill="1" applyBorder="1" applyAlignment="1" applyProtection="1">
      <alignment horizontal="center" vertical="center" wrapText="1"/>
    </xf>
    <xf numFmtId="0" fontId="11" fillId="0" borderId="12" xfId="0" applyFont="1" applyFill="1" applyBorder="1" applyAlignment="1" applyProtection="1">
      <alignment horizontal="center" vertical="center" wrapText="1"/>
    </xf>
    <xf numFmtId="0" fontId="11" fillId="0" borderId="14" xfId="0" applyFont="1" applyFill="1" applyBorder="1" applyAlignment="1" applyProtection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 wrapText="1"/>
    </xf>
    <xf numFmtId="0" fontId="16" fillId="0" borderId="6" xfId="0" applyFont="1" applyFill="1" applyBorder="1" applyAlignment="1" applyProtection="1">
      <alignment horizontal="center" vertical="center" wrapText="1"/>
    </xf>
    <xf numFmtId="0" fontId="19" fillId="0" borderId="5" xfId="0" applyFont="1" applyFill="1" applyBorder="1" applyAlignment="1" applyProtection="1">
      <alignment horizontal="center" vertical="center"/>
    </xf>
    <xf numFmtId="0" fontId="19" fillId="0" borderId="6" xfId="0" applyFont="1" applyFill="1" applyBorder="1" applyAlignment="1" applyProtection="1">
      <alignment horizontal="center" vertical="center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0" borderId="14" xfId="0" applyFont="1" applyFill="1" applyBorder="1" applyAlignment="1" applyProtection="1">
      <alignment horizontal="center" vertical="center" wrapText="1"/>
      <protection locked="0"/>
    </xf>
    <xf numFmtId="9" fontId="16" fillId="0" borderId="5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6" fillId="2" borderId="6" xfId="0" applyFont="1" applyFill="1" applyBorder="1" applyAlignment="1" applyProtection="1">
      <alignment horizontal="left" vertical="center" wrapText="1"/>
    </xf>
    <xf numFmtId="0" fontId="15" fillId="5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1" fillId="10" borderId="2" xfId="0" applyFont="1" applyFill="1" applyBorder="1" applyAlignment="1" applyProtection="1">
      <alignment horizontal="center" vertical="center" wrapText="1"/>
    </xf>
    <xf numFmtId="0" fontId="11" fillId="10" borderId="3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0" fontId="6" fillId="0" borderId="6" xfId="0" applyFont="1" applyFill="1" applyBorder="1" applyAlignment="1" applyProtection="1">
      <alignment horizontal="left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11" fillId="5" borderId="6" xfId="0" applyFont="1" applyFill="1" applyBorder="1" applyAlignment="1" applyProtection="1">
      <alignment horizontal="center" vertical="center" wrapText="1"/>
    </xf>
    <xf numFmtId="0" fontId="11" fillId="10" borderId="4" xfId="0" applyFont="1" applyFill="1" applyBorder="1" applyAlignment="1" applyProtection="1">
      <alignment horizontal="center" vertical="center" wrapText="1"/>
    </xf>
    <xf numFmtId="0" fontId="11" fillId="5" borderId="7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left" vertical="center" wrapText="1"/>
    </xf>
    <xf numFmtId="0" fontId="11" fillId="13" borderId="2" xfId="0" applyFont="1" applyFill="1" applyBorder="1" applyAlignment="1" applyProtection="1">
      <alignment horizontal="center" vertical="center" wrapText="1"/>
    </xf>
    <xf numFmtId="0" fontId="11" fillId="13" borderId="3" xfId="0" applyFont="1" applyFill="1" applyBorder="1" applyAlignment="1" applyProtection="1">
      <alignment horizontal="center" vertical="center" wrapText="1"/>
    </xf>
    <xf numFmtId="0" fontId="11" fillId="13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justify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17" fillId="0" borderId="5" xfId="0" applyFont="1" applyBorder="1" applyAlignment="1" applyProtection="1">
      <alignment horizontal="left" vertical="center" wrapText="1"/>
    </xf>
    <xf numFmtId="0" fontId="17" fillId="0" borderId="6" xfId="0" applyFont="1" applyBorder="1" applyAlignment="1" applyProtection="1">
      <alignment horizontal="left"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6" fillId="0" borderId="8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</xf>
    <xf numFmtId="0" fontId="6" fillId="0" borderId="11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  <xf numFmtId="0" fontId="12" fillId="10" borderId="2" xfId="0" applyFont="1" applyFill="1" applyBorder="1" applyAlignment="1" applyProtection="1">
      <alignment horizontal="center" vertical="center" wrapText="1"/>
    </xf>
    <xf numFmtId="0" fontId="12" fillId="10" borderId="3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17" fillId="0" borderId="7" xfId="0" applyFont="1" applyFill="1" applyBorder="1" applyAlignment="1" applyProtection="1">
      <alignment horizontal="center" vertical="center" wrapText="1"/>
    </xf>
    <xf numFmtId="0" fontId="17" fillId="0" borderId="8" xfId="0" applyFont="1" applyFill="1" applyBorder="1" applyAlignment="1" applyProtection="1">
      <alignment horizontal="center" vertical="center" wrapText="1"/>
    </xf>
    <xf numFmtId="0" fontId="17" fillId="0" borderId="9" xfId="0" applyFont="1" applyFill="1" applyBorder="1" applyAlignment="1" applyProtection="1">
      <alignment horizontal="center" vertical="center" wrapText="1"/>
    </xf>
    <xf numFmtId="0" fontId="17" fillId="0" borderId="10" xfId="0" applyFont="1" applyFill="1" applyBorder="1" applyAlignment="1" applyProtection="1">
      <alignment horizontal="center" vertical="center" wrapText="1"/>
    </xf>
    <xf numFmtId="0" fontId="17" fillId="0" borderId="11" xfId="0" applyFont="1" applyFill="1" applyBorder="1" applyAlignment="1" applyProtection="1">
      <alignment horizontal="center" vertical="center" wrapText="1"/>
    </xf>
    <xf numFmtId="0" fontId="17" fillId="0" borderId="12" xfId="0" applyFont="1" applyFill="1" applyBorder="1" applyAlignment="1" applyProtection="1">
      <alignment horizontal="center" vertical="center" wrapText="1"/>
    </xf>
    <xf numFmtId="0" fontId="20" fillId="0" borderId="9" xfId="0" applyFont="1" applyFill="1" applyBorder="1" applyAlignment="1" applyProtection="1">
      <alignment horizontal="center" vertical="center" wrapText="1"/>
      <protection locked="0"/>
    </xf>
    <xf numFmtId="0" fontId="20" fillId="0" borderId="12" xfId="0" applyFont="1" applyFill="1" applyBorder="1" applyAlignment="1" applyProtection="1">
      <alignment horizontal="center" vertical="center" wrapText="1"/>
      <protection locked="0"/>
    </xf>
    <xf numFmtId="9" fontId="19" fillId="0" borderId="5" xfId="2" applyFont="1" applyFill="1" applyBorder="1" applyAlignment="1" applyProtection="1">
      <alignment horizontal="center" vertical="center"/>
    </xf>
    <xf numFmtId="9" fontId="19" fillId="0" borderId="6" xfId="2" applyFont="1" applyFill="1" applyBorder="1" applyAlignment="1" applyProtection="1">
      <alignment horizontal="center" vertical="center"/>
    </xf>
    <xf numFmtId="0" fontId="11" fillId="6" borderId="4" xfId="0" applyFont="1" applyFill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11" fillId="6" borderId="2" xfId="0" applyFont="1" applyFill="1" applyBorder="1" applyAlignment="1" applyProtection="1">
      <alignment horizontal="center" vertical="center" wrapText="1"/>
    </xf>
    <xf numFmtId="0" fontId="11" fillId="6" borderId="3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left" vertical="center"/>
    </xf>
    <xf numFmtId="0" fontId="6" fillId="10" borderId="1" xfId="0" applyFont="1" applyFill="1" applyBorder="1" applyAlignment="1" applyProtection="1">
      <alignment horizontal="center"/>
    </xf>
    <xf numFmtId="0" fontId="12" fillId="4" borderId="2" xfId="1" applyFont="1" applyFill="1" applyBorder="1" applyAlignment="1" applyProtection="1">
      <alignment horizontal="center" vertical="center" wrapText="1"/>
    </xf>
    <xf numFmtId="0" fontId="12" fillId="4" borderId="3" xfId="1" applyFont="1" applyFill="1" applyBorder="1" applyAlignment="1" applyProtection="1">
      <alignment horizontal="center" vertical="center" wrapText="1"/>
    </xf>
    <xf numFmtId="0" fontId="12" fillId="4" borderId="4" xfId="1" applyFont="1" applyFill="1" applyBorder="1" applyAlignment="1" applyProtection="1">
      <alignment horizontal="center" vertical="center" wrapText="1"/>
    </xf>
    <xf numFmtId="0" fontId="12" fillId="8" borderId="2" xfId="1" applyFont="1" applyFill="1" applyBorder="1" applyAlignment="1" applyProtection="1">
      <alignment horizontal="center" vertical="center"/>
    </xf>
    <xf numFmtId="0" fontId="12" fillId="8" borderId="3" xfId="1" applyFont="1" applyFill="1" applyBorder="1" applyAlignment="1" applyProtection="1">
      <alignment horizontal="center" vertical="center"/>
    </xf>
    <xf numFmtId="0" fontId="12" fillId="8" borderId="4" xfId="1" applyFont="1" applyFill="1" applyBorder="1" applyAlignment="1" applyProtection="1">
      <alignment horizontal="center" vertical="center"/>
    </xf>
    <xf numFmtId="0" fontId="11" fillId="12" borderId="2" xfId="1" applyFont="1" applyFill="1" applyBorder="1" applyAlignment="1" applyProtection="1">
      <alignment horizontal="center" vertical="center"/>
    </xf>
    <xf numFmtId="0" fontId="11" fillId="12" borderId="3" xfId="1" applyFont="1" applyFill="1" applyBorder="1" applyAlignment="1" applyProtection="1">
      <alignment horizontal="center" vertical="center"/>
    </xf>
    <xf numFmtId="0" fontId="11" fillId="12" borderId="4" xfId="1" applyFont="1" applyFill="1" applyBorder="1" applyAlignment="1" applyProtection="1">
      <alignment horizontal="center" vertical="center"/>
    </xf>
    <xf numFmtId="0" fontId="10" fillId="11" borderId="2" xfId="1" applyFont="1" applyFill="1" applyBorder="1" applyAlignment="1" applyProtection="1">
      <alignment horizontal="center" vertical="center"/>
    </xf>
    <xf numFmtId="0" fontId="12" fillId="11" borderId="3" xfId="1" applyFont="1" applyFill="1" applyBorder="1" applyAlignment="1" applyProtection="1">
      <alignment horizontal="center" vertical="center"/>
    </xf>
    <xf numFmtId="0" fontId="12" fillId="11" borderId="4" xfId="1" applyFont="1" applyFill="1" applyBorder="1" applyAlignment="1" applyProtection="1">
      <alignment horizontal="center" vertical="center"/>
    </xf>
    <xf numFmtId="0" fontId="11" fillId="6" borderId="5" xfId="0" applyFont="1" applyFill="1" applyBorder="1" applyAlignment="1" applyProtection="1">
      <alignment horizontal="center" vertical="center" wrapText="1"/>
    </xf>
    <xf numFmtId="0" fontId="11" fillId="6" borderId="6" xfId="0" applyFont="1" applyFill="1" applyBorder="1" applyAlignment="1" applyProtection="1">
      <alignment horizontal="center" vertical="center" wrapText="1"/>
    </xf>
    <xf numFmtId="0" fontId="17" fillId="0" borderId="1" xfId="0" applyFont="1" applyBorder="1" applyAlignment="1" applyProtection="1">
      <alignment vertical="center" wrapText="1"/>
    </xf>
    <xf numFmtId="0" fontId="11" fillId="6" borderId="7" xfId="0" applyFont="1" applyFill="1" applyBorder="1" applyAlignment="1" applyProtection="1">
      <alignment horizontal="center" vertical="center" wrapText="1"/>
    </xf>
    <xf numFmtId="0" fontId="11" fillId="6" borderId="8" xfId="0" applyFont="1" applyFill="1" applyBorder="1" applyAlignment="1" applyProtection="1">
      <alignment horizontal="center" vertical="center" wrapText="1"/>
    </xf>
    <xf numFmtId="0" fontId="11" fillId="6" borderId="9" xfId="0" applyFont="1" applyFill="1" applyBorder="1" applyAlignment="1" applyProtection="1">
      <alignment horizontal="center" vertical="center" wrapText="1"/>
    </xf>
    <xf numFmtId="0" fontId="11" fillId="6" borderId="10" xfId="0" applyFont="1" applyFill="1" applyBorder="1" applyAlignment="1" applyProtection="1">
      <alignment horizontal="center" vertical="center" wrapText="1"/>
    </xf>
    <xf numFmtId="0" fontId="11" fillId="6" borderId="11" xfId="0" applyFont="1" applyFill="1" applyBorder="1" applyAlignment="1" applyProtection="1">
      <alignment horizontal="center" vertical="center" wrapText="1"/>
    </xf>
    <xf numFmtId="0" fontId="11" fillId="6" borderId="12" xfId="0" applyFont="1" applyFill="1" applyBorder="1" applyAlignment="1" applyProtection="1">
      <alignment horizontal="center" vertical="center" wrapText="1"/>
    </xf>
    <xf numFmtId="165" fontId="11" fillId="5" borderId="1" xfId="6" applyNumberFormat="1" applyFont="1" applyFill="1" applyBorder="1" applyAlignment="1" applyProtection="1">
      <alignment horizontal="center" vertical="center" wrapText="1"/>
    </xf>
    <xf numFmtId="165" fontId="11" fillId="5" borderId="4" xfId="6" applyNumberFormat="1" applyFont="1" applyFill="1" applyBorder="1" applyAlignment="1" applyProtection="1">
      <alignment horizontal="center" vertical="center" wrapText="1"/>
    </xf>
    <xf numFmtId="165" fontId="11" fillId="6" borderId="4" xfId="6" applyNumberFormat="1" applyFont="1" applyFill="1" applyBorder="1" applyAlignment="1" applyProtection="1">
      <alignment horizontal="center" vertical="center" wrapText="1"/>
    </xf>
  </cellXfs>
  <cellStyles count="7">
    <cellStyle name="Hipervínculo" xfId="1" builtinId="8"/>
    <cellStyle name="Moneda" xfId="6" builtinId="4"/>
    <cellStyle name="Normal" xfId="0" builtinId="0"/>
    <cellStyle name="Normal 2" xfId="3"/>
    <cellStyle name="Normal 2 2" xfId="5"/>
    <cellStyle name="Porcentaje" xfId="2" builtinId="5"/>
    <cellStyle name="Porcentaje 2" xfId="4"/>
  </cellStyles>
  <dxfs count="221"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E37113"/>
      <color rgb="FFF27C1A"/>
      <color rgb="FF009999"/>
      <color rgb="FF008000"/>
      <color rgb="FF00FF00"/>
      <color rgb="FFE7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1064560</xdr:colOff>
      <xdr:row>0</xdr:row>
      <xdr:rowOff>22412</xdr:rowOff>
    </xdr:from>
    <xdr:to>
      <xdr:col>0</xdr:col>
      <xdr:colOff>2420471</xdr:colOff>
      <xdr:row>2</xdr:row>
      <xdr:rowOff>414617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60" y="22412"/>
          <a:ext cx="1355911" cy="1086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19"/>
  <sheetViews>
    <sheetView showGridLines="0" tabSelected="1" topLeftCell="S1" zoomScale="85" zoomScaleNormal="85" zoomScaleSheetLayoutView="71" workbookViewId="0">
      <selection activeCell="BE14" sqref="BE14"/>
    </sheetView>
  </sheetViews>
  <sheetFormatPr baseColWidth="10" defaultRowHeight="17.25" customHeight="1" x14ac:dyDescent="0.2"/>
  <cols>
    <col min="1" max="1" width="53.42578125" style="3" customWidth="1"/>
    <col min="2" max="2" width="4.140625" style="3" customWidth="1"/>
    <col min="3" max="3" width="5.7109375" style="3" customWidth="1"/>
    <col min="4" max="4" width="4.5703125" style="3" customWidth="1"/>
    <col min="5" max="5" width="5.7109375" style="3" customWidth="1"/>
    <col min="6" max="8" width="3.7109375" style="3" customWidth="1"/>
    <col min="9" max="9" width="3.5703125" style="3" customWidth="1"/>
    <col min="10" max="24" width="3.7109375" style="3" customWidth="1"/>
    <col min="25" max="25" width="3.7109375" style="16" customWidth="1"/>
    <col min="26" max="27" width="3.7109375" style="3" customWidth="1"/>
    <col min="28" max="28" width="3.5703125" style="3" customWidth="1"/>
    <col min="29" max="36" width="3.7109375" style="3" customWidth="1"/>
    <col min="37" max="37" width="4" style="3" customWidth="1"/>
    <col min="38" max="42" width="3.7109375" style="3" customWidth="1"/>
    <col min="43" max="43" width="4.5703125" style="3" customWidth="1"/>
    <col min="44" max="53" width="3.7109375" style="3" customWidth="1"/>
    <col min="54" max="54" width="11.85546875" style="30" customWidth="1"/>
    <col min="55" max="55" width="10.28515625" style="30" customWidth="1"/>
    <col min="56" max="56" width="13.7109375" style="31" customWidth="1"/>
    <col min="57" max="57" width="16.140625" style="57" bestFit="1" customWidth="1"/>
    <col min="58" max="58" width="38.7109375" style="32" customWidth="1"/>
    <col min="59" max="16384" width="11.42578125" style="3"/>
  </cols>
  <sheetData>
    <row r="1" spans="1:58" ht="27" customHeight="1" x14ac:dyDescent="0.2">
      <c r="A1" s="47"/>
      <c r="B1" s="53" t="s">
        <v>80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F1" s="54"/>
    </row>
    <row r="2" spans="1:58" ht="27" customHeight="1" x14ac:dyDescent="0.2">
      <c r="A2" s="47"/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F2" s="54"/>
    </row>
    <row r="3" spans="1:58" ht="34.5" customHeight="1" x14ac:dyDescent="0.2">
      <c r="A3"/>
      <c r="B3" s="63" t="s">
        <v>33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5"/>
      <c r="AK3" s="154"/>
      <c r="AL3" s="154"/>
      <c r="AM3" s="154"/>
      <c r="AN3" s="154"/>
      <c r="AO3" s="154"/>
      <c r="AP3" s="154"/>
      <c r="AQ3" s="154"/>
      <c r="AR3" s="154"/>
      <c r="AS3" s="2"/>
      <c r="AT3" s="2"/>
      <c r="AU3" s="2"/>
      <c r="AV3" s="2"/>
      <c r="AW3" s="2"/>
      <c r="AX3" s="153"/>
      <c r="AY3" s="153"/>
      <c r="AZ3" s="153"/>
      <c r="BA3" s="153"/>
      <c r="BB3" s="153"/>
      <c r="BC3" s="1"/>
      <c r="BD3" s="1"/>
      <c r="BF3" s="1"/>
    </row>
    <row r="4" spans="1:58" ht="4.5" customHeight="1" x14ac:dyDescent="0.2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F4" s="1"/>
    </row>
    <row r="5" spans="1:58" ht="24.75" customHeight="1" x14ac:dyDescent="0.2">
      <c r="A5" s="33" t="s">
        <v>31</v>
      </c>
      <c r="B5" s="165" t="s">
        <v>9</v>
      </c>
      <c r="C5" s="166"/>
      <c r="D5" s="166"/>
      <c r="E5" s="166"/>
      <c r="F5" s="166"/>
      <c r="G5" s="167"/>
      <c r="H5" s="52" t="s">
        <v>10</v>
      </c>
      <c r="I5" s="162" t="s">
        <v>11</v>
      </c>
      <c r="J5" s="163"/>
      <c r="K5" s="163"/>
      <c r="L5" s="163"/>
      <c r="M5" s="163"/>
      <c r="N5" s="163"/>
      <c r="O5" s="163"/>
      <c r="P5" s="164"/>
      <c r="Q5" s="4" t="s">
        <v>12</v>
      </c>
      <c r="R5" s="159" t="s">
        <v>13</v>
      </c>
      <c r="S5" s="160"/>
      <c r="T5" s="160"/>
      <c r="U5" s="160"/>
      <c r="V5" s="160"/>
      <c r="W5" s="160"/>
      <c r="X5" s="160"/>
      <c r="Y5" s="160"/>
      <c r="Z5" s="161"/>
      <c r="AA5" s="43" t="s">
        <v>14</v>
      </c>
      <c r="AB5" s="156" t="s">
        <v>15</v>
      </c>
      <c r="AC5" s="157"/>
      <c r="AD5" s="157"/>
      <c r="AE5" s="157"/>
      <c r="AF5" s="157"/>
      <c r="AG5" s="157"/>
      <c r="AH5" s="157"/>
      <c r="AI5" s="158"/>
      <c r="AJ5" s="44" t="s">
        <v>16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6"/>
      <c r="BC5" s="6"/>
      <c r="BD5" s="7"/>
      <c r="BF5" s="8"/>
    </row>
    <row r="6" spans="1:58" ht="14.25" customHeight="1" x14ac:dyDescent="0.2">
      <c r="A6" s="108" t="s">
        <v>34</v>
      </c>
      <c r="B6" s="111" t="s">
        <v>8</v>
      </c>
      <c r="C6" s="112"/>
      <c r="D6" s="112"/>
      <c r="E6" s="113"/>
      <c r="F6" s="60" t="s">
        <v>3</v>
      </c>
      <c r="G6" s="61"/>
      <c r="H6" s="61"/>
      <c r="I6" s="62"/>
      <c r="J6" s="60" t="s">
        <v>1</v>
      </c>
      <c r="K6" s="61"/>
      <c r="L6" s="61"/>
      <c r="M6" s="62"/>
      <c r="N6" s="60" t="s">
        <v>2</v>
      </c>
      <c r="O6" s="61"/>
      <c r="P6" s="61"/>
      <c r="Q6" s="62"/>
      <c r="R6" s="60" t="s">
        <v>4</v>
      </c>
      <c r="S6" s="61"/>
      <c r="T6" s="61"/>
      <c r="U6" s="62"/>
      <c r="V6" s="101" t="s">
        <v>5</v>
      </c>
      <c r="W6" s="101"/>
      <c r="X6" s="101"/>
      <c r="Y6" s="101"/>
      <c r="Z6" s="60" t="s">
        <v>6</v>
      </c>
      <c r="AA6" s="61"/>
      <c r="AB6" s="61"/>
      <c r="AC6" s="62"/>
      <c r="AD6" s="60" t="s">
        <v>27</v>
      </c>
      <c r="AE6" s="61"/>
      <c r="AF6" s="61"/>
      <c r="AG6" s="62"/>
      <c r="AH6" s="60" t="s">
        <v>7</v>
      </c>
      <c r="AI6" s="61"/>
      <c r="AJ6" s="61"/>
      <c r="AK6" s="62"/>
      <c r="AL6" s="60" t="s">
        <v>28</v>
      </c>
      <c r="AM6" s="61"/>
      <c r="AN6" s="61"/>
      <c r="AO6" s="62"/>
      <c r="AP6" s="60" t="s">
        <v>29</v>
      </c>
      <c r="AQ6" s="61"/>
      <c r="AR6" s="61"/>
      <c r="AS6" s="62"/>
      <c r="AT6" s="60" t="s">
        <v>30</v>
      </c>
      <c r="AU6" s="61"/>
      <c r="AV6" s="61"/>
      <c r="AW6" s="62"/>
      <c r="AX6" s="60" t="s">
        <v>0</v>
      </c>
      <c r="AY6" s="61"/>
      <c r="AZ6" s="61"/>
      <c r="BA6" s="62"/>
      <c r="BB6" s="82" t="s">
        <v>24</v>
      </c>
      <c r="BC6" s="83"/>
      <c r="BD6" s="84"/>
      <c r="BE6" s="177" t="s">
        <v>89</v>
      </c>
      <c r="BF6" s="84" t="s">
        <v>21</v>
      </c>
    </row>
    <row r="7" spans="1:58" ht="18" customHeight="1" x14ac:dyDescent="0.2">
      <c r="A7" s="109"/>
      <c r="B7" s="114"/>
      <c r="C7" s="115"/>
      <c r="D7" s="115"/>
      <c r="E7" s="116"/>
      <c r="F7" s="9">
        <v>1</v>
      </c>
      <c r="G7" s="9">
        <v>2</v>
      </c>
      <c r="H7" s="9">
        <v>3</v>
      </c>
      <c r="I7" s="9">
        <v>4</v>
      </c>
      <c r="J7" s="9">
        <v>1</v>
      </c>
      <c r="K7" s="9">
        <v>2</v>
      </c>
      <c r="L7" s="9">
        <v>3</v>
      </c>
      <c r="M7" s="9">
        <v>4</v>
      </c>
      <c r="N7" s="9">
        <v>1</v>
      </c>
      <c r="O7" s="9">
        <v>2</v>
      </c>
      <c r="P7" s="9">
        <v>3</v>
      </c>
      <c r="Q7" s="9">
        <v>4</v>
      </c>
      <c r="R7" s="9">
        <v>1</v>
      </c>
      <c r="S7" s="9">
        <v>2</v>
      </c>
      <c r="T7" s="9">
        <v>3</v>
      </c>
      <c r="U7" s="9">
        <v>4</v>
      </c>
      <c r="V7" s="10">
        <v>1</v>
      </c>
      <c r="W7" s="10">
        <v>2</v>
      </c>
      <c r="X7" s="10">
        <v>3</v>
      </c>
      <c r="Y7" s="10">
        <v>4</v>
      </c>
      <c r="Z7" s="9">
        <v>1</v>
      </c>
      <c r="AA7" s="9">
        <v>2</v>
      </c>
      <c r="AB7" s="9">
        <v>3</v>
      </c>
      <c r="AC7" s="9">
        <v>4</v>
      </c>
      <c r="AD7" s="9">
        <v>1</v>
      </c>
      <c r="AE7" s="9">
        <v>2</v>
      </c>
      <c r="AF7" s="9">
        <v>3</v>
      </c>
      <c r="AG7" s="9">
        <v>4</v>
      </c>
      <c r="AH7" s="9">
        <v>1</v>
      </c>
      <c r="AI7" s="9">
        <v>2</v>
      </c>
      <c r="AJ7" s="9">
        <v>3</v>
      </c>
      <c r="AK7" s="9">
        <v>4</v>
      </c>
      <c r="AL7" s="9">
        <v>1</v>
      </c>
      <c r="AM7" s="9">
        <v>2</v>
      </c>
      <c r="AN7" s="9">
        <v>3</v>
      </c>
      <c r="AO7" s="9">
        <v>4</v>
      </c>
      <c r="AP7" s="9">
        <v>1</v>
      </c>
      <c r="AQ7" s="9">
        <v>2</v>
      </c>
      <c r="AR7" s="9">
        <v>3</v>
      </c>
      <c r="AS7" s="9">
        <v>4</v>
      </c>
      <c r="AT7" s="9">
        <v>1</v>
      </c>
      <c r="AU7" s="9">
        <v>2</v>
      </c>
      <c r="AV7" s="9">
        <v>3</v>
      </c>
      <c r="AW7" s="9">
        <v>4</v>
      </c>
      <c r="AX7" s="9">
        <v>1</v>
      </c>
      <c r="AY7" s="9">
        <v>2</v>
      </c>
      <c r="AZ7" s="9">
        <v>3</v>
      </c>
      <c r="BA7" s="9">
        <v>4</v>
      </c>
      <c r="BB7" s="11" t="s">
        <v>9</v>
      </c>
      <c r="BC7" s="12" t="s">
        <v>22</v>
      </c>
      <c r="BD7" s="12" t="s">
        <v>23</v>
      </c>
      <c r="BE7" s="177"/>
      <c r="BF7" s="84"/>
    </row>
    <row r="8" spans="1:58" ht="20.25" customHeight="1" x14ac:dyDescent="0.2">
      <c r="A8" s="121" t="s">
        <v>59</v>
      </c>
      <c r="B8" s="102" t="s">
        <v>63</v>
      </c>
      <c r="C8" s="102"/>
      <c r="D8" s="102"/>
      <c r="E8" s="102"/>
      <c r="F8" s="34"/>
      <c r="G8" s="34"/>
      <c r="H8" s="34"/>
      <c r="I8" s="34"/>
      <c r="J8" s="34" t="s">
        <v>10</v>
      </c>
      <c r="K8" s="35"/>
      <c r="L8" s="34"/>
      <c r="M8" s="34"/>
      <c r="N8" s="34"/>
      <c r="O8" s="34"/>
      <c r="P8" s="34"/>
      <c r="Q8" s="34"/>
      <c r="R8" s="34"/>
      <c r="S8" s="34"/>
      <c r="T8" s="34" t="s">
        <v>10</v>
      </c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6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85">
        <f>COUNTIF(F8:BA8,$H$5)</f>
        <v>2</v>
      </c>
      <c r="BC8" s="85">
        <f>COUNTIF(F9:BA9,$Q$5)</f>
        <v>2</v>
      </c>
      <c r="BD8" s="144">
        <f t="shared" ref="BD8:BD20" si="0">IFERROR(BC8/BB8,"")</f>
        <v>1</v>
      </c>
      <c r="BE8" s="58">
        <v>20000</v>
      </c>
      <c r="BF8" s="70" t="s">
        <v>95</v>
      </c>
    </row>
    <row r="9" spans="1:58" ht="20.25" customHeight="1" x14ac:dyDescent="0.2">
      <c r="A9" s="121"/>
      <c r="B9" s="102"/>
      <c r="C9" s="102"/>
      <c r="D9" s="102"/>
      <c r="E9" s="102"/>
      <c r="F9" s="34"/>
      <c r="G9" s="34"/>
      <c r="H9" s="34"/>
      <c r="I9" s="34"/>
      <c r="J9" s="34" t="s">
        <v>12</v>
      </c>
      <c r="K9" s="34"/>
      <c r="L9" s="34"/>
      <c r="M9" s="34"/>
      <c r="N9" s="34"/>
      <c r="O9" s="34"/>
      <c r="P9" s="34"/>
      <c r="Q9" s="34"/>
      <c r="R9" s="34"/>
      <c r="S9" s="34"/>
      <c r="T9" s="34" t="s">
        <v>12</v>
      </c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6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85"/>
      <c r="BC9" s="85"/>
      <c r="BD9" s="145"/>
      <c r="BE9" s="58">
        <v>20000</v>
      </c>
      <c r="BF9" s="71"/>
    </row>
    <row r="10" spans="1:58" ht="20.25" customHeight="1" x14ac:dyDescent="0.2">
      <c r="A10" s="121" t="s">
        <v>77</v>
      </c>
      <c r="B10" s="102" t="s">
        <v>84</v>
      </c>
      <c r="C10" s="102"/>
      <c r="D10" s="102"/>
      <c r="E10" s="102"/>
      <c r="F10" s="34"/>
      <c r="G10" s="34"/>
      <c r="H10" s="34"/>
      <c r="I10" s="34"/>
      <c r="J10" s="34"/>
      <c r="K10" s="35"/>
      <c r="L10" s="34" t="s">
        <v>10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 t="s">
        <v>10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85">
        <f t="shared" ref="BB10" si="1">COUNTIF(F10:BA10,$H$5)</f>
        <v>2</v>
      </c>
      <c r="BC10" s="85">
        <f t="shared" ref="BC10" si="2">COUNTIF(F11:BA11,$Q$5)</f>
        <v>2</v>
      </c>
      <c r="BD10" s="144">
        <f t="shared" si="0"/>
        <v>1</v>
      </c>
      <c r="BE10" s="58">
        <v>15000</v>
      </c>
      <c r="BF10" s="142" t="s">
        <v>95</v>
      </c>
    </row>
    <row r="11" spans="1:58" ht="20.25" customHeight="1" x14ac:dyDescent="0.2">
      <c r="A11" s="121"/>
      <c r="B11" s="102"/>
      <c r="C11" s="102"/>
      <c r="D11" s="102"/>
      <c r="E11" s="102"/>
      <c r="F11" s="34"/>
      <c r="G11" s="34"/>
      <c r="H11" s="34"/>
      <c r="I11" s="34"/>
      <c r="J11" s="34"/>
      <c r="K11" s="34"/>
      <c r="L11" s="34" t="s">
        <v>12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 t="s">
        <v>12</v>
      </c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6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85"/>
      <c r="BC11" s="85"/>
      <c r="BD11" s="145"/>
      <c r="BE11" s="58">
        <v>0</v>
      </c>
      <c r="BF11" s="143"/>
    </row>
    <row r="12" spans="1:58" ht="20.25" customHeight="1" x14ac:dyDescent="0.2">
      <c r="A12" s="99" t="s">
        <v>78</v>
      </c>
      <c r="B12" s="102" t="s">
        <v>85</v>
      </c>
      <c r="C12" s="102"/>
      <c r="D12" s="102"/>
      <c r="E12" s="102"/>
      <c r="F12" s="34"/>
      <c r="G12" s="34"/>
      <c r="H12" s="34"/>
      <c r="I12" s="34"/>
      <c r="J12" s="34"/>
      <c r="K12" s="34" t="s">
        <v>10</v>
      </c>
      <c r="L12" s="34"/>
      <c r="M12" s="34"/>
      <c r="N12" s="34"/>
      <c r="O12" s="34"/>
      <c r="P12" s="34"/>
      <c r="Q12" s="34" t="s">
        <v>10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6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85">
        <f t="shared" ref="BB12" si="3">COUNTIF(F12:BA12,$H$5)</f>
        <v>2</v>
      </c>
      <c r="BC12" s="85">
        <f t="shared" ref="BC12" si="4">COUNTIF(F13:BA13,$Q$5)</f>
        <v>2</v>
      </c>
      <c r="BD12" s="144">
        <f t="shared" si="0"/>
        <v>1</v>
      </c>
      <c r="BE12" s="58">
        <v>1114000</v>
      </c>
      <c r="BF12" s="142" t="s">
        <v>90</v>
      </c>
    </row>
    <row r="13" spans="1:58" ht="20.25" customHeight="1" x14ac:dyDescent="0.2">
      <c r="A13" s="100"/>
      <c r="B13" s="102"/>
      <c r="C13" s="102"/>
      <c r="D13" s="102"/>
      <c r="E13" s="102"/>
      <c r="F13" s="34"/>
      <c r="G13" s="34"/>
      <c r="H13" s="34"/>
      <c r="I13" s="34"/>
      <c r="J13" s="34"/>
      <c r="K13" s="34" t="s">
        <v>12</v>
      </c>
      <c r="L13" s="34"/>
      <c r="M13" s="34"/>
      <c r="N13" s="34"/>
      <c r="O13" s="34"/>
      <c r="P13" s="34"/>
      <c r="Q13" s="34" t="s">
        <v>12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6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85"/>
      <c r="BC13" s="85"/>
      <c r="BD13" s="145"/>
      <c r="BE13" s="58">
        <v>363971</v>
      </c>
      <c r="BF13" s="143"/>
    </row>
    <row r="14" spans="1:58" ht="20.25" customHeight="1" x14ac:dyDescent="0.2">
      <c r="A14" s="99" t="s">
        <v>79</v>
      </c>
      <c r="B14" s="102" t="s">
        <v>88</v>
      </c>
      <c r="C14" s="102"/>
      <c r="D14" s="102"/>
      <c r="E14" s="102"/>
      <c r="F14" s="34"/>
      <c r="G14" s="34"/>
      <c r="H14" s="34"/>
      <c r="I14" s="34"/>
      <c r="J14" s="34"/>
      <c r="K14" s="34"/>
      <c r="L14" s="34"/>
      <c r="M14" s="34" t="s">
        <v>10</v>
      </c>
      <c r="N14" s="34"/>
      <c r="O14" s="34"/>
      <c r="P14" s="34"/>
      <c r="Q14" s="34"/>
      <c r="R14" s="34"/>
      <c r="S14" s="34"/>
      <c r="T14" s="34"/>
      <c r="U14" s="34" t="s">
        <v>10</v>
      </c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6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85">
        <f t="shared" ref="BB14" si="5">COUNTIF(F14:BA14,$H$5)</f>
        <v>2</v>
      </c>
      <c r="BC14" s="85">
        <f t="shared" ref="BC14" si="6">COUNTIF(F15:BA15,$Q$5)</f>
        <v>2</v>
      </c>
      <c r="BD14" s="144">
        <f t="shared" si="0"/>
        <v>1</v>
      </c>
      <c r="BE14" s="58">
        <v>150000</v>
      </c>
      <c r="BF14" s="142" t="s">
        <v>90</v>
      </c>
    </row>
    <row r="15" spans="1:58" ht="20.25" customHeight="1" x14ac:dyDescent="0.2">
      <c r="A15" s="100"/>
      <c r="B15" s="102"/>
      <c r="C15" s="102"/>
      <c r="D15" s="102"/>
      <c r="E15" s="102"/>
      <c r="F15" s="34"/>
      <c r="G15" s="34"/>
      <c r="H15" s="34"/>
      <c r="I15" s="34"/>
      <c r="J15" s="34"/>
      <c r="K15" s="34"/>
      <c r="L15" s="34"/>
      <c r="M15" s="34" t="s">
        <v>12</v>
      </c>
      <c r="N15" s="34"/>
      <c r="O15" s="34"/>
      <c r="P15" s="34"/>
      <c r="Q15" s="34"/>
      <c r="R15" s="34"/>
      <c r="S15" s="34"/>
      <c r="T15" s="34"/>
      <c r="U15" s="34" t="s">
        <v>12</v>
      </c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6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85"/>
      <c r="BC15" s="85"/>
      <c r="BD15" s="145"/>
      <c r="BE15" s="58">
        <v>320000</v>
      </c>
      <c r="BF15" s="143"/>
    </row>
    <row r="16" spans="1:58" ht="20.25" customHeight="1" x14ac:dyDescent="0.2">
      <c r="A16" s="99" t="s">
        <v>82</v>
      </c>
      <c r="B16" s="102" t="s">
        <v>86</v>
      </c>
      <c r="C16" s="102"/>
      <c r="D16" s="102"/>
      <c r="E16" s="102"/>
      <c r="F16" s="34"/>
      <c r="G16" s="34"/>
      <c r="H16" s="34"/>
      <c r="I16" s="34"/>
      <c r="J16" s="34" t="s">
        <v>10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6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85">
        <f t="shared" ref="BB16" si="7">COUNTIF(F16:BA16,$H$5)</f>
        <v>1</v>
      </c>
      <c r="BC16" s="85">
        <f t="shared" ref="BC16" si="8">COUNTIF(F17:BA17,$Q$5)</f>
        <v>1</v>
      </c>
      <c r="BD16" s="144">
        <f t="shared" si="0"/>
        <v>1</v>
      </c>
      <c r="BE16" s="58">
        <v>130000</v>
      </c>
      <c r="BF16" s="142" t="s">
        <v>90</v>
      </c>
    </row>
    <row r="17" spans="1:58" ht="20.25" customHeight="1" x14ac:dyDescent="0.2">
      <c r="A17" s="100"/>
      <c r="B17" s="102"/>
      <c r="C17" s="102"/>
      <c r="D17" s="102"/>
      <c r="E17" s="102"/>
      <c r="F17" s="34"/>
      <c r="G17" s="34"/>
      <c r="H17" s="34"/>
      <c r="I17" s="34"/>
      <c r="J17" s="34" t="s">
        <v>12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6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85"/>
      <c r="BC17" s="85"/>
      <c r="BD17" s="145"/>
      <c r="BE17" s="58">
        <v>212500</v>
      </c>
      <c r="BF17" s="143"/>
    </row>
    <row r="18" spans="1:58" ht="20.25" customHeight="1" x14ac:dyDescent="0.2">
      <c r="A18" s="99" t="s">
        <v>83</v>
      </c>
      <c r="B18" s="102" t="s">
        <v>87</v>
      </c>
      <c r="C18" s="102"/>
      <c r="D18" s="102"/>
      <c r="E18" s="102"/>
      <c r="F18" s="34"/>
      <c r="G18" s="34"/>
      <c r="H18" s="34"/>
      <c r="I18" s="34"/>
      <c r="J18" s="34"/>
      <c r="K18" s="34" t="s">
        <v>10</v>
      </c>
      <c r="L18" s="34"/>
      <c r="M18" s="34"/>
      <c r="N18" s="34"/>
      <c r="O18" s="34"/>
      <c r="P18" s="34"/>
      <c r="Q18" s="34" t="s">
        <v>10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6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85">
        <f t="shared" ref="BB18" si="9">COUNTIF(F18:BA18,$H$5)</f>
        <v>2</v>
      </c>
      <c r="BC18" s="85">
        <f t="shared" ref="BC18" si="10">COUNTIF(F19:BA19,$Q$5)</f>
        <v>2</v>
      </c>
      <c r="BD18" s="144">
        <f t="shared" si="0"/>
        <v>1</v>
      </c>
      <c r="BE18" s="58">
        <v>264000</v>
      </c>
      <c r="BF18" s="142" t="s">
        <v>90</v>
      </c>
    </row>
    <row r="19" spans="1:58" ht="20.25" customHeight="1" x14ac:dyDescent="0.2">
      <c r="A19" s="100"/>
      <c r="B19" s="102"/>
      <c r="C19" s="102"/>
      <c r="D19" s="102"/>
      <c r="E19" s="102"/>
      <c r="F19" s="34"/>
      <c r="G19" s="34"/>
      <c r="H19" s="34"/>
      <c r="I19" s="34"/>
      <c r="J19" s="34"/>
      <c r="K19" s="34" t="s">
        <v>12</v>
      </c>
      <c r="L19" s="34"/>
      <c r="M19" s="34"/>
      <c r="N19" s="34"/>
      <c r="O19" s="34"/>
      <c r="P19" s="34"/>
      <c r="Q19" s="34" t="s">
        <v>12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6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85"/>
      <c r="BC19" s="85"/>
      <c r="BD19" s="145"/>
      <c r="BE19" s="58">
        <v>200000</v>
      </c>
      <c r="BF19" s="143"/>
    </row>
    <row r="20" spans="1:58" ht="20.25" customHeight="1" x14ac:dyDescent="0.2">
      <c r="A20" s="99"/>
      <c r="B20" s="102"/>
      <c r="C20" s="102"/>
      <c r="D20" s="102"/>
      <c r="E20" s="102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6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85">
        <f t="shared" ref="BB20" si="11">COUNTIF(F20:BA20,$H$5)</f>
        <v>0</v>
      </c>
      <c r="BC20" s="85">
        <f t="shared" ref="BC20" si="12">COUNTIF(F21:BA21,$Q$5)</f>
        <v>0</v>
      </c>
      <c r="BD20" s="144" t="str">
        <f t="shared" si="0"/>
        <v/>
      </c>
      <c r="BE20" s="58">
        <v>0</v>
      </c>
      <c r="BF20" s="142"/>
    </row>
    <row r="21" spans="1:58" ht="20.25" customHeight="1" x14ac:dyDescent="0.2">
      <c r="A21" s="100"/>
      <c r="B21" s="102"/>
      <c r="C21" s="102"/>
      <c r="D21" s="102"/>
      <c r="E21" s="102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6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85"/>
      <c r="BC21" s="85"/>
      <c r="BD21" s="145"/>
      <c r="BE21" s="58">
        <v>0</v>
      </c>
      <c r="BF21" s="143"/>
    </row>
    <row r="22" spans="1:58" ht="19.5" customHeight="1" x14ac:dyDescent="0.2">
      <c r="A22" s="131" t="s">
        <v>19</v>
      </c>
      <c r="B22" s="132"/>
      <c r="C22" s="132"/>
      <c r="D22" s="132"/>
      <c r="E22" s="51"/>
      <c r="F22" s="59">
        <f>COUNTIF(F8:I21,"P")</f>
        <v>0</v>
      </c>
      <c r="G22" s="59"/>
      <c r="H22" s="59"/>
      <c r="I22" s="59"/>
      <c r="J22" s="59">
        <f>COUNTIF(J8:M21,"P")</f>
        <v>6</v>
      </c>
      <c r="K22" s="59"/>
      <c r="L22" s="59"/>
      <c r="M22" s="59"/>
      <c r="N22" s="59">
        <f>COUNTIF(N8:Q21,"P")</f>
        <v>2</v>
      </c>
      <c r="O22" s="59"/>
      <c r="P22" s="59"/>
      <c r="Q22" s="59"/>
      <c r="R22" s="59">
        <f>COUNTIF(R8:U21,"P")</f>
        <v>2</v>
      </c>
      <c r="S22" s="59"/>
      <c r="T22" s="59"/>
      <c r="U22" s="59"/>
      <c r="V22" s="59">
        <f>COUNTIF(V8:Y21,"P")</f>
        <v>1</v>
      </c>
      <c r="W22" s="59"/>
      <c r="X22" s="59"/>
      <c r="Y22" s="59"/>
      <c r="Z22" s="59">
        <f>COUNTIF(Z8:AC21,"P")</f>
        <v>0</v>
      </c>
      <c r="AA22" s="59"/>
      <c r="AB22" s="59"/>
      <c r="AC22" s="59"/>
      <c r="AD22" s="59">
        <f>COUNTIF(AD8:AG21,"P")</f>
        <v>0</v>
      </c>
      <c r="AE22" s="59"/>
      <c r="AF22" s="59"/>
      <c r="AG22" s="59"/>
      <c r="AH22" s="59">
        <f>COUNTIF(AH8:AK21,"P")</f>
        <v>0</v>
      </c>
      <c r="AI22" s="59"/>
      <c r="AJ22" s="59"/>
      <c r="AK22" s="59"/>
      <c r="AL22" s="59">
        <f>COUNTIF(AL8:AO21,"P")</f>
        <v>0</v>
      </c>
      <c r="AM22" s="59"/>
      <c r="AN22" s="59"/>
      <c r="AO22" s="59"/>
      <c r="AP22" s="59">
        <f>COUNTIF(AP8:AS21,"P")</f>
        <v>0</v>
      </c>
      <c r="AQ22" s="59"/>
      <c r="AR22" s="59"/>
      <c r="AS22" s="59"/>
      <c r="AT22" s="59">
        <f>COUNTIF(AT8:AW21,"P")</f>
        <v>0</v>
      </c>
      <c r="AU22" s="59"/>
      <c r="AV22" s="59"/>
      <c r="AW22" s="59"/>
      <c r="AX22" s="59">
        <f>COUNTIF(AX8:BA21,"P")</f>
        <v>0</v>
      </c>
      <c r="AY22" s="59"/>
      <c r="AZ22" s="59"/>
      <c r="BA22" s="59"/>
      <c r="BB22" s="72" t="s">
        <v>25</v>
      </c>
      <c r="BC22" s="73"/>
      <c r="BD22" s="69">
        <f>+SUM(BC8:BC21)/SUM(BB8:BB21)</f>
        <v>1</v>
      </c>
      <c r="BE22" s="58">
        <v>0</v>
      </c>
      <c r="BF22" s="14"/>
    </row>
    <row r="23" spans="1:58" ht="19.5" customHeight="1" x14ac:dyDescent="0.2">
      <c r="A23" s="118" t="s">
        <v>20</v>
      </c>
      <c r="B23" s="119"/>
      <c r="C23" s="119"/>
      <c r="D23" s="119"/>
      <c r="E23" s="49"/>
      <c r="F23" s="59">
        <f>COUNTIF(F8:I21,"R")</f>
        <v>0</v>
      </c>
      <c r="G23" s="59"/>
      <c r="H23" s="59"/>
      <c r="I23" s="59"/>
      <c r="J23" s="59">
        <f>COUNTIF(J8:M21,"R")</f>
        <v>6</v>
      </c>
      <c r="K23" s="59"/>
      <c r="L23" s="59"/>
      <c r="M23" s="59"/>
      <c r="N23" s="59">
        <f>COUNTIF(N8:Q21,"R")</f>
        <v>2</v>
      </c>
      <c r="O23" s="59"/>
      <c r="P23" s="59"/>
      <c r="Q23" s="59"/>
      <c r="R23" s="59">
        <f>COUNTIF(R8:U21,"R")</f>
        <v>2</v>
      </c>
      <c r="S23" s="59"/>
      <c r="T23" s="59"/>
      <c r="U23" s="59"/>
      <c r="V23" s="59">
        <f>COUNTIF(V8:Y21,"R")</f>
        <v>1</v>
      </c>
      <c r="W23" s="59"/>
      <c r="X23" s="59"/>
      <c r="Y23" s="59"/>
      <c r="Z23" s="59">
        <f>COUNTIF(Z8:AC21,"R")</f>
        <v>0</v>
      </c>
      <c r="AA23" s="59"/>
      <c r="AB23" s="59"/>
      <c r="AC23" s="59"/>
      <c r="AD23" s="59">
        <f>COUNTIF(AD8:AG21,"R")</f>
        <v>0</v>
      </c>
      <c r="AE23" s="59"/>
      <c r="AF23" s="59"/>
      <c r="AG23" s="59"/>
      <c r="AH23" s="59">
        <f>COUNTIF(AH8:AK21,"R")</f>
        <v>0</v>
      </c>
      <c r="AI23" s="59"/>
      <c r="AJ23" s="59"/>
      <c r="AK23" s="59"/>
      <c r="AL23" s="59">
        <f>COUNTIF(AL8:AO21,"R")</f>
        <v>0</v>
      </c>
      <c r="AM23" s="59"/>
      <c r="AN23" s="59"/>
      <c r="AO23" s="59"/>
      <c r="AP23" s="59">
        <f>COUNTIF(AP8:AS21,"R")</f>
        <v>0</v>
      </c>
      <c r="AQ23" s="59"/>
      <c r="AR23" s="59"/>
      <c r="AS23" s="59"/>
      <c r="AT23" s="59">
        <f>COUNTIF(AT8:AW21,"R")</f>
        <v>0</v>
      </c>
      <c r="AU23" s="59"/>
      <c r="AV23" s="59"/>
      <c r="AW23" s="59"/>
      <c r="AX23" s="59">
        <f>COUNTIF(AX8:BA21,"R")</f>
        <v>0</v>
      </c>
      <c r="AY23" s="59"/>
      <c r="AZ23" s="59"/>
      <c r="BA23" s="59"/>
      <c r="BB23" s="74"/>
      <c r="BC23" s="75"/>
      <c r="BD23" s="69"/>
      <c r="BE23" s="58">
        <v>0</v>
      </c>
      <c r="BF23" s="15"/>
    </row>
    <row r="24" spans="1:58" ht="15" customHeight="1" x14ac:dyDescent="0.2">
      <c r="A24" s="66" t="s">
        <v>69</v>
      </c>
      <c r="B24" s="111" t="s">
        <v>8</v>
      </c>
      <c r="C24" s="112"/>
      <c r="D24" s="112"/>
      <c r="E24" s="113"/>
      <c r="F24" s="60" t="s">
        <v>3</v>
      </c>
      <c r="G24" s="61"/>
      <c r="H24" s="61"/>
      <c r="I24" s="62"/>
      <c r="J24" s="60" t="s">
        <v>1</v>
      </c>
      <c r="K24" s="61"/>
      <c r="L24" s="61"/>
      <c r="M24" s="62"/>
      <c r="N24" s="60" t="s">
        <v>2</v>
      </c>
      <c r="O24" s="61"/>
      <c r="P24" s="61"/>
      <c r="Q24" s="62"/>
      <c r="R24" s="60" t="s">
        <v>4</v>
      </c>
      <c r="S24" s="61"/>
      <c r="T24" s="61"/>
      <c r="U24" s="62"/>
      <c r="V24" s="101" t="s">
        <v>5</v>
      </c>
      <c r="W24" s="101"/>
      <c r="X24" s="101"/>
      <c r="Y24" s="101"/>
      <c r="Z24" s="60" t="s">
        <v>6</v>
      </c>
      <c r="AA24" s="61"/>
      <c r="AB24" s="61"/>
      <c r="AC24" s="62"/>
      <c r="AD24" s="60" t="s">
        <v>27</v>
      </c>
      <c r="AE24" s="61"/>
      <c r="AF24" s="61"/>
      <c r="AG24" s="62"/>
      <c r="AH24" s="60" t="s">
        <v>7</v>
      </c>
      <c r="AI24" s="61"/>
      <c r="AJ24" s="61"/>
      <c r="AK24" s="62"/>
      <c r="AL24" s="60" t="s">
        <v>28</v>
      </c>
      <c r="AM24" s="61"/>
      <c r="AN24" s="61"/>
      <c r="AO24" s="62"/>
      <c r="AP24" s="60" t="s">
        <v>29</v>
      </c>
      <c r="AQ24" s="61"/>
      <c r="AR24" s="61"/>
      <c r="AS24" s="62"/>
      <c r="AT24" s="60" t="s">
        <v>30</v>
      </c>
      <c r="AU24" s="61"/>
      <c r="AV24" s="61"/>
      <c r="AW24" s="62"/>
      <c r="AX24" s="60" t="s">
        <v>0</v>
      </c>
      <c r="AY24" s="61"/>
      <c r="AZ24" s="61"/>
      <c r="BA24" s="62"/>
      <c r="BB24" s="82" t="s">
        <v>24</v>
      </c>
      <c r="BC24" s="83"/>
      <c r="BD24" s="84"/>
      <c r="BE24" s="178">
        <f>BE8+BE9+BE10+BE11+BE12+BE13+BE14+BE15+BE16+BE17+BE18+BE19+BE20+BE21+BE22+BE23</f>
        <v>2809471</v>
      </c>
      <c r="BF24" s="84" t="s">
        <v>21</v>
      </c>
    </row>
    <row r="25" spans="1:58" ht="17.25" customHeight="1" x14ac:dyDescent="0.2">
      <c r="A25" s="66"/>
      <c r="B25" s="114"/>
      <c r="C25" s="115"/>
      <c r="D25" s="115"/>
      <c r="E25" s="116"/>
      <c r="F25" s="9">
        <v>1</v>
      </c>
      <c r="G25" s="9">
        <v>2</v>
      </c>
      <c r="H25" s="9">
        <v>3</v>
      </c>
      <c r="I25" s="9">
        <v>4</v>
      </c>
      <c r="J25" s="9">
        <v>1</v>
      </c>
      <c r="K25" s="9">
        <v>2</v>
      </c>
      <c r="L25" s="9">
        <v>3</v>
      </c>
      <c r="M25" s="9">
        <v>4</v>
      </c>
      <c r="N25" s="9">
        <v>1</v>
      </c>
      <c r="O25" s="9">
        <v>2</v>
      </c>
      <c r="P25" s="9">
        <v>3</v>
      </c>
      <c r="Q25" s="9">
        <v>4</v>
      </c>
      <c r="R25" s="9">
        <v>1</v>
      </c>
      <c r="S25" s="9">
        <v>2</v>
      </c>
      <c r="T25" s="9">
        <v>3</v>
      </c>
      <c r="U25" s="9">
        <v>4</v>
      </c>
      <c r="V25" s="10">
        <v>1</v>
      </c>
      <c r="W25" s="10">
        <v>2</v>
      </c>
      <c r="X25" s="10">
        <v>3</v>
      </c>
      <c r="Y25" s="10">
        <v>4</v>
      </c>
      <c r="Z25" s="9">
        <v>1</v>
      </c>
      <c r="AA25" s="9">
        <v>2</v>
      </c>
      <c r="AB25" s="9">
        <v>3</v>
      </c>
      <c r="AC25" s="9">
        <v>4</v>
      </c>
      <c r="AD25" s="9">
        <v>1</v>
      </c>
      <c r="AE25" s="9">
        <v>2</v>
      </c>
      <c r="AF25" s="9">
        <v>3</v>
      </c>
      <c r="AG25" s="9">
        <v>4</v>
      </c>
      <c r="AH25" s="9">
        <v>1</v>
      </c>
      <c r="AI25" s="9">
        <v>2</v>
      </c>
      <c r="AJ25" s="9">
        <v>3</v>
      </c>
      <c r="AK25" s="9">
        <v>4</v>
      </c>
      <c r="AL25" s="9">
        <v>1</v>
      </c>
      <c r="AM25" s="9">
        <v>2</v>
      </c>
      <c r="AN25" s="9">
        <v>3</v>
      </c>
      <c r="AO25" s="9">
        <v>4</v>
      </c>
      <c r="AP25" s="9">
        <v>1</v>
      </c>
      <c r="AQ25" s="9">
        <v>2</v>
      </c>
      <c r="AR25" s="9">
        <v>3</v>
      </c>
      <c r="AS25" s="9">
        <v>4</v>
      </c>
      <c r="AT25" s="9">
        <v>1</v>
      </c>
      <c r="AU25" s="9">
        <v>2</v>
      </c>
      <c r="AV25" s="9">
        <v>3</v>
      </c>
      <c r="AW25" s="9">
        <v>4</v>
      </c>
      <c r="AX25" s="9">
        <v>1</v>
      </c>
      <c r="AY25" s="9">
        <v>2</v>
      </c>
      <c r="AZ25" s="9">
        <v>3</v>
      </c>
      <c r="BA25" s="9">
        <v>4</v>
      </c>
      <c r="BB25" s="11" t="s">
        <v>9</v>
      </c>
      <c r="BC25" s="12" t="s">
        <v>22</v>
      </c>
      <c r="BD25" s="12" t="s">
        <v>23</v>
      </c>
      <c r="BE25" s="178">
        <v>0</v>
      </c>
      <c r="BF25" s="84"/>
    </row>
    <row r="26" spans="1:58" ht="20.25" customHeight="1" x14ac:dyDescent="0.2">
      <c r="A26" s="98" t="s">
        <v>73</v>
      </c>
      <c r="B26" s="102" t="s">
        <v>65</v>
      </c>
      <c r="C26" s="102"/>
      <c r="D26" s="102"/>
      <c r="E26" s="102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 t="s">
        <v>10</v>
      </c>
      <c r="Q26" s="34"/>
      <c r="R26" s="34"/>
      <c r="S26" s="34"/>
      <c r="T26" s="34" t="s">
        <v>10</v>
      </c>
      <c r="U26" s="34"/>
      <c r="V26" s="34"/>
      <c r="W26" s="34"/>
      <c r="X26" s="34"/>
      <c r="Y26" s="34"/>
      <c r="Z26" s="35"/>
      <c r="AA26" s="34"/>
      <c r="AB26" s="35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 t="s">
        <v>10</v>
      </c>
      <c r="AO26" s="35"/>
      <c r="AP26" s="34"/>
      <c r="AQ26" s="34"/>
      <c r="AR26" s="34"/>
      <c r="AS26" s="34"/>
      <c r="AT26" s="34"/>
      <c r="AU26" s="34"/>
      <c r="AV26" s="34"/>
      <c r="AW26" s="35"/>
      <c r="AX26" s="34"/>
      <c r="AY26" s="34"/>
      <c r="AZ26" s="34"/>
      <c r="BA26" s="34"/>
      <c r="BB26" s="85">
        <f>COUNTIF(F26:BA26,$H$5)</f>
        <v>3</v>
      </c>
      <c r="BC26" s="85">
        <f>COUNTIF(F27:BA27,$Q$5)</f>
        <v>2</v>
      </c>
      <c r="BD26" s="69">
        <f t="shared" ref="BD26:BD34" si="13">IFERROR(BC26/BB26,"")</f>
        <v>0.66666666666666663</v>
      </c>
      <c r="BE26" s="58">
        <v>120000</v>
      </c>
      <c r="BF26" s="70"/>
    </row>
    <row r="27" spans="1:58" ht="20.25" customHeight="1" x14ac:dyDescent="0.2">
      <c r="A27" s="98"/>
      <c r="B27" s="102"/>
      <c r="C27" s="102"/>
      <c r="D27" s="102"/>
      <c r="E27" s="102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 t="s">
        <v>12</v>
      </c>
      <c r="Q27" s="34"/>
      <c r="R27" s="34"/>
      <c r="S27" s="34"/>
      <c r="T27" s="34" t="s">
        <v>12</v>
      </c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85"/>
      <c r="BC27" s="85"/>
      <c r="BD27" s="69"/>
      <c r="BE27" s="58">
        <v>0</v>
      </c>
      <c r="BF27" s="71"/>
    </row>
    <row r="28" spans="1:58" ht="20.25" customHeight="1" x14ac:dyDescent="0.2">
      <c r="A28" s="98" t="s">
        <v>76</v>
      </c>
      <c r="B28" s="102" t="s">
        <v>65</v>
      </c>
      <c r="C28" s="102"/>
      <c r="D28" s="102"/>
      <c r="E28" s="102"/>
      <c r="F28" s="34"/>
      <c r="G28" s="34"/>
      <c r="H28" s="34"/>
      <c r="I28" s="34"/>
      <c r="J28" s="34"/>
      <c r="K28" s="34"/>
      <c r="L28" s="34"/>
      <c r="M28" s="34"/>
      <c r="N28" s="34" t="s">
        <v>10</v>
      </c>
      <c r="O28" s="34"/>
      <c r="P28" s="34"/>
      <c r="Q28" s="34"/>
      <c r="R28" s="34" t="s">
        <v>10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 t="s">
        <v>10</v>
      </c>
      <c r="AM28" s="34"/>
      <c r="AN28" s="34"/>
      <c r="AO28" s="36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85">
        <f t="shared" ref="BB28" si="14">COUNTIF(F28:BA28,$H$5)</f>
        <v>3</v>
      </c>
      <c r="BC28" s="85">
        <f t="shared" ref="BC28" si="15">COUNTIF(F29:BA29,$Q$5)</f>
        <v>2</v>
      </c>
      <c r="BD28" s="69">
        <f t="shared" si="13"/>
        <v>0.66666666666666663</v>
      </c>
      <c r="BE28" s="58">
        <v>1266000</v>
      </c>
      <c r="BF28" s="151" t="s">
        <v>94</v>
      </c>
    </row>
    <row r="29" spans="1:58" ht="20.25" customHeight="1" x14ac:dyDescent="0.2">
      <c r="A29" s="98"/>
      <c r="B29" s="102"/>
      <c r="C29" s="102"/>
      <c r="D29" s="102"/>
      <c r="E29" s="102"/>
      <c r="F29" s="34"/>
      <c r="G29" s="34"/>
      <c r="H29" s="34"/>
      <c r="I29" s="34"/>
      <c r="J29" s="34"/>
      <c r="K29" s="34"/>
      <c r="L29" s="34"/>
      <c r="M29" s="34"/>
      <c r="N29" s="34" t="s">
        <v>12</v>
      </c>
      <c r="O29" s="34"/>
      <c r="P29" s="34"/>
      <c r="Q29" s="34"/>
      <c r="R29" s="34" t="s">
        <v>12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5"/>
      <c r="AF29" s="34"/>
      <c r="AG29" s="34"/>
      <c r="AH29" s="34"/>
      <c r="AI29" s="34"/>
      <c r="AJ29" s="34"/>
      <c r="AK29" s="34"/>
      <c r="AL29" s="34"/>
      <c r="AM29" s="34"/>
      <c r="AN29" s="34"/>
      <c r="AO29" s="35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85"/>
      <c r="BC29" s="85"/>
      <c r="BD29" s="69"/>
      <c r="BE29" s="58">
        <v>880000</v>
      </c>
      <c r="BF29" s="152"/>
    </row>
    <row r="30" spans="1:58" ht="20.25" customHeight="1" x14ac:dyDescent="0.2">
      <c r="A30" s="98" t="s">
        <v>72</v>
      </c>
      <c r="B30" s="102" t="s">
        <v>65</v>
      </c>
      <c r="C30" s="102"/>
      <c r="D30" s="102"/>
      <c r="E30" s="102"/>
      <c r="F30" s="34"/>
      <c r="G30" s="34"/>
      <c r="H30" s="34"/>
      <c r="I30" s="34"/>
      <c r="J30" s="34"/>
      <c r="K30" s="34"/>
      <c r="L30" s="34"/>
      <c r="M30" s="34"/>
      <c r="N30" s="34"/>
      <c r="O30" s="34" t="s">
        <v>10</v>
      </c>
      <c r="P30" s="34"/>
      <c r="Q30" s="34"/>
      <c r="R30" s="34"/>
      <c r="S30" s="34" t="s">
        <v>10</v>
      </c>
      <c r="T30" s="34"/>
      <c r="U30" s="34"/>
      <c r="V30" s="34"/>
      <c r="W30" s="34"/>
      <c r="X30" s="34"/>
      <c r="Y30" s="37"/>
      <c r="Z30" s="34"/>
      <c r="AA30" s="34"/>
      <c r="AB30" s="34"/>
      <c r="AC30" s="34"/>
      <c r="AD30" s="34"/>
      <c r="AE30" s="34"/>
      <c r="AF30" s="34"/>
      <c r="AG30" s="34"/>
      <c r="AH30" s="34"/>
      <c r="AI30" s="35"/>
      <c r="AJ30" s="34"/>
      <c r="AK30" s="34"/>
      <c r="AL30" s="34"/>
      <c r="AM30" s="34" t="s">
        <v>10</v>
      </c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85">
        <f t="shared" ref="BB30" si="16">COUNTIF(F30:BA30,$H$5)</f>
        <v>3</v>
      </c>
      <c r="BC30" s="85">
        <f t="shared" ref="BC30" si="17">COUNTIF(F31:BA31,$Q$5)</f>
        <v>2</v>
      </c>
      <c r="BD30" s="69">
        <f t="shared" si="13"/>
        <v>0.66666666666666663</v>
      </c>
      <c r="BE30" s="58">
        <v>200000</v>
      </c>
      <c r="BF30" s="70"/>
    </row>
    <row r="31" spans="1:58" ht="20.25" customHeight="1" x14ac:dyDescent="0.2">
      <c r="A31" s="98"/>
      <c r="B31" s="102"/>
      <c r="C31" s="102"/>
      <c r="D31" s="102"/>
      <c r="E31" s="102"/>
      <c r="F31" s="34"/>
      <c r="G31" s="34"/>
      <c r="H31" s="34"/>
      <c r="I31" s="34"/>
      <c r="J31" s="34"/>
      <c r="K31" s="34"/>
      <c r="L31" s="34"/>
      <c r="M31" s="34"/>
      <c r="N31" s="34"/>
      <c r="O31" s="34" t="s">
        <v>12</v>
      </c>
      <c r="P31" s="34"/>
      <c r="Q31" s="34"/>
      <c r="R31" s="34"/>
      <c r="S31" s="34" t="s">
        <v>12</v>
      </c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85"/>
      <c r="BC31" s="85"/>
      <c r="BD31" s="69"/>
      <c r="BE31" s="58">
        <v>0</v>
      </c>
      <c r="BF31" s="71"/>
    </row>
    <row r="32" spans="1:58" ht="20.25" customHeight="1" x14ac:dyDescent="0.2">
      <c r="A32" s="98" t="s">
        <v>74</v>
      </c>
      <c r="B32" s="102" t="s">
        <v>65</v>
      </c>
      <c r="C32" s="102"/>
      <c r="D32" s="102"/>
      <c r="E32" s="102"/>
      <c r="F32" s="34"/>
      <c r="G32" s="34"/>
      <c r="H32" s="34"/>
      <c r="I32" s="34"/>
      <c r="J32" s="34"/>
      <c r="K32" s="34"/>
      <c r="L32" s="34"/>
      <c r="M32" s="34"/>
      <c r="N32" s="34"/>
      <c r="O32" s="34" t="s">
        <v>10</v>
      </c>
      <c r="P32" s="34"/>
      <c r="Q32" s="34"/>
      <c r="R32" s="34"/>
      <c r="S32" s="34" t="s">
        <v>10</v>
      </c>
      <c r="T32" s="34"/>
      <c r="U32" s="34"/>
      <c r="V32" s="34"/>
      <c r="W32" s="34"/>
      <c r="X32" s="34"/>
      <c r="Y32" s="34"/>
      <c r="Z32" s="34"/>
      <c r="AA32" s="34"/>
      <c r="AB32" s="35"/>
      <c r="AC32" s="34"/>
      <c r="AD32" s="34"/>
      <c r="AE32" s="34"/>
      <c r="AF32" s="35"/>
      <c r="AG32" s="34"/>
      <c r="AH32" s="34"/>
      <c r="AI32" s="34"/>
      <c r="AJ32" s="35"/>
      <c r="AK32" s="34"/>
      <c r="AL32" s="34"/>
      <c r="AM32" s="34"/>
      <c r="AN32" s="35"/>
      <c r="AO32" s="34" t="s">
        <v>10</v>
      </c>
      <c r="AP32" s="34"/>
      <c r="AQ32" s="34"/>
      <c r="AR32" s="34"/>
      <c r="AS32" s="34"/>
      <c r="AT32" s="34"/>
      <c r="AU32" s="34"/>
      <c r="AV32" s="34"/>
      <c r="AW32" s="35"/>
      <c r="AX32" s="34"/>
      <c r="AY32" s="34"/>
      <c r="AZ32" s="35"/>
      <c r="BA32" s="34"/>
      <c r="BB32" s="85">
        <f t="shared" ref="BB32" si="18">COUNTIF(F32:BA32,$H$5)</f>
        <v>3</v>
      </c>
      <c r="BC32" s="85">
        <f t="shared" ref="BC32" si="19">COUNTIF(F33:BA33,$Q$5)</f>
        <v>2</v>
      </c>
      <c r="BD32" s="69">
        <f t="shared" si="13"/>
        <v>0.66666666666666663</v>
      </c>
      <c r="BE32" s="58">
        <v>170000</v>
      </c>
      <c r="BF32" s="70" t="s">
        <v>92</v>
      </c>
    </row>
    <row r="33" spans="1:58" ht="20.25" customHeight="1" x14ac:dyDescent="0.2">
      <c r="A33" s="98"/>
      <c r="B33" s="102"/>
      <c r="C33" s="102"/>
      <c r="D33" s="102"/>
      <c r="E33" s="102"/>
      <c r="F33" s="34"/>
      <c r="G33" s="34"/>
      <c r="H33" s="34"/>
      <c r="I33" s="34"/>
      <c r="J33" s="34"/>
      <c r="K33" s="34"/>
      <c r="L33" s="34"/>
      <c r="M33" s="34"/>
      <c r="N33" s="34"/>
      <c r="O33" s="34" t="s">
        <v>12</v>
      </c>
      <c r="P33" s="34"/>
      <c r="Q33" s="34"/>
      <c r="R33" s="34"/>
      <c r="S33" s="34" t="s">
        <v>12</v>
      </c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85"/>
      <c r="BC33" s="85"/>
      <c r="BD33" s="69"/>
      <c r="BE33" s="58">
        <v>200000</v>
      </c>
      <c r="BF33" s="71"/>
    </row>
    <row r="34" spans="1:58" ht="20.25" customHeight="1" x14ac:dyDescent="0.2">
      <c r="A34" s="99" t="s">
        <v>75</v>
      </c>
      <c r="B34" s="102" t="s">
        <v>65</v>
      </c>
      <c r="C34" s="102"/>
      <c r="D34" s="102"/>
      <c r="E34" s="102"/>
      <c r="F34" s="34"/>
      <c r="G34" s="34"/>
      <c r="H34" s="34"/>
      <c r="I34" s="34"/>
      <c r="J34" s="34"/>
      <c r="K34" s="34"/>
      <c r="L34" s="34"/>
      <c r="M34" s="34"/>
      <c r="N34" s="34"/>
      <c r="O34" s="34" t="s">
        <v>10</v>
      </c>
      <c r="P34" s="34"/>
      <c r="Q34" s="34"/>
      <c r="R34" s="34"/>
      <c r="S34" s="34"/>
      <c r="T34" s="34"/>
      <c r="U34" s="34" t="s">
        <v>10</v>
      </c>
      <c r="V34" s="34"/>
      <c r="W34" s="34"/>
      <c r="X34" s="34"/>
      <c r="Y34" s="34"/>
      <c r="Z34" s="34"/>
      <c r="AA34" s="34"/>
      <c r="AB34" s="34"/>
      <c r="AC34" s="34" t="s">
        <v>10</v>
      </c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 t="s">
        <v>10</v>
      </c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85">
        <f t="shared" ref="BB34" si="20">COUNTIF(F34:BA34,$H$5)</f>
        <v>4</v>
      </c>
      <c r="BC34" s="85">
        <f t="shared" ref="BC34" si="21">COUNTIF(F35:BA35,$Q$5)</f>
        <v>3</v>
      </c>
      <c r="BD34" s="69">
        <f t="shared" si="13"/>
        <v>0.75</v>
      </c>
      <c r="BE34" s="58">
        <v>120000</v>
      </c>
      <c r="BF34" s="55"/>
    </row>
    <row r="35" spans="1:58" ht="20.25" customHeight="1" x14ac:dyDescent="0.2">
      <c r="A35" s="100"/>
      <c r="B35" s="102"/>
      <c r="C35" s="102"/>
      <c r="D35" s="102"/>
      <c r="E35" s="102"/>
      <c r="F35" s="34"/>
      <c r="G35" s="34"/>
      <c r="H35" s="34"/>
      <c r="I35" s="34"/>
      <c r="J35" s="34"/>
      <c r="K35" s="34"/>
      <c r="L35" s="34"/>
      <c r="M35" s="34"/>
      <c r="N35" s="34"/>
      <c r="O35" s="34" t="s">
        <v>12</v>
      </c>
      <c r="P35" s="34"/>
      <c r="Q35" s="34"/>
      <c r="R35" s="34"/>
      <c r="S35" s="34"/>
      <c r="T35" s="34"/>
      <c r="U35" s="34" t="s">
        <v>12</v>
      </c>
      <c r="V35" s="34"/>
      <c r="W35" s="34"/>
      <c r="X35" s="34"/>
      <c r="Y35" s="34"/>
      <c r="Z35" s="34"/>
      <c r="AA35" s="34"/>
      <c r="AB35" s="34"/>
      <c r="AC35" s="34" t="s">
        <v>12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85"/>
      <c r="BC35" s="85"/>
      <c r="BD35" s="69"/>
      <c r="BE35" s="58">
        <v>0</v>
      </c>
      <c r="BF35" s="55"/>
    </row>
    <row r="36" spans="1:58" ht="20.25" hidden="1" customHeight="1" x14ac:dyDescent="0.2">
      <c r="A36" s="135"/>
      <c r="B36" s="136"/>
      <c r="C36" s="137"/>
      <c r="D36" s="137"/>
      <c r="E36" s="138"/>
      <c r="F36" s="34"/>
      <c r="G36" s="34"/>
      <c r="H36" s="34"/>
      <c r="I36" s="34"/>
      <c r="J36" s="34"/>
      <c r="K36" s="34"/>
      <c r="L36" s="34"/>
      <c r="M36" s="35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85">
        <f t="shared" ref="BB36" si="22">COUNTIF(F36:BA36,$H$5)</f>
        <v>0</v>
      </c>
      <c r="BC36" s="85">
        <f t="shared" ref="BC36" si="23">COUNTIF(F37:BA37,$Q$5)</f>
        <v>0</v>
      </c>
      <c r="BD36" s="69" t="str">
        <f t="shared" ref="BD36" si="24">IFERROR(BC36/BB36,"")</f>
        <v/>
      </c>
      <c r="BE36" s="58">
        <v>0</v>
      </c>
      <c r="BF36" s="55"/>
    </row>
    <row r="37" spans="1:58" ht="20.25" hidden="1" customHeight="1" x14ac:dyDescent="0.2">
      <c r="A37" s="135"/>
      <c r="B37" s="139"/>
      <c r="C37" s="140"/>
      <c r="D37" s="140"/>
      <c r="E37" s="141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85"/>
      <c r="BC37" s="85"/>
      <c r="BD37" s="69"/>
      <c r="BE37" s="58">
        <v>0</v>
      </c>
      <c r="BF37" s="55"/>
    </row>
    <row r="38" spans="1:58" ht="20.25" hidden="1" customHeight="1" x14ac:dyDescent="0.2">
      <c r="A38" s="98"/>
      <c r="B38" s="102"/>
      <c r="C38" s="102"/>
      <c r="D38" s="102"/>
      <c r="E38" s="102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85">
        <f t="shared" ref="BB38" si="25">COUNTIF(F38:BA38,$H$5)</f>
        <v>0</v>
      </c>
      <c r="BC38" s="85">
        <f t="shared" ref="BC38" si="26">COUNTIF(F39:BA39,$Q$5)</f>
        <v>0</v>
      </c>
      <c r="BD38" s="69" t="str">
        <f t="shared" ref="BD38" si="27">IFERROR(BC38/BB38,"")</f>
        <v/>
      </c>
      <c r="BE38" s="58">
        <v>0</v>
      </c>
      <c r="BF38" s="70"/>
    </row>
    <row r="39" spans="1:58" ht="20.25" hidden="1" customHeight="1" x14ac:dyDescent="0.2">
      <c r="A39" s="98"/>
      <c r="B39" s="102"/>
      <c r="C39" s="102"/>
      <c r="D39" s="102"/>
      <c r="E39" s="102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85"/>
      <c r="BC39" s="85"/>
      <c r="BD39" s="69"/>
      <c r="BE39" s="58">
        <v>0</v>
      </c>
      <c r="BF39" s="71"/>
    </row>
    <row r="40" spans="1:58" ht="20.25" hidden="1" customHeight="1" x14ac:dyDescent="0.2">
      <c r="A40" s="99"/>
      <c r="B40" s="102"/>
      <c r="C40" s="102"/>
      <c r="D40" s="102"/>
      <c r="E40" s="102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85">
        <f t="shared" ref="BB40" si="28">COUNTIF(F40:BA40,$H$5)</f>
        <v>0</v>
      </c>
      <c r="BC40" s="85">
        <f t="shared" ref="BC40" si="29">COUNTIF(F41:BA41,$Q$5)</f>
        <v>0</v>
      </c>
      <c r="BD40" s="69" t="str">
        <f t="shared" ref="BD40" si="30">IFERROR(BC40/BB40,"")</f>
        <v/>
      </c>
      <c r="BE40" s="58">
        <v>0</v>
      </c>
      <c r="BF40" s="81"/>
    </row>
    <row r="41" spans="1:58" ht="20.25" hidden="1" customHeight="1" x14ac:dyDescent="0.2">
      <c r="A41" s="100"/>
      <c r="B41" s="102"/>
      <c r="C41" s="102"/>
      <c r="D41" s="102"/>
      <c r="E41" s="102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85"/>
      <c r="BC41" s="85"/>
      <c r="BD41" s="69"/>
      <c r="BE41" s="58">
        <v>0</v>
      </c>
      <c r="BF41" s="81"/>
    </row>
    <row r="42" spans="1:58" ht="20.25" customHeight="1" x14ac:dyDescent="0.2">
      <c r="A42" s="103" t="s">
        <v>19</v>
      </c>
      <c r="B42" s="104"/>
      <c r="C42" s="104"/>
      <c r="D42" s="104"/>
      <c r="E42" s="50"/>
      <c r="F42" s="59">
        <f>COUNTIF(F26:I41,"P")</f>
        <v>0</v>
      </c>
      <c r="G42" s="59"/>
      <c r="H42" s="59"/>
      <c r="I42" s="59"/>
      <c r="J42" s="59">
        <f>COUNTIF(J26:M41,"P")</f>
        <v>0</v>
      </c>
      <c r="K42" s="59"/>
      <c r="L42" s="59"/>
      <c r="M42" s="59"/>
      <c r="N42" s="59">
        <f>COUNTIF(N26:Q41,"P")</f>
        <v>5</v>
      </c>
      <c r="O42" s="59"/>
      <c r="P42" s="59"/>
      <c r="Q42" s="59"/>
      <c r="R42" s="59">
        <f>COUNTIF(R26:U41,"P")</f>
        <v>5</v>
      </c>
      <c r="S42" s="59"/>
      <c r="T42" s="59"/>
      <c r="U42" s="59"/>
      <c r="V42" s="59">
        <f>COUNTIF(V26:Y41,"P")</f>
        <v>0</v>
      </c>
      <c r="W42" s="59"/>
      <c r="X42" s="59"/>
      <c r="Y42" s="59"/>
      <c r="Z42" s="59">
        <f>COUNTIF(Z26:AC41,"P")</f>
        <v>1</v>
      </c>
      <c r="AA42" s="59"/>
      <c r="AB42" s="59"/>
      <c r="AC42" s="59"/>
      <c r="AD42" s="59">
        <f>COUNTIF(AD26:AG41,"P")</f>
        <v>0</v>
      </c>
      <c r="AE42" s="59"/>
      <c r="AF42" s="59"/>
      <c r="AG42" s="59"/>
      <c r="AH42" s="59">
        <f>COUNTIF(AH26:AK41,"P")</f>
        <v>0</v>
      </c>
      <c r="AI42" s="59"/>
      <c r="AJ42" s="59"/>
      <c r="AK42" s="59"/>
      <c r="AL42" s="59">
        <f>COUNTIF(AL26:AO41,"P")</f>
        <v>5</v>
      </c>
      <c r="AM42" s="59"/>
      <c r="AN42" s="59"/>
      <c r="AO42" s="59"/>
      <c r="AP42" s="59">
        <f>COUNTIF(AP26:AS41,"P")</f>
        <v>0</v>
      </c>
      <c r="AQ42" s="59"/>
      <c r="AR42" s="59"/>
      <c r="AS42" s="59"/>
      <c r="AT42" s="59">
        <f>COUNTIF(AT26:AW41,"P")</f>
        <v>0</v>
      </c>
      <c r="AU42" s="59"/>
      <c r="AV42" s="59"/>
      <c r="AW42" s="59"/>
      <c r="AX42" s="59">
        <f>COUNTIF(AX26:BA41,"P")</f>
        <v>0</v>
      </c>
      <c r="AY42" s="59"/>
      <c r="AZ42" s="59"/>
      <c r="BA42" s="59"/>
      <c r="BB42" s="72" t="s">
        <v>25</v>
      </c>
      <c r="BC42" s="73"/>
      <c r="BD42" s="69">
        <f>+SUM(BC26:BC41)/SUM(BB26:BB41)</f>
        <v>0.6875</v>
      </c>
      <c r="BE42" s="58">
        <v>0</v>
      </c>
      <c r="BF42" s="147"/>
    </row>
    <row r="43" spans="1:58" ht="20.25" customHeight="1" x14ac:dyDescent="0.2">
      <c r="A43" s="118" t="s">
        <v>20</v>
      </c>
      <c r="B43" s="119"/>
      <c r="C43" s="119"/>
      <c r="D43" s="119"/>
      <c r="E43" s="48"/>
      <c r="F43" s="59">
        <f>COUNTIF(F26:I41,"R")</f>
        <v>0</v>
      </c>
      <c r="G43" s="59"/>
      <c r="H43" s="59"/>
      <c r="I43" s="59"/>
      <c r="J43" s="59">
        <f>COUNTIF(J26:M41,"R")</f>
        <v>0</v>
      </c>
      <c r="K43" s="59"/>
      <c r="L43" s="59"/>
      <c r="M43" s="59"/>
      <c r="N43" s="59">
        <f>COUNTIF(N26:Q41,"R")</f>
        <v>5</v>
      </c>
      <c r="O43" s="59"/>
      <c r="P43" s="59"/>
      <c r="Q43" s="59"/>
      <c r="R43" s="59">
        <f>COUNTIF(R26:U41,"R")</f>
        <v>5</v>
      </c>
      <c r="S43" s="59"/>
      <c r="T43" s="59"/>
      <c r="U43" s="59"/>
      <c r="V43" s="59">
        <f>COUNTIF(V26:Y41,"R")</f>
        <v>0</v>
      </c>
      <c r="W43" s="59"/>
      <c r="X43" s="59"/>
      <c r="Y43" s="59"/>
      <c r="Z43" s="59">
        <f>COUNTIF(Z26:AC41,"R")</f>
        <v>1</v>
      </c>
      <c r="AA43" s="59"/>
      <c r="AB43" s="59"/>
      <c r="AC43" s="59"/>
      <c r="AD43" s="59">
        <f>COUNTIF(AD26:AG41,"R")</f>
        <v>0</v>
      </c>
      <c r="AE43" s="59"/>
      <c r="AF43" s="59"/>
      <c r="AG43" s="59"/>
      <c r="AH43" s="59">
        <f>COUNTIF(AH26:AK41,"R")</f>
        <v>0</v>
      </c>
      <c r="AI43" s="59"/>
      <c r="AJ43" s="59"/>
      <c r="AK43" s="59"/>
      <c r="AL43" s="59">
        <f>COUNTIF(AL26:AO41,"R")</f>
        <v>0</v>
      </c>
      <c r="AM43" s="59"/>
      <c r="AN43" s="59"/>
      <c r="AO43" s="59"/>
      <c r="AP43" s="59">
        <f>COUNTIF(AP26:AS41,"R")</f>
        <v>0</v>
      </c>
      <c r="AQ43" s="59"/>
      <c r="AR43" s="59"/>
      <c r="AS43" s="59"/>
      <c r="AT43" s="59">
        <f>COUNTIF(AT26:AW41,"R")</f>
        <v>0</v>
      </c>
      <c r="AU43" s="59"/>
      <c r="AV43" s="59"/>
      <c r="AW43" s="59"/>
      <c r="AX43" s="59">
        <f>COUNTIF(AX26:BA41,"R")</f>
        <v>0</v>
      </c>
      <c r="AY43" s="59"/>
      <c r="AZ43" s="59"/>
      <c r="BA43" s="59"/>
      <c r="BB43" s="74"/>
      <c r="BC43" s="75"/>
      <c r="BD43" s="69"/>
      <c r="BE43" s="58">
        <v>0</v>
      </c>
      <c r="BF43" s="148"/>
    </row>
    <row r="44" spans="1:58" ht="20.25" customHeight="1" x14ac:dyDescent="0.2">
      <c r="A44" s="168" t="s">
        <v>35</v>
      </c>
      <c r="B44" s="171" t="s">
        <v>8</v>
      </c>
      <c r="C44" s="172"/>
      <c r="D44" s="172"/>
      <c r="E44" s="173"/>
      <c r="F44" s="60" t="s">
        <v>3</v>
      </c>
      <c r="G44" s="61"/>
      <c r="H44" s="61"/>
      <c r="I44" s="62"/>
      <c r="J44" s="60" t="s">
        <v>1</v>
      </c>
      <c r="K44" s="61"/>
      <c r="L44" s="61"/>
      <c r="M44" s="62"/>
      <c r="N44" s="60" t="s">
        <v>2</v>
      </c>
      <c r="O44" s="61"/>
      <c r="P44" s="61"/>
      <c r="Q44" s="62"/>
      <c r="R44" s="60" t="s">
        <v>4</v>
      </c>
      <c r="S44" s="61"/>
      <c r="T44" s="61"/>
      <c r="U44" s="62"/>
      <c r="V44" s="101" t="s">
        <v>5</v>
      </c>
      <c r="W44" s="101"/>
      <c r="X44" s="101"/>
      <c r="Y44" s="101"/>
      <c r="Z44" s="60" t="s">
        <v>6</v>
      </c>
      <c r="AA44" s="61"/>
      <c r="AB44" s="61"/>
      <c r="AC44" s="62"/>
      <c r="AD44" s="60" t="s">
        <v>27</v>
      </c>
      <c r="AE44" s="61"/>
      <c r="AF44" s="61"/>
      <c r="AG44" s="62"/>
      <c r="AH44" s="60" t="s">
        <v>7</v>
      </c>
      <c r="AI44" s="61"/>
      <c r="AJ44" s="61"/>
      <c r="AK44" s="62"/>
      <c r="AL44" s="60" t="s">
        <v>28</v>
      </c>
      <c r="AM44" s="61"/>
      <c r="AN44" s="61"/>
      <c r="AO44" s="62"/>
      <c r="AP44" s="60" t="s">
        <v>29</v>
      </c>
      <c r="AQ44" s="61"/>
      <c r="AR44" s="61"/>
      <c r="AS44" s="62"/>
      <c r="AT44" s="60" t="s">
        <v>30</v>
      </c>
      <c r="AU44" s="61"/>
      <c r="AV44" s="61"/>
      <c r="AW44" s="62"/>
      <c r="AX44" s="60" t="s">
        <v>0</v>
      </c>
      <c r="AY44" s="61"/>
      <c r="AZ44" s="61"/>
      <c r="BA44" s="62"/>
      <c r="BB44" s="149" t="s">
        <v>24</v>
      </c>
      <c r="BC44" s="150"/>
      <c r="BD44" s="146"/>
      <c r="BE44" s="179">
        <f>BE26+BE27+BE28+BE29+BE30+BE31+BE32+BE33+BE34+BE35+BE42+BE43</f>
        <v>2956000</v>
      </c>
      <c r="BF44" s="146" t="s">
        <v>21</v>
      </c>
    </row>
    <row r="45" spans="1:58" ht="20.25" customHeight="1" x14ac:dyDescent="0.2">
      <c r="A45" s="169"/>
      <c r="B45" s="174"/>
      <c r="C45" s="175"/>
      <c r="D45" s="175"/>
      <c r="E45" s="176"/>
      <c r="F45" s="9">
        <v>1</v>
      </c>
      <c r="G45" s="9">
        <v>2</v>
      </c>
      <c r="H45" s="9">
        <v>3</v>
      </c>
      <c r="I45" s="9">
        <v>4</v>
      </c>
      <c r="J45" s="9">
        <v>1</v>
      </c>
      <c r="K45" s="9">
        <v>2</v>
      </c>
      <c r="L45" s="9">
        <v>3</v>
      </c>
      <c r="M45" s="9">
        <v>4</v>
      </c>
      <c r="N45" s="9">
        <v>1</v>
      </c>
      <c r="O45" s="9">
        <v>2</v>
      </c>
      <c r="P45" s="9">
        <v>3</v>
      </c>
      <c r="Q45" s="9">
        <v>4</v>
      </c>
      <c r="R45" s="9">
        <v>1</v>
      </c>
      <c r="S45" s="9">
        <v>2</v>
      </c>
      <c r="T45" s="9">
        <v>3</v>
      </c>
      <c r="U45" s="9">
        <v>4</v>
      </c>
      <c r="V45" s="10">
        <v>1</v>
      </c>
      <c r="W45" s="10">
        <v>2</v>
      </c>
      <c r="X45" s="10">
        <v>3</v>
      </c>
      <c r="Y45" s="10">
        <v>4</v>
      </c>
      <c r="Z45" s="9">
        <v>1</v>
      </c>
      <c r="AA45" s="9">
        <v>2</v>
      </c>
      <c r="AB45" s="9">
        <v>3</v>
      </c>
      <c r="AC45" s="9">
        <v>4</v>
      </c>
      <c r="AD45" s="9">
        <v>1</v>
      </c>
      <c r="AE45" s="9">
        <v>2</v>
      </c>
      <c r="AF45" s="9">
        <v>3</v>
      </c>
      <c r="AG45" s="9">
        <v>4</v>
      </c>
      <c r="AH45" s="9">
        <v>1</v>
      </c>
      <c r="AI45" s="9">
        <v>2</v>
      </c>
      <c r="AJ45" s="9">
        <v>3</v>
      </c>
      <c r="AK45" s="9">
        <v>4</v>
      </c>
      <c r="AL45" s="9">
        <v>1</v>
      </c>
      <c r="AM45" s="9">
        <v>2</v>
      </c>
      <c r="AN45" s="9">
        <v>3</v>
      </c>
      <c r="AO45" s="9">
        <v>4</v>
      </c>
      <c r="AP45" s="9">
        <v>1</v>
      </c>
      <c r="AQ45" s="9">
        <v>2</v>
      </c>
      <c r="AR45" s="9">
        <v>3</v>
      </c>
      <c r="AS45" s="9">
        <v>4</v>
      </c>
      <c r="AT45" s="9">
        <v>1</v>
      </c>
      <c r="AU45" s="9">
        <v>2</v>
      </c>
      <c r="AV45" s="9">
        <v>3</v>
      </c>
      <c r="AW45" s="9">
        <v>4</v>
      </c>
      <c r="AX45" s="9">
        <v>1</v>
      </c>
      <c r="AY45" s="9">
        <v>2</v>
      </c>
      <c r="AZ45" s="9">
        <v>3</v>
      </c>
      <c r="BA45" s="9">
        <v>4</v>
      </c>
      <c r="BB45" s="17" t="s">
        <v>9</v>
      </c>
      <c r="BC45" s="17" t="s">
        <v>22</v>
      </c>
      <c r="BD45" s="17" t="s">
        <v>23</v>
      </c>
      <c r="BE45" s="179">
        <v>0</v>
      </c>
      <c r="BF45" s="146"/>
    </row>
    <row r="46" spans="1:58" s="18" customFormat="1" ht="20.25" customHeight="1" x14ac:dyDescent="0.2">
      <c r="A46" s="99" t="s">
        <v>53</v>
      </c>
      <c r="B46" s="102" t="s">
        <v>60</v>
      </c>
      <c r="C46" s="102"/>
      <c r="D46" s="102"/>
      <c r="E46" s="102"/>
      <c r="F46" s="13"/>
      <c r="G46" s="13"/>
      <c r="H46" s="13"/>
      <c r="I46" s="13"/>
      <c r="J46" s="13"/>
      <c r="K46" s="13" t="s">
        <v>10</v>
      </c>
      <c r="L46" s="13"/>
      <c r="M46" s="13"/>
      <c r="N46" s="13"/>
      <c r="P46" s="13" t="s">
        <v>10</v>
      </c>
      <c r="Q46" s="13"/>
      <c r="R46" s="13"/>
      <c r="S46" s="13"/>
      <c r="T46" s="13" t="s">
        <v>10</v>
      </c>
      <c r="U46" s="13"/>
      <c r="V46" s="13"/>
      <c r="W46" s="13"/>
      <c r="X46" s="13"/>
      <c r="Y46" s="13" t="s">
        <v>10</v>
      </c>
      <c r="Z46" s="13"/>
      <c r="AA46" s="13"/>
      <c r="AB46" s="13"/>
      <c r="AC46" s="13" t="s">
        <v>10</v>
      </c>
      <c r="AD46" s="13"/>
      <c r="AE46" s="13" t="s">
        <v>10</v>
      </c>
      <c r="AF46" s="13"/>
      <c r="AG46" s="13"/>
      <c r="AH46" s="13"/>
      <c r="AI46" s="13" t="s">
        <v>10</v>
      </c>
      <c r="AJ46" s="13"/>
      <c r="AK46" s="13"/>
      <c r="AL46" s="13"/>
      <c r="AM46" s="13" t="s">
        <v>10</v>
      </c>
      <c r="AN46" s="13"/>
      <c r="AO46" s="13"/>
      <c r="AP46" s="13"/>
      <c r="AQ46" s="13"/>
      <c r="AR46" s="13"/>
      <c r="AS46" s="13"/>
      <c r="AT46" s="13"/>
      <c r="AU46" s="13"/>
      <c r="AV46" s="13" t="s">
        <v>10</v>
      </c>
      <c r="AW46" s="13"/>
      <c r="AX46" s="13"/>
      <c r="AY46" s="13"/>
      <c r="AZ46" s="13"/>
      <c r="BA46" s="13"/>
      <c r="BB46" s="85">
        <f>COUNTIF(F46:BA46,$H$5)</f>
        <v>9</v>
      </c>
      <c r="BC46" s="85">
        <f>COUNTIF(F47:BA47,$Q$5)</f>
        <v>7</v>
      </c>
      <c r="BD46" s="69">
        <f>IFERROR(BC46/BB46,"")</f>
        <v>0.77777777777777779</v>
      </c>
      <c r="BE46" s="58">
        <v>0</v>
      </c>
      <c r="BF46" s="96" t="s">
        <v>91</v>
      </c>
    </row>
    <row r="47" spans="1:58" s="18" customFormat="1" ht="20.25" customHeight="1" x14ac:dyDescent="0.2">
      <c r="A47" s="100"/>
      <c r="B47" s="102"/>
      <c r="C47" s="102"/>
      <c r="D47" s="102"/>
      <c r="E47" s="102"/>
      <c r="F47" s="13"/>
      <c r="G47" s="13"/>
      <c r="H47" s="13"/>
      <c r="I47" s="13"/>
      <c r="J47" s="13"/>
      <c r="K47" s="13" t="s">
        <v>12</v>
      </c>
      <c r="L47" s="13"/>
      <c r="M47" s="13"/>
      <c r="N47" s="13"/>
      <c r="O47" s="13"/>
      <c r="P47" s="13" t="s">
        <v>12</v>
      </c>
      <c r="Q47" s="13"/>
      <c r="R47" s="13"/>
      <c r="S47" s="13"/>
      <c r="T47" s="13" t="s">
        <v>12</v>
      </c>
      <c r="U47" s="13"/>
      <c r="V47" s="13"/>
      <c r="W47" s="13"/>
      <c r="X47" s="13"/>
      <c r="Y47" s="13" t="s">
        <v>12</v>
      </c>
      <c r="Z47" s="13"/>
      <c r="AA47" s="13"/>
      <c r="AB47" s="13"/>
      <c r="AC47" s="13" t="s">
        <v>12</v>
      </c>
      <c r="AD47" s="13"/>
      <c r="AE47" s="13" t="s">
        <v>12</v>
      </c>
      <c r="AF47" s="13"/>
      <c r="AG47" s="13"/>
      <c r="AH47" s="13"/>
      <c r="AI47" s="13" t="s">
        <v>12</v>
      </c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85"/>
      <c r="BC47" s="85"/>
      <c r="BD47" s="69"/>
      <c r="BE47" s="58">
        <v>0</v>
      </c>
      <c r="BF47" s="71"/>
    </row>
    <row r="48" spans="1:58" s="18" customFormat="1" ht="20.25" customHeight="1" x14ac:dyDescent="0.2">
      <c r="A48" s="99" t="s">
        <v>54</v>
      </c>
      <c r="B48" s="102" t="s">
        <v>63</v>
      </c>
      <c r="C48" s="102"/>
      <c r="D48" s="102"/>
      <c r="E48" s="102"/>
      <c r="F48" s="13"/>
      <c r="G48" s="13"/>
      <c r="H48" s="13"/>
      <c r="I48" s="13" t="s">
        <v>10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 t="s">
        <v>10</v>
      </c>
      <c r="U48" s="13"/>
      <c r="V48" s="13"/>
      <c r="W48" s="13"/>
      <c r="X48" s="13" t="s">
        <v>10</v>
      </c>
      <c r="Y48" s="13"/>
      <c r="AA48" s="13"/>
      <c r="AB48" s="13"/>
      <c r="AC48" s="13" t="s">
        <v>10</v>
      </c>
      <c r="AD48" s="13"/>
      <c r="AE48" s="13"/>
      <c r="AF48" s="13" t="s">
        <v>10</v>
      </c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85">
        <f t="shared" ref="BB48" si="31">COUNTIF(F48:BA48,$H$5)</f>
        <v>5</v>
      </c>
      <c r="BC48" s="85">
        <f t="shared" ref="BC48" si="32">COUNTIF(F49:BA49,$Q$5)</f>
        <v>4</v>
      </c>
      <c r="BD48" s="69">
        <f t="shared" ref="BD48" si="33">IFERROR(BC48/BB48,"")</f>
        <v>0.8</v>
      </c>
      <c r="BE48" s="58">
        <v>0</v>
      </c>
      <c r="BF48" s="96" t="s">
        <v>91</v>
      </c>
    </row>
    <row r="49" spans="1:58" s="18" customFormat="1" ht="20.25" customHeight="1" x14ac:dyDescent="0.2">
      <c r="A49" s="100"/>
      <c r="B49" s="102"/>
      <c r="C49" s="102"/>
      <c r="D49" s="102"/>
      <c r="E49" s="102"/>
      <c r="F49" s="13"/>
      <c r="G49" s="13"/>
      <c r="H49" s="13"/>
      <c r="I49" s="13" t="s">
        <v>14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 t="s">
        <v>12</v>
      </c>
      <c r="U49" s="13"/>
      <c r="W49" s="13"/>
      <c r="X49" s="13" t="s">
        <v>12</v>
      </c>
      <c r="Y49" s="13"/>
      <c r="Z49" s="13"/>
      <c r="AA49" s="13"/>
      <c r="AB49" s="13"/>
      <c r="AC49" s="13" t="s">
        <v>12</v>
      </c>
      <c r="AD49" s="13"/>
      <c r="AE49" s="13"/>
      <c r="AF49" s="13" t="s">
        <v>12</v>
      </c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85"/>
      <c r="BC49" s="85"/>
      <c r="BD49" s="69"/>
      <c r="BE49" s="58">
        <v>0</v>
      </c>
      <c r="BF49" s="71"/>
    </row>
    <row r="50" spans="1:58" s="18" customFormat="1" ht="20.25" customHeight="1" x14ac:dyDescent="0.2">
      <c r="A50" s="99" t="s">
        <v>55</v>
      </c>
      <c r="B50" s="102" t="s">
        <v>66</v>
      </c>
      <c r="C50" s="102"/>
      <c r="D50" s="102"/>
      <c r="E50" s="102"/>
      <c r="F50" s="13"/>
      <c r="G50" s="13"/>
      <c r="H50" s="13"/>
      <c r="I50" s="13" t="s">
        <v>10</v>
      </c>
      <c r="J50" s="13"/>
      <c r="K50" s="13"/>
      <c r="L50" s="13"/>
      <c r="M50" s="13" t="s">
        <v>10</v>
      </c>
      <c r="N50" s="13"/>
      <c r="P50" s="13"/>
      <c r="Q50" s="13" t="s">
        <v>10</v>
      </c>
      <c r="R50" s="13"/>
      <c r="S50" s="13"/>
      <c r="T50" s="13"/>
      <c r="U50" s="13" t="s">
        <v>10</v>
      </c>
      <c r="V50" s="13"/>
      <c r="W50" s="13"/>
      <c r="X50" s="13"/>
      <c r="Y50" s="13" t="s">
        <v>10</v>
      </c>
      <c r="Z50" s="13"/>
      <c r="AA50" s="13"/>
      <c r="AB50" s="13"/>
      <c r="AC50" s="13" t="s">
        <v>10</v>
      </c>
      <c r="AD50" s="13"/>
      <c r="AE50" s="13"/>
      <c r="AF50" s="13" t="s">
        <v>10</v>
      </c>
      <c r="AH50" s="13"/>
      <c r="AI50" s="13"/>
      <c r="AJ50" s="13"/>
      <c r="AK50" s="13" t="s">
        <v>10</v>
      </c>
      <c r="AL50" s="13"/>
      <c r="AM50" s="13"/>
      <c r="AN50" s="13"/>
      <c r="AO50" s="13" t="s">
        <v>10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85">
        <f t="shared" ref="BB50" si="34">COUNTIF(F50:BA50,$H$5)</f>
        <v>9</v>
      </c>
      <c r="BC50" s="85">
        <f t="shared" ref="BC50" si="35">COUNTIF(F51:BA51,$Q$5)</f>
        <v>3</v>
      </c>
      <c r="BD50" s="69">
        <f t="shared" ref="BD50" si="36">IFERROR(BC50/BB50,"")</f>
        <v>0.33333333333333331</v>
      </c>
      <c r="BE50" s="58">
        <v>0</v>
      </c>
      <c r="BF50" s="96" t="s">
        <v>91</v>
      </c>
    </row>
    <row r="51" spans="1:58" s="18" customFormat="1" ht="20.25" customHeight="1" x14ac:dyDescent="0.2">
      <c r="A51" s="100"/>
      <c r="B51" s="102"/>
      <c r="C51" s="102"/>
      <c r="D51" s="102"/>
      <c r="E51" s="102"/>
      <c r="F51" s="13"/>
      <c r="G51" s="13"/>
      <c r="H51" s="13"/>
      <c r="I51" s="13" t="s">
        <v>12</v>
      </c>
      <c r="J51" s="13"/>
      <c r="K51" s="13"/>
      <c r="L51" s="13"/>
      <c r="M51" s="13" t="s">
        <v>12</v>
      </c>
      <c r="N51" s="13"/>
      <c r="O51" s="13"/>
      <c r="P51" s="13"/>
      <c r="Q51" s="13" t="s">
        <v>14</v>
      </c>
      <c r="R51" s="13"/>
      <c r="S51" s="13"/>
      <c r="T51" s="13"/>
      <c r="U51" s="13" t="s">
        <v>12</v>
      </c>
      <c r="V51" s="13"/>
      <c r="W51" s="13"/>
      <c r="X51" s="13"/>
      <c r="Y51" s="13" t="s">
        <v>14</v>
      </c>
      <c r="Z51" s="13"/>
      <c r="AA51" s="13"/>
      <c r="AB51" s="13"/>
      <c r="AC51" s="13" t="s">
        <v>14</v>
      </c>
      <c r="AD51" s="13"/>
      <c r="AE51" s="13"/>
      <c r="AF51" s="13" t="s">
        <v>14</v>
      </c>
      <c r="AG51" s="13"/>
      <c r="AH51" s="13"/>
      <c r="AI51" s="13"/>
      <c r="AJ51" s="13"/>
      <c r="AK51" s="13" t="s">
        <v>14</v>
      </c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85"/>
      <c r="BC51" s="85"/>
      <c r="BD51" s="69"/>
      <c r="BE51" s="58">
        <v>0</v>
      </c>
      <c r="BF51" s="71"/>
    </row>
    <row r="52" spans="1:58" ht="20.25" customHeight="1" x14ac:dyDescent="0.2">
      <c r="A52" s="105" t="s">
        <v>56</v>
      </c>
      <c r="B52" s="102" t="s">
        <v>62</v>
      </c>
      <c r="C52" s="102"/>
      <c r="D52" s="102"/>
      <c r="E52" s="102"/>
      <c r="F52" s="13"/>
      <c r="G52" s="13"/>
      <c r="H52" s="13"/>
      <c r="I52" s="13"/>
      <c r="J52" s="13"/>
      <c r="K52" s="13"/>
      <c r="L52" s="13" t="s">
        <v>10</v>
      </c>
      <c r="M52" s="13"/>
      <c r="N52" s="13"/>
      <c r="O52" s="13"/>
      <c r="P52" s="13" t="s">
        <v>10</v>
      </c>
      <c r="Q52" s="13"/>
      <c r="R52" s="13"/>
      <c r="S52" s="13"/>
      <c r="T52" s="13"/>
      <c r="U52" s="13" t="s">
        <v>10</v>
      </c>
      <c r="V52" s="13"/>
      <c r="W52" s="13"/>
      <c r="X52" s="13"/>
      <c r="Y52" s="13" t="s">
        <v>10</v>
      </c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85">
        <f t="shared" ref="BB52" si="37">COUNTIF(F52:BA52,$H$5)</f>
        <v>4</v>
      </c>
      <c r="BC52" s="85">
        <f t="shared" ref="BC52" si="38">COUNTIF(F53:BA53,$Q$5)</f>
        <v>1</v>
      </c>
      <c r="BD52" s="69">
        <f t="shared" ref="BD52" si="39">IFERROR(BC52/BB52,"")</f>
        <v>0.25</v>
      </c>
      <c r="BE52" s="58">
        <v>0</v>
      </c>
      <c r="BF52" s="96" t="s">
        <v>91</v>
      </c>
    </row>
    <row r="53" spans="1:58" ht="20.25" customHeight="1" x14ac:dyDescent="0.2">
      <c r="A53" s="106"/>
      <c r="B53" s="102"/>
      <c r="C53" s="102"/>
      <c r="D53" s="102"/>
      <c r="E53" s="102"/>
      <c r="F53" s="13"/>
      <c r="G53" s="13"/>
      <c r="H53" s="13"/>
      <c r="I53" s="13"/>
      <c r="J53" s="13"/>
      <c r="K53" s="45"/>
      <c r="L53" s="13" t="s">
        <v>12</v>
      </c>
      <c r="M53" s="13"/>
      <c r="N53" s="13"/>
      <c r="O53" s="13"/>
      <c r="P53" s="13" t="s">
        <v>14</v>
      </c>
      <c r="Q53" s="13"/>
      <c r="R53" s="13"/>
      <c r="S53" s="13"/>
      <c r="T53" s="13"/>
      <c r="U53" s="13" t="s">
        <v>14</v>
      </c>
      <c r="V53" s="13"/>
      <c r="W53" s="13"/>
      <c r="X53" s="13"/>
      <c r="Y53" s="13" t="s">
        <v>14</v>
      </c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85"/>
      <c r="BC53" s="85"/>
      <c r="BD53" s="69"/>
      <c r="BE53" s="58">
        <v>0</v>
      </c>
      <c r="BF53" s="71"/>
    </row>
    <row r="54" spans="1:58" ht="20.25" customHeight="1" x14ac:dyDescent="0.2">
      <c r="A54" s="99" t="s">
        <v>70</v>
      </c>
      <c r="B54" s="102" t="s">
        <v>65</v>
      </c>
      <c r="C54" s="102"/>
      <c r="D54" s="102"/>
      <c r="E54" s="102"/>
      <c r="F54" s="13"/>
      <c r="G54" s="13"/>
      <c r="H54" s="13"/>
      <c r="I54" s="13"/>
      <c r="J54" s="13"/>
      <c r="K54" s="13" t="s">
        <v>10</v>
      </c>
      <c r="L54" s="13"/>
      <c r="M54" s="13"/>
      <c r="N54" s="13"/>
      <c r="O54" s="13"/>
      <c r="P54" s="13" t="s">
        <v>10</v>
      </c>
      <c r="Q54" s="13"/>
      <c r="R54" s="13"/>
      <c r="S54" s="13"/>
      <c r="T54" s="13" t="s">
        <v>10</v>
      </c>
      <c r="U54" s="13"/>
      <c r="V54" s="13"/>
      <c r="W54" s="13"/>
      <c r="X54" s="13"/>
      <c r="Y54" s="13" t="s">
        <v>10</v>
      </c>
      <c r="Z54" s="13"/>
      <c r="AA54" s="13"/>
      <c r="AB54" s="13"/>
      <c r="AC54" s="13" t="s">
        <v>10</v>
      </c>
      <c r="AD54" s="13"/>
      <c r="AE54" s="13"/>
      <c r="AF54" s="13" t="s">
        <v>10</v>
      </c>
      <c r="AG54" s="13"/>
      <c r="AH54" s="13"/>
      <c r="AI54" s="13"/>
      <c r="AJ54" s="13" t="s">
        <v>10</v>
      </c>
      <c r="AK54" s="13"/>
      <c r="AL54" s="13"/>
      <c r="AM54" s="13"/>
      <c r="AN54" s="13" t="s">
        <v>10</v>
      </c>
      <c r="AO54" s="13"/>
      <c r="AP54" s="13"/>
      <c r="AQ54" s="13"/>
      <c r="AR54" s="13"/>
      <c r="AS54" s="13"/>
      <c r="AT54" s="13"/>
      <c r="AU54" s="13"/>
      <c r="AV54" s="13" t="s">
        <v>10</v>
      </c>
      <c r="AW54" s="13"/>
      <c r="AX54" s="13"/>
      <c r="AY54" s="13"/>
      <c r="AZ54" s="13"/>
      <c r="BA54" s="13"/>
      <c r="BB54" s="85">
        <f t="shared" ref="BB54" si="40">COUNTIF(F54:BA54,$H$5)</f>
        <v>9</v>
      </c>
      <c r="BC54" s="85">
        <f t="shared" ref="BC54" si="41">COUNTIF(F55:BA55,$Q$5)</f>
        <v>7</v>
      </c>
      <c r="BD54" s="69">
        <f t="shared" ref="BD54" si="42">IFERROR(BC54/BB54,"")</f>
        <v>0.77777777777777779</v>
      </c>
      <c r="BE54" s="58">
        <v>0</v>
      </c>
      <c r="BF54" s="96" t="s">
        <v>91</v>
      </c>
    </row>
    <row r="55" spans="1:58" ht="20.25" customHeight="1" x14ac:dyDescent="0.2">
      <c r="A55" s="100"/>
      <c r="B55" s="102"/>
      <c r="C55" s="102"/>
      <c r="D55" s="102"/>
      <c r="E55" s="102"/>
      <c r="F55" s="13"/>
      <c r="G55" s="13"/>
      <c r="H55" s="13"/>
      <c r="I55" s="13"/>
      <c r="J55" s="13"/>
      <c r="K55" s="13" t="s">
        <v>12</v>
      </c>
      <c r="L55" s="13"/>
      <c r="M55" s="13"/>
      <c r="N55" s="13"/>
      <c r="O55" s="13"/>
      <c r="P55" s="13" t="s">
        <v>12</v>
      </c>
      <c r="Q55" s="13"/>
      <c r="R55" s="13"/>
      <c r="S55" s="13"/>
      <c r="T55" s="13" t="s">
        <v>12</v>
      </c>
      <c r="U55" s="13"/>
      <c r="V55" s="13"/>
      <c r="W55" s="13"/>
      <c r="X55" s="13"/>
      <c r="Y55" s="13" t="s">
        <v>12</v>
      </c>
      <c r="Z55" s="13"/>
      <c r="AA55" s="13"/>
      <c r="AB55" s="13"/>
      <c r="AC55" s="13" t="s">
        <v>12</v>
      </c>
      <c r="AD55" s="13"/>
      <c r="AE55" s="13"/>
      <c r="AF55" s="13" t="s">
        <v>12</v>
      </c>
      <c r="AG55" s="13"/>
      <c r="AH55" s="13"/>
      <c r="AI55" s="13"/>
      <c r="AJ55" s="13" t="s">
        <v>12</v>
      </c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85"/>
      <c r="BC55" s="85"/>
      <c r="BD55" s="69"/>
      <c r="BE55" s="58">
        <v>0</v>
      </c>
      <c r="BF55" s="71"/>
    </row>
    <row r="56" spans="1:58" ht="20.25" customHeight="1" x14ac:dyDescent="0.2">
      <c r="A56" s="98" t="s">
        <v>71</v>
      </c>
      <c r="B56" s="102" t="s">
        <v>60</v>
      </c>
      <c r="C56" s="102"/>
      <c r="D56" s="102"/>
      <c r="E56" s="102"/>
      <c r="F56" s="13"/>
      <c r="G56" s="13"/>
      <c r="H56" s="13"/>
      <c r="I56" s="13"/>
      <c r="J56" s="13"/>
      <c r="K56" s="13"/>
      <c r="L56" s="13" t="s">
        <v>10</v>
      </c>
      <c r="M56" s="13"/>
      <c r="N56" s="13"/>
      <c r="O56" s="13"/>
      <c r="P56" s="13"/>
      <c r="Q56" s="13" t="s">
        <v>10</v>
      </c>
      <c r="R56" s="13"/>
      <c r="S56" s="13"/>
      <c r="T56" s="13"/>
      <c r="U56" s="13" t="s">
        <v>10</v>
      </c>
      <c r="V56" s="13"/>
      <c r="W56" s="13"/>
      <c r="X56" s="13"/>
      <c r="Y56" s="13" t="s">
        <v>10</v>
      </c>
      <c r="Z56" s="13"/>
      <c r="AA56" s="13"/>
      <c r="AB56" s="13"/>
      <c r="AC56" s="13" t="s">
        <v>10</v>
      </c>
      <c r="AD56" s="13"/>
      <c r="AE56" s="13"/>
      <c r="AF56" s="13" t="s">
        <v>10</v>
      </c>
      <c r="AG56" s="13"/>
      <c r="AH56" s="13"/>
      <c r="AI56" s="13"/>
      <c r="AJ56" s="13"/>
      <c r="AK56" s="13" t="s">
        <v>10</v>
      </c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85">
        <f t="shared" ref="BB56" si="43">COUNTIF(F56:BA56,$H$5)</f>
        <v>7</v>
      </c>
      <c r="BC56" s="85">
        <f t="shared" ref="BC56" si="44">COUNTIF(F57:BA57,$Q$5)</f>
        <v>7</v>
      </c>
      <c r="BD56" s="69">
        <f t="shared" ref="BD56" si="45">IFERROR(BC56/BB56,"")</f>
        <v>1</v>
      </c>
      <c r="BE56" s="58">
        <v>0</v>
      </c>
      <c r="BF56" s="96" t="s">
        <v>91</v>
      </c>
    </row>
    <row r="57" spans="1:58" ht="20.25" customHeight="1" x14ac:dyDescent="0.2">
      <c r="A57" s="98"/>
      <c r="B57" s="102"/>
      <c r="C57" s="102"/>
      <c r="D57" s="102"/>
      <c r="E57" s="102"/>
      <c r="F57" s="13"/>
      <c r="G57" s="13"/>
      <c r="H57" s="13"/>
      <c r="I57" s="13"/>
      <c r="J57" s="13"/>
      <c r="K57" s="13"/>
      <c r="L57" s="13" t="s">
        <v>12</v>
      </c>
      <c r="M57" s="13"/>
      <c r="N57" s="13"/>
      <c r="O57" s="13"/>
      <c r="P57" s="13"/>
      <c r="Q57" s="13" t="s">
        <v>12</v>
      </c>
      <c r="R57" s="13"/>
      <c r="S57" s="13"/>
      <c r="T57" s="13"/>
      <c r="U57" s="13" t="s">
        <v>12</v>
      </c>
      <c r="V57" s="13"/>
      <c r="W57" s="13"/>
      <c r="X57" s="13"/>
      <c r="Y57" s="13" t="s">
        <v>12</v>
      </c>
      <c r="Z57" s="13"/>
      <c r="AA57" s="13"/>
      <c r="AB57" s="13"/>
      <c r="AC57" s="13" t="s">
        <v>12</v>
      </c>
      <c r="AD57" s="13"/>
      <c r="AE57" s="13"/>
      <c r="AF57" s="13" t="s">
        <v>12</v>
      </c>
      <c r="AG57" s="13"/>
      <c r="AH57" s="13"/>
      <c r="AI57" s="13"/>
      <c r="AJ57" s="13"/>
      <c r="AK57" s="13" t="s">
        <v>12</v>
      </c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85"/>
      <c r="BC57" s="85"/>
      <c r="BD57" s="69"/>
      <c r="BE57" s="58">
        <v>0</v>
      </c>
      <c r="BF57" s="71"/>
    </row>
    <row r="58" spans="1:58" ht="20.25" customHeight="1" x14ac:dyDescent="0.2">
      <c r="A58" s="103" t="s">
        <v>19</v>
      </c>
      <c r="B58" s="104"/>
      <c r="C58" s="104"/>
      <c r="D58" s="104"/>
      <c r="E58" s="50"/>
      <c r="F58" s="59">
        <f>COUNTIF(F46:I57,"P")</f>
        <v>2</v>
      </c>
      <c r="G58" s="59"/>
      <c r="H58" s="59"/>
      <c r="I58" s="59"/>
      <c r="J58" s="59">
        <f>COUNTIF(J46:M57,"P")</f>
        <v>5</v>
      </c>
      <c r="K58" s="59"/>
      <c r="L58" s="59"/>
      <c r="M58" s="59"/>
      <c r="N58" s="59">
        <f>COUNTIF(N46:Q57,"P")</f>
        <v>5</v>
      </c>
      <c r="O58" s="59"/>
      <c r="P58" s="59"/>
      <c r="Q58" s="59"/>
      <c r="R58" s="59">
        <f>COUNTIF(R46:U57,"P")</f>
        <v>6</v>
      </c>
      <c r="S58" s="59"/>
      <c r="T58" s="59"/>
      <c r="U58" s="59"/>
      <c r="V58" s="59">
        <f>COUNTIF(V46:Y57,"P")</f>
        <v>6</v>
      </c>
      <c r="W58" s="59"/>
      <c r="X58" s="59"/>
      <c r="Y58" s="59"/>
      <c r="Z58" s="59">
        <f>COUNTIF(Z46:AC57,"P")</f>
        <v>5</v>
      </c>
      <c r="AA58" s="59"/>
      <c r="AB58" s="59"/>
      <c r="AC58" s="59"/>
      <c r="AD58" s="59">
        <f>COUNTIF(AD46:AG57,"P")</f>
        <v>5</v>
      </c>
      <c r="AE58" s="59"/>
      <c r="AF58" s="59"/>
      <c r="AG58" s="59"/>
      <c r="AH58" s="59">
        <f>COUNTIF(AH46:AK57,"P")</f>
        <v>4</v>
      </c>
      <c r="AI58" s="59"/>
      <c r="AJ58" s="59"/>
      <c r="AK58" s="59"/>
      <c r="AL58" s="59">
        <f>COUNTIF(AL46:AO57,"P")</f>
        <v>3</v>
      </c>
      <c r="AM58" s="59"/>
      <c r="AN58" s="59"/>
      <c r="AO58" s="59"/>
      <c r="AP58" s="59">
        <f>COUNTIF(AP46:AS57,"P")</f>
        <v>0</v>
      </c>
      <c r="AQ58" s="59"/>
      <c r="AR58" s="59"/>
      <c r="AS58" s="59"/>
      <c r="AT58" s="59">
        <f>COUNTIF(AT46:AW57,"P")</f>
        <v>2</v>
      </c>
      <c r="AU58" s="59"/>
      <c r="AV58" s="59"/>
      <c r="AW58" s="59"/>
      <c r="AX58" s="59">
        <f>COUNTIF(AX46:BA57,"P")</f>
        <v>0</v>
      </c>
      <c r="AY58" s="59"/>
      <c r="AZ58" s="59"/>
      <c r="BA58" s="59"/>
      <c r="BB58" s="72" t="s">
        <v>25</v>
      </c>
      <c r="BC58" s="73"/>
      <c r="BD58" s="69">
        <f>+SUM(BC46:BC57)/SUM(BB46:BB57)</f>
        <v>0.67441860465116277</v>
      </c>
      <c r="BE58" s="58">
        <v>0</v>
      </c>
      <c r="BF58" s="107" t="s">
        <v>91</v>
      </c>
    </row>
    <row r="59" spans="1:58" ht="20.25" customHeight="1" x14ac:dyDescent="0.2">
      <c r="A59" s="118" t="s">
        <v>20</v>
      </c>
      <c r="B59" s="119"/>
      <c r="C59" s="119"/>
      <c r="D59" s="119"/>
      <c r="E59" s="48"/>
      <c r="F59" s="59">
        <f>COUNTIF(F46:I57,"R")</f>
        <v>1</v>
      </c>
      <c r="G59" s="59"/>
      <c r="H59" s="59"/>
      <c r="I59" s="59"/>
      <c r="J59" s="59">
        <f>COUNTIF(J46:M57,"R")</f>
        <v>5</v>
      </c>
      <c r="K59" s="59"/>
      <c r="L59" s="59"/>
      <c r="M59" s="59"/>
      <c r="N59" s="59">
        <f>COUNTIF(N46:Q57,"R")</f>
        <v>3</v>
      </c>
      <c r="O59" s="59"/>
      <c r="P59" s="59"/>
      <c r="Q59" s="59"/>
      <c r="R59" s="59">
        <f>COUNTIF(R46:U57,"R")</f>
        <v>5</v>
      </c>
      <c r="S59" s="59"/>
      <c r="T59" s="59"/>
      <c r="U59" s="59"/>
      <c r="V59" s="59">
        <f>COUNTIF(V46:Y57,"R")</f>
        <v>4</v>
      </c>
      <c r="W59" s="59"/>
      <c r="X59" s="59"/>
      <c r="Y59" s="59"/>
      <c r="Z59" s="59">
        <f>COUNTIF(Z46:AC57,"R")</f>
        <v>4</v>
      </c>
      <c r="AA59" s="59"/>
      <c r="AB59" s="59"/>
      <c r="AC59" s="59"/>
      <c r="AD59" s="59">
        <f>COUNTIF(AD46:AG57,"R")</f>
        <v>4</v>
      </c>
      <c r="AE59" s="59"/>
      <c r="AF59" s="59"/>
      <c r="AG59" s="59"/>
      <c r="AH59" s="59">
        <f>COUNTIF(AH46:AK57,"R")</f>
        <v>3</v>
      </c>
      <c r="AI59" s="59"/>
      <c r="AJ59" s="59"/>
      <c r="AK59" s="59"/>
      <c r="AL59" s="59">
        <f>COUNTIF(AL46:AO57,"R")</f>
        <v>0</v>
      </c>
      <c r="AM59" s="59"/>
      <c r="AN59" s="59"/>
      <c r="AO59" s="59"/>
      <c r="AP59" s="59">
        <f>COUNTIF(AP46:AS57,"R")</f>
        <v>0</v>
      </c>
      <c r="AQ59" s="59"/>
      <c r="AR59" s="59"/>
      <c r="AS59" s="59"/>
      <c r="AT59" s="59">
        <f>COUNTIF(AT46:AW57,"R")</f>
        <v>0</v>
      </c>
      <c r="AU59" s="59"/>
      <c r="AV59" s="59"/>
      <c r="AW59" s="59"/>
      <c r="AX59" s="59">
        <f>COUNTIF(AX46:BA57,"R")</f>
        <v>0</v>
      </c>
      <c r="AY59" s="59"/>
      <c r="AZ59" s="59"/>
      <c r="BA59" s="59"/>
      <c r="BB59" s="74"/>
      <c r="BC59" s="75"/>
      <c r="BD59" s="69"/>
      <c r="BE59" s="58">
        <v>0</v>
      </c>
      <c r="BF59" s="107"/>
    </row>
    <row r="60" spans="1:58" ht="18" customHeight="1" x14ac:dyDescent="0.2">
      <c r="A60" s="108"/>
      <c r="B60" s="111" t="s">
        <v>8</v>
      </c>
      <c r="C60" s="112"/>
      <c r="D60" s="112"/>
      <c r="E60" s="113"/>
      <c r="F60" s="60" t="s">
        <v>3</v>
      </c>
      <c r="G60" s="61"/>
      <c r="H60" s="61"/>
      <c r="I60" s="62"/>
      <c r="J60" s="60" t="s">
        <v>1</v>
      </c>
      <c r="K60" s="61"/>
      <c r="L60" s="61"/>
      <c r="M60" s="62"/>
      <c r="N60" s="60" t="s">
        <v>2</v>
      </c>
      <c r="O60" s="61"/>
      <c r="P60" s="61"/>
      <c r="Q60" s="62"/>
      <c r="R60" s="60" t="s">
        <v>4</v>
      </c>
      <c r="S60" s="61"/>
      <c r="T60" s="61"/>
      <c r="U60" s="62"/>
      <c r="V60" s="101" t="s">
        <v>5</v>
      </c>
      <c r="W60" s="101"/>
      <c r="X60" s="101"/>
      <c r="Y60" s="101"/>
      <c r="Z60" s="60" t="s">
        <v>6</v>
      </c>
      <c r="AA60" s="61"/>
      <c r="AB60" s="61"/>
      <c r="AC60" s="62"/>
      <c r="AD60" s="60" t="s">
        <v>27</v>
      </c>
      <c r="AE60" s="61"/>
      <c r="AF60" s="61"/>
      <c r="AG60" s="62"/>
      <c r="AH60" s="60" t="s">
        <v>7</v>
      </c>
      <c r="AI60" s="61"/>
      <c r="AJ60" s="61"/>
      <c r="AK60" s="62"/>
      <c r="AL60" s="60" t="s">
        <v>28</v>
      </c>
      <c r="AM60" s="61"/>
      <c r="AN60" s="61"/>
      <c r="AO60" s="62"/>
      <c r="AP60" s="60" t="s">
        <v>29</v>
      </c>
      <c r="AQ60" s="61"/>
      <c r="AR60" s="61"/>
      <c r="AS60" s="62"/>
      <c r="AT60" s="60" t="s">
        <v>30</v>
      </c>
      <c r="AU60" s="61"/>
      <c r="AV60" s="61"/>
      <c r="AW60" s="62"/>
      <c r="AX60" s="60" t="s">
        <v>0</v>
      </c>
      <c r="AY60" s="61"/>
      <c r="AZ60" s="61"/>
      <c r="BA60" s="62"/>
      <c r="BB60" s="82" t="s">
        <v>24</v>
      </c>
      <c r="BC60" s="83"/>
      <c r="BD60" s="84"/>
      <c r="BE60" s="178">
        <f>BE46+BE47+BE48+BE49+BE50+BE51+BE52+BE53+BE54+BE55+BE56+BE57+BE58+BE59</f>
        <v>0</v>
      </c>
      <c r="BF60" s="84" t="s">
        <v>21</v>
      </c>
    </row>
    <row r="61" spans="1:58" ht="27.75" customHeight="1" x14ac:dyDescent="0.2">
      <c r="A61" s="109"/>
      <c r="B61" s="114"/>
      <c r="C61" s="115"/>
      <c r="D61" s="115"/>
      <c r="E61" s="116"/>
      <c r="F61" s="9">
        <v>1</v>
      </c>
      <c r="G61" s="9">
        <v>2</v>
      </c>
      <c r="H61" s="9">
        <v>3</v>
      </c>
      <c r="I61" s="9">
        <v>4</v>
      </c>
      <c r="J61" s="9">
        <v>1</v>
      </c>
      <c r="K61" s="9">
        <v>2</v>
      </c>
      <c r="L61" s="9">
        <v>3</v>
      </c>
      <c r="M61" s="9">
        <v>4</v>
      </c>
      <c r="N61" s="9">
        <v>1</v>
      </c>
      <c r="O61" s="9">
        <v>2</v>
      </c>
      <c r="P61" s="9">
        <v>3</v>
      </c>
      <c r="Q61" s="9">
        <v>4</v>
      </c>
      <c r="R61" s="9">
        <v>1</v>
      </c>
      <c r="S61" s="9">
        <v>2</v>
      </c>
      <c r="T61" s="9">
        <v>3</v>
      </c>
      <c r="U61" s="9">
        <v>4</v>
      </c>
      <c r="V61" s="10">
        <v>1</v>
      </c>
      <c r="W61" s="10">
        <v>2</v>
      </c>
      <c r="X61" s="10">
        <v>3</v>
      </c>
      <c r="Y61" s="10">
        <v>4</v>
      </c>
      <c r="Z61" s="9">
        <v>1</v>
      </c>
      <c r="AA61" s="9">
        <v>2</v>
      </c>
      <c r="AB61" s="9">
        <v>3</v>
      </c>
      <c r="AC61" s="9">
        <v>4</v>
      </c>
      <c r="AD61" s="9">
        <v>1</v>
      </c>
      <c r="AE61" s="9">
        <v>2</v>
      </c>
      <c r="AF61" s="9">
        <v>3</v>
      </c>
      <c r="AG61" s="9">
        <v>4</v>
      </c>
      <c r="AH61" s="9">
        <v>1</v>
      </c>
      <c r="AI61" s="9">
        <v>2</v>
      </c>
      <c r="AJ61" s="9">
        <v>3</v>
      </c>
      <c r="AK61" s="9">
        <v>4</v>
      </c>
      <c r="AL61" s="9">
        <v>1</v>
      </c>
      <c r="AM61" s="9">
        <v>2</v>
      </c>
      <c r="AN61" s="9">
        <v>3</v>
      </c>
      <c r="AO61" s="9">
        <v>4</v>
      </c>
      <c r="AP61" s="9">
        <v>1</v>
      </c>
      <c r="AQ61" s="9">
        <v>2</v>
      </c>
      <c r="AR61" s="9">
        <v>3</v>
      </c>
      <c r="AS61" s="9">
        <v>4</v>
      </c>
      <c r="AT61" s="9">
        <v>1</v>
      </c>
      <c r="AU61" s="9">
        <v>2</v>
      </c>
      <c r="AV61" s="9">
        <v>3</v>
      </c>
      <c r="AW61" s="9">
        <v>4</v>
      </c>
      <c r="AX61" s="9">
        <v>1</v>
      </c>
      <c r="AY61" s="9">
        <v>2</v>
      </c>
      <c r="AZ61" s="9">
        <v>3</v>
      </c>
      <c r="BA61" s="9">
        <v>4</v>
      </c>
      <c r="BB61" s="11" t="s">
        <v>9</v>
      </c>
      <c r="BC61" s="12" t="s">
        <v>22</v>
      </c>
      <c r="BD61" s="12" t="s">
        <v>23</v>
      </c>
      <c r="BE61" s="178"/>
      <c r="BF61" s="84"/>
    </row>
    <row r="62" spans="1:58" ht="21" customHeight="1" x14ac:dyDescent="0.2">
      <c r="A62" s="135" t="s">
        <v>39</v>
      </c>
      <c r="B62" s="102" t="s">
        <v>60</v>
      </c>
      <c r="C62" s="102"/>
      <c r="D62" s="102"/>
      <c r="E62" s="102"/>
      <c r="F62" s="34"/>
      <c r="G62" s="34"/>
      <c r="H62" s="34"/>
      <c r="I62" s="34"/>
      <c r="J62" s="34"/>
      <c r="K62" s="34"/>
      <c r="L62" s="34" t="s">
        <v>10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 t="s">
        <v>10</v>
      </c>
      <c r="Y62" s="34"/>
      <c r="Z62" s="34"/>
      <c r="AA62" s="34"/>
      <c r="AB62" s="34"/>
      <c r="AC62" s="34"/>
      <c r="AD62" s="34"/>
      <c r="AE62" s="34"/>
      <c r="AF62" s="34" t="s">
        <v>10</v>
      </c>
      <c r="AG62" s="34"/>
      <c r="AH62" s="34"/>
      <c r="AI62" s="35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85">
        <f>COUNTIF(F62:BA62,$H$5)</f>
        <v>3</v>
      </c>
      <c r="BC62" s="85">
        <f>COUNTIF(F63:BA63,$Q$5)</f>
        <v>3</v>
      </c>
      <c r="BD62" s="69">
        <f>IFERROR(BC62/BB62,"")</f>
        <v>1</v>
      </c>
      <c r="BE62" s="58">
        <v>13129750</v>
      </c>
      <c r="BF62" s="94"/>
    </row>
    <row r="63" spans="1:58" ht="21" customHeight="1" x14ac:dyDescent="0.2">
      <c r="A63" s="135"/>
      <c r="B63" s="102"/>
      <c r="C63" s="102"/>
      <c r="D63" s="102"/>
      <c r="E63" s="102"/>
      <c r="F63" s="34"/>
      <c r="G63" s="34"/>
      <c r="H63" s="34"/>
      <c r="I63" s="34"/>
      <c r="J63" s="34"/>
      <c r="K63" s="34"/>
      <c r="L63" s="34" t="s">
        <v>12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 t="s">
        <v>12</v>
      </c>
      <c r="Y63" s="34"/>
      <c r="Z63" s="34"/>
      <c r="AA63" s="34"/>
      <c r="AB63" s="34"/>
      <c r="AC63" s="34"/>
      <c r="AD63" s="34"/>
      <c r="AE63" s="34"/>
      <c r="AF63" s="34" t="s">
        <v>12</v>
      </c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85"/>
      <c r="BC63" s="85"/>
      <c r="BD63" s="69"/>
      <c r="BE63" s="58">
        <v>0</v>
      </c>
      <c r="BF63" s="95"/>
    </row>
    <row r="64" spans="1:58" ht="21" customHeight="1" x14ac:dyDescent="0.2">
      <c r="A64" s="99" t="s">
        <v>40</v>
      </c>
      <c r="B64" s="102" t="s">
        <v>61</v>
      </c>
      <c r="C64" s="102"/>
      <c r="D64" s="102"/>
      <c r="E64" s="102"/>
      <c r="F64" s="34"/>
      <c r="G64" s="34"/>
      <c r="H64" s="34"/>
      <c r="I64" s="34" t="s">
        <v>10</v>
      </c>
      <c r="J64" s="34"/>
      <c r="K64" s="34"/>
      <c r="L64" s="34"/>
      <c r="M64" s="34" t="s">
        <v>10</v>
      </c>
      <c r="N64" s="34"/>
      <c r="O64" s="34"/>
      <c r="P64" s="34"/>
      <c r="Q64" s="34" t="s">
        <v>10</v>
      </c>
      <c r="R64" s="34"/>
      <c r="S64" s="34"/>
      <c r="T64" s="34"/>
      <c r="U64" s="34" t="s">
        <v>10</v>
      </c>
      <c r="V64" s="34"/>
      <c r="W64" s="34"/>
      <c r="X64" s="34"/>
      <c r="Y64" s="34" t="s">
        <v>10</v>
      </c>
      <c r="Z64" s="34"/>
      <c r="AA64" s="34"/>
      <c r="AB64" s="34"/>
      <c r="AC64" s="34" t="s">
        <v>10</v>
      </c>
      <c r="AD64" s="34"/>
      <c r="AE64" s="34"/>
      <c r="AF64" s="34"/>
      <c r="AG64" s="34" t="s">
        <v>10</v>
      </c>
      <c r="AH64" s="34"/>
      <c r="AI64" s="34"/>
      <c r="AJ64" s="34"/>
      <c r="AK64" s="34" t="s">
        <v>10</v>
      </c>
      <c r="AL64" s="34"/>
      <c r="AM64" s="34"/>
      <c r="AN64" s="34"/>
      <c r="AO64" s="34" t="s">
        <v>10</v>
      </c>
      <c r="AP64" s="34"/>
      <c r="AQ64" s="34"/>
      <c r="AR64" s="34"/>
      <c r="AS64" s="34" t="s">
        <v>10</v>
      </c>
      <c r="AT64" s="34"/>
      <c r="AU64" s="34"/>
      <c r="AV64" s="34"/>
      <c r="AW64" s="34" t="s">
        <v>10</v>
      </c>
      <c r="AX64" s="34"/>
      <c r="AY64" s="34"/>
      <c r="AZ64" s="34"/>
      <c r="BA64" s="34" t="s">
        <v>10</v>
      </c>
      <c r="BB64" s="85">
        <f t="shared" ref="BB64" si="46">COUNTIF(F64:BA64,$H$5)</f>
        <v>12</v>
      </c>
      <c r="BC64" s="85">
        <f t="shared" ref="BC64" si="47">COUNTIF(F65:BA65,$Q$5)</f>
        <v>7</v>
      </c>
      <c r="BD64" s="69">
        <f>IFERROR(BC64/BB64,"")</f>
        <v>0.58333333333333337</v>
      </c>
      <c r="BE64" s="58">
        <v>6429071</v>
      </c>
      <c r="BF64" s="94"/>
    </row>
    <row r="65" spans="1:58" ht="21" customHeight="1" x14ac:dyDescent="0.2">
      <c r="A65" s="100"/>
      <c r="B65" s="102"/>
      <c r="C65" s="102"/>
      <c r="D65" s="102"/>
      <c r="E65" s="102"/>
      <c r="F65" s="34"/>
      <c r="G65" s="34"/>
      <c r="H65" s="34"/>
      <c r="I65" s="34" t="s">
        <v>12</v>
      </c>
      <c r="J65" s="34"/>
      <c r="K65" s="34"/>
      <c r="L65" s="34"/>
      <c r="M65" s="34" t="s">
        <v>12</v>
      </c>
      <c r="N65" s="34"/>
      <c r="O65" s="34"/>
      <c r="P65" s="34"/>
      <c r="Q65" s="34" t="s">
        <v>12</v>
      </c>
      <c r="R65" s="34"/>
      <c r="S65" s="34"/>
      <c r="T65" s="34"/>
      <c r="U65" s="34" t="s">
        <v>12</v>
      </c>
      <c r="V65" s="34"/>
      <c r="W65" s="34"/>
      <c r="X65" s="34"/>
      <c r="Y65" s="34" t="s">
        <v>12</v>
      </c>
      <c r="Z65" s="34"/>
      <c r="AA65" s="34"/>
      <c r="AB65" s="34"/>
      <c r="AC65" s="34" t="s">
        <v>12</v>
      </c>
      <c r="AD65" s="34"/>
      <c r="AE65" s="34"/>
      <c r="AF65" s="34"/>
      <c r="AG65" s="34" t="s">
        <v>12</v>
      </c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85"/>
      <c r="BC65" s="85"/>
      <c r="BD65" s="69"/>
      <c r="BE65" s="58">
        <v>0</v>
      </c>
      <c r="BF65" s="95"/>
    </row>
    <row r="66" spans="1:58" ht="21" customHeight="1" x14ac:dyDescent="0.2">
      <c r="A66" s="99" t="s">
        <v>41</v>
      </c>
      <c r="B66" s="102" t="s">
        <v>60</v>
      </c>
      <c r="C66" s="102"/>
      <c r="D66" s="102"/>
      <c r="E66" s="102"/>
      <c r="F66" s="34"/>
      <c r="G66" s="34"/>
      <c r="H66" s="34"/>
      <c r="I66" s="34"/>
      <c r="J66" s="34"/>
      <c r="K66" s="34" t="s">
        <v>10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 t="s">
        <v>10</v>
      </c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85">
        <f t="shared" ref="BB66" si="48">COUNTIF(F66:BA66,$H$5)</f>
        <v>2</v>
      </c>
      <c r="BC66" s="85">
        <f t="shared" ref="BC66" si="49">COUNTIF(F67:BA67,$Q$5)</f>
        <v>2</v>
      </c>
      <c r="BD66" s="69">
        <f t="shared" ref="BD66" si="50">IFERROR(BC66/BB66,"")</f>
        <v>1</v>
      </c>
      <c r="BE66" s="58">
        <v>180000</v>
      </c>
      <c r="BF66" s="56"/>
    </row>
    <row r="67" spans="1:58" ht="21" customHeight="1" x14ac:dyDescent="0.2">
      <c r="A67" s="100"/>
      <c r="B67" s="102"/>
      <c r="C67" s="102"/>
      <c r="D67" s="102"/>
      <c r="E67" s="102"/>
      <c r="F67" s="34"/>
      <c r="G67" s="34"/>
      <c r="H67" s="34"/>
      <c r="I67" s="34"/>
      <c r="J67" s="34"/>
      <c r="K67" s="34" t="s">
        <v>12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 t="s">
        <v>12</v>
      </c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85"/>
      <c r="BC67" s="85"/>
      <c r="BD67" s="69"/>
      <c r="BE67" s="58">
        <v>0</v>
      </c>
      <c r="BF67" s="56"/>
    </row>
    <row r="68" spans="1:58" ht="21" customHeight="1" x14ac:dyDescent="0.2">
      <c r="A68" s="99" t="s">
        <v>42</v>
      </c>
      <c r="B68" s="102" t="s">
        <v>60</v>
      </c>
      <c r="C68" s="102"/>
      <c r="D68" s="102"/>
      <c r="E68" s="102"/>
      <c r="F68" s="34"/>
      <c r="G68" s="34"/>
      <c r="H68" s="34"/>
      <c r="I68" s="34"/>
      <c r="J68" s="34"/>
      <c r="K68" s="34"/>
      <c r="L68" s="34"/>
      <c r="M68" s="34" t="s">
        <v>10</v>
      </c>
      <c r="N68" s="34"/>
      <c r="O68" s="34"/>
      <c r="P68" s="34"/>
      <c r="Q68" s="34"/>
      <c r="R68" s="34"/>
      <c r="S68" s="34"/>
      <c r="T68" s="34" t="s">
        <v>10</v>
      </c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 t="s">
        <v>10</v>
      </c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85">
        <f t="shared" ref="BB68" si="51">COUNTIF(F68:BA68,$H$5)</f>
        <v>3</v>
      </c>
      <c r="BC68" s="85">
        <f t="shared" ref="BC68" si="52">COUNTIF(F69:BA69,$Q$5)</f>
        <v>2</v>
      </c>
      <c r="BD68" s="69">
        <f t="shared" ref="BD68" si="53">IFERROR(BC68/BB68,"")</f>
        <v>0.66666666666666663</v>
      </c>
      <c r="BE68" s="58">
        <v>442400</v>
      </c>
      <c r="BF68" s="56"/>
    </row>
    <row r="69" spans="1:58" ht="21" customHeight="1" x14ac:dyDescent="0.2">
      <c r="A69" s="100"/>
      <c r="B69" s="102"/>
      <c r="C69" s="102"/>
      <c r="D69" s="102"/>
      <c r="E69" s="102"/>
      <c r="F69" s="34"/>
      <c r="G69" s="34"/>
      <c r="H69" s="34"/>
      <c r="I69" s="34"/>
      <c r="J69" s="34"/>
      <c r="K69" s="34"/>
      <c r="L69" s="34"/>
      <c r="M69" s="34" t="s">
        <v>12</v>
      </c>
      <c r="N69" s="34"/>
      <c r="O69" s="34"/>
      <c r="P69" s="34"/>
      <c r="Q69" s="34"/>
      <c r="R69" s="34"/>
      <c r="S69" s="34"/>
      <c r="T69" s="34" t="s">
        <v>12</v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85"/>
      <c r="BC69" s="85"/>
      <c r="BD69" s="69"/>
      <c r="BE69" s="58">
        <v>0</v>
      </c>
      <c r="BF69" s="56"/>
    </row>
    <row r="70" spans="1:58" ht="19.5" customHeight="1" x14ac:dyDescent="0.2">
      <c r="A70" s="103" t="s">
        <v>19</v>
      </c>
      <c r="B70" s="104"/>
      <c r="C70" s="104"/>
      <c r="D70" s="104"/>
      <c r="E70" s="50"/>
      <c r="F70" s="59">
        <f>COUNTIF(F62:I69,"P")</f>
        <v>1</v>
      </c>
      <c r="G70" s="59"/>
      <c r="H70" s="59"/>
      <c r="I70" s="59"/>
      <c r="J70" s="59">
        <f>COUNTIF(J62:M69,"P")</f>
        <v>4</v>
      </c>
      <c r="K70" s="59"/>
      <c r="L70" s="59"/>
      <c r="M70" s="59"/>
      <c r="N70" s="59">
        <f>COUNTIF(N62:Q69,"P")</f>
        <v>1</v>
      </c>
      <c r="O70" s="59"/>
      <c r="P70" s="59"/>
      <c r="Q70" s="59"/>
      <c r="R70" s="59">
        <f>COUNTIF(R62:U69,"P")</f>
        <v>2</v>
      </c>
      <c r="S70" s="59"/>
      <c r="T70" s="59"/>
      <c r="U70" s="59"/>
      <c r="V70" s="59">
        <f>COUNTIF(V62:Y69,"P")</f>
        <v>3</v>
      </c>
      <c r="W70" s="59"/>
      <c r="X70" s="59"/>
      <c r="Y70" s="59"/>
      <c r="Z70" s="59">
        <f>COUNTIF(Z62:AC69,"P")</f>
        <v>1</v>
      </c>
      <c r="AA70" s="59"/>
      <c r="AB70" s="59"/>
      <c r="AC70" s="59"/>
      <c r="AD70" s="59">
        <f>COUNTIF(AD62:AG69,"P")</f>
        <v>2</v>
      </c>
      <c r="AE70" s="59"/>
      <c r="AF70" s="59"/>
      <c r="AG70" s="59"/>
      <c r="AH70" s="59">
        <f>COUNTIF(AH62:AK69,"P")</f>
        <v>1</v>
      </c>
      <c r="AI70" s="59"/>
      <c r="AJ70" s="59"/>
      <c r="AK70" s="59"/>
      <c r="AL70" s="59">
        <f>COUNTIF(AL62:AO69,"P")</f>
        <v>1</v>
      </c>
      <c r="AM70" s="59"/>
      <c r="AN70" s="59"/>
      <c r="AO70" s="59"/>
      <c r="AP70" s="59">
        <f>COUNTIF(AP62:AS69,"P")</f>
        <v>2</v>
      </c>
      <c r="AQ70" s="59"/>
      <c r="AR70" s="59"/>
      <c r="AS70" s="59"/>
      <c r="AT70" s="59">
        <f>COUNTIF(AT62:AW69,"P")</f>
        <v>1</v>
      </c>
      <c r="AU70" s="59"/>
      <c r="AV70" s="59"/>
      <c r="AW70" s="59"/>
      <c r="AX70" s="59">
        <f>COUNTIF(AX62:BA69,"P")</f>
        <v>1</v>
      </c>
      <c r="AY70" s="59"/>
      <c r="AZ70" s="59"/>
      <c r="BA70" s="59"/>
      <c r="BB70" s="72" t="s">
        <v>25</v>
      </c>
      <c r="BC70" s="73"/>
      <c r="BD70" s="69">
        <f>+SUM(BC62:BC69)/SUM(BB62:BB69)</f>
        <v>0.7</v>
      </c>
      <c r="BE70" s="58">
        <v>0</v>
      </c>
      <c r="BF70" s="86"/>
    </row>
    <row r="71" spans="1:58" ht="19.5" customHeight="1" x14ac:dyDescent="0.2">
      <c r="A71" s="118" t="s">
        <v>20</v>
      </c>
      <c r="B71" s="119"/>
      <c r="C71" s="119"/>
      <c r="D71" s="119"/>
      <c r="E71" s="48"/>
      <c r="F71" s="59">
        <f>COUNTIF(F62:I69,"R")</f>
        <v>1</v>
      </c>
      <c r="G71" s="59"/>
      <c r="H71" s="59"/>
      <c r="I71" s="59"/>
      <c r="J71" s="59">
        <f>COUNTIF(J62:M69,"R")</f>
        <v>4</v>
      </c>
      <c r="K71" s="59"/>
      <c r="L71" s="59"/>
      <c r="M71" s="59"/>
      <c r="N71" s="59">
        <f>COUNTIF(N62:Q69,"R")</f>
        <v>1</v>
      </c>
      <c r="O71" s="59"/>
      <c r="P71" s="59"/>
      <c r="Q71" s="59"/>
      <c r="R71" s="59">
        <f>COUNTIF(R62:U69,"R")</f>
        <v>2</v>
      </c>
      <c r="S71" s="59"/>
      <c r="T71" s="59"/>
      <c r="U71" s="59"/>
      <c r="V71" s="59">
        <f>COUNTIF(V62:Y69,"R")</f>
        <v>3</v>
      </c>
      <c r="W71" s="59"/>
      <c r="X71" s="59"/>
      <c r="Y71" s="59"/>
      <c r="Z71" s="59">
        <f>COUNTIF(Z62:AC69,"R")</f>
        <v>1</v>
      </c>
      <c r="AA71" s="59"/>
      <c r="AB71" s="59"/>
      <c r="AC71" s="59"/>
      <c r="AD71" s="59">
        <f>COUNTIF(AD62:AG69,"R")</f>
        <v>2</v>
      </c>
      <c r="AE71" s="59"/>
      <c r="AF71" s="59"/>
      <c r="AG71" s="59"/>
      <c r="AH71" s="59">
        <f>COUNTIF(AH62:AK69,"R")</f>
        <v>0</v>
      </c>
      <c r="AI71" s="59"/>
      <c r="AJ71" s="59"/>
      <c r="AK71" s="59"/>
      <c r="AL71" s="59">
        <f>COUNTIF(AL62:AO69,"R")</f>
        <v>0</v>
      </c>
      <c r="AM71" s="59"/>
      <c r="AN71" s="59"/>
      <c r="AO71" s="59"/>
      <c r="AP71" s="59">
        <f>COUNTIF(AP62:AS69,"R")</f>
        <v>0</v>
      </c>
      <c r="AQ71" s="59"/>
      <c r="AR71" s="59"/>
      <c r="AS71" s="59"/>
      <c r="AT71" s="59">
        <f>COUNTIF(AT62:AW69,"R")</f>
        <v>0</v>
      </c>
      <c r="AU71" s="59"/>
      <c r="AV71" s="59"/>
      <c r="AW71" s="59"/>
      <c r="AX71" s="59">
        <f>COUNTIF(AX62:BA69,"R")</f>
        <v>0</v>
      </c>
      <c r="AY71" s="59"/>
      <c r="AZ71" s="59"/>
      <c r="BA71" s="59"/>
      <c r="BB71" s="74"/>
      <c r="BC71" s="75"/>
      <c r="BD71" s="69"/>
      <c r="BE71" s="58">
        <v>0</v>
      </c>
      <c r="BF71" s="86"/>
    </row>
    <row r="72" spans="1:58" ht="19.5" customHeight="1" x14ac:dyDescent="0.2">
      <c r="A72" s="108" t="s">
        <v>32</v>
      </c>
      <c r="B72" s="111" t="s">
        <v>8</v>
      </c>
      <c r="C72" s="112"/>
      <c r="D72" s="112"/>
      <c r="E72" s="113"/>
      <c r="F72" s="60" t="s">
        <v>3</v>
      </c>
      <c r="G72" s="61"/>
      <c r="H72" s="61"/>
      <c r="I72" s="62"/>
      <c r="J72" s="60" t="s">
        <v>1</v>
      </c>
      <c r="K72" s="61"/>
      <c r="L72" s="61"/>
      <c r="M72" s="62"/>
      <c r="N72" s="60" t="s">
        <v>2</v>
      </c>
      <c r="O72" s="61"/>
      <c r="P72" s="61"/>
      <c r="Q72" s="62"/>
      <c r="R72" s="60" t="s">
        <v>4</v>
      </c>
      <c r="S72" s="61"/>
      <c r="T72" s="61"/>
      <c r="U72" s="62"/>
      <c r="V72" s="101" t="s">
        <v>5</v>
      </c>
      <c r="W72" s="101"/>
      <c r="X72" s="101"/>
      <c r="Y72" s="101"/>
      <c r="Z72" s="60" t="s">
        <v>6</v>
      </c>
      <c r="AA72" s="61"/>
      <c r="AB72" s="61"/>
      <c r="AC72" s="62"/>
      <c r="AD72" s="60" t="s">
        <v>27</v>
      </c>
      <c r="AE72" s="61"/>
      <c r="AF72" s="61"/>
      <c r="AG72" s="62"/>
      <c r="AH72" s="60" t="s">
        <v>7</v>
      </c>
      <c r="AI72" s="61"/>
      <c r="AJ72" s="61"/>
      <c r="AK72" s="62"/>
      <c r="AL72" s="60" t="s">
        <v>28</v>
      </c>
      <c r="AM72" s="61"/>
      <c r="AN72" s="61"/>
      <c r="AO72" s="62"/>
      <c r="AP72" s="60" t="s">
        <v>29</v>
      </c>
      <c r="AQ72" s="61"/>
      <c r="AR72" s="61"/>
      <c r="AS72" s="62"/>
      <c r="AT72" s="60" t="s">
        <v>30</v>
      </c>
      <c r="AU72" s="61"/>
      <c r="AV72" s="61"/>
      <c r="AW72" s="62"/>
      <c r="AX72" s="60" t="s">
        <v>0</v>
      </c>
      <c r="AY72" s="61"/>
      <c r="AZ72" s="61"/>
      <c r="BA72" s="62"/>
      <c r="BB72" s="82" t="s">
        <v>24</v>
      </c>
      <c r="BC72" s="83"/>
      <c r="BD72" s="84"/>
      <c r="BE72" s="178">
        <f>BE62+BE63+BE64+BE65+BE66+BE67+BE68+BE69+BE70+BE71</f>
        <v>20181221</v>
      </c>
      <c r="BF72" s="84" t="s">
        <v>21</v>
      </c>
    </row>
    <row r="73" spans="1:58" ht="19.5" customHeight="1" x14ac:dyDescent="0.2">
      <c r="A73" s="109"/>
      <c r="B73" s="114"/>
      <c r="C73" s="115"/>
      <c r="D73" s="115"/>
      <c r="E73" s="116"/>
      <c r="F73" s="39">
        <v>1</v>
      </c>
      <c r="G73" s="39">
        <v>2</v>
      </c>
      <c r="H73" s="39">
        <v>3</v>
      </c>
      <c r="I73" s="39">
        <v>4</v>
      </c>
      <c r="J73" s="39">
        <v>1</v>
      </c>
      <c r="K73" s="39">
        <v>2</v>
      </c>
      <c r="L73" s="39">
        <v>3</v>
      </c>
      <c r="M73" s="39">
        <v>4</v>
      </c>
      <c r="N73" s="39">
        <v>1</v>
      </c>
      <c r="O73" s="39">
        <v>2</v>
      </c>
      <c r="P73" s="39">
        <v>3</v>
      </c>
      <c r="Q73" s="39">
        <v>4</v>
      </c>
      <c r="R73" s="39">
        <v>1</v>
      </c>
      <c r="S73" s="39">
        <v>2</v>
      </c>
      <c r="T73" s="39">
        <v>3</v>
      </c>
      <c r="U73" s="39">
        <v>4</v>
      </c>
      <c r="V73" s="40">
        <v>1</v>
      </c>
      <c r="W73" s="40">
        <v>2</v>
      </c>
      <c r="X73" s="40">
        <v>3</v>
      </c>
      <c r="Y73" s="40">
        <v>4</v>
      </c>
      <c r="Z73" s="39">
        <v>1</v>
      </c>
      <c r="AA73" s="39">
        <v>2</v>
      </c>
      <c r="AB73" s="39">
        <v>3</v>
      </c>
      <c r="AC73" s="39">
        <v>4</v>
      </c>
      <c r="AD73" s="39">
        <v>1</v>
      </c>
      <c r="AE73" s="39">
        <v>2</v>
      </c>
      <c r="AF73" s="39">
        <v>3</v>
      </c>
      <c r="AG73" s="39">
        <v>4</v>
      </c>
      <c r="AH73" s="39">
        <v>1</v>
      </c>
      <c r="AI73" s="39">
        <v>2</v>
      </c>
      <c r="AJ73" s="39">
        <v>3</v>
      </c>
      <c r="AK73" s="39">
        <v>4</v>
      </c>
      <c r="AL73" s="39">
        <v>1</v>
      </c>
      <c r="AM73" s="39">
        <v>2</v>
      </c>
      <c r="AN73" s="39">
        <v>3</v>
      </c>
      <c r="AO73" s="39">
        <v>4</v>
      </c>
      <c r="AP73" s="39">
        <v>1</v>
      </c>
      <c r="AQ73" s="39">
        <v>2</v>
      </c>
      <c r="AR73" s="39">
        <v>3</v>
      </c>
      <c r="AS73" s="39">
        <v>4</v>
      </c>
      <c r="AT73" s="39">
        <v>1</v>
      </c>
      <c r="AU73" s="39">
        <v>2</v>
      </c>
      <c r="AV73" s="39">
        <v>3</v>
      </c>
      <c r="AW73" s="39">
        <v>4</v>
      </c>
      <c r="AX73" s="39">
        <v>1</v>
      </c>
      <c r="AY73" s="39">
        <v>2</v>
      </c>
      <c r="AZ73" s="39">
        <v>3</v>
      </c>
      <c r="BA73" s="39">
        <v>4</v>
      </c>
      <c r="BB73" s="11" t="s">
        <v>9</v>
      </c>
      <c r="BC73" s="12" t="s">
        <v>22</v>
      </c>
      <c r="BD73" s="12" t="s">
        <v>23</v>
      </c>
      <c r="BE73" s="178">
        <v>0</v>
      </c>
      <c r="BF73" s="84"/>
    </row>
    <row r="74" spans="1:58" ht="23.25" customHeight="1" x14ac:dyDescent="0.2">
      <c r="A74" s="170" t="s">
        <v>43</v>
      </c>
      <c r="B74" s="122" t="s">
        <v>60</v>
      </c>
      <c r="C74" s="122"/>
      <c r="D74" s="122"/>
      <c r="E74" s="122"/>
      <c r="F74" s="34"/>
      <c r="G74" s="34"/>
      <c r="H74" s="34"/>
      <c r="I74" s="34" t="s">
        <v>10</v>
      </c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 t="s">
        <v>10</v>
      </c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85">
        <f>COUNTIF(F74:BA74,$H$5)</f>
        <v>2</v>
      </c>
      <c r="BC74" s="85">
        <f>COUNTIF(F75:BA75,$Q$5)</f>
        <v>1</v>
      </c>
      <c r="BD74" s="90">
        <f t="shared" ref="BD74:BD78" si="54">IFERROR(BC74/BB74,"")</f>
        <v>0.5</v>
      </c>
      <c r="BE74" s="58">
        <v>4316000000</v>
      </c>
      <c r="BF74" s="87"/>
    </row>
    <row r="75" spans="1:58" ht="23.25" customHeight="1" x14ac:dyDescent="0.2">
      <c r="A75" s="170"/>
      <c r="B75" s="122"/>
      <c r="C75" s="122"/>
      <c r="D75" s="122"/>
      <c r="E75" s="122"/>
      <c r="F75" s="34"/>
      <c r="G75" s="34"/>
      <c r="H75" s="34"/>
      <c r="I75" s="34" t="s">
        <v>12</v>
      </c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85"/>
      <c r="BC75" s="85"/>
      <c r="BD75" s="91"/>
      <c r="BE75" s="58">
        <v>0</v>
      </c>
      <c r="BF75" s="88"/>
    </row>
    <row r="76" spans="1:58" ht="23.25" customHeight="1" x14ac:dyDescent="0.2">
      <c r="A76" s="170" t="s">
        <v>67</v>
      </c>
      <c r="B76" s="122" t="s">
        <v>60</v>
      </c>
      <c r="C76" s="122"/>
      <c r="D76" s="122"/>
      <c r="E76" s="122"/>
      <c r="F76" s="34"/>
      <c r="G76" s="34"/>
      <c r="H76" s="34"/>
      <c r="I76" s="34"/>
      <c r="J76" s="34"/>
      <c r="K76" s="34"/>
      <c r="L76" s="34"/>
      <c r="M76" s="34" t="s">
        <v>10</v>
      </c>
      <c r="N76" s="34"/>
      <c r="O76" s="34"/>
      <c r="P76" s="34"/>
      <c r="Q76" s="34"/>
      <c r="R76" s="34"/>
      <c r="S76" s="34"/>
      <c r="T76" s="34"/>
      <c r="U76" s="34" t="s">
        <v>10</v>
      </c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 t="s">
        <v>10</v>
      </c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 t="s">
        <v>10</v>
      </c>
      <c r="AT76" s="34"/>
      <c r="AU76" s="34"/>
      <c r="AV76" s="34"/>
      <c r="AW76" s="34"/>
      <c r="AX76" s="34"/>
      <c r="AY76" s="34"/>
      <c r="AZ76" s="34"/>
      <c r="BA76" s="34"/>
      <c r="BB76" s="85">
        <v>4</v>
      </c>
      <c r="BC76" s="85">
        <v>2</v>
      </c>
      <c r="BD76" s="97">
        <v>1</v>
      </c>
      <c r="BE76" s="58">
        <v>0</v>
      </c>
      <c r="BF76" s="87" t="s">
        <v>93</v>
      </c>
    </row>
    <row r="77" spans="1:58" ht="23.25" customHeight="1" x14ac:dyDescent="0.2">
      <c r="A77" s="170"/>
      <c r="B77" s="122"/>
      <c r="C77" s="122"/>
      <c r="D77" s="122"/>
      <c r="E77" s="122"/>
      <c r="F77" s="34"/>
      <c r="G77" s="34"/>
      <c r="H77" s="34"/>
      <c r="I77" s="34"/>
      <c r="J77" s="34"/>
      <c r="K77" s="34"/>
      <c r="L77" s="34"/>
      <c r="M77" s="34" t="s">
        <v>12</v>
      </c>
      <c r="N77" s="34"/>
      <c r="O77" s="34"/>
      <c r="P77" s="34"/>
      <c r="Q77" s="34"/>
      <c r="R77" s="34"/>
      <c r="S77" s="34"/>
      <c r="T77" s="34"/>
      <c r="U77" s="34" t="s">
        <v>12</v>
      </c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 t="s">
        <v>12</v>
      </c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85"/>
      <c r="BC77" s="85"/>
      <c r="BD77" s="91"/>
      <c r="BE77" s="58">
        <v>0</v>
      </c>
      <c r="BF77" s="88"/>
    </row>
    <row r="78" spans="1:58" ht="24" customHeight="1" x14ac:dyDescent="0.2">
      <c r="A78" s="170" t="s">
        <v>68</v>
      </c>
      <c r="B78" s="122" t="s">
        <v>60</v>
      </c>
      <c r="C78" s="122"/>
      <c r="D78" s="122"/>
      <c r="E78" s="122"/>
      <c r="F78" s="34"/>
      <c r="G78" s="34"/>
      <c r="H78" s="34"/>
      <c r="I78" s="34" t="s">
        <v>10</v>
      </c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 t="s">
        <v>10</v>
      </c>
      <c r="AO78" s="34"/>
      <c r="AP78" s="34"/>
      <c r="AQ78" s="34"/>
      <c r="AR78" s="34"/>
      <c r="AS78" s="34"/>
      <c r="AT78" s="34"/>
      <c r="AU78" s="34"/>
      <c r="AV78" s="34" t="s">
        <v>10</v>
      </c>
      <c r="AW78" s="34"/>
      <c r="AX78" s="34"/>
      <c r="AY78" s="34"/>
      <c r="AZ78" s="34"/>
      <c r="BA78" s="34"/>
      <c r="BB78" s="85">
        <f t="shared" ref="BB78" si="55">COUNTIF(F78:BA78,$H$5)</f>
        <v>3</v>
      </c>
      <c r="BC78" s="85">
        <f t="shared" ref="BC78" si="56">COUNTIF(F79:BA79,$Q$5)</f>
        <v>1</v>
      </c>
      <c r="BD78" s="90">
        <f t="shared" si="54"/>
        <v>0.33333333333333331</v>
      </c>
      <c r="BE78" s="58">
        <v>0</v>
      </c>
      <c r="BF78" s="87"/>
    </row>
    <row r="79" spans="1:58" ht="24" customHeight="1" x14ac:dyDescent="0.2">
      <c r="A79" s="170"/>
      <c r="B79" s="122"/>
      <c r="C79" s="122"/>
      <c r="D79" s="122"/>
      <c r="E79" s="122"/>
      <c r="F79" s="34"/>
      <c r="G79" s="34"/>
      <c r="H79" s="34"/>
      <c r="I79" s="34" t="s">
        <v>12</v>
      </c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85"/>
      <c r="BC79" s="85"/>
      <c r="BD79" s="91"/>
      <c r="BE79" s="58">
        <v>0</v>
      </c>
      <c r="BF79" s="88"/>
    </row>
    <row r="80" spans="1:58" ht="24" customHeight="1" x14ac:dyDescent="0.2">
      <c r="A80" s="131" t="s">
        <v>19</v>
      </c>
      <c r="B80" s="132"/>
      <c r="C80" s="132"/>
      <c r="D80" s="132"/>
      <c r="E80" s="50"/>
      <c r="F80" s="59">
        <f>COUNTIF(F74:I79,"P")</f>
        <v>2</v>
      </c>
      <c r="G80" s="59"/>
      <c r="H80" s="59"/>
      <c r="I80" s="59"/>
      <c r="J80" s="59">
        <f t="shared" ref="J80" si="57">COUNTIF(J74:M79,"P")</f>
        <v>1</v>
      </c>
      <c r="K80" s="59"/>
      <c r="L80" s="59"/>
      <c r="M80" s="59"/>
      <c r="N80" s="59">
        <f t="shared" ref="N80" si="58">COUNTIF(N74:Q79,"P")</f>
        <v>0</v>
      </c>
      <c r="O80" s="59"/>
      <c r="P80" s="59"/>
      <c r="Q80" s="59"/>
      <c r="R80" s="59">
        <f t="shared" ref="R80" si="59">COUNTIF(R74:U79,"P")</f>
        <v>1</v>
      </c>
      <c r="S80" s="59"/>
      <c r="T80" s="59"/>
      <c r="U80" s="59"/>
      <c r="V80" s="59">
        <f t="shared" ref="V80" si="60">COUNTIF(V74:Y79,"P")</f>
        <v>0</v>
      </c>
      <c r="W80" s="59"/>
      <c r="X80" s="59"/>
      <c r="Y80" s="59"/>
      <c r="Z80" s="59">
        <f t="shared" ref="Z80" si="61">COUNTIF(Z74:AC79,"P")</f>
        <v>0</v>
      </c>
      <c r="AA80" s="59"/>
      <c r="AB80" s="59"/>
      <c r="AC80" s="59"/>
      <c r="AD80" s="59">
        <f t="shared" ref="AD80" si="62">COUNTIF(AD74:AG79,"P")</f>
        <v>1</v>
      </c>
      <c r="AE80" s="59"/>
      <c r="AF80" s="59"/>
      <c r="AG80" s="59"/>
      <c r="AH80" s="59">
        <f t="shared" ref="AH80" si="63">COUNTIF(AH74:AK79,"P")</f>
        <v>1</v>
      </c>
      <c r="AI80" s="59"/>
      <c r="AJ80" s="59"/>
      <c r="AK80" s="59"/>
      <c r="AL80" s="59">
        <f t="shared" ref="AL80" si="64">COUNTIF(AL74:AO79,"P")</f>
        <v>1</v>
      </c>
      <c r="AM80" s="59"/>
      <c r="AN80" s="59"/>
      <c r="AO80" s="59"/>
      <c r="AP80" s="59">
        <f t="shared" ref="AP80" si="65">COUNTIF(AP74:AS79,"P")</f>
        <v>1</v>
      </c>
      <c r="AQ80" s="59"/>
      <c r="AR80" s="59"/>
      <c r="AS80" s="59"/>
      <c r="AT80" s="59">
        <f t="shared" ref="AT80" si="66">COUNTIF(AT74:AW79,"P")</f>
        <v>1</v>
      </c>
      <c r="AU80" s="59"/>
      <c r="AV80" s="59"/>
      <c r="AW80" s="59"/>
      <c r="AX80" s="59">
        <f t="shared" ref="AX80" si="67">COUNTIF(AX74:BA79,"P")</f>
        <v>0</v>
      </c>
      <c r="AY80" s="59"/>
      <c r="AZ80" s="59"/>
      <c r="BA80" s="59"/>
      <c r="BB80" s="72" t="s">
        <v>25</v>
      </c>
      <c r="BC80" s="73"/>
      <c r="BD80" s="69">
        <f>+SUM(BC74:BC79)/SUM(BB74:BB79)</f>
        <v>0.44444444444444442</v>
      </c>
      <c r="BE80" s="58">
        <v>0</v>
      </c>
      <c r="BF80" s="86"/>
    </row>
    <row r="81" spans="1:58" ht="24" customHeight="1" x14ac:dyDescent="0.2">
      <c r="A81" s="118" t="s">
        <v>20</v>
      </c>
      <c r="B81" s="119"/>
      <c r="C81" s="119"/>
      <c r="D81" s="119"/>
      <c r="E81" s="48"/>
      <c r="F81" s="59">
        <f>COUNTIF(F74:I79,"R")</f>
        <v>2</v>
      </c>
      <c r="G81" s="59"/>
      <c r="H81" s="59"/>
      <c r="I81" s="59"/>
      <c r="J81" s="59">
        <f t="shared" ref="J81" si="68">COUNTIF(J74:M79,"R")</f>
        <v>1</v>
      </c>
      <c r="K81" s="59"/>
      <c r="L81" s="59"/>
      <c r="M81" s="59"/>
      <c r="N81" s="59">
        <f t="shared" ref="N81" si="69">COUNTIF(N74:Q79,"R")</f>
        <v>0</v>
      </c>
      <c r="O81" s="59"/>
      <c r="P81" s="59"/>
      <c r="Q81" s="59"/>
      <c r="R81" s="59">
        <f t="shared" ref="R81" si="70">COUNTIF(R74:U79,"R")</f>
        <v>1</v>
      </c>
      <c r="S81" s="59"/>
      <c r="T81" s="59"/>
      <c r="U81" s="59"/>
      <c r="V81" s="59">
        <f t="shared" ref="V81" si="71">COUNTIF(V74:Y79,"R")</f>
        <v>0</v>
      </c>
      <c r="W81" s="59"/>
      <c r="X81" s="59"/>
      <c r="Y81" s="59"/>
      <c r="Z81" s="59">
        <f t="shared" ref="Z81" si="72">COUNTIF(Z74:AC79,"R")</f>
        <v>0</v>
      </c>
      <c r="AA81" s="59"/>
      <c r="AB81" s="59"/>
      <c r="AC81" s="59"/>
      <c r="AD81" s="59">
        <f t="shared" ref="AD81" si="73">COUNTIF(AD74:AG79,"R")</f>
        <v>1</v>
      </c>
      <c r="AE81" s="59"/>
      <c r="AF81" s="59"/>
      <c r="AG81" s="59"/>
      <c r="AH81" s="59">
        <f t="shared" ref="AH81" si="74">COUNTIF(AH74:AK79,"R")</f>
        <v>0</v>
      </c>
      <c r="AI81" s="59"/>
      <c r="AJ81" s="59"/>
      <c r="AK81" s="59"/>
      <c r="AL81" s="59">
        <f t="shared" ref="AL81" si="75">COUNTIF(AL74:AO79,"R")</f>
        <v>0</v>
      </c>
      <c r="AM81" s="59"/>
      <c r="AN81" s="59"/>
      <c r="AO81" s="59"/>
      <c r="AP81" s="59">
        <f t="shared" ref="AP81" si="76">COUNTIF(AP74:AS79,"R")</f>
        <v>0</v>
      </c>
      <c r="AQ81" s="59"/>
      <c r="AR81" s="59"/>
      <c r="AS81" s="59"/>
      <c r="AT81" s="59">
        <f t="shared" ref="AT81" si="77">COUNTIF(AT74:AW79,"R")</f>
        <v>0</v>
      </c>
      <c r="AU81" s="59"/>
      <c r="AV81" s="59"/>
      <c r="AW81" s="59"/>
      <c r="AX81" s="59">
        <f t="shared" ref="AX81" si="78">COUNTIF(AX74:BA79,"R")</f>
        <v>0</v>
      </c>
      <c r="AY81" s="59"/>
      <c r="AZ81" s="59"/>
      <c r="BA81" s="59"/>
      <c r="BB81" s="74"/>
      <c r="BC81" s="75"/>
      <c r="BD81" s="69"/>
      <c r="BE81" s="58">
        <v>0</v>
      </c>
      <c r="BF81" s="86"/>
    </row>
    <row r="82" spans="1:58" ht="19.5" customHeight="1" x14ac:dyDescent="0.2">
      <c r="A82" s="108" t="s">
        <v>38</v>
      </c>
      <c r="B82" s="111" t="s">
        <v>8</v>
      </c>
      <c r="C82" s="112"/>
      <c r="D82" s="112"/>
      <c r="E82" s="113"/>
      <c r="F82" s="60" t="s">
        <v>3</v>
      </c>
      <c r="G82" s="61"/>
      <c r="H82" s="61"/>
      <c r="I82" s="62"/>
      <c r="J82" s="60" t="s">
        <v>1</v>
      </c>
      <c r="K82" s="61"/>
      <c r="L82" s="61"/>
      <c r="M82" s="62"/>
      <c r="N82" s="60" t="s">
        <v>2</v>
      </c>
      <c r="O82" s="61"/>
      <c r="P82" s="61"/>
      <c r="Q82" s="62"/>
      <c r="R82" s="60" t="s">
        <v>4</v>
      </c>
      <c r="S82" s="61"/>
      <c r="T82" s="61"/>
      <c r="U82" s="62"/>
      <c r="V82" s="101" t="s">
        <v>5</v>
      </c>
      <c r="W82" s="101"/>
      <c r="X82" s="101"/>
      <c r="Y82" s="101"/>
      <c r="Z82" s="60" t="s">
        <v>6</v>
      </c>
      <c r="AA82" s="61"/>
      <c r="AB82" s="61"/>
      <c r="AC82" s="62"/>
      <c r="AD82" s="60" t="s">
        <v>27</v>
      </c>
      <c r="AE82" s="61"/>
      <c r="AF82" s="61"/>
      <c r="AG82" s="62"/>
      <c r="AH82" s="60" t="s">
        <v>7</v>
      </c>
      <c r="AI82" s="61"/>
      <c r="AJ82" s="61"/>
      <c r="AK82" s="62"/>
      <c r="AL82" s="60" t="s">
        <v>28</v>
      </c>
      <c r="AM82" s="61"/>
      <c r="AN82" s="61"/>
      <c r="AO82" s="62"/>
      <c r="AP82" s="60" t="s">
        <v>29</v>
      </c>
      <c r="AQ82" s="61"/>
      <c r="AR82" s="61"/>
      <c r="AS82" s="62"/>
      <c r="AT82" s="60" t="s">
        <v>30</v>
      </c>
      <c r="AU82" s="61"/>
      <c r="AV82" s="61"/>
      <c r="AW82" s="62"/>
      <c r="AX82" s="60" t="s">
        <v>0</v>
      </c>
      <c r="AY82" s="61"/>
      <c r="AZ82" s="61"/>
      <c r="BA82" s="62"/>
      <c r="BB82" s="82" t="s">
        <v>24</v>
      </c>
      <c r="BC82" s="83"/>
      <c r="BD82" s="84"/>
      <c r="BE82" s="178">
        <f>BE74+BE75+BE76+BE77+BE78+BE79+BE80+BE81</f>
        <v>4316000000</v>
      </c>
      <c r="BF82" s="84" t="s">
        <v>21</v>
      </c>
    </row>
    <row r="83" spans="1:58" ht="19.5" customHeight="1" x14ac:dyDescent="0.2">
      <c r="A83" s="109"/>
      <c r="B83" s="114"/>
      <c r="C83" s="115"/>
      <c r="D83" s="115"/>
      <c r="E83" s="116"/>
      <c r="F83" s="41">
        <v>1</v>
      </c>
      <c r="G83" s="41">
        <v>2</v>
      </c>
      <c r="H83" s="41">
        <v>3</v>
      </c>
      <c r="I83" s="41">
        <v>4</v>
      </c>
      <c r="J83" s="41">
        <v>1</v>
      </c>
      <c r="K83" s="41">
        <v>2</v>
      </c>
      <c r="L83" s="41">
        <v>3</v>
      </c>
      <c r="M83" s="41">
        <v>4</v>
      </c>
      <c r="N83" s="41">
        <v>1</v>
      </c>
      <c r="O83" s="41">
        <v>2</v>
      </c>
      <c r="P83" s="41">
        <v>3</v>
      </c>
      <c r="Q83" s="41">
        <v>4</v>
      </c>
      <c r="R83" s="41">
        <v>1</v>
      </c>
      <c r="S83" s="41">
        <v>2</v>
      </c>
      <c r="T83" s="41">
        <v>3</v>
      </c>
      <c r="U83" s="41">
        <v>4</v>
      </c>
      <c r="V83" s="42">
        <v>1</v>
      </c>
      <c r="W83" s="42">
        <v>2</v>
      </c>
      <c r="X83" s="42">
        <v>3</v>
      </c>
      <c r="Y83" s="42">
        <v>4</v>
      </c>
      <c r="Z83" s="41">
        <v>1</v>
      </c>
      <c r="AA83" s="41">
        <v>2</v>
      </c>
      <c r="AB83" s="41">
        <v>3</v>
      </c>
      <c r="AC83" s="41">
        <v>4</v>
      </c>
      <c r="AD83" s="41">
        <v>1</v>
      </c>
      <c r="AE83" s="41">
        <v>2</v>
      </c>
      <c r="AF83" s="41">
        <v>3</v>
      </c>
      <c r="AG83" s="41">
        <v>4</v>
      </c>
      <c r="AH83" s="41">
        <v>1</v>
      </c>
      <c r="AI83" s="41">
        <v>2</v>
      </c>
      <c r="AJ83" s="41">
        <v>3</v>
      </c>
      <c r="AK83" s="41">
        <v>4</v>
      </c>
      <c r="AL83" s="41">
        <v>1</v>
      </c>
      <c r="AM83" s="41">
        <v>2</v>
      </c>
      <c r="AN83" s="41">
        <v>3</v>
      </c>
      <c r="AO83" s="41">
        <v>4</v>
      </c>
      <c r="AP83" s="41">
        <v>1</v>
      </c>
      <c r="AQ83" s="41">
        <v>2</v>
      </c>
      <c r="AR83" s="41">
        <v>3</v>
      </c>
      <c r="AS83" s="41">
        <v>4</v>
      </c>
      <c r="AT83" s="41">
        <v>1</v>
      </c>
      <c r="AU83" s="41">
        <v>2</v>
      </c>
      <c r="AV83" s="41">
        <v>3</v>
      </c>
      <c r="AW83" s="41">
        <v>4</v>
      </c>
      <c r="AX83" s="41">
        <v>1</v>
      </c>
      <c r="AY83" s="41">
        <v>2</v>
      </c>
      <c r="AZ83" s="41">
        <v>3</v>
      </c>
      <c r="BA83" s="41">
        <v>4</v>
      </c>
      <c r="BB83" s="11" t="s">
        <v>9</v>
      </c>
      <c r="BC83" s="12" t="s">
        <v>22</v>
      </c>
      <c r="BD83" s="12" t="s">
        <v>23</v>
      </c>
      <c r="BE83" s="178">
        <v>0</v>
      </c>
      <c r="BF83" s="84"/>
    </row>
    <row r="84" spans="1:58" ht="19.5" customHeight="1" x14ac:dyDescent="0.2">
      <c r="A84" s="133" t="s">
        <v>44</v>
      </c>
      <c r="B84" s="122" t="s">
        <v>62</v>
      </c>
      <c r="C84" s="122"/>
      <c r="D84" s="122"/>
      <c r="E84" s="122"/>
      <c r="F84" s="34" t="s">
        <v>10</v>
      </c>
      <c r="G84" s="34"/>
      <c r="H84" s="34"/>
      <c r="I84" s="34"/>
      <c r="J84" s="34" t="s">
        <v>10</v>
      </c>
      <c r="K84" s="34"/>
      <c r="L84" s="34"/>
      <c r="M84" s="34"/>
      <c r="N84" s="34" t="s">
        <v>10</v>
      </c>
      <c r="O84" s="34"/>
      <c r="P84" s="34"/>
      <c r="Q84" s="34"/>
      <c r="R84" s="34" t="s">
        <v>10</v>
      </c>
      <c r="S84" s="34"/>
      <c r="T84" s="34"/>
      <c r="U84" s="34"/>
      <c r="V84" s="34" t="s">
        <v>10</v>
      </c>
      <c r="W84" s="34"/>
      <c r="X84" s="34"/>
      <c r="Y84" s="34"/>
      <c r="Z84" s="34" t="s">
        <v>10</v>
      </c>
      <c r="AA84" s="34"/>
      <c r="AB84" s="34"/>
      <c r="AC84" s="34"/>
      <c r="AD84" s="34" t="s">
        <v>10</v>
      </c>
      <c r="AE84" s="34"/>
      <c r="AF84" s="34"/>
      <c r="AG84" s="34"/>
      <c r="AH84" s="34" t="s">
        <v>10</v>
      </c>
      <c r="AI84" s="35"/>
      <c r="AJ84" s="34"/>
      <c r="AK84" s="34"/>
      <c r="AL84" s="34" t="s">
        <v>10</v>
      </c>
      <c r="AM84" s="34"/>
      <c r="AN84" s="34"/>
      <c r="AO84" s="34"/>
      <c r="AP84" s="34" t="s">
        <v>10</v>
      </c>
      <c r="AQ84" s="34"/>
      <c r="AR84" s="34"/>
      <c r="AS84" s="34"/>
      <c r="AT84" s="34" t="s">
        <v>10</v>
      </c>
      <c r="AU84" s="34"/>
      <c r="AV84" s="34"/>
      <c r="AW84" s="34"/>
      <c r="AX84" s="34" t="s">
        <v>10</v>
      </c>
      <c r="AY84" s="34"/>
      <c r="AZ84" s="34"/>
      <c r="BA84" s="34"/>
      <c r="BB84" s="85">
        <f t="shared" ref="BB84" si="79">COUNTIF(F84:BA84,$H$5)</f>
        <v>12</v>
      </c>
      <c r="BC84" s="85">
        <f t="shared" ref="BC84" si="80">COUNTIF(F85:BA85,$Q$5)</f>
        <v>7</v>
      </c>
      <c r="BD84" s="69">
        <f t="shared" ref="BD84:BD90" si="81">IFERROR(BC84/BB84,"")</f>
        <v>0.58333333333333337</v>
      </c>
      <c r="BE84" s="58">
        <v>0</v>
      </c>
      <c r="BF84" s="87"/>
    </row>
    <row r="85" spans="1:58" ht="19.5" customHeight="1" x14ac:dyDescent="0.2">
      <c r="A85" s="133"/>
      <c r="B85" s="122"/>
      <c r="C85" s="122"/>
      <c r="D85" s="122"/>
      <c r="E85" s="122"/>
      <c r="F85" s="34" t="s">
        <v>12</v>
      </c>
      <c r="G85" s="34"/>
      <c r="H85" s="34"/>
      <c r="I85" s="34"/>
      <c r="J85" s="38" t="s">
        <v>12</v>
      </c>
      <c r="K85" s="34"/>
      <c r="L85" s="34"/>
      <c r="M85" s="34"/>
      <c r="N85" s="34" t="s">
        <v>12</v>
      </c>
      <c r="O85" s="34"/>
      <c r="P85" s="34"/>
      <c r="Q85" s="34"/>
      <c r="R85" s="34" t="s">
        <v>12</v>
      </c>
      <c r="S85" s="34"/>
      <c r="T85" s="34"/>
      <c r="U85" s="34"/>
      <c r="V85" s="34" t="s">
        <v>12</v>
      </c>
      <c r="W85" s="34"/>
      <c r="X85" s="34"/>
      <c r="Y85" s="34"/>
      <c r="Z85" s="34" t="s">
        <v>12</v>
      </c>
      <c r="AA85" s="34"/>
      <c r="AB85" s="34"/>
      <c r="AC85" s="34"/>
      <c r="AD85" s="34" t="s">
        <v>12</v>
      </c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85"/>
      <c r="BC85" s="85"/>
      <c r="BD85" s="69"/>
      <c r="BE85" s="58">
        <v>0</v>
      </c>
      <c r="BF85" s="88"/>
    </row>
    <row r="86" spans="1:58" ht="19.5" customHeight="1" x14ac:dyDescent="0.2">
      <c r="A86" s="123" t="s">
        <v>45</v>
      </c>
      <c r="B86" s="125" t="s">
        <v>66</v>
      </c>
      <c r="C86" s="126"/>
      <c r="D86" s="126"/>
      <c r="E86" s="127"/>
      <c r="F86" s="34" t="s">
        <v>10</v>
      </c>
      <c r="G86" s="34"/>
      <c r="H86" s="34"/>
      <c r="I86" s="34"/>
      <c r="J86" s="34" t="s">
        <v>10</v>
      </c>
      <c r="K86" s="34"/>
      <c r="L86" s="34"/>
      <c r="M86" s="34"/>
      <c r="N86" s="34" t="s">
        <v>10</v>
      </c>
      <c r="O86" s="34"/>
      <c r="P86" s="34"/>
      <c r="Q86" s="34"/>
      <c r="R86" s="34" t="s">
        <v>10</v>
      </c>
      <c r="S86" s="34"/>
      <c r="T86" s="34"/>
      <c r="U86" s="34"/>
      <c r="V86" s="34" t="s">
        <v>10</v>
      </c>
      <c r="W86" s="34"/>
      <c r="X86" s="34"/>
      <c r="Y86" s="34"/>
      <c r="Z86" s="34" t="s">
        <v>10</v>
      </c>
      <c r="AA86" s="34"/>
      <c r="AB86" s="34"/>
      <c r="AC86" s="34"/>
      <c r="AD86" s="34" t="s">
        <v>10</v>
      </c>
      <c r="AE86" s="34"/>
      <c r="AF86" s="34"/>
      <c r="AG86" s="34"/>
      <c r="AH86" s="34" t="s">
        <v>10</v>
      </c>
      <c r="AI86" s="36"/>
      <c r="AJ86" s="34"/>
      <c r="AK86" s="34"/>
      <c r="AL86" s="34" t="s">
        <v>10</v>
      </c>
      <c r="AM86" s="34"/>
      <c r="AN86" s="34"/>
      <c r="AO86" s="34"/>
      <c r="AP86" s="34" t="s">
        <v>10</v>
      </c>
      <c r="AQ86" s="34"/>
      <c r="AR86" s="34"/>
      <c r="AS86" s="34"/>
      <c r="AT86" s="34" t="s">
        <v>10</v>
      </c>
      <c r="AU86" s="34"/>
      <c r="AV86" s="34"/>
      <c r="AW86" s="34"/>
      <c r="AX86" s="34" t="s">
        <v>10</v>
      </c>
      <c r="AY86" s="34"/>
      <c r="AZ86" s="34"/>
      <c r="BA86" s="34"/>
      <c r="BB86" s="92">
        <f t="shared" ref="BB86:BB90" si="82">COUNTIF(F86:BA86,$H$5)</f>
        <v>12</v>
      </c>
      <c r="BC86" s="92">
        <f t="shared" ref="BC86" si="83">COUNTIF(F89:BA89,$Q$5)</f>
        <v>7</v>
      </c>
      <c r="BD86" s="69">
        <f t="shared" si="81"/>
        <v>0.58333333333333337</v>
      </c>
      <c r="BE86" s="58">
        <v>0</v>
      </c>
      <c r="BF86" s="87"/>
    </row>
    <row r="87" spans="1:58" ht="19.5" customHeight="1" x14ac:dyDescent="0.2">
      <c r="A87" s="124"/>
      <c r="B87" s="128"/>
      <c r="C87" s="129"/>
      <c r="D87" s="129"/>
      <c r="E87" s="130"/>
      <c r="F87" s="34" t="s">
        <v>12</v>
      </c>
      <c r="G87" s="34"/>
      <c r="H87" s="34"/>
      <c r="I87" s="34"/>
      <c r="J87" s="38" t="s">
        <v>12</v>
      </c>
      <c r="K87" s="34"/>
      <c r="L87" s="34"/>
      <c r="M87" s="34"/>
      <c r="N87" s="34" t="s">
        <v>12</v>
      </c>
      <c r="O87" s="34"/>
      <c r="P87" s="34"/>
      <c r="Q87" s="34"/>
      <c r="R87" s="34" t="s">
        <v>12</v>
      </c>
      <c r="S87" s="34"/>
      <c r="T87" s="34"/>
      <c r="U87" s="34"/>
      <c r="V87" s="34" t="s">
        <v>12</v>
      </c>
      <c r="W87" s="34"/>
      <c r="X87" s="34"/>
      <c r="Y87" s="34"/>
      <c r="Z87" s="34" t="s">
        <v>12</v>
      </c>
      <c r="AA87" s="34"/>
      <c r="AB87" s="34"/>
      <c r="AC87" s="34"/>
      <c r="AD87" s="34" t="s">
        <v>12</v>
      </c>
      <c r="AE87" s="34"/>
      <c r="AF87" s="34"/>
      <c r="AG87" s="34"/>
      <c r="AH87" s="34"/>
      <c r="AI87" s="36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93"/>
      <c r="BC87" s="93"/>
      <c r="BD87" s="69"/>
      <c r="BE87" s="58">
        <v>0</v>
      </c>
      <c r="BF87" s="89"/>
    </row>
    <row r="88" spans="1:58" ht="19.5" customHeight="1" x14ac:dyDescent="0.2">
      <c r="A88" s="123" t="s">
        <v>46</v>
      </c>
      <c r="B88" s="125" t="s">
        <v>63</v>
      </c>
      <c r="C88" s="126"/>
      <c r="D88" s="126"/>
      <c r="E88" s="127"/>
      <c r="F88" s="34" t="s">
        <v>10</v>
      </c>
      <c r="G88" s="34"/>
      <c r="H88" s="34"/>
      <c r="I88" s="34"/>
      <c r="J88" s="34" t="s">
        <v>10</v>
      </c>
      <c r="K88" s="34"/>
      <c r="L88" s="34"/>
      <c r="M88" s="34"/>
      <c r="N88" s="34" t="s">
        <v>10</v>
      </c>
      <c r="O88" s="34"/>
      <c r="P88" s="34"/>
      <c r="Q88" s="34"/>
      <c r="R88" s="34" t="s">
        <v>10</v>
      </c>
      <c r="S88" s="34"/>
      <c r="T88" s="34"/>
      <c r="U88" s="34"/>
      <c r="V88" s="34" t="s">
        <v>10</v>
      </c>
      <c r="W88" s="34"/>
      <c r="X88" s="34"/>
      <c r="Y88" s="34"/>
      <c r="Z88" s="34" t="s">
        <v>10</v>
      </c>
      <c r="AA88" s="34"/>
      <c r="AB88" s="34"/>
      <c r="AC88" s="34"/>
      <c r="AD88" s="34" t="s">
        <v>10</v>
      </c>
      <c r="AE88" s="34"/>
      <c r="AF88" s="34"/>
      <c r="AG88" s="34"/>
      <c r="AH88" s="34" t="s">
        <v>10</v>
      </c>
      <c r="AI88" s="36"/>
      <c r="AJ88" s="34"/>
      <c r="AK88" s="34"/>
      <c r="AL88" s="34" t="s">
        <v>10</v>
      </c>
      <c r="AM88" s="34"/>
      <c r="AN88" s="34"/>
      <c r="AO88" s="34"/>
      <c r="AP88" s="34" t="s">
        <v>10</v>
      </c>
      <c r="AQ88" s="34"/>
      <c r="AR88" s="34"/>
      <c r="AS88" s="34"/>
      <c r="AT88" s="34" t="s">
        <v>10</v>
      </c>
      <c r="AU88" s="34"/>
      <c r="AV88" s="34"/>
      <c r="AW88" s="34"/>
      <c r="AX88" s="34" t="s">
        <v>10</v>
      </c>
      <c r="AY88" s="34"/>
      <c r="AZ88" s="34"/>
      <c r="BA88" s="34"/>
      <c r="BB88" s="92">
        <f t="shared" si="82"/>
        <v>12</v>
      </c>
      <c r="BC88" s="92">
        <f>COUNTIF(F91:BA91,$Q$5)</f>
        <v>7</v>
      </c>
      <c r="BD88" s="69">
        <f t="shared" si="81"/>
        <v>0.58333333333333337</v>
      </c>
      <c r="BE88" s="58">
        <v>0</v>
      </c>
      <c r="BF88" s="89"/>
    </row>
    <row r="89" spans="1:58" ht="19.5" customHeight="1" x14ac:dyDescent="0.2">
      <c r="A89" s="124"/>
      <c r="B89" s="128"/>
      <c r="C89" s="129"/>
      <c r="D89" s="129"/>
      <c r="E89" s="130"/>
      <c r="F89" s="34" t="s">
        <v>12</v>
      </c>
      <c r="G89" s="34"/>
      <c r="H89" s="34"/>
      <c r="I89" s="34"/>
      <c r="J89" s="34" t="s">
        <v>12</v>
      </c>
      <c r="K89" s="34"/>
      <c r="L89" s="34"/>
      <c r="M89" s="34"/>
      <c r="N89" s="34" t="s">
        <v>12</v>
      </c>
      <c r="O89" s="34"/>
      <c r="P89" s="34"/>
      <c r="Q89" s="34"/>
      <c r="R89" s="34" t="s">
        <v>12</v>
      </c>
      <c r="S89" s="34"/>
      <c r="T89" s="34"/>
      <c r="U89" s="34"/>
      <c r="V89" s="34" t="s">
        <v>12</v>
      </c>
      <c r="W89" s="34"/>
      <c r="X89" s="34"/>
      <c r="Y89" s="34"/>
      <c r="Z89" s="34" t="s">
        <v>12</v>
      </c>
      <c r="AA89" s="34"/>
      <c r="AB89" s="34"/>
      <c r="AC89" s="34"/>
      <c r="AD89" s="34" t="s">
        <v>12</v>
      </c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93"/>
      <c r="BC89" s="93"/>
      <c r="BD89" s="69"/>
      <c r="BE89" s="58">
        <v>0</v>
      </c>
      <c r="BF89" s="88"/>
    </row>
    <row r="90" spans="1:58" ht="19.5" customHeight="1" x14ac:dyDescent="0.2">
      <c r="A90" s="134" t="s">
        <v>64</v>
      </c>
      <c r="B90" s="122" t="s">
        <v>65</v>
      </c>
      <c r="C90" s="122"/>
      <c r="D90" s="122"/>
      <c r="E90" s="122"/>
      <c r="F90" s="34" t="s">
        <v>10</v>
      </c>
      <c r="G90" s="34"/>
      <c r="H90" s="34"/>
      <c r="I90" s="34"/>
      <c r="J90" s="34" t="s">
        <v>10</v>
      </c>
      <c r="K90" s="34"/>
      <c r="L90" s="34"/>
      <c r="M90" s="34"/>
      <c r="N90" s="34" t="s">
        <v>10</v>
      </c>
      <c r="O90" s="34"/>
      <c r="P90" s="34"/>
      <c r="Q90" s="34"/>
      <c r="R90" s="34" t="s">
        <v>10</v>
      </c>
      <c r="S90" s="34"/>
      <c r="T90" s="34"/>
      <c r="U90" s="34"/>
      <c r="V90" s="34" t="s">
        <v>10</v>
      </c>
      <c r="W90" s="34"/>
      <c r="X90" s="34"/>
      <c r="Y90" s="34"/>
      <c r="Z90" s="34" t="s">
        <v>10</v>
      </c>
      <c r="AA90" s="34"/>
      <c r="AB90" s="34"/>
      <c r="AC90" s="34"/>
      <c r="AD90" s="34" t="s">
        <v>10</v>
      </c>
      <c r="AE90" s="34"/>
      <c r="AF90" s="34"/>
      <c r="AG90" s="34"/>
      <c r="AH90" s="34" t="s">
        <v>10</v>
      </c>
      <c r="AI90" s="36"/>
      <c r="AJ90" s="34"/>
      <c r="AK90" s="34"/>
      <c r="AL90" s="34" t="s">
        <v>10</v>
      </c>
      <c r="AM90" s="34"/>
      <c r="AN90" s="34"/>
      <c r="AO90" s="34"/>
      <c r="AP90" s="34" t="s">
        <v>10</v>
      </c>
      <c r="AQ90" s="34"/>
      <c r="AR90" s="34"/>
      <c r="AS90" s="34"/>
      <c r="AT90" s="34" t="s">
        <v>10</v>
      </c>
      <c r="AU90" s="34"/>
      <c r="AV90" s="34"/>
      <c r="AW90" s="34"/>
      <c r="AX90" s="34" t="s">
        <v>10</v>
      </c>
      <c r="AY90" s="34"/>
      <c r="AZ90" s="34"/>
      <c r="BA90" s="34"/>
      <c r="BB90" s="92">
        <f t="shared" si="82"/>
        <v>12</v>
      </c>
      <c r="BC90" s="92">
        <f>COUNTIF(F93:BA93,$Q$5)</f>
        <v>0</v>
      </c>
      <c r="BD90" s="69">
        <f t="shared" si="81"/>
        <v>0</v>
      </c>
      <c r="BE90" s="58">
        <v>0</v>
      </c>
      <c r="BF90" s="87"/>
    </row>
    <row r="91" spans="1:58" ht="19.5" customHeight="1" x14ac:dyDescent="0.2">
      <c r="A91" s="134"/>
      <c r="B91" s="122"/>
      <c r="C91" s="122"/>
      <c r="D91" s="122"/>
      <c r="E91" s="122"/>
      <c r="F91" s="34" t="s">
        <v>12</v>
      </c>
      <c r="G91" s="34"/>
      <c r="H91" s="34"/>
      <c r="I91" s="34"/>
      <c r="J91" s="38" t="s">
        <v>12</v>
      </c>
      <c r="K91" s="34"/>
      <c r="L91" s="34"/>
      <c r="M91" s="34"/>
      <c r="N91" s="34" t="s">
        <v>12</v>
      </c>
      <c r="O91" s="34"/>
      <c r="P91" s="34"/>
      <c r="Q91" s="34"/>
      <c r="R91" s="34" t="s">
        <v>12</v>
      </c>
      <c r="S91" s="34"/>
      <c r="T91" s="34"/>
      <c r="U91" s="34"/>
      <c r="V91" s="34" t="s">
        <v>12</v>
      </c>
      <c r="W91" s="34"/>
      <c r="X91" s="34"/>
      <c r="Y91" s="34"/>
      <c r="Z91" s="34" t="s">
        <v>12</v>
      </c>
      <c r="AA91" s="34"/>
      <c r="AB91" s="34"/>
      <c r="AC91" s="34"/>
      <c r="AD91" s="34" t="s">
        <v>12</v>
      </c>
      <c r="AE91" s="34"/>
      <c r="AF91" s="34"/>
      <c r="AG91" s="34"/>
      <c r="AH91" s="34"/>
      <c r="AI91" s="35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93"/>
      <c r="BC91" s="93"/>
      <c r="BD91" s="69"/>
      <c r="BE91" s="58">
        <v>0</v>
      </c>
      <c r="BF91" s="88"/>
    </row>
    <row r="92" spans="1:58" ht="19.5" customHeight="1" x14ac:dyDescent="0.2">
      <c r="A92" s="103" t="s">
        <v>19</v>
      </c>
      <c r="B92" s="104"/>
      <c r="C92" s="104"/>
      <c r="D92" s="104"/>
      <c r="E92" s="110"/>
      <c r="F92" s="59">
        <f>COUNTIF(F74:I91,"P")</f>
        <v>6</v>
      </c>
      <c r="G92" s="59"/>
      <c r="H92" s="59"/>
      <c r="I92" s="59"/>
      <c r="J92" s="59">
        <f>COUNTIF(J74:M91,"P")</f>
        <v>5</v>
      </c>
      <c r="K92" s="59"/>
      <c r="L92" s="59"/>
      <c r="M92" s="59"/>
      <c r="N92" s="59">
        <f>COUNTIF(N74:Q91,"P")</f>
        <v>4</v>
      </c>
      <c r="O92" s="59"/>
      <c r="P92" s="59"/>
      <c r="Q92" s="59"/>
      <c r="R92" s="59">
        <f>COUNTIF(R74:U91,"P")</f>
        <v>5</v>
      </c>
      <c r="S92" s="59"/>
      <c r="T92" s="59"/>
      <c r="U92" s="59"/>
      <c r="V92" s="59">
        <f>COUNTIF(V74:Y91,"P")</f>
        <v>4</v>
      </c>
      <c r="W92" s="59"/>
      <c r="X92" s="59"/>
      <c r="Y92" s="59"/>
      <c r="Z92" s="59">
        <f>COUNTIF(Z74:AC91,"P")</f>
        <v>4</v>
      </c>
      <c r="AA92" s="59"/>
      <c r="AB92" s="59"/>
      <c r="AC92" s="59"/>
      <c r="AD92" s="59">
        <f>COUNTIF(AD74:AG91,"P")</f>
        <v>5</v>
      </c>
      <c r="AE92" s="59"/>
      <c r="AF92" s="59"/>
      <c r="AG92" s="59"/>
      <c r="AH92" s="59">
        <f>COUNTIF(AH74:AK91,"P")</f>
        <v>5</v>
      </c>
      <c r="AI92" s="59"/>
      <c r="AJ92" s="59"/>
      <c r="AK92" s="59"/>
      <c r="AL92" s="59">
        <f>COUNTIF(AL74:AO91,"P")</f>
        <v>5</v>
      </c>
      <c r="AM92" s="59"/>
      <c r="AN92" s="59"/>
      <c r="AO92" s="59"/>
      <c r="AP92" s="59">
        <f>COUNTIF(AP74:AS91,"P")</f>
        <v>5</v>
      </c>
      <c r="AQ92" s="59"/>
      <c r="AR92" s="59"/>
      <c r="AS92" s="59"/>
      <c r="AT92" s="59">
        <f>COUNTIF(AT74:AW91,"P")</f>
        <v>5</v>
      </c>
      <c r="AU92" s="59"/>
      <c r="AV92" s="59"/>
      <c r="AW92" s="59"/>
      <c r="AX92" s="59">
        <f>COUNTIF(AX74:BA91,"P")</f>
        <v>4</v>
      </c>
      <c r="AY92" s="59"/>
      <c r="AZ92" s="59"/>
      <c r="BA92" s="59"/>
      <c r="BB92" s="72" t="s">
        <v>25</v>
      </c>
      <c r="BC92" s="73"/>
      <c r="BD92" s="69">
        <f>+SUM(BC74:BC91)/SUM(BB74:BB91)</f>
        <v>0.43859649122807015</v>
      </c>
      <c r="BE92" s="58">
        <v>0</v>
      </c>
      <c r="BF92" s="70"/>
    </row>
    <row r="93" spans="1:58" ht="19.5" customHeight="1" x14ac:dyDescent="0.2">
      <c r="A93" s="118" t="s">
        <v>20</v>
      </c>
      <c r="B93" s="119"/>
      <c r="C93" s="119"/>
      <c r="D93" s="119"/>
      <c r="E93" s="120"/>
      <c r="F93" s="59">
        <f>COUNTIF(F74:I91,"R")</f>
        <v>6</v>
      </c>
      <c r="G93" s="59"/>
      <c r="H93" s="59"/>
      <c r="I93" s="59"/>
      <c r="J93" s="59">
        <f>COUNTIF(J74:M91,"R")</f>
        <v>5</v>
      </c>
      <c r="K93" s="59"/>
      <c r="L93" s="59"/>
      <c r="M93" s="59"/>
      <c r="N93" s="59">
        <f>COUNTIF(N74:Q91,"R")</f>
        <v>4</v>
      </c>
      <c r="O93" s="59"/>
      <c r="P93" s="59"/>
      <c r="Q93" s="59"/>
      <c r="R93" s="59">
        <f>COUNTIF(R74:U91,"R")</f>
        <v>5</v>
      </c>
      <c r="S93" s="59"/>
      <c r="T93" s="59"/>
      <c r="U93" s="59"/>
      <c r="V93" s="59">
        <f>COUNTIF(V74:Y91,"R")</f>
        <v>4</v>
      </c>
      <c r="W93" s="59"/>
      <c r="X93" s="59"/>
      <c r="Y93" s="59"/>
      <c r="Z93" s="59">
        <f>COUNTIF(Z74:AC91,"R")</f>
        <v>4</v>
      </c>
      <c r="AA93" s="59"/>
      <c r="AB93" s="59"/>
      <c r="AC93" s="59"/>
      <c r="AD93" s="59">
        <f>COUNTIF(AD74:AG91,"R")</f>
        <v>5</v>
      </c>
      <c r="AE93" s="59"/>
      <c r="AF93" s="59"/>
      <c r="AG93" s="59"/>
      <c r="AH93" s="59">
        <f>COUNTIF(AH74:AK91,"R")</f>
        <v>0</v>
      </c>
      <c r="AI93" s="59"/>
      <c r="AJ93" s="59"/>
      <c r="AK93" s="59"/>
      <c r="AL93" s="59">
        <f>COUNTIF(AL74:AO91,"R")</f>
        <v>0</v>
      </c>
      <c r="AM93" s="59"/>
      <c r="AN93" s="59"/>
      <c r="AO93" s="59"/>
      <c r="AP93" s="59">
        <f>COUNTIF(AP74:AS91,"R")</f>
        <v>0</v>
      </c>
      <c r="AQ93" s="59"/>
      <c r="AR93" s="59"/>
      <c r="AS93" s="59"/>
      <c r="AT93" s="59">
        <f>COUNTIF(AT74:AW91,"R")</f>
        <v>0</v>
      </c>
      <c r="AU93" s="59"/>
      <c r="AV93" s="59"/>
      <c r="AW93" s="59"/>
      <c r="AX93" s="59">
        <f>COUNTIF(AX74:BA91,"R")</f>
        <v>0</v>
      </c>
      <c r="AY93" s="59"/>
      <c r="AZ93" s="59"/>
      <c r="BA93" s="59"/>
      <c r="BB93" s="74"/>
      <c r="BC93" s="75"/>
      <c r="BD93" s="69"/>
      <c r="BE93" s="58">
        <v>0</v>
      </c>
      <c r="BF93" s="71"/>
    </row>
    <row r="94" spans="1:58" ht="17.25" customHeight="1" x14ac:dyDescent="0.2">
      <c r="A94" s="108" t="s">
        <v>37</v>
      </c>
      <c r="B94" s="111" t="s">
        <v>8</v>
      </c>
      <c r="C94" s="112"/>
      <c r="D94" s="112"/>
      <c r="E94" s="113"/>
      <c r="F94" s="60" t="s">
        <v>3</v>
      </c>
      <c r="G94" s="61"/>
      <c r="H94" s="61"/>
      <c r="I94" s="62"/>
      <c r="J94" s="60" t="s">
        <v>1</v>
      </c>
      <c r="K94" s="61"/>
      <c r="L94" s="61"/>
      <c r="M94" s="62"/>
      <c r="N94" s="60" t="s">
        <v>2</v>
      </c>
      <c r="O94" s="61"/>
      <c r="P94" s="61"/>
      <c r="Q94" s="62"/>
      <c r="R94" s="60" t="s">
        <v>4</v>
      </c>
      <c r="S94" s="61"/>
      <c r="T94" s="61"/>
      <c r="U94" s="62"/>
      <c r="V94" s="101" t="s">
        <v>5</v>
      </c>
      <c r="W94" s="101"/>
      <c r="X94" s="101"/>
      <c r="Y94" s="101"/>
      <c r="Z94" s="60" t="s">
        <v>6</v>
      </c>
      <c r="AA94" s="61"/>
      <c r="AB94" s="61"/>
      <c r="AC94" s="62"/>
      <c r="AD94" s="60" t="s">
        <v>27</v>
      </c>
      <c r="AE94" s="61"/>
      <c r="AF94" s="61"/>
      <c r="AG94" s="62"/>
      <c r="AH94" s="60" t="s">
        <v>7</v>
      </c>
      <c r="AI94" s="61"/>
      <c r="AJ94" s="61"/>
      <c r="AK94" s="62"/>
      <c r="AL94" s="60" t="s">
        <v>28</v>
      </c>
      <c r="AM94" s="61"/>
      <c r="AN94" s="61"/>
      <c r="AO94" s="62"/>
      <c r="AP94" s="60" t="s">
        <v>29</v>
      </c>
      <c r="AQ94" s="61"/>
      <c r="AR94" s="61"/>
      <c r="AS94" s="62"/>
      <c r="AT94" s="60" t="s">
        <v>30</v>
      </c>
      <c r="AU94" s="61"/>
      <c r="AV94" s="61"/>
      <c r="AW94" s="62"/>
      <c r="AX94" s="60" t="s">
        <v>0</v>
      </c>
      <c r="AY94" s="61"/>
      <c r="AZ94" s="61"/>
      <c r="BA94" s="62"/>
      <c r="BB94" s="82" t="s">
        <v>24</v>
      </c>
      <c r="BC94" s="83"/>
      <c r="BD94" s="84"/>
      <c r="BE94" s="178">
        <f>BE84+BE85+BE86+BE87+BE88+BE89+BE90+BE91+BE92+BE93</f>
        <v>0</v>
      </c>
      <c r="BF94" s="84" t="s">
        <v>21</v>
      </c>
    </row>
    <row r="95" spans="1:58" ht="17.25" customHeight="1" x14ac:dyDescent="0.2">
      <c r="A95" s="109"/>
      <c r="B95" s="114"/>
      <c r="C95" s="115"/>
      <c r="D95" s="115"/>
      <c r="E95" s="116"/>
      <c r="F95" s="9">
        <v>1</v>
      </c>
      <c r="G95" s="9">
        <v>2</v>
      </c>
      <c r="H95" s="9">
        <v>3</v>
      </c>
      <c r="I95" s="9">
        <v>4</v>
      </c>
      <c r="J95" s="9">
        <v>1</v>
      </c>
      <c r="K95" s="9">
        <v>2</v>
      </c>
      <c r="L95" s="9">
        <v>3</v>
      </c>
      <c r="M95" s="9">
        <v>4</v>
      </c>
      <c r="N95" s="9">
        <v>1</v>
      </c>
      <c r="O95" s="9">
        <v>2</v>
      </c>
      <c r="P95" s="9">
        <v>3</v>
      </c>
      <c r="Q95" s="9">
        <v>4</v>
      </c>
      <c r="R95" s="9">
        <v>1</v>
      </c>
      <c r="S95" s="9">
        <v>2</v>
      </c>
      <c r="T95" s="9">
        <v>3</v>
      </c>
      <c r="U95" s="9">
        <v>4</v>
      </c>
      <c r="V95" s="10">
        <v>1</v>
      </c>
      <c r="W95" s="10">
        <v>2</v>
      </c>
      <c r="X95" s="10">
        <v>3</v>
      </c>
      <c r="Y95" s="10">
        <v>4</v>
      </c>
      <c r="Z95" s="9">
        <v>1</v>
      </c>
      <c r="AA95" s="9">
        <v>2</v>
      </c>
      <c r="AB95" s="9">
        <v>3</v>
      </c>
      <c r="AC95" s="9">
        <v>4</v>
      </c>
      <c r="AD95" s="9">
        <v>1</v>
      </c>
      <c r="AE95" s="9">
        <v>2</v>
      </c>
      <c r="AF95" s="9">
        <v>3</v>
      </c>
      <c r="AG95" s="9">
        <v>4</v>
      </c>
      <c r="AH95" s="9">
        <v>1</v>
      </c>
      <c r="AI95" s="9">
        <v>2</v>
      </c>
      <c r="AJ95" s="9">
        <v>3</v>
      </c>
      <c r="AK95" s="9">
        <v>4</v>
      </c>
      <c r="AL95" s="9">
        <v>1</v>
      </c>
      <c r="AM95" s="9">
        <v>2</v>
      </c>
      <c r="AN95" s="9">
        <v>3</v>
      </c>
      <c r="AO95" s="9">
        <v>4</v>
      </c>
      <c r="AP95" s="9">
        <v>1</v>
      </c>
      <c r="AQ95" s="9">
        <v>2</v>
      </c>
      <c r="AR95" s="9">
        <v>3</v>
      </c>
      <c r="AS95" s="9">
        <v>4</v>
      </c>
      <c r="AT95" s="9">
        <v>1</v>
      </c>
      <c r="AU95" s="9">
        <v>2</v>
      </c>
      <c r="AV95" s="9">
        <v>3</v>
      </c>
      <c r="AW95" s="9">
        <v>4</v>
      </c>
      <c r="AX95" s="9">
        <v>1</v>
      </c>
      <c r="AY95" s="9">
        <v>2</v>
      </c>
      <c r="AZ95" s="9">
        <v>3</v>
      </c>
      <c r="BA95" s="9">
        <v>4</v>
      </c>
      <c r="BB95" s="12" t="s">
        <v>9</v>
      </c>
      <c r="BC95" s="12" t="s">
        <v>22</v>
      </c>
      <c r="BD95" s="12" t="s">
        <v>23</v>
      </c>
      <c r="BE95" s="178"/>
      <c r="BF95" s="84"/>
    </row>
    <row r="96" spans="1:58" ht="21" customHeight="1" x14ac:dyDescent="0.2">
      <c r="A96" s="117" t="s">
        <v>47</v>
      </c>
      <c r="B96" s="102" t="s">
        <v>48</v>
      </c>
      <c r="C96" s="102"/>
      <c r="D96" s="102"/>
      <c r="E96" s="102"/>
      <c r="F96" s="34"/>
      <c r="G96" s="35"/>
      <c r="H96" s="34" t="s">
        <v>10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 t="s">
        <v>10</v>
      </c>
      <c r="U96" s="34"/>
      <c r="V96" s="34"/>
      <c r="W96" s="34"/>
      <c r="X96" s="34"/>
      <c r="Y96" s="34"/>
      <c r="Z96" s="34"/>
      <c r="AA96" s="34"/>
      <c r="AB96" s="35"/>
      <c r="AC96" s="34"/>
      <c r="AD96" s="34"/>
      <c r="AE96" s="34"/>
      <c r="AF96" s="34"/>
      <c r="AG96" s="34" t="s">
        <v>10</v>
      </c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 t="s">
        <v>10</v>
      </c>
      <c r="AS96" s="34"/>
      <c r="AT96" s="34"/>
      <c r="AU96" s="35"/>
      <c r="AV96" s="34"/>
      <c r="AW96" s="34"/>
      <c r="AX96" s="34"/>
      <c r="AY96" s="34"/>
      <c r="AZ96" s="34"/>
      <c r="BA96" s="34" t="s">
        <v>10</v>
      </c>
      <c r="BB96" s="85">
        <f>COUNTIF(F96:BA96,$H$5)</f>
        <v>5</v>
      </c>
      <c r="BC96" s="85">
        <f>COUNTIF(F97:BA97,$Q$5)</f>
        <v>3</v>
      </c>
      <c r="BD96" s="69">
        <f>IFERROR(BC96/BB96,"")</f>
        <v>0.6</v>
      </c>
      <c r="BE96" s="58">
        <v>2545006000</v>
      </c>
      <c r="BF96" s="81"/>
    </row>
    <row r="97" spans="1:58" ht="21" customHeight="1" x14ac:dyDescent="0.2">
      <c r="A97" s="117"/>
      <c r="B97" s="102"/>
      <c r="C97" s="102"/>
      <c r="D97" s="102"/>
      <c r="E97" s="102"/>
      <c r="F97" s="34"/>
      <c r="G97" s="34"/>
      <c r="H97" s="34" t="s">
        <v>12</v>
      </c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 t="s">
        <v>12</v>
      </c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 t="s">
        <v>12</v>
      </c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85"/>
      <c r="BC97" s="85"/>
      <c r="BD97" s="69"/>
      <c r="BE97" s="58"/>
      <c r="BF97" s="81"/>
    </row>
    <row r="98" spans="1:58" ht="21" customHeight="1" x14ac:dyDescent="0.2">
      <c r="A98" s="117" t="s">
        <v>49</v>
      </c>
      <c r="B98" s="102" t="s">
        <v>50</v>
      </c>
      <c r="C98" s="102"/>
      <c r="D98" s="102"/>
      <c r="E98" s="102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5"/>
      <c r="U98" s="34"/>
      <c r="V98" s="34"/>
      <c r="W98" s="34"/>
      <c r="X98" s="34"/>
      <c r="Y98" s="35"/>
      <c r="Z98" s="34"/>
      <c r="AA98" s="35"/>
      <c r="AB98" s="34"/>
      <c r="AC98" s="34"/>
      <c r="AD98" s="34"/>
      <c r="AE98" s="34"/>
      <c r="AF98" s="34" t="s">
        <v>10</v>
      </c>
      <c r="AG98" s="35"/>
      <c r="AH98" s="34"/>
      <c r="AI98" s="34"/>
      <c r="AJ98" s="34"/>
      <c r="AK98" s="34"/>
      <c r="AL98" s="34"/>
      <c r="AM98" s="34"/>
      <c r="AN98" s="34"/>
      <c r="AO98" s="35"/>
      <c r="AP98" s="34"/>
      <c r="AQ98" s="34"/>
      <c r="AR98" s="34"/>
      <c r="AS98" s="34"/>
      <c r="AT98" s="34"/>
      <c r="AU98" s="34"/>
      <c r="AV98" s="34"/>
      <c r="AW98" s="35"/>
      <c r="AX98" s="34"/>
      <c r="AY98" s="34"/>
      <c r="AZ98" s="34"/>
      <c r="BA98" s="34"/>
      <c r="BB98" s="85">
        <f t="shared" ref="BB98" si="84">COUNTIF(F98:BA98,$H$5)</f>
        <v>1</v>
      </c>
      <c r="BC98" s="85">
        <f t="shared" ref="BC98" si="85">COUNTIF(F99:BA99,$Q$5)</f>
        <v>1</v>
      </c>
      <c r="BD98" s="69">
        <f>IFERROR(BC98/BB98,"")</f>
        <v>1</v>
      </c>
      <c r="BE98" s="58">
        <v>4</v>
      </c>
      <c r="BF98" s="81"/>
    </row>
    <row r="99" spans="1:58" ht="21" customHeight="1" x14ac:dyDescent="0.2">
      <c r="A99" s="117"/>
      <c r="B99" s="102"/>
      <c r="C99" s="102"/>
      <c r="D99" s="102"/>
      <c r="E99" s="102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 t="s">
        <v>12</v>
      </c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85"/>
      <c r="BC99" s="85"/>
      <c r="BD99" s="69"/>
      <c r="BE99" s="58">
        <v>4</v>
      </c>
      <c r="BF99" s="81"/>
    </row>
    <row r="100" spans="1:58" ht="20.25" customHeight="1" x14ac:dyDescent="0.2">
      <c r="A100" s="103" t="s">
        <v>19</v>
      </c>
      <c r="B100" s="104"/>
      <c r="C100" s="104"/>
      <c r="D100" s="104"/>
      <c r="E100" s="110"/>
      <c r="F100" s="59">
        <f>COUNTIF(F96:I99,"P")</f>
        <v>1</v>
      </c>
      <c r="G100" s="59"/>
      <c r="H100" s="59"/>
      <c r="I100" s="59"/>
      <c r="J100" s="59">
        <f>COUNTIF(J96:M99,"P")</f>
        <v>0</v>
      </c>
      <c r="K100" s="59"/>
      <c r="L100" s="59"/>
      <c r="M100" s="59"/>
      <c r="N100" s="59">
        <f>COUNTIF(N96:Q99,"P")</f>
        <v>0</v>
      </c>
      <c r="O100" s="59"/>
      <c r="P100" s="59"/>
      <c r="Q100" s="59"/>
      <c r="R100" s="59">
        <f>COUNTIF(R96:U99,"P")</f>
        <v>1</v>
      </c>
      <c r="S100" s="59"/>
      <c r="T100" s="59"/>
      <c r="U100" s="59"/>
      <c r="V100" s="59">
        <f>COUNTIF(V96:Y99,"P")</f>
        <v>0</v>
      </c>
      <c r="W100" s="59"/>
      <c r="X100" s="59"/>
      <c r="Y100" s="59"/>
      <c r="Z100" s="59">
        <f>COUNTIF(Z96:AC99,"P")</f>
        <v>0</v>
      </c>
      <c r="AA100" s="59"/>
      <c r="AB100" s="59"/>
      <c r="AC100" s="59"/>
      <c r="AD100" s="59">
        <f>COUNTIF(AD96:AG99,"P")</f>
        <v>2</v>
      </c>
      <c r="AE100" s="59"/>
      <c r="AF100" s="59"/>
      <c r="AG100" s="59"/>
      <c r="AH100" s="59">
        <f>COUNTIF(AH96:AK99,"P")</f>
        <v>0</v>
      </c>
      <c r="AI100" s="59"/>
      <c r="AJ100" s="59"/>
      <c r="AK100" s="59"/>
      <c r="AL100" s="59">
        <f>COUNTIF(AL96:AO99,"P")</f>
        <v>0</v>
      </c>
      <c r="AM100" s="59"/>
      <c r="AN100" s="59"/>
      <c r="AO100" s="59"/>
      <c r="AP100" s="59">
        <f>COUNTIF(AP96:AS99,"P")</f>
        <v>1</v>
      </c>
      <c r="AQ100" s="59"/>
      <c r="AR100" s="59"/>
      <c r="AS100" s="59"/>
      <c r="AT100" s="59">
        <f>COUNTIF(AT96:AW99,"P")</f>
        <v>0</v>
      </c>
      <c r="AU100" s="59"/>
      <c r="AV100" s="59"/>
      <c r="AW100" s="59"/>
      <c r="AX100" s="59">
        <f>COUNTIF(AX96:BA99,"P")</f>
        <v>1</v>
      </c>
      <c r="AY100" s="59"/>
      <c r="AZ100" s="59"/>
      <c r="BA100" s="59"/>
      <c r="BB100" s="72" t="s">
        <v>25</v>
      </c>
      <c r="BC100" s="73"/>
      <c r="BD100" s="69">
        <f>+SUM(BC96:BC99)/SUM(BB96:BB99)</f>
        <v>0.66666666666666663</v>
      </c>
      <c r="BE100" s="58">
        <v>4</v>
      </c>
      <c r="BF100" s="70"/>
    </row>
    <row r="101" spans="1:58" ht="20.25" customHeight="1" x14ac:dyDescent="0.2">
      <c r="A101" s="118" t="s">
        <v>20</v>
      </c>
      <c r="B101" s="119"/>
      <c r="C101" s="119"/>
      <c r="D101" s="119"/>
      <c r="E101" s="48"/>
      <c r="F101" s="59">
        <f>COUNTIF(F96:I99,"R")</f>
        <v>1</v>
      </c>
      <c r="G101" s="59"/>
      <c r="H101" s="59"/>
      <c r="I101" s="59"/>
      <c r="J101" s="59">
        <f>COUNTIF(J96:M99,"R")</f>
        <v>0</v>
      </c>
      <c r="K101" s="59"/>
      <c r="L101" s="59"/>
      <c r="M101" s="59"/>
      <c r="N101" s="59">
        <f>COUNTIF(N96:Q99,"R")</f>
        <v>0</v>
      </c>
      <c r="O101" s="59"/>
      <c r="P101" s="59"/>
      <c r="Q101" s="59"/>
      <c r="R101" s="59">
        <f>COUNTIF(R96:U99,"R")</f>
        <v>1</v>
      </c>
      <c r="S101" s="59"/>
      <c r="T101" s="59"/>
      <c r="U101" s="59"/>
      <c r="V101" s="59">
        <f>COUNTIF(V96:Y99,"R")</f>
        <v>0</v>
      </c>
      <c r="W101" s="59"/>
      <c r="X101" s="59"/>
      <c r="Y101" s="59"/>
      <c r="Z101" s="59">
        <f>COUNTIF(Z96:AC99,"R")</f>
        <v>0</v>
      </c>
      <c r="AA101" s="59"/>
      <c r="AB101" s="59"/>
      <c r="AC101" s="59"/>
      <c r="AD101" s="59">
        <f>COUNTIF(AD96:AG99,"R")</f>
        <v>2</v>
      </c>
      <c r="AE101" s="59"/>
      <c r="AF101" s="59"/>
      <c r="AG101" s="59"/>
      <c r="AH101" s="59">
        <f>COUNTIF(AH96:AK99,"R")</f>
        <v>0</v>
      </c>
      <c r="AI101" s="59"/>
      <c r="AJ101" s="59"/>
      <c r="AK101" s="59"/>
      <c r="AL101" s="59">
        <f>COUNTIF(AL96:AO99,"R")</f>
        <v>0</v>
      </c>
      <c r="AM101" s="59"/>
      <c r="AN101" s="59"/>
      <c r="AO101" s="59"/>
      <c r="AP101" s="59">
        <f>COUNTIF(AP96:AS99,"R")</f>
        <v>0</v>
      </c>
      <c r="AQ101" s="59"/>
      <c r="AR101" s="59"/>
      <c r="AS101" s="59"/>
      <c r="AT101" s="59">
        <f>COUNTIF(AT96:AW99,"R")</f>
        <v>0</v>
      </c>
      <c r="AU101" s="59"/>
      <c r="AV101" s="59"/>
      <c r="AW101" s="59"/>
      <c r="AX101" s="59">
        <f>COUNTIF(AX96:BA99,"R")</f>
        <v>0</v>
      </c>
      <c r="AY101" s="59"/>
      <c r="AZ101" s="59"/>
      <c r="BA101" s="59"/>
      <c r="BB101" s="74"/>
      <c r="BC101" s="75"/>
      <c r="BD101" s="69"/>
      <c r="BE101" s="58"/>
      <c r="BF101" s="71"/>
    </row>
    <row r="102" spans="1:58" ht="17.25" customHeight="1" x14ac:dyDescent="0.2">
      <c r="A102" s="108" t="s">
        <v>36</v>
      </c>
      <c r="B102" s="111" t="s">
        <v>8</v>
      </c>
      <c r="C102" s="112"/>
      <c r="D102" s="112"/>
      <c r="E102" s="113"/>
      <c r="F102" s="60" t="s">
        <v>3</v>
      </c>
      <c r="G102" s="61"/>
      <c r="H102" s="61"/>
      <c r="I102" s="62"/>
      <c r="J102" s="60" t="s">
        <v>1</v>
      </c>
      <c r="K102" s="61"/>
      <c r="L102" s="61"/>
      <c r="M102" s="62"/>
      <c r="N102" s="60" t="s">
        <v>2</v>
      </c>
      <c r="O102" s="61"/>
      <c r="P102" s="61"/>
      <c r="Q102" s="62"/>
      <c r="R102" s="60" t="s">
        <v>4</v>
      </c>
      <c r="S102" s="61"/>
      <c r="T102" s="61"/>
      <c r="U102" s="62"/>
      <c r="V102" s="101" t="s">
        <v>5</v>
      </c>
      <c r="W102" s="101"/>
      <c r="X102" s="101"/>
      <c r="Y102" s="101"/>
      <c r="Z102" s="60" t="s">
        <v>6</v>
      </c>
      <c r="AA102" s="61"/>
      <c r="AB102" s="61"/>
      <c r="AC102" s="62"/>
      <c r="AD102" s="60" t="s">
        <v>27</v>
      </c>
      <c r="AE102" s="61"/>
      <c r="AF102" s="61"/>
      <c r="AG102" s="62"/>
      <c r="AH102" s="60" t="s">
        <v>7</v>
      </c>
      <c r="AI102" s="61"/>
      <c r="AJ102" s="61"/>
      <c r="AK102" s="62"/>
      <c r="AL102" s="60" t="s">
        <v>28</v>
      </c>
      <c r="AM102" s="61"/>
      <c r="AN102" s="61"/>
      <c r="AO102" s="62"/>
      <c r="AP102" s="60" t="s">
        <v>29</v>
      </c>
      <c r="AQ102" s="61"/>
      <c r="AR102" s="61"/>
      <c r="AS102" s="62"/>
      <c r="AT102" s="60" t="s">
        <v>30</v>
      </c>
      <c r="AU102" s="61"/>
      <c r="AV102" s="61"/>
      <c r="AW102" s="62"/>
      <c r="AX102" s="60" t="s">
        <v>0</v>
      </c>
      <c r="AY102" s="61"/>
      <c r="AZ102" s="61"/>
      <c r="BA102" s="62"/>
      <c r="BB102" s="82" t="s">
        <v>24</v>
      </c>
      <c r="BC102" s="83"/>
      <c r="BD102" s="84"/>
      <c r="BE102" s="178">
        <f>BE96+BE97+BE98+BE99+BE100+BE101</f>
        <v>2545006012</v>
      </c>
      <c r="BF102" s="84" t="s">
        <v>21</v>
      </c>
    </row>
    <row r="103" spans="1:58" ht="17.25" customHeight="1" x14ac:dyDescent="0.2">
      <c r="A103" s="109"/>
      <c r="B103" s="114"/>
      <c r="C103" s="115"/>
      <c r="D103" s="115"/>
      <c r="E103" s="116"/>
      <c r="F103" s="9">
        <v>1</v>
      </c>
      <c r="G103" s="9">
        <v>2</v>
      </c>
      <c r="H103" s="9">
        <v>3</v>
      </c>
      <c r="I103" s="9">
        <v>4</v>
      </c>
      <c r="J103" s="9">
        <v>1</v>
      </c>
      <c r="K103" s="9">
        <v>2</v>
      </c>
      <c r="L103" s="9">
        <v>3</v>
      </c>
      <c r="M103" s="9">
        <v>4</v>
      </c>
      <c r="N103" s="9">
        <v>1</v>
      </c>
      <c r="O103" s="9">
        <v>2</v>
      </c>
      <c r="P103" s="9">
        <v>3</v>
      </c>
      <c r="Q103" s="9">
        <v>4</v>
      </c>
      <c r="R103" s="9">
        <v>1</v>
      </c>
      <c r="S103" s="9">
        <v>2</v>
      </c>
      <c r="T103" s="9">
        <v>3</v>
      </c>
      <c r="U103" s="9">
        <v>4</v>
      </c>
      <c r="V103" s="10">
        <v>1</v>
      </c>
      <c r="W103" s="10">
        <v>2</v>
      </c>
      <c r="X103" s="10">
        <v>3</v>
      </c>
      <c r="Y103" s="10">
        <v>4</v>
      </c>
      <c r="Z103" s="9">
        <v>1</v>
      </c>
      <c r="AA103" s="9">
        <v>2</v>
      </c>
      <c r="AB103" s="9">
        <v>3</v>
      </c>
      <c r="AC103" s="9">
        <v>4</v>
      </c>
      <c r="AD103" s="9">
        <v>1</v>
      </c>
      <c r="AE103" s="9">
        <v>2</v>
      </c>
      <c r="AF103" s="9">
        <v>3</v>
      </c>
      <c r="AG103" s="9">
        <v>4</v>
      </c>
      <c r="AH103" s="9">
        <v>1</v>
      </c>
      <c r="AI103" s="9">
        <v>2</v>
      </c>
      <c r="AJ103" s="9">
        <v>3</v>
      </c>
      <c r="AK103" s="9">
        <v>4</v>
      </c>
      <c r="AL103" s="9">
        <v>1</v>
      </c>
      <c r="AM103" s="9">
        <v>2</v>
      </c>
      <c r="AN103" s="9">
        <v>3</v>
      </c>
      <c r="AO103" s="9">
        <v>4</v>
      </c>
      <c r="AP103" s="9">
        <v>1</v>
      </c>
      <c r="AQ103" s="9">
        <v>2</v>
      </c>
      <c r="AR103" s="9">
        <v>3</v>
      </c>
      <c r="AS103" s="9">
        <v>4</v>
      </c>
      <c r="AT103" s="9">
        <v>1</v>
      </c>
      <c r="AU103" s="9">
        <v>2</v>
      </c>
      <c r="AV103" s="9">
        <v>3</v>
      </c>
      <c r="AW103" s="9">
        <v>4</v>
      </c>
      <c r="AX103" s="9">
        <v>1</v>
      </c>
      <c r="AY103" s="9">
        <v>2</v>
      </c>
      <c r="AZ103" s="9">
        <v>3</v>
      </c>
      <c r="BA103" s="9">
        <v>4</v>
      </c>
      <c r="BB103" s="11" t="s">
        <v>9</v>
      </c>
      <c r="BC103" s="12" t="s">
        <v>22</v>
      </c>
      <c r="BD103" s="12" t="s">
        <v>23</v>
      </c>
      <c r="BE103" s="178"/>
      <c r="BF103" s="84"/>
    </row>
    <row r="104" spans="1:58" ht="21" customHeight="1" x14ac:dyDescent="0.2">
      <c r="A104" s="117" t="s">
        <v>51</v>
      </c>
      <c r="B104" s="102" t="s">
        <v>50</v>
      </c>
      <c r="C104" s="102"/>
      <c r="D104" s="102"/>
      <c r="E104" s="102"/>
      <c r="F104" s="38"/>
      <c r="G104" s="38"/>
      <c r="H104" s="38"/>
      <c r="I104" s="34"/>
      <c r="J104" s="38"/>
      <c r="K104" s="38"/>
      <c r="L104" s="38"/>
      <c r="M104" s="34"/>
      <c r="N104" s="38"/>
      <c r="O104" s="38"/>
      <c r="P104" s="38" t="s">
        <v>10</v>
      </c>
      <c r="Q104" s="34"/>
      <c r="R104" s="38"/>
      <c r="S104" s="38"/>
      <c r="T104" s="38"/>
      <c r="U104" s="34"/>
      <c r="V104" s="38"/>
      <c r="W104" s="38"/>
      <c r="X104" s="38"/>
      <c r="Y104" s="34"/>
      <c r="Z104" s="38"/>
      <c r="AA104" s="38"/>
      <c r="AB104" s="38"/>
      <c r="AC104" s="34"/>
      <c r="AD104" s="34"/>
      <c r="AE104" s="38"/>
      <c r="AF104" s="38"/>
      <c r="AG104" s="34"/>
      <c r="AH104" s="38"/>
      <c r="AI104" s="38"/>
      <c r="AJ104" s="38"/>
      <c r="AK104" s="34"/>
      <c r="AL104" s="38"/>
      <c r="AM104" s="38"/>
      <c r="AN104" s="38"/>
      <c r="AO104" s="34"/>
      <c r="AP104" s="38"/>
      <c r="AQ104" s="38"/>
      <c r="AR104" s="38"/>
      <c r="AS104" s="34"/>
      <c r="AT104" s="38"/>
      <c r="AU104" s="38"/>
      <c r="AV104" s="38"/>
      <c r="AW104" s="34"/>
      <c r="AX104" s="38"/>
      <c r="AY104" s="38"/>
      <c r="AZ104" s="38"/>
      <c r="BA104" s="34"/>
      <c r="BB104" s="85">
        <f>COUNTIF(F104:BA104,$H$5)</f>
        <v>1</v>
      </c>
      <c r="BC104" s="85">
        <f>COUNTIF(F105:BA105,$Q$5)</f>
        <v>1</v>
      </c>
      <c r="BD104" s="69">
        <f>IFERROR(BC104/BB104,"")</f>
        <v>1</v>
      </c>
      <c r="BE104" s="58">
        <v>0</v>
      </c>
      <c r="BF104" s="70"/>
    </row>
    <row r="105" spans="1:58" ht="21" customHeight="1" x14ac:dyDescent="0.2">
      <c r="A105" s="117"/>
      <c r="B105" s="102"/>
      <c r="C105" s="102"/>
      <c r="D105" s="102"/>
      <c r="E105" s="102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 t="s">
        <v>12</v>
      </c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85"/>
      <c r="BC105" s="85"/>
      <c r="BD105" s="69"/>
      <c r="BE105" s="58">
        <v>0</v>
      </c>
      <c r="BF105" s="71"/>
    </row>
    <row r="106" spans="1:58" ht="21" customHeight="1" x14ac:dyDescent="0.2">
      <c r="A106" s="117" t="s">
        <v>52</v>
      </c>
      <c r="B106" s="102" t="s">
        <v>50</v>
      </c>
      <c r="C106" s="102"/>
      <c r="D106" s="102"/>
      <c r="E106" s="102"/>
      <c r="F106" s="38"/>
      <c r="G106" s="38"/>
      <c r="H106" s="38"/>
      <c r="I106" s="34"/>
      <c r="J106" s="38"/>
      <c r="K106" s="38"/>
      <c r="L106" s="38"/>
      <c r="M106" s="34"/>
      <c r="N106" s="38"/>
      <c r="O106" s="38"/>
      <c r="P106" s="38"/>
      <c r="Q106" s="34"/>
      <c r="R106" s="38"/>
      <c r="S106" s="38"/>
      <c r="T106" s="38"/>
      <c r="U106" s="34"/>
      <c r="V106" s="38"/>
      <c r="W106" s="38"/>
      <c r="X106" s="38"/>
      <c r="Y106" s="34"/>
      <c r="Z106" s="38"/>
      <c r="AA106" s="38" t="s">
        <v>10</v>
      </c>
      <c r="AB106" s="38"/>
      <c r="AC106" s="34"/>
      <c r="AD106" s="38"/>
      <c r="AE106" s="38"/>
      <c r="AF106" s="38"/>
      <c r="AG106" s="34"/>
      <c r="AH106" s="38"/>
      <c r="AI106" s="38"/>
      <c r="AJ106" s="38"/>
      <c r="AK106" s="34"/>
      <c r="AL106" s="38"/>
      <c r="AM106" s="38"/>
      <c r="AN106" s="38"/>
      <c r="AO106" s="34"/>
      <c r="AP106" s="38"/>
      <c r="AQ106" s="38"/>
      <c r="AR106" s="38"/>
      <c r="AS106" s="34"/>
      <c r="AT106" s="38"/>
      <c r="AU106" s="38"/>
      <c r="AV106" s="38"/>
      <c r="AW106" s="34"/>
      <c r="AX106" s="38"/>
      <c r="AY106" s="38"/>
      <c r="AZ106" s="38"/>
      <c r="BA106" s="34" t="s">
        <v>10</v>
      </c>
      <c r="BB106" s="85">
        <f t="shared" ref="BB106" si="86">COUNTIF(F106:BA106,$H$5)</f>
        <v>2</v>
      </c>
      <c r="BC106" s="85">
        <f t="shared" ref="BC106" si="87">COUNTIF(F107:BA107,$Q$5)</f>
        <v>1</v>
      </c>
      <c r="BD106" s="69">
        <f t="shared" ref="BD106" si="88">IFERROR(BC106/BB106,"")</f>
        <v>0.5</v>
      </c>
      <c r="BE106" s="58">
        <v>0</v>
      </c>
      <c r="BF106" s="70"/>
    </row>
    <row r="107" spans="1:58" ht="21" customHeight="1" x14ac:dyDescent="0.2">
      <c r="A107" s="117"/>
      <c r="B107" s="102"/>
      <c r="C107" s="102"/>
      <c r="D107" s="102"/>
      <c r="E107" s="102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 t="s">
        <v>12</v>
      </c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85"/>
      <c r="BC107" s="85"/>
      <c r="BD107" s="69"/>
      <c r="BE107" s="58">
        <v>0</v>
      </c>
      <c r="BF107" s="71"/>
    </row>
    <row r="108" spans="1:58" ht="19.5" customHeight="1" x14ac:dyDescent="0.2">
      <c r="A108" s="103" t="s">
        <v>19</v>
      </c>
      <c r="B108" s="104"/>
      <c r="C108" s="104"/>
      <c r="D108" s="104"/>
      <c r="E108" s="110"/>
      <c r="F108" s="67">
        <f>COUNTIF(F104:I107,"P")</f>
        <v>0</v>
      </c>
      <c r="G108" s="67"/>
      <c r="H108" s="67"/>
      <c r="I108" s="67"/>
      <c r="J108" s="67">
        <f>COUNTIF(J104:M107,"P")</f>
        <v>0</v>
      </c>
      <c r="K108" s="67"/>
      <c r="L108" s="67"/>
      <c r="M108" s="67"/>
      <c r="N108" s="67">
        <f>COUNTIF(N104:Q107,"P")</f>
        <v>1</v>
      </c>
      <c r="O108" s="67"/>
      <c r="P108" s="67"/>
      <c r="Q108" s="67"/>
      <c r="R108" s="67">
        <f>COUNTIF(R104:U107,"P")</f>
        <v>0</v>
      </c>
      <c r="S108" s="67"/>
      <c r="T108" s="67"/>
      <c r="U108" s="67"/>
      <c r="V108" s="67">
        <f>COUNTIF(V104:Y107,"P")</f>
        <v>0</v>
      </c>
      <c r="W108" s="67"/>
      <c r="X108" s="67"/>
      <c r="Y108" s="67"/>
      <c r="Z108" s="67">
        <f>COUNTIF(Z104:AC107,"P")</f>
        <v>1</v>
      </c>
      <c r="AA108" s="67"/>
      <c r="AB108" s="67"/>
      <c r="AC108" s="67"/>
      <c r="AD108" s="67">
        <f>COUNTIF(AD104:AG107,"P")</f>
        <v>0</v>
      </c>
      <c r="AE108" s="67"/>
      <c r="AF108" s="67"/>
      <c r="AG108" s="67"/>
      <c r="AH108" s="67">
        <f>COUNTIF(AH104:AK107,"P")</f>
        <v>0</v>
      </c>
      <c r="AI108" s="67"/>
      <c r="AJ108" s="67"/>
      <c r="AK108" s="67"/>
      <c r="AL108" s="67">
        <f>COUNTIF(AL104:AO107,"P")</f>
        <v>0</v>
      </c>
      <c r="AM108" s="67"/>
      <c r="AN108" s="67"/>
      <c r="AO108" s="67"/>
      <c r="AP108" s="67">
        <f>COUNTIF(AP104:AS107,"P")</f>
        <v>0</v>
      </c>
      <c r="AQ108" s="67"/>
      <c r="AR108" s="67"/>
      <c r="AS108" s="67"/>
      <c r="AT108" s="67">
        <f>COUNTIF(AT104:AW107,"P")</f>
        <v>0</v>
      </c>
      <c r="AU108" s="67"/>
      <c r="AV108" s="67"/>
      <c r="AW108" s="67"/>
      <c r="AX108" s="67">
        <f>COUNTIF(AX104:BA107,"P")</f>
        <v>1</v>
      </c>
      <c r="AY108" s="67"/>
      <c r="AZ108" s="67"/>
      <c r="BA108" s="67"/>
      <c r="BB108" s="72" t="s">
        <v>25</v>
      </c>
      <c r="BC108" s="73"/>
      <c r="BD108" s="69">
        <f>+SUM(BC104:BC107)/SUM(BB104:BB107)</f>
        <v>0.66666666666666663</v>
      </c>
      <c r="BE108" s="178">
        <f>BE102+BE82+BE72+BE44+BE24</f>
        <v>6886952704</v>
      </c>
      <c r="BF108" s="70"/>
    </row>
    <row r="109" spans="1:58" ht="19.5" customHeight="1" x14ac:dyDescent="0.2">
      <c r="A109" s="118" t="s">
        <v>20</v>
      </c>
      <c r="B109" s="119"/>
      <c r="C109" s="119"/>
      <c r="D109" s="119"/>
      <c r="E109" s="120"/>
      <c r="F109" s="67">
        <f>COUNTIF(F104:I107,"R")</f>
        <v>0</v>
      </c>
      <c r="G109" s="67"/>
      <c r="H109" s="67"/>
      <c r="I109" s="67"/>
      <c r="J109" s="67">
        <f>COUNTIF(J104:M107,"R")</f>
        <v>0</v>
      </c>
      <c r="K109" s="67"/>
      <c r="L109" s="67"/>
      <c r="M109" s="67"/>
      <c r="N109" s="67">
        <f>COUNTIF(N104:Q107,"R")</f>
        <v>1</v>
      </c>
      <c r="O109" s="67"/>
      <c r="P109" s="67"/>
      <c r="Q109" s="67"/>
      <c r="R109" s="67">
        <f>COUNTIF(R104:U107,"R")</f>
        <v>0</v>
      </c>
      <c r="S109" s="67"/>
      <c r="T109" s="67"/>
      <c r="U109" s="67"/>
      <c r="V109" s="67">
        <f>COUNTIF(V104:Y107,"R")</f>
        <v>0</v>
      </c>
      <c r="W109" s="67"/>
      <c r="X109" s="67"/>
      <c r="Y109" s="67"/>
      <c r="Z109" s="67">
        <f>COUNTIF(Z104:AC107,"R")</f>
        <v>1</v>
      </c>
      <c r="AA109" s="67"/>
      <c r="AB109" s="67"/>
      <c r="AC109" s="67"/>
      <c r="AD109" s="67">
        <f>COUNTIF(AD104:AG107,"R")</f>
        <v>0</v>
      </c>
      <c r="AE109" s="67"/>
      <c r="AF109" s="67"/>
      <c r="AG109" s="67"/>
      <c r="AH109" s="67">
        <f>COUNTIF(AH104:AK107,"R")</f>
        <v>0</v>
      </c>
      <c r="AI109" s="67"/>
      <c r="AJ109" s="67"/>
      <c r="AK109" s="67"/>
      <c r="AL109" s="67">
        <f>COUNTIF(AL104:AO107,"R")</f>
        <v>0</v>
      </c>
      <c r="AM109" s="67"/>
      <c r="AN109" s="67"/>
      <c r="AO109" s="67"/>
      <c r="AP109" s="67">
        <f>COUNTIF(AP104:AS107,"R")</f>
        <v>0</v>
      </c>
      <c r="AQ109" s="67"/>
      <c r="AR109" s="67"/>
      <c r="AS109" s="67"/>
      <c r="AT109" s="67">
        <f>COUNTIF(AT104:AW107,"R")</f>
        <v>0</v>
      </c>
      <c r="AU109" s="67"/>
      <c r="AV109" s="67"/>
      <c r="AW109" s="67"/>
      <c r="AX109" s="67">
        <f>COUNTIF(AX104:BA107,"R")</f>
        <v>0</v>
      </c>
      <c r="AY109" s="67"/>
      <c r="AZ109" s="67"/>
      <c r="BA109" s="67"/>
      <c r="BB109" s="74"/>
      <c r="BC109" s="75"/>
      <c r="BD109" s="69"/>
      <c r="BE109" s="178"/>
      <c r="BF109" s="71"/>
    </row>
    <row r="110" spans="1:58" s="16" customFormat="1" ht="12.75" customHeight="1" x14ac:dyDescent="0.2">
      <c r="A110" s="19"/>
      <c r="B110" s="19"/>
      <c r="C110" s="19"/>
      <c r="D110" s="19"/>
      <c r="E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2"/>
      <c r="BC110" s="22"/>
      <c r="BD110" s="22"/>
      <c r="BE110" s="57"/>
      <c r="BF110" s="23"/>
    </row>
    <row r="111" spans="1:58" ht="17.25" customHeight="1" x14ac:dyDescent="0.2">
      <c r="A111" s="66" t="s">
        <v>26</v>
      </c>
      <c r="B111" s="66"/>
      <c r="C111" s="66"/>
      <c r="D111" s="66"/>
      <c r="E111" s="66"/>
      <c r="F111" s="67">
        <f>COUNTIF(F8:I107,"P")</f>
        <v>10</v>
      </c>
      <c r="G111" s="67"/>
      <c r="H111" s="67"/>
      <c r="I111" s="67"/>
      <c r="J111" s="67">
        <f>COUNTIF(J8:M107,"P")</f>
        <v>20</v>
      </c>
      <c r="K111" s="67"/>
      <c r="L111" s="67"/>
      <c r="M111" s="67"/>
      <c r="N111" s="67">
        <f>COUNTIF(N8:Q107,"P")</f>
        <v>18</v>
      </c>
      <c r="O111" s="67"/>
      <c r="P111" s="67"/>
      <c r="Q111" s="67"/>
      <c r="R111" s="67">
        <f>COUNTIF(R8:U107,"P")</f>
        <v>21</v>
      </c>
      <c r="S111" s="67"/>
      <c r="T111" s="67"/>
      <c r="U111" s="67"/>
      <c r="V111" s="67">
        <f>COUNTIF(V8:Y107,"P")</f>
        <v>14</v>
      </c>
      <c r="W111" s="67"/>
      <c r="X111" s="67"/>
      <c r="Y111" s="67"/>
      <c r="Z111" s="67">
        <f>COUNTIF(Z8:AC107,"P")</f>
        <v>12</v>
      </c>
      <c r="AA111" s="67"/>
      <c r="AB111" s="67"/>
      <c r="AC111" s="67"/>
      <c r="AD111" s="67">
        <f>COUNTIF(AD8:AG107,"P")</f>
        <v>14</v>
      </c>
      <c r="AE111" s="67"/>
      <c r="AF111" s="67"/>
      <c r="AG111" s="67"/>
      <c r="AH111" s="67">
        <f>COUNTIF(AH8:AK107,"P")</f>
        <v>10</v>
      </c>
      <c r="AI111" s="67"/>
      <c r="AJ111" s="67"/>
      <c r="AK111" s="67"/>
      <c r="AL111" s="67">
        <f>COUNTIF(AL8:AO107,"P")</f>
        <v>14</v>
      </c>
      <c r="AM111" s="67"/>
      <c r="AN111" s="67"/>
      <c r="AO111" s="67"/>
      <c r="AP111" s="67">
        <f>COUNTIF(AP8:AS107,"P")</f>
        <v>8</v>
      </c>
      <c r="AQ111" s="67"/>
      <c r="AR111" s="67"/>
      <c r="AS111" s="67"/>
      <c r="AT111" s="67">
        <f>COUNTIF(AT8:AW107,"P")</f>
        <v>8</v>
      </c>
      <c r="AU111" s="67"/>
      <c r="AV111" s="67"/>
      <c r="AW111" s="67"/>
      <c r="AX111" s="67">
        <f>COUNTIF(AX8:BA107,"P")</f>
        <v>7</v>
      </c>
      <c r="AY111" s="67"/>
      <c r="AZ111" s="67"/>
      <c r="BA111" s="67"/>
      <c r="BB111" s="24"/>
      <c r="BC111" s="24"/>
      <c r="BD111" s="25"/>
      <c r="BF111" s="26"/>
    </row>
    <row r="112" spans="1:58" ht="17.25" customHeight="1" x14ac:dyDescent="0.2">
      <c r="A112" s="66" t="s">
        <v>81</v>
      </c>
      <c r="B112" s="66"/>
      <c r="C112" s="66"/>
      <c r="D112" s="66"/>
      <c r="E112" s="66"/>
      <c r="F112" s="67">
        <f>COUNTIF(F8:I107,"R")</f>
        <v>9</v>
      </c>
      <c r="G112" s="67"/>
      <c r="H112" s="67"/>
      <c r="I112" s="67"/>
      <c r="J112" s="67">
        <f>COUNTIF(J8:M107,"R")</f>
        <v>20</v>
      </c>
      <c r="K112" s="67"/>
      <c r="L112" s="67"/>
      <c r="M112" s="67"/>
      <c r="N112" s="67">
        <f>COUNTIF(N8:Q107,"R")</f>
        <v>16</v>
      </c>
      <c r="O112" s="67"/>
      <c r="P112" s="67"/>
      <c r="Q112" s="67"/>
      <c r="R112" s="67">
        <f>COUNTIF(R8:U107,"R")</f>
        <v>20</v>
      </c>
      <c r="S112" s="67"/>
      <c r="T112" s="67"/>
      <c r="U112" s="67"/>
      <c r="V112" s="67">
        <f>COUNTIF(V8:Y107,"R")</f>
        <v>12</v>
      </c>
      <c r="W112" s="67"/>
      <c r="X112" s="67"/>
      <c r="Y112" s="67"/>
      <c r="Z112" s="67">
        <f>COUNTIF(Z8:AC107,"R")</f>
        <v>11</v>
      </c>
      <c r="AA112" s="67"/>
      <c r="AB112" s="67"/>
      <c r="AC112" s="67"/>
      <c r="AD112" s="67">
        <f>COUNTIF(AD8:AG107,"R")</f>
        <v>13</v>
      </c>
      <c r="AE112" s="67"/>
      <c r="AF112" s="67"/>
      <c r="AG112" s="67"/>
      <c r="AH112" s="67">
        <f>COUNTIF(AH8:AK107,"R")</f>
        <v>3</v>
      </c>
      <c r="AI112" s="67"/>
      <c r="AJ112" s="67"/>
      <c r="AK112" s="67"/>
      <c r="AL112" s="67">
        <f>COUNTIF(AL8:AO107,"R")</f>
        <v>0</v>
      </c>
      <c r="AM112" s="67"/>
      <c r="AN112" s="67"/>
      <c r="AO112" s="67"/>
      <c r="AP112" s="67">
        <f>COUNTIF(AP8:AS107,"R")</f>
        <v>0</v>
      </c>
      <c r="AQ112" s="67"/>
      <c r="AR112" s="67"/>
      <c r="AS112" s="67"/>
      <c r="AT112" s="67">
        <f>COUNTIF(AT8:AW107,"R")</f>
        <v>0</v>
      </c>
      <c r="AU112" s="67"/>
      <c r="AV112" s="67"/>
      <c r="AW112" s="67"/>
      <c r="AX112" s="67">
        <f>COUNTIF(AX8:BA107,"R")</f>
        <v>0</v>
      </c>
      <c r="AY112" s="67"/>
      <c r="AZ112" s="67"/>
      <c r="BA112" s="67"/>
      <c r="BB112" s="24"/>
      <c r="BC112" s="24"/>
      <c r="BD112" s="25"/>
      <c r="BF112" s="26"/>
    </row>
    <row r="113" spans="1:58" ht="17.25" customHeight="1" x14ac:dyDescent="0.2">
      <c r="A113" s="66" t="s">
        <v>17</v>
      </c>
      <c r="B113" s="66"/>
      <c r="C113" s="66"/>
      <c r="D113" s="66"/>
      <c r="E113" s="66"/>
      <c r="F113" s="68">
        <f>IFERROR(F112/F111,"")</f>
        <v>0.9</v>
      </c>
      <c r="G113" s="68"/>
      <c r="H113" s="68"/>
      <c r="I113" s="68"/>
      <c r="J113" s="68">
        <f t="shared" ref="J113" si="89">IFERROR(J112/J111,"")</f>
        <v>1</v>
      </c>
      <c r="K113" s="68"/>
      <c r="L113" s="68"/>
      <c r="M113" s="68"/>
      <c r="N113" s="68">
        <f t="shared" ref="N113" si="90">IFERROR(N112/N111,"")</f>
        <v>0.88888888888888884</v>
      </c>
      <c r="O113" s="68"/>
      <c r="P113" s="68"/>
      <c r="Q113" s="68"/>
      <c r="R113" s="68">
        <f t="shared" ref="R113" si="91">IFERROR(R112/R111,"")</f>
        <v>0.95238095238095233</v>
      </c>
      <c r="S113" s="68"/>
      <c r="T113" s="68"/>
      <c r="U113" s="68"/>
      <c r="V113" s="68">
        <f t="shared" ref="V113" si="92">IFERROR(V112/V111,"")</f>
        <v>0.8571428571428571</v>
      </c>
      <c r="W113" s="68"/>
      <c r="X113" s="68"/>
      <c r="Y113" s="68"/>
      <c r="Z113" s="68">
        <f t="shared" ref="Z113" si="93">IFERROR(Z112/Z111,"")</f>
        <v>0.91666666666666663</v>
      </c>
      <c r="AA113" s="68"/>
      <c r="AB113" s="68"/>
      <c r="AC113" s="68"/>
      <c r="AD113" s="68">
        <f t="shared" ref="AD113" si="94">IFERROR(AD112/AD111,"")</f>
        <v>0.9285714285714286</v>
      </c>
      <c r="AE113" s="68"/>
      <c r="AF113" s="68"/>
      <c r="AG113" s="68"/>
      <c r="AH113" s="68">
        <f t="shared" ref="AH113" si="95">IFERROR(AH112/AH111,"")</f>
        <v>0.3</v>
      </c>
      <c r="AI113" s="68"/>
      <c r="AJ113" s="68"/>
      <c r="AK113" s="68"/>
      <c r="AL113" s="68">
        <f t="shared" ref="AL113" si="96">IFERROR(AL112/AL111,"")</f>
        <v>0</v>
      </c>
      <c r="AM113" s="68"/>
      <c r="AN113" s="68"/>
      <c r="AO113" s="68"/>
      <c r="AP113" s="68">
        <f t="shared" ref="AP113" si="97">IFERROR(AP112/AP111,"")</f>
        <v>0</v>
      </c>
      <c r="AQ113" s="68"/>
      <c r="AR113" s="68"/>
      <c r="AS113" s="68"/>
      <c r="AT113" s="68">
        <f t="shared" ref="AT113" si="98">IFERROR(AT112/AT111,"")</f>
        <v>0</v>
      </c>
      <c r="AU113" s="68"/>
      <c r="AV113" s="68"/>
      <c r="AW113" s="68"/>
      <c r="AX113" s="68">
        <f t="shared" ref="AX113" si="99">IFERROR(AX112/AX111,"")</f>
        <v>0</v>
      </c>
      <c r="AY113" s="68"/>
      <c r="AZ113" s="68"/>
      <c r="BA113" s="68"/>
      <c r="BB113" s="27"/>
      <c r="BC113" s="27"/>
      <c r="BD113" s="25"/>
      <c r="BF113" s="26"/>
    </row>
    <row r="114" spans="1:58" ht="17.25" customHeight="1" x14ac:dyDescent="0.25">
      <c r="A114" s="66" t="s">
        <v>18</v>
      </c>
      <c r="B114" s="66"/>
      <c r="C114" s="66"/>
      <c r="D114" s="66"/>
      <c r="E114" s="66"/>
      <c r="F114" s="77">
        <f>+SUM(F112:BA112)/SUM(F111:BA111)</f>
        <v>0.66666666666666663</v>
      </c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9"/>
      <c r="BB114" s="28"/>
      <c r="BC114" s="28"/>
      <c r="BD114" s="29"/>
      <c r="BF114" s="26"/>
    </row>
    <row r="119" spans="1:58" ht="17.25" customHeight="1" x14ac:dyDescent="0.25">
      <c r="A119" s="46" t="s">
        <v>57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W119" s="80" t="s">
        <v>58</v>
      </c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</row>
  </sheetData>
  <sheetProtection selectLockedCells="1"/>
  <mergeCells count="630">
    <mergeCell ref="BE6:BE7"/>
    <mergeCell ref="BE94:BE95"/>
    <mergeCell ref="BE102:BE103"/>
    <mergeCell ref="BE108:BE109"/>
    <mergeCell ref="BE82:BE83"/>
    <mergeCell ref="BE72:BE73"/>
    <mergeCell ref="BE60:BE61"/>
    <mergeCell ref="BE44:BE45"/>
    <mergeCell ref="BE24:BE25"/>
    <mergeCell ref="AX81:BA81"/>
    <mergeCell ref="AD80:AG80"/>
    <mergeCell ref="AT43:AW43"/>
    <mergeCell ref="V43:Y43"/>
    <mergeCell ref="AH24:AK24"/>
    <mergeCell ref="AL24:AO24"/>
    <mergeCell ref="BB24:BD24"/>
    <mergeCell ref="BB26:BB27"/>
    <mergeCell ref="BC26:BC27"/>
    <mergeCell ref="BB32:BB33"/>
    <mergeCell ref="AX43:BA43"/>
    <mergeCell ref="AP42:AS42"/>
    <mergeCell ref="AT42:AW42"/>
    <mergeCell ref="AX42:BA42"/>
    <mergeCell ref="BC40:BC41"/>
    <mergeCell ref="BC38:BC39"/>
    <mergeCell ref="AT44:AW44"/>
    <mergeCell ref="AH43:AK43"/>
    <mergeCell ref="AL43:AO43"/>
    <mergeCell ref="AX44:BA44"/>
    <mergeCell ref="AL44:AO44"/>
    <mergeCell ref="AL42:AO42"/>
    <mergeCell ref="AP71:AS71"/>
    <mergeCell ref="AL70:AO70"/>
    <mergeCell ref="AD24:AG24"/>
    <mergeCell ref="Z43:AC43"/>
    <mergeCell ref="AD43:AG43"/>
    <mergeCell ref="AD44:AG44"/>
    <mergeCell ref="Z42:AC42"/>
    <mergeCell ref="AD42:AG42"/>
    <mergeCell ref="A38:A39"/>
    <mergeCell ref="F44:I44"/>
    <mergeCell ref="B56:E57"/>
    <mergeCell ref="B38:E39"/>
    <mergeCell ref="R43:U43"/>
    <mergeCell ref="Z81:AC81"/>
    <mergeCell ref="AD81:AG81"/>
    <mergeCell ref="A34:A35"/>
    <mergeCell ref="F71:I71"/>
    <mergeCell ref="B44:E45"/>
    <mergeCell ref="A62:A63"/>
    <mergeCell ref="B62:E63"/>
    <mergeCell ref="BF20:BF21"/>
    <mergeCell ref="F93:I93"/>
    <mergeCell ref="J93:M93"/>
    <mergeCell ref="V82:Y82"/>
    <mergeCell ref="Z82:AC82"/>
    <mergeCell ref="AD82:AG82"/>
    <mergeCell ref="F81:I81"/>
    <mergeCell ref="J81:M81"/>
    <mergeCell ref="N81:Q81"/>
    <mergeCell ref="R81:U81"/>
    <mergeCell ref="N93:Q93"/>
    <mergeCell ref="R93:U93"/>
    <mergeCell ref="F92:I92"/>
    <mergeCell ref="J92:M92"/>
    <mergeCell ref="N92:Q92"/>
    <mergeCell ref="R92:U92"/>
    <mergeCell ref="F82:I82"/>
    <mergeCell ref="J82:M82"/>
    <mergeCell ref="N82:Q82"/>
    <mergeCell ref="R82:U82"/>
    <mergeCell ref="V81:Y81"/>
    <mergeCell ref="F60:I60"/>
    <mergeCell ref="Z23:AC23"/>
    <mergeCell ref="AL22:AO22"/>
    <mergeCell ref="R80:U80"/>
    <mergeCell ref="A76:A77"/>
    <mergeCell ref="B76:E77"/>
    <mergeCell ref="F70:I70"/>
    <mergeCell ref="A71:D71"/>
    <mergeCell ref="A74:A75"/>
    <mergeCell ref="A78:A79"/>
    <mergeCell ref="B74:E75"/>
    <mergeCell ref="B78:E79"/>
    <mergeCell ref="F72:I72"/>
    <mergeCell ref="N70:Q70"/>
    <mergeCell ref="B64:E65"/>
    <mergeCell ref="A66:A67"/>
    <mergeCell ref="A68:A69"/>
    <mergeCell ref="B66:E67"/>
    <mergeCell ref="B68:E69"/>
    <mergeCell ref="F80:I80"/>
    <mergeCell ref="J80:M80"/>
    <mergeCell ref="N80:Q80"/>
    <mergeCell ref="A112:E112"/>
    <mergeCell ref="F109:I109"/>
    <mergeCell ref="F111:I111"/>
    <mergeCell ref="J111:M111"/>
    <mergeCell ref="N111:Q111"/>
    <mergeCell ref="N109:Q109"/>
    <mergeCell ref="R109:U109"/>
    <mergeCell ref="V109:Y109"/>
    <mergeCell ref="AH23:AK23"/>
    <mergeCell ref="AH42:AK42"/>
    <mergeCell ref="R42:U42"/>
    <mergeCell ref="V42:Y42"/>
    <mergeCell ref="F43:I43"/>
    <mergeCell ref="A44:A45"/>
    <mergeCell ref="J43:M43"/>
    <mergeCell ref="J42:M42"/>
    <mergeCell ref="N42:Q42"/>
    <mergeCell ref="N44:Q44"/>
    <mergeCell ref="A42:D42"/>
    <mergeCell ref="A43:D43"/>
    <mergeCell ref="A64:A65"/>
    <mergeCell ref="B40:E41"/>
    <mergeCell ref="A48:A49"/>
    <mergeCell ref="B48:E49"/>
    <mergeCell ref="AP6:AS6"/>
    <mergeCell ref="A12:A13"/>
    <mergeCell ref="A14:A15"/>
    <mergeCell ref="A6:A7"/>
    <mergeCell ref="R5:Z5"/>
    <mergeCell ref="I5:P5"/>
    <mergeCell ref="B5:G5"/>
    <mergeCell ref="R23:U23"/>
    <mergeCell ref="AL23:AO23"/>
    <mergeCell ref="N23:Q23"/>
    <mergeCell ref="F6:I6"/>
    <mergeCell ref="F22:I22"/>
    <mergeCell ref="F23:I23"/>
    <mergeCell ref="R6:U6"/>
    <mergeCell ref="V6:Y6"/>
    <mergeCell ref="N6:Q6"/>
    <mergeCell ref="J22:M22"/>
    <mergeCell ref="J23:M23"/>
    <mergeCell ref="AD22:AG22"/>
    <mergeCell ref="AH6:AK6"/>
    <mergeCell ref="Z6:AC6"/>
    <mergeCell ref="AD6:AG6"/>
    <mergeCell ref="V23:Y23"/>
    <mergeCell ref="AH22:AK22"/>
    <mergeCell ref="AX3:BB3"/>
    <mergeCell ref="AT24:AW24"/>
    <mergeCell ref="AX24:BA24"/>
    <mergeCell ref="BB30:BB31"/>
    <mergeCell ref="AK3:AR3"/>
    <mergeCell ref="A4:AJ4"/>
    <mergeCell ref="AB5:AI5"/>
    <mergeCell ref="B26:E27"/>
    <mergeCell ref="V24:Y24"/>
    <mergeCell ref="Z24:AC24"/>
    <mergeCell ref="B30:E31"/>
    <mergeCell ref="A22:D22"/>
    <mergeCell ref="A23:D23"/>
    <mergeCell ref="AX22:BA22"/>
    <mergeCell ref="AT23:AW23"/>
    <mergeCell ref="AX23:BA23"/>
    <mergeCell ref="AP24:AS24"/>
    <mergeCell ref="B10:E11"/>
    <mergeCell ref="J6:M6"/>
    <mergeCell ref="AL6:AO6"/>
    <mergeCell ref="AT6:AW6"/>
    <mergeCell ref="AX6:BA6"/>
    <mergeCell ref="BB8:BB9"/>
    <mergeCell ref="AT22:AW22"/>
    <mergeCell ref="BB6:BD6"/>
    <mergeCell ref="BB10:BB11"/>
    <mergeCell ref="BC10:BC11"/>
    <mergeCell ref="BD10:BD11"/>
    <mergeCell ref="BC8:BC9"/>
    <mergeCell ref="BD8:BD9"/>
    <mergeCell ref="BD22:BD23"/>
    <mergeCell ref="BB16:BB17"/>
    <mergeCell ref="BC16:BC17"/>
    <mergeCell ref="BD16:BD17"/>
    <mergeCell ref="BB18:BB19"/>
    <mergeCell ref="BC20:BC21"/>
    <mergeCell ref="BD20:BD21"/>
    <mergeCell ref="BF44:BF45"/>
    <mergeCell ref="BF42:BF43"/>
    <mergeCell ref="BC36:BC37"/>
    <mergeCell ref="BB44:BD44"/>
    <mergeCell ref="BD42:BD43"/>
    <mergeCell ref="BB28:BB29"/>
    <mergeCell ref="BB38:BB39"/>
    <mergeCell ref="BB36:BB37"/>
    <mergeCell ref="BB34:BB35"/>
    <mergeCell ref="BF38:BF39"/>
    <mergeCell ref="BF40:BF41"/>
    <mergeCell ref="BC34:BC35"/>
    <mergeCell ref="BD34:BD35"/>
    <mergeCell ref="BD30:BD31"/>
    <mergeCell ref="BC28:BC29"/>
    <mergeCell ref="BD32:BD33"/>
    <mergeCell ref="BD36:BD37"/>
    <mergeCell ref="BC30:BC31"/>
    <mergeCell ref="BD38:BD39"/>
    <mergeCell ref="BD40:BD41"/>
    <mergeCell ref="BB40:BB41"/>
    <mergeCell ref="BB42:BC43"/>
    <mergeCell ref="BF28:BF29"/>
    <mergeCell ref="BF6:BF7"/>
    <mergeCell ref="BF24:BF25"/>
    <mergeCell ref="BF26:BF27"/>
    <mergeCell ref="BF32:BF33"/>
    <mergeCell ref="BF30:BF31"/>
    <mergeCell ref="BF10:BF11"/>
    <mergeCell ref="BF8:BF9"/>
    <mergeCell ref="BD26:BD27"/>
    <mergeCell ref="BC32:BC33"/>
    <mergeCell ref="BD28:BD29"/>
    <mergeCell ref="BB22:BC23"/>
    <mergeCell ref="BF16:BF17"/>
    <mergeCell ref="BC18:BC19"/>
    <mergeCell ref="BD18:BD19"/>
    <mergeCell ref="BF18:BF19"/>
    <mergeCell ref="BB12:BB13"/>
    <mergeCell ref="BC12:BC13"/>
    <mergeCell ref="BD12:BD13"/>
    <mergeCell ref="BF12:BF13"/>
    <mergeCell ref="BB14:BB15"/>
    <mergeCell ref="BC14:BC15"/>
    <mergeCell ref="BD14:BD15"/>
    <mergeCell ref="BF14:BF15"/>
    <mergeCell ref="BB20:BB21"/>
    <mergeCell ref="AL71:AO71"/>
    <mergeCell ref="AH59:AK59"/>
    <mergeCell ref="N59:Q59"/>
    <mergeCell ref="R59:U59"/>
    <mergeCell ref="V59:Y59"/>
    <mergeCell ref="Z59:AC59"/>
    <mergeCell ref="AD59:AG59"/>
    <mergeCell ref="AD70:AG70"/>
    <mergeCell ref="AH60:AK60"/>
    <mergeCell ref="R70:U70"/>
    <mergeCell ref="V60:Y60"/>
    <mergeCell ref="Z60:AC60"/>
    <mergeCell ref="V70:Y70"/>
    <mergeCell ref="AL59:AO59"/>
    <mergeCell ref="AD60:AG60"/>
    <mergeCell ref="N60:Q60"/>
    <mergeCell ref="R60:U60"/>
    <mergeCell ref="AP22:AS22"/>
    <mergeCell ref="N22:Q22"/>
    <mergeCell ref="R22:U22"/>
    <mergeCell ref="V22:Y22"/>
    <mergeCell ref="Z22:AC22"/>
    <mergeCell ref="AP23:AS23"/>
    <mergeCell ref="AD23:AG23"/>
    <mergeCell ref="B34:E35"/>
    <mergeCell ref="A70:D70"/>
    <mergeCell ref="A59:D59"/>
    <mergeCell ref="A46:A47"/>
    <mergeCell ref="B46:E47"/>
    <mergeCell ref="A40:A41"/>
    <mergeCell ref="A36:A37"/>
    <mergeCell ref="B36:E37"/>
    <mergeCell ref="A60:A61"/>
    <mergeCell ref="B60:E61"/>
    <mergeCell ref="AP43:AS43"/>
    <mergeCell ref="AP44:AS44"/>
    <mergeCell ref="AL58:AO58"/>
    <mergeCell ref="AL60:AO60"/>
    <mergeCell ref="F42:I42"/>
    <mergeCell ref="J24:M24"/>
    <mergeCell ref="F24:I24"/>
    <mergeCell ref="B106:E107"/>
    <mergeCell ref="A101:D101"/>
    <mergeCell ref="J72:M72"/>
    <mergeCell ref="N72:Q72"/>
    <mergeCell ref="R72:U72"/>
    <mergeCell ref="V72:Y72"/>
    <mergeCell ref="Z72:AC72"/>
    <mergeCell ref="AD72:AG72"/>
    <mergeCell ref="AH72:AK72"/>
    <mergeCell ref="N94:Q94"/>
    <mergeCell ref="Z94:AC94"/>
    <mergeCell ref="J94:M94"/>
    <mergeCell ref="AD94:AG94"/>
    <mergeCell ref="AH94:AK94"/>
    <mergeCell ref="AH93:AK93"/>
    <mergeCell ref="AD101:AG101"/>
    <mergeCell ref="A72:A73"/>
    <mergeCell ref="B72:E73"/>
    <mergeCell ref="V101:Y101"/>
    <mergeCell ref="Z102:AC102"/>
    <mergeCell ref="V94:Y94"/>
    <mergeCell ref="J100:M100"/>
    <mergeCell ref="R94:U94"/>
    <mergeCell ref="J101:M101"/>
    <mergeCell ref="A98:A99"/>
    <mergeCell ref="A94:A95"/>
    <mergeCell ref="B90:E91"/>
    <mergeCell ref="A92:E92"/>
    <mergeCell ref="A81:D81"/>
    <mergeCell ref="A93:E93"/>
    <mergeCell ref="A86:A87"/>
    <mergeCell ref="B86:E87"/>
    <mergeCell ref="A80:D80"/>
    <mergeCell ref="B84:E85"/>
    <mergeCell ref="B94:E95"/>
    <mergeCell ref="A82:A83"/>
    <mergeCell ref="A84:A85"/>
    <mergeCell ref="A90:A91"/>
    <mergeCell ref="B82:E83"/>
    <mergeCell ref="A88:A89"/>
    <mergeCell ref="A96:A97"/>
    <mergeCell ref="B96:E97"/>
    <mergeCell ref="B98:E99"/>
    <mergeCell ref="B88:E89"/>
    <mergeCell ref="A10:A11"/>
    <mergeCell ref="A8:A9"/>
    <mergeCell ref="B8:E9"/>
    <mergeCell ref="B6:E7"/>
    <mergeCell ref="A30:A31"/>
    <mergeCell ref="A32:A33"/>
    <mergeCell ref="B32:E33"/>
    <mergeCell ref="A28:A29"/>
    <mergeCell ref="B28:E29"/>
    <mergeCell ref="B24:E25"/>
    <mergeCell ref="A24:A25"/>
    <mergeCell ref="A26:A27"/>
    <mergeCell ref="B12:E13"/>
    <mergeCell ref="B14:E15"/>
    <mergeCell ref="A16:A17"/>
    <mergeCell ref="B16:E17"/>
    <mergeCell ref="A18:A19"/>
    <mergeCell ref="B18:E19"/>
    <mergeCell ref="A20:A21"/>
    <mergeCell ref="B20:E21"/>
    <mergeCell ref="AL113:AO113"/>
    <mergeCell ref="AP113:AS113"/>
    <mergeCell ref="AT113:AW113"/>
    <mergeCell ref="Z108:AC108"/>
    <mergeCell ref="AH109:AK109"/>
    <mergeCell ref="AL109:AO109"/>
    <mergeCell ref="Z109:AC109"/>
    <mergeCell ref="A104:A105"/>
    <mergeCell ref="B104:E105"/>
    <mergeCell ref="A108:E108"/>
    <mergeCell ref="F108:I108"/>
    <mergeCell ref="J108:M108"/>
    <mergeCell ref="R108:U108"/>
    <mergeCell ref="V108:Y108"/>
    <mergeCell ref="N108:Q108"/>
    <mergeCell ref="A106:A107"/>
    <mergeCell ref="A109:E109"/>
    <mergeCell ref="Z112:AC112"/>
    <mergeCell ref="R111:U111"/>
    <mergeCell ref="V111:Y111"/>
    <mergeCell ref="Z111:AC111"/>
    <mergeCell ref="AD111:AG111"/>
    <mergeCell ref="AH111:AK111"/>
    <mergeCell ref="V112:Y112"/>
    <mergeCell ref="F102:I102"/>
    <mergeCell ref="R100:U100"/>
    <mergeCell ref="V102:Y102"/>
    <mergeCell ref="N101:Q101"/>
    <mergeCell ref="R101:U101"/>
    <mergeCell ref="F100:I100"/>
    <mergeCell ref="F101:I101"/>
    <mergeCell ref="J102:M102"/>
    <mergeCell ref="N100:Q100"/>
    <mergeCell ref="A102:A103"/>
    <mergeCell ref="N102:Q102"/>
    <mergeCell ref="A100:E100"/>
    <mergeCell ref="B102:E103"/>
    <mergeCell ref="BC46:BC47"/>
    <mergeCell ref="BB50:BB51"/>
    <mergeCell ref="BC50:BC51"/>
    <mergeCell ref="BD50:BD51"/>
    <mergeCell ref="BB48:BB49"/>
    <mergeCell ref="F94:I94"/>
    <mergeCell ref="V100:Y100"/>
    <mergeCell ref="Z100:AC100"/>
    <mergeCell ref="R102:U102"/>
    <mergeCell ref="AX60:BA60"/>
    <mergeCell ref="BB60:BD60"/>
    <mergeCell ref="BD62:BD63"/>
    <mergeCell ref="BB62:BB63"/>
    <mergeCell ref="AH70:AK70"/>
    <mergeCell ref="N71:Q71"/>
    <mergeCell ref="R71:U71"/>
    <mergeCell ref="V71:Y71"/>
    <mergeCell ref="Z71:AC71"/>
    <mergeCell ref="AD71:AG71"/>
    <mergeCell ref="AH71:AK71"/>
    <mergeCell ref="BF56:BF57"/>
    <mergeCell ref="BF58:BF59"/>
    <mergeCell ref="AP60:AS60"/>
    <mergeCell ref="BF52:BF53"/>
    <mergeCell ref="BF54:BF55"/>
    <mergeCell ref="BB64:BB65"/>
    <mergeCell ref="BC64:BC65"/>
    <mergeCell ref="BC48:BC49"/>
    <mergeCell ref="BD48:BD49"/>
    <mergeCell ref="AP59:AS59"/>
    <mergeCell ref="BD52:BD53"/>
    <mergeCell ref="BD56:BD57"/>
    <mergeCell ref="BD54:BD55"/>
    <mergeCell ref="AP58:AS58"/>
    <mergeCell ref="AT60:AW60"/>
    <mergeCell ref="AT59:AW59"/>
    <mergeCell ref="AX59:BA59"/>
    <mergeCell ref="BC54:BC55"/>
    <mergeCell ref="AT58:AW58"/>
    <mergeCell ref="BC52:BC53"/>
    <mergeCell ref="BB56:BB57"/>
    <mergeCell ref="BB52:BB53"/>
    <mergeCell ref="BB58:BC59"/>
    <mergeCell ref="BB54:BB55"/>
    <mergeCell ref="AX58:BA58"/>
    <mergeCell ref="BC56:BC57"/>
    <mergeCell ref="A56:A57"/>
    <mergeCell ref="A54:A55"/>
    <mergeCell ref="AH58:AK58"/>
    <mergeCell ref="R44:U44"/>
    <mergeCell ref="V44:Y44"/>
    <mergeCell ref="B54:E55"/>
    <mergeCell ref="B50:E51"/>
    <mergeCell ref="A50:A51"/>
    <mergeCell ref="F58:I58"/>
    <mergeCell ref="J44:M44"/>
    <mergeCell ref="R58:U58"/>
    <mergeCell ref="V58:Y58"/>
    <mergeCell ref="Z58:AC58"/>
    <mergeCell ref="AD58:AG58"/>
    <mergeCell ref="A58:D58"/>
    <mergeCell ref="Z44:AC44"/>
    <mergeCell ref="N58:Q58"/>
    <mergeCell ref="B52:E53"/>
    <mergeCell ref="A52:A53"/>
    <mergeCell ref="AH44:AK44"/>
    <mergeCell ref="BD78:BD79"/>
    <mergeCell ref="BF74:BF75"/>
    <mergeCell ref="BF78:BF79"/>
    <mergeCell ref="BF82:BF83"/>
    <mergeCell ref="BC88:BC89"/>
    <mergeCell ref="BD66:BD67"/>
    <mergeCell ref="BD68:BD69"/>
    <mergeCell ref="BB46:BB47"/>
    <mergeCell ref="BF62:BF63"/>
    <mergeCell ref="BF60:BF61"/>
    <mergeCell ref="BF46:BF47"/>
    <mergeCell ref="BF48:BF49"/>
    <mergeCell ref="BF50:BF51"/>
    <mergeCell ref="BD80:BD81"/>
    <mergeCell ref="BF80:BF81"/>
    <mergeCell ref="BD64:BD65"/>
    <mergeCell ref="BD58:BD59"/>
    <mergeCell ref="BC62:BC63"/>
    <mergeCell ref="BB76:BB77"/>
    <mergeCell ref="BC76:BC77"/>
    <mergeCell ref="BD76:BD77"/>
    <mergeCell ref="BF76:BF77"/>
    <mergeCell ref="BD46:BD47"/>
    <mergeCell ref="BF64:BF65"/>
    <mergeCell ref="BB98:BB99"/>
    <mergeCell ref="BB104:BB105"/>
    <mergeCell ref="BD106:BD107"/>
    <mergeCell ref="BB106:BB107"/>
    <mergeCell ref="BF100:BF101"/>
    <mergeCell ref="BD100:BD101"/>
    <mergeCell ref="BB92:BC93"/>
    <mergeCell ref="BD92:BD93"/>
    <mergeCell ref="BC66:BC67"/>
    <mergeCell ref="BC68:BC69"/>
    <mergeCell ref="BB66:BB67"/>
    <mergeCell ref="BB68:BB69"/>
    <mergeCell ref="BD84:BD85"/>
    <mergeCell ref="BD70:BD71"/>
    <mergeCell ref="BB82:BD82"/>
    <mergeCell ref="BD86:BD87"/>
    <mergeCell ref="BD88:BD89"/>
    <mergeCell ref="BB86:BB87"/>
    <mergeCell ref="BC86:BC87"/>
    <mergeCell ref="BB88:BB89"/>
    <mergeCell ref="BD90:BD91"/>
    <mergeCell ref="BB72:BD72"/>
    <mergeCell ref="BB90:BB91"/>
    <mergeCell ref="BC90:BC91"/>
    <mergeCell ref="AX94:BA94"/>
    <mergeCell ref="BB70:BC71"/>
    <mergeCell ref="AX71:BA71"/>
    <mergeCell ref="BF94:BF95"/>
    <mergeCell ref="BF70:BF71"/>
    <mergeCell ref="BF72:BF73"/>
    <mergeCell ref="BF92:BF93"/>
    <mergeCell ref="BF84:BF85"/>
    <mergeCell ref="BF86:BF89"/>
    <mergeCell ref="BF90:BF91"/>
    <mergeCell ref="AX80:BA80"/>
    <mergeCell ref="BB80:BC81"/>
    <mergeCell ref="AX82:BA82"/>
    <mergeCell ref="BB74:BB75"/>
    <mergeCell ref="BC74:BC75"/>
    <mergeCell ref="BB78:BB79"/>
    <mergeCell ref="BC78:BC79"/>
    <mergeCell ref="BB84:BB85"/>
    <mergeCell ref="BC84:BC85"/>
    <mergeCell ref="AX72:BA72"/>
    <mergeCell ref="AX92:BA92"/>
    <mergeCell ref="AX93:BA93"/>
    <mergeCell ref="AX70:BA70"/>
    <mergeCell ref="BD74:BD75"/>
    <mergeCell ref="BB102:BD102"/>
    <mergeCell ref="AH102:AK102"/>
    <mergeCell ref="AL101:AO101"/>
    <mergeCell ref="AP101:AS101"/>
    <mergeCell ref="AL100:AO100"/>
    <mergeCell ref="AP100:AS100"/>
    <mergeCell ref="AT102:AW102"/>
    <mergeCell ref="AX102:BA102"/>
    <mergeCell ref="AT101:AW101"/>
    <mergeCell ref="AT100:AW100"/>
    <mergeCell ref="AH101:AK101"/>
    <mergeCell ref="AX100:BA100"/>
    <mergeCell ref="AL102:AO102"/>
    <mergeCell ref="BF96:BF97"/>
    <mergeCell ref="BB94:BD94"/>
    <mergeCell ref="BF98:BF99"/>
    <mergeCell ref="BD98:BD99"/>
    <mergeCell ref="AX101:BA101"/>
    <mergeCell ref="AL94:AO94"/>
    <mergeCell ref="BB100:BC101"/>
    <mergeCell ref="AL108:AO108"/>
    <mergeCell ref="AP108:AS108"/>
    <mergeCell ref="AT108:AW108"/>
    <mergeCell ref="AX108:BA108"/>
    <mergeCell ref="AP102:AS102"/>
    <mergeCell ref="AT94:AW94"/>
    <mergeCell ref="BB96:BB97"/>
    <mergeCell ref="BD96:BD97"/>
    <mergeCell ref="BC96:BC97"/>
    <mergeCell ref="BF104:BF105"/>
    <mergeCell ref="BF106:BF107"/>
    <mergeCell ref="BC106:BC107"/>
    <mergeCell ref="BD104:BD105"/>
    <mergeCell ref="BC104:BC105"/>
    <mergeCell ref="BF102:BF103"/>
    <mergeCell ref="BC98:BC99"/>
    <mergeCell ref="AP94:AS94"/>
    <mergeCell ref="AL92:AO92"/>
    <mergeCell ref="AP92:AS92"/>
    <mergeCell ref="AT92:AW92"/>
    <mergeCell ref="AH80:AK80"/>
    <mergeCell ref="AL80:AO80"/>
    <mergeCell ref="AP80:AS80"/>
    <mergeCell ref="AH81:AK81"/>
    <mergeCell ref="AL81:AO81"/>
    <mergeCell ref="AP81:AS81"/>
    <mergeCell ref="AT81:AW81"/>
    <mergeCell ref="AT80:AW80"/>
    <mergeCell ref="AH82:AK82"/>
    <mergeCell ref="AL82:AO82"/>
    <mergeCell ref="AP82:AS82"/>
    <mergeCell ref="AT82:AW82"/>
    <mergeCell ref="AX113:BA113"/>
    <mergeCell ref="Z113:AC113"/>
    <mergeCell ref="AD113:AG113"/>
    <mergeCell ref="AH113:AK113"/>
    <mergeCell ref="N24:Q24"/>
    <mergeCell ref="R24:U24"/>
    <mergeCell ref="AD102:AG102"/>
    <mergeCell ref="J70:M70"/>
    <mergeCell ref="J71:M71"/>
    <mergeCell ref="Z70:AC70"/>
    <mergeCell ref="Z101:AC101"/>
    <mergeCell ref="AD100:AG100"/>
    <mergeCell ref="Z92:AC92"/>
    <mergeCell ref="AD92:AG92"/>
    <mergeCell ref="AD93:AG93"/>
    <mergeCell ref="N43:Q43"/>
    <mergeCell ref="V92:Y92"/>
    <mergeCell ref="V93:Y93"/>
    <mergeCell ref="Z93:AC93"/>
    <mergeCell ref="J60:M60"/>
    <mergeCell ref="V80:Y80"/>
    <mergeCell ref="Z80:AC80"/>
    <mergeCell ref="J58:M58"/>
    <mergeCell ref="J59:M59"/>
    <mergeCell ref="BD108:BD109"/>
    <mergeCell ref="BF108:BF109"/>
    <mergeCell ref="AX109:BA109"/>
    <mergeCell ref="BB108:BC109"/>
    <mergeCell ref="AP109:AS109"/>
    <mergeCell ref="AD109:AG109"/>
    <mergeCell ref="AT109:AW109"/>
    <mergeCell ref="AL119:AW119"/>
    <mergeCell ref="R112:U112"/>
    <mergeCell ref="AP112:AS112"/>
    <mergeCell ref="AT112:AW112"/>
    <mergeCell ref="AD112:AG112"/>
    <mergeCell ref="AH112:AK112"/>
    <mergeCell ref="AL112:AO112"/>
    <mergeCell ref="F114:BA114"/>
    <mergeCell ref="AT111:AW111"/>
    <mergeCell ref="AX111:BA111"/>
    <mergeCell ref="AL111:AO111"/>
    <mergeCell ref="AP111:AS111"/>
    <mergeCell ref="AX112:BA112"/>
    <mergeCell ref="N112:Q112"/>
    <mergeCell ref="W119:AI119"/>
    <mergeCell ref="F113:I113"/>
    <mergeCell ref="J113:M113"/>
    <mergeCell ref="AT70:AW70"/>
    <mergeCell ref="AT71:AW71"/>
    <mergeCell ref="AT93:AW93"/>
    <mergeCell ref="AP70:AS70"/>
    <mergeCell ref="AL72:AO72"/>
    <mergeCell ref="B3:AJ3"/>
    <mergeCell ref="A114:E114"/>
    <mergeCell ref="F112:I112"/>
    <mergeCell ref="J112:M112"/>
    <mergeCell ref="A111:E111"/>
    <mergeCell ref="A113:E113"/>
    <mergeCell ref="J109:M109"/>
    <mergeCell ref="N113:Q113"/>
    <mergeCell ref="R113:U113"/>
    <mergeCell ref="V113:Y113"/>
    <mergeCell ref="F59:I59"/>
    <mergeCell ref="AD108:AG108"/>
    <mergeCell ref="AH108:AK108"/>
    <mergeCell ref="AP93:AS93"/>
    <mergeCell ref="AL93:AO93"/>
    <mergeCell ref="AH100:AK100"/>
    <mergeCell ref="AH92:AK92"/>
    <mergeCell ref="AP72:AS72"/>
    <mergeCell ref="AT72:AW72"/>
  </mergeCells>
  <conditionalFormatting sqref="AJ5">
    <cfRule type="cellIs" dxfId="220" priority="1783" stopIfTrue="1" operator="equal">
      <formula>"P"</formula>
    </cfRule>
  </conditionalFormatting>
  <conditionalFormatting sqref="AQ30 AA26 AJ30:AO30 AD98:AF98 AH98:AJ98 AX98:AZ98 AP98:AV98 Y26 AG26 AC96:AF96 F32:G32 AG32:AI32 F31:BA31 AF28:AG29 AD28:AD29 F37:BA37 AN36:BA36 BA96 AV96:AY96 AJ62:BA62 AL26:AN26 AP26:AV26 AL28:AN29 K28:K29 AO8:BA11 F33:BA33 F36:L36 N36:AL36 F30:U30 F50:N50 F8:J8 F9:K9 F10:J11 M8:AM11 Z30:AH30 I32:AA32 AC32:AE32 AK32:AM32 AO32:AV32 AX32:AY32 BA32 F47:BA47 AA48:BA48 F48:Y48 AH50:BA50 F49:U49 W49:BA49 P50:AF50 F51:BA57 V62:AH62 V63:BA69 AH96:AT96 AL98:AN98 AH26:AK29 F34:M35 F75:U75 F78:BA78 P46:BA46 F79:U79 F46:N46 H26:V26 AN10 F84:AH91 AL85:BA90">
    <cfRule type="cellIs" dxfId="219" priority="949" operator="equal">
      <formula>"C"</formula>
    </cfRule>
    <cfRule type="cellIs" dxfId="218" priority="950" operator="equal">
      <formula>"A"</formula>
    </cfRule>
    <cfRule type="cellIs" dxfId="217" priority="951" operator="equal">
      <formula>"R"</formula>
    </cfRule>
    <cfRule type="cellIs" dxfId="216" priority="952" operator="equal">
      <formula>"P"</formula>
    </cfRule>
  </conditionalFormatting>
  <conditionalFormatting sqref="H27:V27 AR30:AV30 F38:H38 AC26:AF26 Y27:AG27 W27:X29 AX26:BA26 AX30:BA30 AL27:BA27 AQ28:BA29 AP28:AP30 Y28:AC29 AE28 L29:V29 F28:J29 W26 L28:T28 V28 V30:X30 F39:BA39 J38:L38 N38:P38 R38:T38 V38:X38 Z38:AB38 AD38:AF38 AH38:AJ38 AL38:AN38 AP38:AR38 AT38:AV38 AX38:AZ38">
    <cfRule type="cellIs" dxfId="215" priority="945" operator="equal">
      <formula>"C"</formula>
    </cfRule>
    <cfRule type="cellIs" dxfId="214" priority="946" operator="equal">
      <formula>"A"</formula>
    </cfRule>
    <cfRule type="cellIs" dxfId="213" priority="947" operator="equal">
      <formula>"R"</formula>
    </cfRule>
    <cfRule type="cellIs" dxfId="212" priority="948" operator="equal">
      <formula>"P"</formula>
    </cfRule>
  </conditionalFormatting>
  <conditionalFormatting sqref="F99:BA99 F98:G98 I98:S98 U98:X98 AB98 Z98">
    <cfRule type="cellIs" dxfId="211" priority="925" operator="equal">
      <formula>"C"</formula>
    </cfRule>
    <cfRule type="cellIs" dxfId="210" priority="926" operator="equal">
      <formula>"A"</formula>
    </cfRule>
    <cfRule type="cellIs" dxfId="209" priority="927" operator="equal">
      <formula>"R"</formula>
    </cfRule>
    <cfRule type="cellIs" dxfId="208" priority="928" operator="equal">
      <formula>"P"</formula>
    </cfRule>
  </conditionalFormatting>
  <conditionalFormatting sqref="BA98">
    <cfRule type="cellIs" dxfId="207" priority="861" operator="equal">
      <formula>"C"</formula>
    </cfRule>
    <cfRule type="cellIs" dxfId="206" priority="862" operator="equal">
      <formula>"A"</formula>
    </cfRule>
    <cfRule type="cellIs" dxfId="205" priority="863" operator="equal">
      <formula>"R"</formula>
    </cfRule>
    <cfRule type="cellIs" dxfId="204" priority="864" operator="equal">
      <formula>"P"</formula>
    </cfRule>
  </conditionalFormatting>
  <conditionalFormatting sqref="F96 I96:AA96 W97:X97">
    <cfRule type="cellIs" dxfId="203" priority="801" operator="equal">
      <formula>"C"</formula>
    </cfRule>
    <cfRule type="cellIs" dxfId="202" priority="802" operator="equal">
      <formula>"A"</formula>
    </cfRule>
    <cfRule type="cellIs" dxfId="201" priority="803" operator="equal">
      <formula>"R"</formula>
    </cfRule>
    <cfRule type="cellIs" dxfId="200" priority="804" operator="equal">
      <formula>"P"</formula>
    </cfRule>
  </conditionalFormatting>
  <conditionalFormatting sqref="AW30">
    <cfRule type="cellIs" dxfId="199" priority="845" operator="equal">
      <formula>"C"</formula>
    </cfRule>
    <cfRule type="cellIs" dxfId="198" priority="846" operator="equal">
      <formula>"A"</formula>
    </cfRule>
    <cfRule type="cellIs" dxfId="197" priority="847" operator="equal">
      <formula>"R"</formula>
    </cfRule>
    <cfRule type="cellIs" dxfId="196" priority="848" operator="equal">
      <formula>"P"</formula>
    </cfRule>
  </conditionalFormatting>
  <conditionalFormatting sqref="F97:V97 Y97:AT97 AV97:BA97">
    <cfRule type="cellIs" dxfId="195" priority="797" operator="equal">
      <formula>"C"</formula>
    </cfRule>
    <cfRule type="cellIs" dxfId="194" priority="798" operator="equal">
      <formula>"A"</formula>
    </cfRule>
    <cfRule type="cellIs" dxfId="193" priority="799" operator="equal">
      <formula>"R"</formula>
    </cfRule>
    <cfRule type="cellIs" dxfId="192" priority="800" operator="equal">
      <formula>"P"</formula>
    </cfRule>
  </conditionalFormatting>
  <conditionalFormatting sqref="BD106:BD107 BD46:BD57 BD62:BD69 BD84:BD91 BD26:BD41">
    <cfRule type="cellIs" dxfId="191" priority="776" operator="equal">
      <formula>1</formula>
    </cfRule>
  </conditionalFormatting>
  <conditionalFormatting sqref="AM36">
    <cfRule type="cellIs" dxfId="190" priority="655" operator="equal">
      <formula>"C"</formula>
    </cfRule>
    <cfRule type="cellIs" dxfId="189" priority="656" operator="equal">
      <formula>"A"</formula>
    </cfRule>
    <cfRule type="cellIs" dxfId="188" priority="657" operator="equal">
      <formula>"R"</formula>
    </cfRule>
    <cfRule type="cellIs" dxfId="187" priority="658" operator="equal">
      <formula>"P"</formula>
    </cfRule>
  </conditionalFormatting>
  <conditionalFormatting sqref="H32">
    <cfRule type="cellIs" dxfId="186" priority="633" operator="equal">
      <formula>"C"</formula>
    </cfRule>
    <cfRule type="cellIs" dxfId="185" priority="634" operator="equal">
      <formula>"A"</formula>
    </cfRule>
    <cfRule type="cellIs" dxfId="184" priority="635" operator="equal">
      <formula>"R"</formula>
    </cfRule>
    <cfRule type="cellIs" dxfId="183" priority="636" operator="equal">
      <formula>"P"</formula>
    </cfRule>
  </conditionalFormatting>
  <conditionalFormatting sqref="H96">
    <cfRule type="cellIs" dxfId="182" priority="613" operator="equal">
      <formula>"C"</formula>
    </cfRule>
    <cfRule type="cellIs" dxfId="181" priority="614" operator="equal">
      <formula>"A"</formula>
    </cfRule>
    <cfRule type="cellIs" dxfId="180" priority="615" operator="equal">
      <formula>"R"</formula>
    </cfRule>
    <cfRule type="cellIs" dxfId="179" priority="616" operator="equal">
      <formula>"P"</formula>
    </cfRule>
  </conditionalFormatting>
  <conditionalFormatting sqref="H98">
    <cfRule type="cellIs" dxfId="178" priority="609" operator="equal">
      <formula>"C"</formula>
    </cfRule>
    <cfRule type="cellIs" dxfId="177" priority="610" operator="equal">
      <formula>"A"</formula>
    </cfRule>
    <cfRule type="cellIs" dxfId="176" priority="611" operator="equal">
      <formula>"R"</formula>
    </cfRule>
    <cfRule type="cellIs" dxfId="175" priority="612" operator="equal">
      <formula>"P"</formula>
    </cfRule>
  </conditionalFormatting>
  <conditionalFormatting sqref="F62:U69">
    <cfRule type="cellIs" dxfId="174" priority="425" operator="equal">
      <formula>"C"</formula>
    </cfRule>
    <cfRule type="cellIs" dxfId="173" priority="426" operator="equal">
      <formula>"A"</formula>
    </cfRule>
    <cfRule type="cellIs" dxfId="172" priority="427" operator="equal">
      <formula>"R"</formula>
    </cfRule>
    <cfRule type="cellIs" dxfId="171" priority="428" operator="equal">
      <formula>"P"</formula>
    </cfRule>
  </conditionalFormatting>
  <conditionalFormatting sqref="X26">
    <cfRule type="cellIs" dxfId="170" priority="303" operator="equal">
      <formula>"C"</formula>
    </cfRule>
    <cfRule type="cellIs" dxfId="169" priority="304" operator="equal">
      <formula>"A"</formula>
    </cfRule>
    <cfRule type="cellIs" dxfId="168" priority="305" operator="equal">
      <formula>"R"</formula>
    </cfRule>
    <cfRule type="cellIs" dxfId="167" priority="306" operator="equal">
      <formula>"P"</formula>
    </cfRule>
  </conditionalFormatting>
  <conditionalFormatting sqref="AG96">
    <cfRule type="cellIs" dxfId="166" priority="381" operator="equal">
      <formula>"C"</formula>
    </cfRule>
    <cfRule type="cellIs" dxfId="165" priority="382" operator="equal">
      <formula>"A"</formula>
    </cfRule>
    <cfRule type="cellIs" dxfId="164" priority="383" operator="equal">
      <formula>"R"</formula>
    </cfRule>
    <cfRule type="cellIs" dxfId="163" priority="384" operator="equal">
      <formula>"P"</formula>
    </cfRule>
  </conditionalFormatting>
  <conditionalFormatting sqref="AC98">
    <cfRule type="cellIs" dxfId="162" priority="377" operator="equal">
      <formula>"C"</formula>
    </cfRule>
    <cfRule type="cellIs" dxfId="161" priority="378" operator="equal">
      <formula>"A"</formula>
    </cfRule>
    <cfRule type="cellIs" dxfId="160" priority="379" operator="equal">
      <formula>"R"</formula>
    </cfRule>
    <cfRule type="cellIs" dxfId="159" priority="380" operator="equal">
      <formula>"P"</formula>
    </cfRule>
  </conditionalFormatting>
  <conditionalFormatting sqref="U28">
    <cfRule type="cellIs" dxfId="158" priority="299" operator="equal">
      <formula>"C"</formula>
    </cfRule>
    <cfRule type="cellIs" dxfId="157" priority="300" operator="equal">
      <formula>"A"</formula>
    </cfRule>
    <cfRule type="cellIs" dxfId="156" priority="301" operator="equal">
      <formula>"R"</formula>
    </cfRule>
    <cfRule type="cellIs" dxfId="155" priority="302" operator="equal">
      <formula>"P"</formula>
    </cfRule>
  </conditionalFormatting>
  <conditionalFormatting sqref="F104:BA107">
    <cfRule type="cellIs" dxfId="154" priority="369" operator="equal">
      <formula>"C"</formula>
    </cfRule>
    <cfRule type="cellIs" dxfId="153" priority="370" operator="equal">
      <formula>"A"</formula>
    </cfRule>
    <cfRule type="cellIs" dxfId="152" priority="371" operator="equal">
      <formula>"R"</formula>
    </cfRule>
    <cfRule type="cellIs" dxfId="151" priority="372" operator="equal">
      <formula>"P"</formula>
    </cfRule>
  </conditionalFormatting>
  <conditionalFormatting sqref="L8:L11">
    <cfRule type="cellIs" dxfId="150" priority="329" operator="equal">
      <formula>"C"</formula>
    </cfRule>
    <cfRule type="cellIs" dxfId="149" priority="330" operator="equal">
      <formula>"A"</formula>
    </cfRule>
    <cfRule type="cellIs" dxfId="148" priority="331" operator="equal">
      <formula>"R"</formula>
    </cfRule>
    <cfRule type="cellIs" dxfId="147" priority="332" operator="equal">
      <formula>"P"</formula>
    </cfRule>
  </conditionalFormatting>
  <conditionalFormatting sqref="N35:BA35 N34:X34 Z34:BA34">
    <cfRule type="cellIs" dxfId="146" priority="321" operator="equal">
      <formula>"C"</formula>
    </cfRule>
    <cfRule type="cellIs" dxfId="145" priority="322" operator="equal">
      <formula>"A"</formula>
    </cfRule>
    <cfRule type="cellIs" dxfId="144" priority="323" operator="equal">
      <formula>"R"</formula>
    </cfRule>
    <cfRule type="cellIs" dxfId="143" priority="324" operator="equal">
      <formula>"P"</formula>
    </cfRule>
  </conditionalFormatting>
  <conditionalFormatting sqref="Y34">
    <cfRule type="cellIs" dxfId="142" priority="291" operator="equal">
      <formula>"C"</formula>
    </cfRule>
    <cfRule type="cellIs" dxfId="141" priority="292" operator="equal">
      <formula>"A"</formula>
    </cfRule>
    <cfRule type="cellIs" dxfId="140" priority="293" operator="equal">
      <formula>"R"</formula>
    </cfRule>
    <cfRule type="cellIs" dxfId="139" priority="294" operator="equal">
      <formula>"P"</formula>
    </cfRule>
  </conditionalFormatting>
  <conditionalFormatting sqref="I38 M38 Q38 U38 Y38 AC38 AG38 AK38 AO38 AS38 AW38 BA38">
    <cfRule type="cellIs" dxfId="138" priority="279" operator="equal">
      <formula>"C"</formula>
    </cfRule>
    <cfRule type="cellIs" dxfId="137" priority="280" operator="equal">
      <formula>"A"</formula>
    </cfRule>
    <cfRule type="cellIs" dxfId="136" priority="281" operator="equal">
      <formula>"R"</formula>
    </cfRule>
    <cfRule type="cellIs" dxfId="135" priority="282" operator="equal">
      <formula>"P"</formula>
    </cfRule>
  </conditionalFormatting>
  <conditionalFormatting sqref="F74:BA74">
    <cfRule type="cellIs" dxfId="134" priority="147" operator="equal">
      <formula>"C"</formula>
    </cfRule>
    <cfRule type="cellIs" dxfId="133" priority="148" operator="equal">
      <formula>"A"</formula>
    </cfRule>
    <cfRule type="cellIs" dxfId="132" priority="149" operator="equal">
      <formula>"R"</formula>
    </cfRule>
    <cfRule type="cellIs" dxfId="131" priority="150" operator="equal">
      <formula>"P"</formula>
    </cfRule>
  </conditionalFormatting>
  <conditionalFormatting sqref="F26:G27">
    <cfRule type="cellIs" dxfId="130" priority="139" operator="equal">
      <formula>"C"</formula>
    </cfRule>
    <cfRule type="cellIs" dxfId="129" priority="140" operator="equal">
      <formula>"A"</formula>
    </cfRule>
    <cfRule type="cellIs" dxfId="128" priority="141" operator="equal">
      <formula>"R"</formula>
    </cfRule>
    <cfRule type="cellIs" dxfId="127" priority="142" operator="equal">
      <formula>"P"</formula>
    </cfRule>
  </conditionalFormatting>
  <conditionalFormatting sqref="AO12:BA13 F12:J13 M12:AM13">
    <cfRule type="cellIs" dxfId="126" priority="125" operator="equal">
      <formula>"C"</formula>
    </cfRule>
    <cfRule type="cellIs" dxfId="125" priority="126" operator="equal">
      <formula>"A"</formula>
    </cfRule>
    <cfRule type="cellIs" dxfId="124" priority="127" operator="equal">
      <formula>"R"</formula>
    </cfRule>
    <cfRule type="cellIs" dxfId="123" priority="128" operator="equal">
      <formula>"P"</formula>
    </cfRule>
  </conditionalFormatting>
  <conditionalFormatting sqref="AK98">
    <cfRule type="cellIs" dxfId="122" priority="209" operator="equal">
      <formula>"C"</formula>
    </cfRule>
    <cfRule type="cellIs" dxfId="121" priority="210" operator="equal">
      <formula>"A"</formula>
    </cfRule>
    <cfRule type="cellIs" dxfId="120" priority="211" operator="equal">
      <formula>"R"</formula>
    </cfRule>
    <cfRule type="cellIs" dxfId="119" priority="212" operator="equal">
      <formula>"P"</formula>
    </cfRule>
  </conditionalFormatting>
  <conditionalFormatting sqref="F40:H40 F41:BA41 J40:L40 N40:P40 R40:T40 V40:X40 Z40:AB40 AD40:AF40 AH40:AJ40 AL40:AN40 AP40:AR40 AT40:AV40 AX40:AZ40">
    <cfRule type="cellIs" dxfId="118" priority="177" operator="equal">
      <formula>"C"</formula>
    </cfRule>
    <cfRule type="cellIs" dxfId="117" priority="178" operator="equal">
      <formula>"A"</formula>
    </cfRule>
    <cfRule type="cellIs" dxfId="116" priority="179" operator="equal">
      <formula>"R"</formula>
    </cfRule>
    <cfRule type="cellIs" dxfId="115" priority="180" operator="equal">
      <formula>"P"</formula>
    </cfRule>
  </conditionalFormatting>
  <conditionalFormatting sqref="I40 M40 Q40 U40 Y40 AC40 AG40 AK40 AO40 AS40 AW40 BA40">
    <cfRule type="cellIs" dxfId="114" priority="173" operator="equal">
      <formula>"C"</formula>
    </cfRule>
    <cfRule type="cellIs" dxfId="113" priority="174" operator="equal">
      <formula>"A"</formula>
    </cfRule>
    <cfRule type="cellIs" dxfId="112" priority="175" operator="equal">
      <formula>"R"</formula>
    </cfRule>
    <cfRule type="cellIs" dxfId="111" priority="176" operator="equal">
      <formula>"P"</formula>
    </cfRule>
  </conditionalFormatting>
  <conditionalFormatting sqref="AZ96">
    <cfRule type="cellIs" dxfId="110" priority="169" operator="equal">
      <formula>"C"</formula>
    </cfRule>
    <cfRule type="cellIs" dxfId="109" priority="170" operator="equal">
      <formula>"A"</formula>
    </cfRule>
    <cfRule type="cellIs" dxfId="108" priority="171" operator="equal">
      <formula>"R"</formula>
    </cfRule>
    <cfRule type="cellIs" dxfId="107" priority="172" operator="equal">
      <formula>"P"</formula>
    </cfRule>
  </conditionalFormatting>
  <conditionalFormatting sqref="AU97">
    <cfRule type="cellIs" dxfId="106" priority="165" operator="equal">
      <formula>"C"</formula>
    </cfRule>
    <cfRule type="cellIs" dxfId="105" priority="166" operator="equal">
      <formula>"A"</formula>
    </cfRule>
    <cfRule type="cellIs" dxfId="104" priority="167" operator="equal">
      <formula>"R"</formula>
    </cfRule>
    <cfRule type="cellIs" dxfId="103" priority="168" operator="equal">
      <formula>"P"</formula>
    </cfRule>
  </conditionalFormatting>
  <conditionalFormatting sqref="V75:BA75 AJ84:BA84 AJ86:AK88 V79:BA79 AJ91:BA91 AI89:AK89 AI85:AK85 AJ90:AK90">
    <cfRule type="cellIs" dxfId="102" priority="151" operator="equal">
      <formula>"C"</formula>
    </cfRule>
    <cfRule type="cellIs" dxfId="101" priority="152" operator="equal">
      <formula>"A"</formula>
    </cfRule>
    <cfRule type="cellIs" dxfId="100" priority="153" operator="equal">
      <formula>"R"</formula>
    </cfRule>
    <cfRule type="cellIs" dxfId="99" priority="154" operator="equal">
      <formula>"P"</formula>
    </cfRule>
  </conditionalFormatting>
  <conditionalFormatting sqref="L12:L13">
    <cfRule type="cellIs" dxfId="98" priority="119" operator="equal">
      <formula>"C"</formula>
    </cfRule>
    <cfRule type="cellIs" dxfId="97" priority="120" operator="equal">
      <formula>"A"</formula>
    </cfRule>
    <cfRule type="cellIs" dxfId="96" priority="121" operator="equal">
      <formula>"R"</formula>
    </cfRule>
    <cfRule type="cellIs" dxfId="95" priority="122" operator="equal">
      <formula>"P"</formula>
    </cfRule>
  </conditionalFormatting>
  <conditionalFormatting sqref="AO14:BA15 F14:J15 M14:AM15">
    <cfRule type="cellIs" dxfId="94" priority="115" operator="equal">
      <formula>"C"</formula>
    </cfRule>
    <cfRule type="cellIs" dxfId="93" priority="116" operator="equal">
      <formula>"A"</formula>
    </cfRule>
    <cfRule type="cellIs" dxfId="92" priority="117" operator="equal">
      <formula>"R"</formula>
    </cfRule>
    <cfRule type="cellIs" dxfId="91" priority="118" operator="equal">
      <formula>"P"</formula>
    </cfRule>
  </conditionalFormatting>
  <conditionalFormatting sqref="L14:L15">
    <cfRule type="cellIs" dxfId="90" priority="109" operator="equal">
      <formula>"C"</formula>
    </cfRule>
    <cfRule type="cellIs" dxfId="89" priority="110" operator="equal">
      <formula>"A"</formula>
    </cfRule>
    <cfRule type="cellIs" dxfId="88" priority="111" operator="equal">
      <formula>"R"</formula>
    </cfRule>
    <cfRule type="cellIs" dxfId="87" priority="112" operator="equal">
      <formula>"P"</formula>
    </cfRule>
  </conditionalFormatting>
  <conditionalFormatting sqref="AO16:BA17 F16:J17 M16:AM17">
    <cfRule type="cellIs" dxfId="86" priority="105" operator="equal">
      <formula>"C"</formula>
    </cfRule>
    <cfRule type="cellIs" dxfId="85" priority="106" operator="equal">
      <formula>"A"</formula>
    </cfRule>
    <cfRule type="cellIs" dxfId="84" priority="107" operator="equal">
      <formula>"R"</formula>
    </cfRule>
    <cfRule type="cellIs" dxfId="83" priority="108" operator="equal">
      <formula>"P"</formula>
    </cfRule>
  </conditionalFormatting>
  <conditionalFormatting sqref="L16:L17">
    <cfRule type="cellIs" dxfId="82" priority="99" operator="equal">
      <formula>"C"</formula>
    </cfRule>
    <cfRule type="cellIs" dxfId="81" priority="100" operator="equal">
      <formula>"A"</formula>
    </cfRule>
    <cfRule type="cellIs" dxfId="80" priority="101" operator="equal">
      <formula>"R"</formula>
    </cfRule>
    <cfRule type="cellIs" dxfId="79" priority="102" operator="equal">
      <formula>"P"</formula>
    </cfRule>
  </conditionalFormatting>
  <conditionalFormatting sqref="AO18:BA19 F18:J19 M18:AM19">
    <cfRule type="cellIs" dxfId="78" priority="95" operator="equal">
      <formula>"C"</formula>
    </cfRule>
    <cfRule type="cellIs" dxfId="77" priority="96" operator="equal">
      <formula>"A"</formula>
    </cfRule>
    <cfRule type="cellIs" dxfId="76" priority="97" operator="equal">
      <formula>"R"</formula>
    </cfRule>
    <cfRule type="cellIs" dxfId="75" priority="98" operator="equal">
      <formula>"P"</formula>
    </cfRule>
  </conditionalFormatting>
  <conditionalFormatting sqref="L18:L19">
    <cfRule type="cellIs" dxfId="74" priority="89" operator="equal">
      <formula>"C"</formula>
    </cfRule>
    <cfRule type="cellIs" dxfId="73" priority="90" operator="equal">
      <formula>"A"</formula>
    </cfRule>
    <cfRule type="cellIs" dxfId="72" priority="91" operator="equal">
      <formula>"R"</formula>
    </cfRule>
    <cfRule type="cellIs" dxfId="71" priority="92" operator="equal">
      <formula>"P"</formula>
    </cfRule>
  </conditionalFormatting>
  <conditionalFormatting sqref="AO20:BA21 F20:J21 M20:AM21">
    <cfRule type="cellIs" dxfId="70" priority="85" operator="equal">
      <formula>"C"</formula>
    </cfRule>
    <cfRule type="cellIs" dxfId="69" priority="86" operator="equal">
      <formula>"A"</formula>
    </cfRule>
    <cfRule type="cellIs" dxfId="68" priority="87" operator="equal">
      <formula>"R"</formula>
    </cfRule>
    <cfRule type="cellIs" dxfId="67" priority="88" operator="equal">
      <formula>"P"</formula>
    </cfRule>
  </conditionalFormatting>
  <conditionalFormatting sqref="L20:L21">
    <cfRule type="cellIs" dxfId="66" priority="79" operator="equal">
      <formula>"C"</formula>
    </cfRule>
    <cfRule type="cellIs" dxfId="65" priority="80" operator="equal">
      <formula>"A"</formula>
    </cfRule>
    <cfRule type="cellIs" dxfId="64" priority="81" operator="equal">
      <formula>"R"</formula>
    </cfRule>
    <cfRule type="cellIs" dxfId="63" priority="82" operator="equal">
      <formula>"P"</formula>
    </cfRule>
  </conditionalFormatting>
  <conditionalFormatting sqref="K11:K12 K19:K20">
    <cfRule type="cellIs" dxfId="62" priority="35" operator="equal">
      <formula>"C"</formula>
    </cfRule>
    <cfRule type="cellIs" dxfId="61" priority="36" operator="equal">
      <formula>"A"</formula>
    </cfRule>
    <cfRule type="cellIs" dxfId="60" priority="37" operator="equal">
      <formula>"R"</formula>
    </cfRule>
    <cfRule type="cellIs" dxfId="59" priority="38" operator="equal">
      <formula>"P"</formula>
    </cfRule>
  </conditionalFormatting>
  <conditionalFormatting sqref="K13:K14">
    <cfRule type="cellIs" dxfId="58" priority="31" operator="equal">
      <formula>"C"</formula>
    </cfRule>
    <cfRule type="cellIs" dxfId="57" priority="32" operator="equal">
      <formula>"A"</formula>
    </cfRule>
    <cfRule type="cellIs" dxfId="56" priority="33" operator="equal">
      <formula>"R"</formula>
    </cfRule>
    <cfRule type="cellIs" dxfId="55" priority="34" operator="equal">
      <formula>"P"</formula>
    </cfRule>
  </conditionalFormatting>
  <conditionalFormatting sqref="K15:K16">
    <cfRule type="cellIs" dxfId="54" priority="27" operator="equal">
      <formula>"C"</formula>
    </cfRule>
    <cfRule type="cellIs" dxfId="53" priority="28" operator="equal">
      <formula>"A"</formula>
    </cfRule>
    <cfRule type="cellIs" dxfId="52" priority="29" operator="equal">
      <formula>"R"</formula>
    </cfRule>
    <cfRule type="cellIs" dxfId="51" priority="30" operator="equal">
      <formula>"P"</formula>
    </cfRule>
  </conditionalFormatting>
  <conditionalFormatting sqref="K17:K18">
    <cfRule type="cellIs" dxfId="50" priority="23" operator="equal">
      <formula>"C"</formula>
    </cfRule>
    <cfRule type="cellIs" dxfId="49" priority="24" operator="equal">
      <formula>"A"</formula>
    </cfRule>
    <cfRule type="cellIs" dxfId="48" priority="25" operator="equal">
      <formula>"R"</formula>
    </cfRule>
    <cfRule type="cellIs" dxfId="47" priority="26" operator="equal">
      <formula>"P"</formula>
    </cfRule>
  </conditionalFormatting>
  <conditionalFormatting sqref="K21">
    <cfRule type="cellIs" dxfId="46" priority="19" operator="equal">
      <formula>"C"</formula>
    </cfRule>
    <cfRule type="cellIs" dxfId="45" priority="20" operator="equal">
      <formula>"A"</formula>
    </cfRule>
    <cfRule type="cellIs" dxfId="44" priority="21" operator="equal">
      <formula>"R"</formula>
    </cfRule>
    <cfRule type="cellIs" dxfId="43" priority="22" operator="equal">
      <formula>"P"</formula>
    </cfRule>
  </conditionalFormatting>
  <conditionalFormatting sqref="F76:BA76">
    <cfRule type="cellIs" dxfId="42" priority="1" operator="equal">
      <formula>"C"</formula>
    </cfRule>
    <cfRule type="cellIs" dxfId="41" priority="2" operator="equal">
      <formula>"A"</formula>
    </cfRule>
    <cfRule type="cellIs" dxfId="40" priority="3" operator="equal">
      <formula>"R"</formula>
    </cfRule>
    <cfRule type="cellIs" dxfId="39" priority="4" operator="equal">
      <formula>"P"</formula>
    </cfRule>
  </conditionalFormatting>
  <conditionalFormatting sqref="F77:U77">
    <cfRule type="cellIs" dxfId="38" priority="9" operator="equal">
      <formula>"C"</formula>
    </cfRule>
    <cfRule type="cellIs" dxfId="37" priority="10" operator="equal">
      <formula>"A"</formula>
    </cfRule>
    <cfRule type="cellIs" dxfId="36" priority="11" operator="equal">
      <formula>"R"</formula>
    </cfRule>
    <cfRule type="cellIs" dxfId="35" priority="12" operator="equal">
      <formula>"P"</formula>
    </cfRule>
  </conditionalFormatting>
  <conditionalFormatting sqref="V77:BA77">
    <cfRule type="cellIs" dxfId="34" priority="5" operator="equal">
      <formula>"C"</formula>
    </cfRule>
    <cfRule type="cellIs" dxfId="33" priority="6" operator="equal">
      <formula>"A"</formula>
    </cfRule>
    <cfRule type="cellIs" dxfId="32" priority="7" operator="equal">
      <formula>"R"</formula>
    </cfRule>
    <cfRule type="cellIs" dxfId="31" priority="8" operator="equal">
      <formula>"P"</formula>
    </cfRule>
  </conditionalFormatting>
  <conditionalFormatting sqref="BD96">
    <cfRule type="cellIs" dxfId="30" priority="764" operator="equal">
      <formula>1</formula>
    </cfRule>
    <cfRule type="cellIs" dxfId="29" priority="763" operator="equal">
      <formula>0</formula>
    </cfRule>
  </conditionalFormatting>
  <conditionalFormatting sqref="BD20">
    <cfRule type="cellIs" dxfId="28" priority="83" operator="equal">
      <formula>0</formula>
    </cfRule>
    <cfRule type="cellIs" dxfId="27" priority="84" operator="equal">
      <formula>1</formula>
    </cfRule>
  </conditionalFormatting>
  <conditionalFormatting sqref="BD18">
    <cfRule type="cellIs" dxfId="26" priority="93" operator="equal">
      <formula>0</formula>
    </cfRule>
    <cfRule type="cellIs" dxfId="25" priority="94" operator="equal">
      <formula>1</formula>
    </cfRule>
  </conditionalFormatting>
  <conditionalFormatting sqref="BD16">
    <cfRule type="cellIs" dxfId="24" priority="103" operator="equal">
      <formula>0</formula>
    </cfRule>
    <cfRule type="cellIs" dxfId="23" priority="104" operator="equal">
      <formula>1</formula>
    </cfRule>
  </conditionalFormatting>
  <conditionalFormatting sqref="BD14">
    <cfRule type="cellIs" dxfId="22" priority="113" operator="equal">
      <formula>0</formula>
    </cfRule>
    <cfRule type="cellIs" dxfId="21" priority="114" operator="equal">
      <formula>1</formula>
    </cfRule>
  </conditionalFormatting>
  <conditionalFormatting sqref="BD8">
    <cfRule type="cellIs" dxfId="20" priority="123" operator="equal">
      <formula>0</formula>
    </cfRule>
    <cfRule type="cellIs" dxfId="19" priority="124" operator="equal">
      <formula>1</formula>
    </cfRule>
  </conditionalFormatting>
  <conditionalFormatting sqref="BD80">
    <cfRule type="cellIs" dxfId="18" priority="143" operator="equal">
      <formula>0</formula>
    </cfRule>
    <cfRule type="cellIs" dxfId="17" priority="144" operator="equal">
      <formula>1</formula>
    </cfRule>
  </conditionalFormatting>
  <conditionalFormatting sqref="BD92">
    <cfRule type="cellIs" dxfId="16" priority="145" operator="equal">
      <formula>0</formula>
    </cfRule>
    <cfRule type="cellIs" dxfId="15" priority="146" operator="equal">
      <formula>1</formula>
    </cfRule>
  </conditionalFormatting>
  <conditionalFormatting sqref="BD108">
    <cfRule type="cellIs" dxfId="14" priority="637" operator="equal">
      <formula>0</formula>
    </cfRule>
    <cfRule type="cellIs" dxfId="13" priority="638" operator="equal">
      <formula>1</formula>
    </cfRule>
  </conditionalFormatting>
  <conditionalFormatting sqref="BD100">
    <cfRule type="cellIs" dxfId="12" priority="639" operator="equal">
      <formula>0</formula>
    </cfRule>
    <cfRule type="cellIs" dxfId="11" priority="640" operator="equal">
      <formula>1</formula>
    </cfRule>
  </conditionalFormatting>
  <conditionalFormatting sqref="BD70">
    <cfRule type="cellIs" dxfId="10" priority="641" operator="equal">
      <formula>0</formula>
    </cfRule>
    <cfRule type="cellIs" dxfId="9" priority="642" operator="equal">
      <formula>1</formula>
    </cfRule>
  </conditionalFormatting>
  <conditionalFormatting sqref="BD58">
    <cfRule type="cellIs" dxfId="8" priority="643" operator="equal">
      <formula>0</formula>
    </cfRule>
    <cfRule type="cellIs" dxfId="7" priority="644" operator="equal">
      <formula>1</formula>
    </cfRule>
  </conditionalFormatting>
  <conditionalFormatting sqref="BD42">
    <cfRule type="cellIs" dxfId="6" priority="645" operator="equal">
      <formula>0</formula>
    </cfRule>
    <cfRule type="cellIs" dxfId="5" priority="646" operator="equal">
      <formula>1</formula>
    </cfRule>
  </conditionalFormatting>
  <conditionalFormatting sqref="BD22">
    <cfRule type="cellIs" dxfId="4" priority="647" operator="equal">
      <formula>0</formula>
    </cfRule>
    <cfRule type="cellIs" dxfId="3" priority="648" operator="equal">
      <formula>1</formula>
    </cfRule>
  </conditionalFormatting>
  <conditionalFormatting sqref="BD104">
    <cfRule type="cellIs" dxfId="2" priority="755" operator="equal">
      <formula>0</formula>
    </cfRule>
    <cfRule type="cellIs" dxfId="1" priority="756" operator="equal">
      <formula>1</formula>
    </cfRule>
  </conditionalFormatting>
  <conditionalFormatting sqref="AS26">
    <cfRule type="cellIs" dxfId="0" priority="775" operator="equal">
      <formula>0</formula>
    </cfRule>
  </conditionalFormatting>
  <dataValidations count="1">
    <dataValidation type="list" allowBlank="1" showInputMessage="1" showErrorMessage="1" sqref="AA26 AJ30:AQ30 AP26:AQ26 AP98:AV98 AX98:BA98 AD62:AH62 AJ62:BA69 AO8:BA21 F30:X30 F96 AG32:AI32 AB98:AB99 AP28:AQ29 AD63:AI69 AV96:BA96 AD28:AD29 AD27:AQ27 AD26:AN26 AE28:AN28 AF29:AN29 AW27:AW31 L10:U10 Z98 H96:AA96 F26:G29 F74:BA79 AX32:AY32 F99:AA99 F98:S98 AK32:AM32 F31:M33 N32:AA32 L51:AG53 L46:N46 L50:N50 F62:AC69 AC98:AF98 U98:X98 AH98:AN98 V8:AM21 L8:U8 F8:J8 F9:U9 F11:U21 F10:J10 Z30:AH30 AC32:AE32 AP31:AQ33 AO32 N31:AO31 N33:AO33 BA32 AW33:BA33 F34:BA35 M37 F38:BA41 P46:BA46 X48:Y48 X47:AG47 AA48:AG48 X49:AG49 V47:V48 L47:U49 W47:W49 P50:AF50 AC96:AT96 F97:BA97 F104:BA107 F46:K53 AX26:BA31 AR26:AV33 AC26:AC29 F54:AG57 AD84:AH84 AI89 AC99:BA99 AH47:BA57 AD85:AI85 H27:AB29 H26:Y26 AN10 F84:AC91 AD86:AH91 AJ84:BA91 F36:L37 N36:BA37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scale="33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" sqref="H1:H1048576"/>
    </sheetView>
  </sheetViews>
  <sheetFormatPr baseColWidth="10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A91C37-031C-4FBA-8BDA-BC8621AB326B}">
  <ds:schemaRefs>
    <ds:schemaRef ds:uri="http://schemas.microsoft.com/office/2006/documentManagement/types"/>
    <ds:schemaRef ds:uri="http://purl.org/dc/elements/1.1/"/>
    <ds:schemaRef ds:uri="3a8a17c4-9af7-4381-8f5a-7fb3c1c08016"/>
    <ds:schemaRef ds:uri="http://purl.org/dc/dcmitype/"/>
    <ds:schemaRef ds:uri="http://www.w3.org/XML/1998/namespace"/>
    <ds:schemaRef ds:uri="http://purl.org/dc/terms/"/>
    <ds:schemaRef ds:uri="1534d63c-4987-40b7-a861-e7a9b6fa877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579D1B9-DF71-4A8D-9F66-21215146EBC0}"/>
</file>

<file path=customXml/itemProps3.xml><?xml version="1.0" encoding="utf-8"?>
<ds:datastoreItem xmlns:ds="http://schemas.openxmlformats.org/officeDocument/2006/customXml" ds:itemID="{49D2CB0B-B918-4B2C-A91A-44A789650AD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99E5D5A-86C6-4E4F-AFE8-97A81B849E5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 DE TRABAJO ANUAL </vt:lpstr>
      <vt:lpstr>Hoja1</vt:lpstr>
      <vt:lpstr>'PLAN DE TRABAJO ANUAL '!Área_de_impresión</vt:lpstr>
      <vt:lpstr>'PLAN DE TRABAJO ANUAL '!Títulos_a_imprimir</vt:lpstr>
    </vt:vector>
  </TitlesOfParts>
  <Company>flamingo oil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Trabajo SSOMA 2</dc:title>
  <dc:creator>flamingo oil</dc:creator>
  <cp:lastModifiedBy>Usuario de red</cp:lastModifiedBy>
  <cp:lastPrinted>2012-12-07T17:38:32Z</cp:lastPrinted>
  <dcterms:created xsi:type="dcterms:W3CDTF">2009-06-27T16:19:01Z</dcterms:created>
  <dcterms:modified xsi:type="dcterms:W3CDTF">2019-08-17T16:20:07Z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94400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