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iosteeldecolombia-my.sharepoint.com/personal/almacen2_biosteeldecolombia_com/Documents/Escritorio/"/>
    </mc:Choice>
  </mc:AlternateContent>
  <xr:revisionPtr revIDLastSave="3" documentId="8_{72AB3DEB-592C-4BDE-A91C-24B3E57E2027}" xr6:coauthVersionLast="47" xr6:coauthVersionMax="47" xr10:uidLastSave="{92B18047-A430-4D42-80EB-44EB1BB60C58}"/>
  <bookViews>
    <workbookView xWindow="-120" yWindow="-120" windowWidth="20730" windowHeight="11040" firstSheet="4" activeTab="7" xr2:uid="{00000000-000D-0000-FFFF-FFFF00000000}"/>
  </bookViews>
  <sheets>
    <sheet name="GENERAL" sheetId="2" r:id="rId1"/>
    <sheet name="NAYERLYS MONTES" sheetId="19" r:id="rId2"/>
    <sheet name="MOISES RINCON" sheetId="16" r:id="rId3"/>
    <sheet name="MARIO OROZCO" sheetId="1" r:id="rId4"/>
    <sheet name="STEFANY DE LA HOZ" sheetId="17" r:id="rId5"/>
    <sheet name="JOSE HENAO" sheetId="18" r:id="rId6"/>
    <sheet name="KEISSY ARRIETA" sheetId="14" r:id="rId7"/>
    <sheet name="JUSTIN ORTIZ" sheetId="15" r:id="rId8"/>
  </sheets>
  <definedNames>
    <definedName name="_xlnm.Print_Area" localSheetId="5">'JOSE HENAO'!$A$1:$M$26</definedName>
    <definedName name="_xlnm.Print_Area" localSheetId="3">'MARIO OROZCO'!$A$1:$M$21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J15" i="1"/>
  <c r="H8" i="14"/>
  <c r="H8" i="17"/>
  <c r="J11" i="18"/>
  <c r="J10" i="18"/>
  <c r="J9" i="18"/>
  <c r="J8" i="18"/>
  <c r="H11" i="18"/>
  <c r="H10" i="18"/>
  <c r="H9" i="18"/>
  <c r="D17" i="18"/>
  <c r="H8" i="19" l="1"/>
  <c r="J10" i="19"/>
  <c r="H10" i="17"/>
  <c r="H8" i="15"/>
  <c r="H9" i="15"/>
  <c r="J10" i="14" l="1"/>
  <c r="J11" i="15"/>
  <c r="H9" i="17" l="1"/>
  <c r="G18" i="2" l="1"/>
  <c r="E14" i="1"/>
  <c r="H8" i="16" l="1"/>
  <c r="J10" i="16"/>
  <c r="D23" i="2" l="1"/>
  <c r="I9" i="2" l="1"/>
  <c r="I10" i="2" l="1"/>
  <c r="I11" i="2"/>
  <c r="I12" i="2"/>
  <c r="I13" i="2"/>
  <c r="I14" i="2"/>
  <c r="I15" i="2"/>
  <c r="I16" i="2"/>
  <c r="I17" i="2"/>
  <c r="I18" i="2"/>
</calcChain>
</file>

<file path=xl/sharedStrings.xml><?xml version="1.0" encoding="utf-8"?>
<sst xmlns="http://schemas.openxmlformats.org/spreadsheetml/2006/main" count="247" uniqueCount="81">
  <si>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</si>
  <si>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</si>
  <si>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</si>
  <si>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</si>
  <si>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</si>
  <si>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</si>
  <si>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</si>
  <si>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</si>
  <si>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</si>
  <si>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</si>
  <si>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</si>
  <si>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</si>
  <si>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</si>
  <si>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</si>
  <si>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</si>
  <si>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</si>
  <si>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</si>
  <si>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</si>
  <si>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</si>
  <si>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</si>
  <si>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</si>
  <si>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</si>
  <si>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</si>
  <si>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</si>
  <si>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</si>
  <si>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</si>
  <si>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</si>
  <si>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</si>
  <si>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</si>
  <si>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</si>
  <si>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</si>
  <si>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</si>
  <si>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</si>
  <si>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</si>
  <si>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</si>
  <si>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</si>
  <si>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</si>
  <si>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>Silia Diaz</t>
  </si>
  <si>
    <t xml:space="preserve">Silia Diaz </t>
  </si>
  <si>
    <t>KEISY ARRIETA</t>
  </si>
  <si>
    <t xml:space="preserve">JUSTIN ORTIZ RUIZ </t>
  </si>
  <si>
    <t>KEISSY ARRIETA</t>
  </si>
  <si>
    <t>AUXILIAR ADMONISTRATIVO</t>
  </si>
  <si>
    <t>RESPONSABLE:</t>
  </si>
  <si>
    <t xml:space="preserve">MOISES RINCON </t>
  </si>
  <si>
    <t>Mensajero</t>
  </si>
  <si>
    <t>MOISES RINCON</t>
  </si>
  <si>
    <t>MENSAJERO</t>
  </si>
  <si>
    <t>STEFANY DE L AHOZ</t>
  </si>
  <si>
    <t>Aux  Compras</t>
  </si>
  <si>
    <t xml:space="preserve">STEFANY DE LA HOZ </t>
  </si>
  <si>
    <t>Auxiliar Cotizaciones</t>
  </si>
  <si>
    <t>STEFANY DE LA HOZ</t>
  </si>
  <si>
    <t>AUX. COMPRAS</t>
  </si>
  <si>
    <t>JOSE HENAO</t>
  </si>
  <si>
    <t>EMA ROMERO</t>
  </si>
  <si>
    <t>ORDEN DE COMPRA MAYORITARIO</t>
  </si>
  <si>
    <t>ORDENES DE COMPRA PXP</t>
  </si>
  <si>
    <t>ESPERANDO MATERIALES DE TOCAMEDIC Y ENVIAR A BARU</t>
  </si>
  <si>
    <t>NAYERLY MONTES</t>
  </si>
  <si>
    <t xml:space="preserve">AEROPUERTO -AEROPUERTO </t>
  </si>
  <si>
    <t>NAYERLYS MONTE</t>
  </si>
  <si>
    <t>AUXILIAR</t>
  </si>
  <si>
    <t xml:space="preserve">COTIZACIONES </t>
  </si>
  <si>
    <t>RECIBIR MATERIAL DE RP Y BAJARLO A CAMPBELL</t>
  </si>
  <si>
    <t>RECIBIR MATERIAL DE RP Y BAJARLO A CAMPBELL Y ENVIAR EQUIPO PARA BAHIA</t>
  </si>
  <si>
    <t>ESPERANDO MATERIAL DE TODO ORTOPEDICO Y ENVIARLO A BARU</t>
  </si>
  <si>
    <t xml:space="preserve">DICEIMBRE </t>
  </si>
  <si>
    <t>A:ENERO</t>
  </si>
  <si>
    <t>DICIEMBRE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</si>
  <si>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ENERO</t>
    </r>
  </si>
  <si>
    <t xml:space="preserve">SILIA DIAZ </t>
  </si>
  <si>
    <t>A: ENERO</t>
  </si>
  <si>
    <t>ESPERANDO MATERIALES DE TODOORTOPEDICO</t>
  </si>
  <si>
    <t>ESPERANDO MATERIALES DE TODOORTOPEDICO, BAJAR A CAMPBELL Y ENVIAR A BAHIA</t>
  </si>
  <si>
    <t>ESPERANDO MATERIAL DE TODO ORTOPEDICO</t>
  </si>
  <si>
    <t>LAVANDO ROTULAS , REPOSICION DE CADERA DE STRYKER Y ESPERANDO RTODO ORTOPEDICO</t>
  </si>
  <si>
    <t>NAYERLYS MONTES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</si>
  <si>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:ENERO</t>
    </r>
  </si>
  <si>
    <t>DICIEMBRE/ENERO</t>
  </si>
  <si>
    <t>AUX COTIZACIONES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</si>
</sst>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5" fontId="3" fillId="0" borderId="1" xfId="2" applyNumberFormat="1" applyFont="1" applyBorder="1" applyAlignment="1">
      <alignment horizontal="center" vertical="center"/>
    </xf>
    <xf numFmtId="165" fontId="6" fillId="0" borderId="1" xfId="2" applyNumberFormat="1" applyFont="1" applyBorder="1"/>
    <xf numFmtId="165" fontId="6" fillId="0" borderId="1" xfId="0" applyNumberFormat="1" applyFont="1" applyBorder="1"/>
    <xf numFmtId="20" fontId="3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165" fontId="3" fillId="0" borderId="7" xfId="2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5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165" fontId="6" fillId="0" borderId="6" xfId="2" applyNumberFormat="1" applyFont="1" applyBorder="1" applyAlignment="1">
      <alignment horizontal="left" vertical="center"/>
    </xf>
    <xf numFmtId="165" fontId="6" fillId="0" borderId="7" xfId="2" applyNumberFormat="1" applyFont="1" applyBorder="1" applyAlignment="1">
      <alignment horizontal="left" vertical="center"/>
    </xf>
    <xf numFmtId="165" fontId="3" fillId="0" borderId="1" xfId="4" applyNumberFormat="1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20" fontId="3" fillId="0" borderId="13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5">
    <cellStyle name="Millares" xfId="2" builtinId="3"/>
    <cellStyle name="Millares 2" xfId="4" xr:uid="{6D9071CC-268F-4E5D-AD4A-7064E4DF6FA8}"/>
    <cellStyle name="Moneda" xfId="1" builtinId="4"/>
    <cellStyle name="Moneda 2" xfId="3" xr:uid="{DE384E4E-DC39-42FD-9BBD-E4E91463900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0A3D19-9098-4136-8EB8-D90FF845B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0AA6141-0FDF-4BEB-80CC-8F1AE117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49286"/>
          <a:ext cx="604405" cy="11896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topLeftCell="A7" workbookViewId="0">
      <selection activeCell="L6" sqref="L6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46" t="s">
        <v>28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18.7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ht="19.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5.75" x14ac:dyDescent="0.25">
      <c r="A5" s="47" t="s">
        <v>43</v>
      </c>
      <c r="B5" s="47"/>
      <c r="C5" s="48" t="s">
        <v>21</v>
      </c>
      <c r="D5" s="48"/>
      <c r="E5" s="48"/>
      <c r="F5" s="11" t="s">
        <v>9</v>
      </c>
      <c r="G5" s="43" t="s">
        <v>20</v>
      </c>
      <c r="H5" s="44"/>
      <c r="I5" s="11" t="s">
        <v>32</v>
      </c>
      <c r="J5" s="43" t="s">
        <v>33</v>
      </c>
      <c r="K5" s="45"/>
    </row>
    <row r="6" spans="1:11" ht="15.75" x14ac:dyDescent="0.25">
      <c r="A6" s="47" t="s">
        <v>31</v>
      </c>
      <c r="B6" s="47"/>
      <c r="C6" s="49" t="s">
        <v>79</v>
      </c>
      <c r="D6" s="50"/>
      <c r="E6" s="51"/>
      <c r="F6" s="52" t="s">
        <v>22</v>
      </c>
      <c r="G6" s="53"/>
      <c r="H6" s="41">
        <v>46007</v>
      </c>
      <c r="I6" s="42"/>
      <c r="J6" s="41">
        <v>46023</v>
      </c>
      <c r="K6" s="42"/>
    </row>
    <row r="7" spans="1:11" ht="47.25" x14ac:dyDescent="0.25">
      <c r="A7" s="2" t="s">
        <v>0</v>
      </c>
      <c r="B7" s="66" t="s">
        <v>23</v>
      </c>
      <c r="C7" s="67"/>
      <c r="D7" s="68"/>
      <c r="E7" s="55" t="s">
        <v>19</v>
      </c>
      <c r="F7" s="56"/>
      <c r="G7" s="3" t="s">
        <v>27</v>
      </c>
      <c r="H7" s="8" t="s">
        <v>29</v>
      </c>
      <c r="I7" s="8" t="s">
        <v>30</v>
      </c>
      <c r="J7" s="55" t="s">
        <v>34</v>
      </c>
      <c r="K7" s="56"/>
    </row>
    <row r="8" spans="1:11" ht="15.75" x14ac:dyDescent="0.25">
      <c r="A8" s="4">
        <v>1</v>
      </c>
      <c r="B8" s="59" t="s">
        <v>25</v>
      </c>
      <c r="C8" s="60"/>
      <c r="D8" s="61"/>
      <c r="E8" s="57" t="s">
        <v>26</v>
      </c>
      <c r="F8" s="58"/>
      <c r="G8" s="7">
        <v>3</v>
      </c>
      <c r="H8" s="9"/>
      <c r="I8" s="9"/>
      <c r="J8" s="54"/>
      <c r="K8" s="54"/>
    </row>
    <row r="9" spans="1:11" ht="15.75" x14ac:dyDescent="0.25">
      <c r="A9" s="4">
        <v>2</v>
      </c>
      <c r="B9" s="59" t="s">
        <v>41</v>
      </c>
      <c r="C9" s="60"/>
      <c r="D9" s="61"/>
      <c r="E9" s="57" t="s">
        <v>42</v>
      </c>
      <c r="F9" s="58"/>
      <c r="G9" s="7">
        <v>2</v>
      </c>
      <c r="H9" s="9"/>
      <c r="I9" s="9">
        <f>H9*G9</f>
        <v>0</v>
      </c>
      <c r="J9" s="54"/>
      <c r="K9" s="54"/>
    </row>
    <row r="10" spans="1:11" ht="15.75" x14ac:dyDescent="0.25">
      <c r="A10" s="4">
        <v>3</v>
      </c>
      <c r="B10" s="59" t="s">
        <v>24</v>
      </c>
      <c r="C10" s="60"/>
      <c r="D10" s="61"/>
      <c r="E10" s="57" t="s">
        <v>26</v>
      </c>
      <c r="F10" s="58"/>
      <c r="G10" s="7">
        <v>3</v>
      </c>
      <c r="H10" s="9"/>
      <c r="I10" s="9">
        <f t="shared" ref="I10:I18" si="0">H10*G10</f>
        <v>0</v>
      </c>
      <c r="J10" s="54"/>
      <c r="K10" s="54"/>
    </row>
    <row r="11" spans="1:11" ht="15.75" x14ac:dyDescent="0.25">
      <c r="A11" s="4">
        <v>4</v>
      </c>
      <c r="B11" s="59" t="s">
        <v>46</v>
      </c>
      <c r="C11" s="60"/>
      <c r="D11" s="61"/>
      <c r="E11" s="57" t="s">
        <v>47</v>
      </c>
      <c r="F11" s="58"/>
      <c r="G11" s="7">
        <v>3</v>
      </c>
      <c r="H11" s="9"/>
      <c r="I11" s="9">
        <f t="shared" si="0"/>
        <v>0</v>
      </c>
      <c r="J11" s="54"/>
      <c r="K11" s="54"/>
    </row>
    <row r="12" spans="1:11" ht="15.75" x14ac:dyDescent="0.25">
      <c r="A12" s="4">
        <v>5</v>
      </c>
      <c r="B12" s="59" t="s">
        <v>52</v>
      </c>
      <c r="C12" s="60"/>
      <c r="D12" s="61"/>
      <c r="E12" s="57" t="s">
        <v>53</v>
      </c>
      <c r="F12" s="58"/>
      <c r="G12" s="7">
        <v>7</v>
      </c>
      <c r="H12" s="9"/>
      <c r="I12" s="9">
        <f t="shared" si="0"/>
        <v>0</v>
      </c>
      <c r="J12" s="54"/>
      <c r="K12" s="54"/>
    </row>
    <row r="13" spans="1:11" ht="15.75" x14ac:dyDescent="0.25">
      <c r="A13" s="4">
        <v>6</v>
      </c>
      <c r="B13" s="59" t="s">
        <v>54</v>
      </c>
      <c r="C13" s="60"/>
      <c r="D13" s="61"/>
      <c r="E13" s="57" t="s">
        <v>26</v>
      </c>
      <c r="F13" s="58"/>
      <c r="G13" s="7">
        <v>16</v>
      </c>
      <c r="H13" s="9"/>
      <c r="I13" s="9">
        <f t="shared" si="0"/>
        <v>0</v>
      </c>
      <c r="J13" s="54"/>
      <c r="K13" s="54"/>
    </row>
    <row r="14" spans="1:11" ht="15.75" x14ac:dyDescent="0.25">
      <c r="A14" s="4">
        <v>7</v>
      </c>
      <c r="B14" s="59" t="s">
        <v>61</v>
      </c>
      <c r="C14" s="60"/>
      <c r="D14" s="61"/>
      <c r="E14" s="57" t="s">
        <v>62</v>
      </c>
      <c r="F14" s="58"/>
      <c r="G14" s="7">
        <v>2</v>
      </c>
      <c r="H14" s="9"/>
      <c r="I14" s="9">
        <f t="shared" si="0"/>
        <v>0</v>
      </c>
      <c r="J14" s="54"/>
      <c r="K14" s="54"/>
    </row>
    <row r="15" spans="1:11" ht="15.75" x14ac:dyDescent="0.25">
      <c r="A15" s="4">
        <v>8</v>
      </c>
      <c r="B15" s="59"/>
      <c r="C15" s="60"/>
      <c r="D15" s="61"/>
      <c r="E15" s="62"/>
      <c r="F15" s="63"/>
      <c r="G15" s="7"/>
      <c r="H15" s="9"/>
      <c r="I15" s="9">
        <f t="shared" si="0"/>
        <v>0</v>
      </c>
      <c r="J15" s="54"/>
      <c r="K15" s="54"/>
    </row>
    <row r="16" spans="1:11" ht="15.75" x14ac:dyDescent="0.25">
      <c r="A16" s="4">
        <v>9</v>
      </c>
      <c r="B16" s="59"/>
      <c r="C16" s="60"/>
      <c r="D16" s="61"/>
      <c r="E16" s="62"/>
      <c r="F16" s="63"/>
      <c r="G16" s="7"/>
      <c r="H16" s="9"/>
      <c r="I16" s="9">
        <f t="shared" si="0"/>
        <v>0</v>
      </c>
      <c r="J16" s="54"/>
      <c r="K16" s="54"/>
    </row>
    <row r="17" spans="1:11" ht="15.75" x14ac:dyDescent="0.25">
      <c r="A17" s="4">
        <v>10</v>
      </c>
      <c r="B17" s="59"/>
      <c r="C17" s="60"/>
      <c r="D17" s="61"/>
      <c r="E17" s="62"/>
      <c r="F17" s="63"/>
      <c r="G17" s="7"/>
      <c r="H17" s="9"/>
      <c r="I17" s="9">
        <f t="shared" si="0"/>
        <v>0</v>
      </c>
      <c r="J17" s="54"/>
      <c r="K17" s="54"/>
    </row>
    <row r="18" spans="1:11" ht="15.75" x14ac:dyDescent="0.25">
      <c r="A18" s="4">
        <v>11</v>
      </c>
      <c r="B18" s="59"/>
      <c r="C18" s="60"/>
      <c r="D18" s="61"/>
      <c r="E18" s="62"/>
      <c r="F18" s="63"/>
      <c r="G18" s="7">
        <f>SUM(G8:G17)</f>
        <v>36</v>
      </c>
      <c r="H18" s="9"/>
      <c r="I18" s="9">
        <f t="shared" si="0"/>
        <v>0</v>
      </c>
      <c r="J18" s="54"/>
      <c r="K18" s="54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100000000000001" customHeight="1" x14ac:dyDescent="0.25">
      <c r="A21" s="64" t="s">
        <v>16</v>
      </c>
      <c r="B21" s="64"/>
      <c r="C21" s="70" t="s">
        <v>55</v>
      </c>
      <c r="D21" s="70"/>
      <c r="E21" s="70"/>
      <c r="F21" s="70"/>
      <c r="G21" s="70"/>
      <c r="H21" s="1"/>
      <c r="I21" s="1"/>
      <c r="J21" s="1"/>
      <c r="K21" s="1"/>
    </row>
    <row r="22" spans="1:11" ht="20.100000000000001" customHeight="1" x14ac:dyDescent="0.25">
      <c r="A22" s="64" t="s">
        <v>17</v>
      </c>
      <c r="B22" s="64"/>
      <c r="C22" s="65"/>
      <c r="D22" s="65"/>
      <c r="E22" s="65"/>
      <c r="F22" s="65"/>
      <c r="G22" s="65"/>
      <c r="H22" s="1"/>
      <c r="I22" s="1"/>
      <c r="J22" s="1"/>
      <c r="K22" s="1"/>
    </row>
    <row r="23" spans="1:11" ht="20.100000000000001" customHeight="1" x14ac:dyDescent="0.25">
      <c r="A23" s="64" t="s">
        <v>18</v>
      </c>
      <c r="B23" s="64"/>
      <c r="C23" s="64"/>
      <c r="D23" s="69">
        <f ca="1">TODAY()</f>
        <v>46043</v>
      </c>
      <c r="E23" s="65"/>
      <c r="F23" s="65"/>
      <c r="G23" s="65"/>
      <c r="H23" s="1"/>
      <c r="I23" s="1"/>
      <c r="J23" s="1"/>
      <c r="K23" s="1"/>
    </row>
    <row r="24" spans="1:11" ht="20.100000000000001" customHeight="1" x14ac:dyDescent="0.25"/>
  </sheetData>
  <mergeCells count="52">
    <mergeCell ref="B7:D7"/>
    <mergeCell ref="B8:D8"/>
    <mergeCell ref="A6:B6"/>
    <mergeCell ref="D23:G23"/>
    <mergeCell ref="C21:G21"/>
    <mergeCell ref="E11:F11"/>
    <mergeCell ref="E12:F12"/>
    <mergeCell ref="E13:F13"/>
    <mergeCell ref="E14:F14"/>
    <mergeCell ref="E15:F15"/>
    <mergeCell ref="E16:F16"/>
    <mergeCell ref="A23:C23"/>
    <mergeCell ref="B9:D9"/>
    <mergeCell ref="B10:D10"/>
    <mergeCell ref="J18:K18"/>
    <mergeCell ref="A21:B21"/>
    <mergeCell ref="A22:B22"/>
    <mergeCell ref="B18:D18"/>
    <mergeCell ref="E18:F18"/>
    <mergeCell ref="C22:G22"/>
    <mergeCell ref="J15:K15"/>
    <mergeCell ref="J16:K16"/>
    <mergeCell ref="J17:K17"/>
    <mergeCell ref="B15:D15"/>
    <mergeCell ref="B16:D16"/>
    <mergeCell ref="B17:D17"/>
    <mergeCell ref="E17:F17"/>
    <mergeCell ref="J13:K13"/>
    <mergeCell ref="J14:K14"/>
    <mergeCell ref="B12:D12"/>
    <mergeCell ref="B13:D13"/>
    <mergeCell ref="B14:D14"/>
    <mergeCell ref="J10:K10"/>
    <mergeCell ref="J11:K11"/>
    <mergeCell ref="B11:D11"/>
    <mergeCell ref="E10:F10"/>
    <mergeCell ref="J12:K12"/>
    <mergeCell ref="J8:K8"/>
    <mergeCell ref="J9:K9"/>
    <mergeCell ref="E7:F7"/>
    <mergeCell ref="E8:F8"/>
    <mergeCell ref="E9:F9"/>
    <mergeCell ref="J7:K7"/>
    <mergeCell ref="J6:K6"/>
    <mergeCell ref="G5:H5"/>
    <mergeCell ref="J5:K5"/>
    <mergeCell ref="A2:K4"/>
    <mergeCell ref="A5:B5"/>
    <mergeCell ref="C5:E5"/>
    <mergeCell ref="C6:E6"/>
    <mergeCell ref="F6:G6"/>
    <mergeCell ref="H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0B57-69CA-49C8-923D-95346788F635}">
  <dimension ref="A2:L14"/>
  <sheetViews>
    <sheetView workbookViewId="0">
      <selection activeCell="G5" sqref="G5:H5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ht="28.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47" t="s">
        <v>12</v>
      </c>
      <c r="B5" s="47"/>
      <c r="C5" s="73" t="s">
        <v>77</v>
      </c>
      <c r="D5" s="71"/>
      <c r="E5" s="52" t="s">
        <v>11</v>
      </c>
      <c r="F5" s="53"/>
      <c r="G5" s="74">
        <v>72157200</v>
      </c>
      <c r="H5" s="75"/>
      <c r="I5" s="52" t="s">
        <v>9</v>
      </c>
      <c r="J5" s="53"/>
      <c r="K5" s="75" t="s">
        <v>80</v>
      </c>
      <c r="L5" s="76"/>
    </row>
    <row r="6" spans="1:12" ht="15.75" x14ac:dyDescent="0.25">
      <c r="A6" s="47" t="s">
        <v>35</v>
      </c>
      <c r="B6" s="47"/>
      <c r="C6" s="49" t="s">
        <v>69</v>
      </c>
      <c r="D6" s="51"/>
      <c r="E6" s="52" t="s">
        <v>36</v>
      </c>
      <c r="F6" s="53"/>
      <c r="G6" s="59">
        <v>46007</v>
      </c>
      <c r="H6" s="77"/>
      <c r="I6" s="49" t="s">
        <v>70</v>
      </c>
      <c r="J6" s="51"/>
      <c r="K6" s="59">
        <v>46037</v>
      </c>
      <c r="L6" s="71"/>
    </row>
    <row r="7" spans="1:12" ht="31.5" x14ac:dyDescent="0.25">
      <c r="A7" s="20" t="s">
        <v>0</v>
      </c>
      <c r="B7" s="20" t="s">
        <v>5</v>
      </c>
      <c r="C7" s="79" t="s">
        <v>6</v>
      </c>
      <c r="D7" s="79"/>
      <c r="E7" s="17" t="s">
        <v>1</v>
      </c>
      <c r="F7" s="17" t="s">
        <v>2</v>
      </c>
      <c r="G7" s="17" t="s">
        <v>13</v>
      </c>
      <c r="H7" s="17" t="s">
        <v>14</v>
      </c>
      <c r="I7" s="17" t="s">
        <v>3</v>
      </c>
      <c r="J7" s="17" t="s">
        <v>4</v>
      </c>
      <c r="K7" s="80" t="s">
        <v>7</v>
      </c>
      <c r="L7" s="80"/>
    </row>
    <row r="8" spans="1:12" ht="18" customHeight="1" x14ac:dyDescent="0.25">
      <c r="A8" s="4">
        <v>1</v>
      </c>
      <c r="B8" s="5">
        <v>46028</v>
      </c>
      <c r="C8" s="81" t="s">
        <v>63</v>
      </c>
      <c r="D8" s="81"/>
      <c r="E8" s="6">
        <v>0.33333333333333331</v>
      </c>
      <c r="F8" s="6">
        <v>0.85138888888888886</v>
      </c>
      <c r="G8" s="6">
        <v>4.1666666666666664E-2</v>
      </c>
      <c r="H8" s="6">
        <f>(F8-E8-G8)</f>
        <v>0.47638888888888881</v>
      </c>
      <c r="I8" s="6">
        <v>0.375</v>
      </c>
      <c r="J8" s="36">
        <v>2</v>
      </c>
      <c r="K8" s="54" t="s">
        <v>38</v>
      </c>
      <c r="L8" s="54"/>
    </row>
    <row r="9" spans="1:12" ht="15.75" x14ac:dyDescent="0.25">
      <c r="A9" s="1"/>
      <c r="B9" s="1"/>
      <c r="C9" s="1"/>
      <c r="D9" s="1"/>
      <c r="E9" s="1"/>
      <c r="F9" s="26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78" t="s">
        <v>15</v>
      </c>
      <c r="I10" s="78"/>
      <c r="J10" s="14">
        <f>SUM(J8:J9)</f>
        <v>2</v>
      </c>
      <c r="K10" s="1"/>
      <c r="L10" s="1"/>
    </row>
    <row r="11" spans="1:12" x14ac:dyDescent="0.25">
      <c r="A11" s="64" t="s">
        <v>16</v>
      </c>
      <c r="B11" s="64"/>
      <c r="C11" s="70" t="s">
        <v>59</v>
      </c>
      <c r="D11" s="70"/>
      <c r="E11" s="70"/>
    </row>
    <row r="12" spans="1:12" x14ac:dyDescent="0.25">
      <c r="A12" s="64" t="s">
        <v>17</v>
      </c>
      <c r="B12" s="64"/>
      <c r="C12" s="65" t="s">
        <v>37</v>
      </c>
      <c r="D12" s="65"/>
      <c r="E12" s="65"/>
    </row>
    <row r="13" spans="1:12" x14ac:dyDescent="0.25">
      <c r="A13" s="64" t="s">
        <v>18</v>
      </c>
      <c r="B13" s="64"/>
      <c r="C13" s="64"/>
      <c r="D13" s="69">
        <v>46038</v>
      </c>
      <c r="E13" s="65"/>
    </row>
    <row r="14" spans="1:12" x14ac:dyDescent="0.25">
      <c r="J14" s="16"/>
    </row>
  </sheetData>
  <mergeCells count="24">
    <mergeCell ref="A12:B12"/>
    <mergeCell ref="C12:E12"/>
    <mergeCell ref="A13:C13"/>
    <mergeCell ref="D13:E13"/>
    <mergeCell ref="C8:D8"/>
    <mergeCell ref="H10:I10"/>
    <mergeCell ref="A11:B11"/>
    <mergeCell ref="C11:E11"/>
    <mergeCell ref="C7:D7"/>
    <mergeCell ref="K7:L7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L14"/>
  <sheetViews>
    <sheetView workbookViewId="0">
      <selection activeCell="G13" sqref="G13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ht="28.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47" t="s">
        <v>12</v>
      </c>
      <c r="B5" s="47"/>
      <c r="C5" s="73" t="s">
        <v>44</v>
      </c>
      <c r="D5" s="71"/>
      <c r="E5" s="52" t="s">
        <v>11</v>
      </c>
      <c r="F5" s="53"/>
      <c r="G5" s="74">
        <v>72157200</v>
      </c>
      <c r="H5" s="75"/>
      <c r="I5" s="52" t="s">
        <v>9</v>
      </c>
      <c r="J5" s="53"/>
      <c r="K5" s="75" t="s">
        <v>45</v>
      </c>
      <c r="L5" s="76"/>
    </row>
    <row r="6" spans="1:12" ht="15.75" x14ac:dyDescent="0.25">
      <c r="A6" s="47" t="s">
        <v>35</v>
      </c>
      <c r="B6" s="47"/>
      <c r="C6" s="49" t="s">
        <v>69</v>
      </c>
      <c r="D6" s="51"/>
      <c r="E6" s="52" t="s">
        <v>36</v>
      </c>
      <c r="F6" s="53"/>
      <c r="G6" s="59">
        <v>46007</v>
      </c>
      <c r="H6" s="77"/>
      <c r="I6" s="49" t="s">
        <v>70</v>
      </c>
      <c r="J6" s="51"/>
      <c r="K6" s="59">
        <v>46037</v>
      </c>
      <c r="L6" s="71"/>
    </row>
    <row r="7" spans="1:12" ht="31.5" x14ac:dyDescent="0.25">
      <c r="A7" s="20" t="s">
        <v>0</v>
      </c>
      <c r="B7" s="20" t="s">
        <v>5</v>
      </c>
      <c r="C7" s="79" t="s">
        <v>6</v>
      </c>
      <c r="D7" s="79"/>
      <c r="E7" s="17" t="s">
        <v>1</v>
      </c>
      <c r="F7" s="17" t="s">
        <v>2</v>
      </c>
      <c r="G7" s="17" t="s">
        <v>13</v>
      </c>
      <c r="H7" s="17" t="s">
        <v>14</v>
      </c>
      <c r="I7" s="17" t="s">
        <v>3</v>
      </c>
      <c r="J7" s="17" t="s">
        <v>4</v>
      </c>
      <c r="K7" s="80" t="s">
        <v>7</v>
      </c>
      <c r="L7" s="80"/>
    </row>
    <row r="8" spans="1:12" ht="15.75" x14ac:dyDescent="0.25">
      <c r="A8" s="21">
        <v>1</v>
      </c>
      <c r="B8" s="25">
        <v>46032</v>
      </c>
      <c r="C8" s="82" t="s">
        <v>60</v>
      </c>
      <c r="D8" s="82"/>
      <c r="E8" s="22">
        <v>0.33333333333333331</v>
      </c>
      <c r="F8" s="22">
        <v>0.46944444444444444</v>
      </c>
      <c r="G8" s="23">
        <v>0</v>
      </c>
      <c r="H8" s="22">
        <f>(F8-E8-G8)</f>
        <v>0.13611111111111113</v>
      </c>
      <c r="I8" s="23">
        <v>0</v>
      </c>
      <c r="J8" s="24">
        <v>3</v>
      </c>
      <c r="K8" s="82" t="s">
        <v>38</v>
      </c>
      <c r="L8" s="82"/>
    </row>
    <row r="9" spans="1:12" ht="15.75" x14ac:dyDescent="0.25">
      <c r="A9" s="1"/>
      <c r="B9" s="1"/>
      <c r="C9" s="1"/>
      <c r="D9" s="1"/>
      <c r="E9" s="1"/>
      <c r="F9" s="26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78" t="s">
        <v>15</v>
      </c>
      <c r="I10" s="78"/>
      <c r="J10" s="14">
        <f>SUM(J8:J9)</f>
        <v>3</v>
      </c>
      <c r="K10" s="1"/>
      <c r="L10" s="1"/>
    </row>
    <row r="11" spans="1:12" x14ac:dyDescent="0.25">
      <c r="A11" s="64" t="s">
        <v>16</v>
      </c>
      <c r="B11" s="64"/>
      <c r="C11" s="70" t="s">
        <v>44</v>
      </c>
      <c r="D11" s="70"/>
      <c r="E11" s="70"/>
    </row>
    <row r="12" spans="1:12" x14ac:dyDescent="0.25">
      <c r="A12" s="64" t="s">
        <v>17</v>
      </c>
      <c r="B12" s="64"/>
      <c r="C12" s="65" t="s">
        <v>37</v>
      </c>
      <c r="D12" s="65"/>
      <c r="E12" s="65"/>
    </row>
    <row r="13" spans="1:12" x14ac:dyDescent="0.25">
      <c r="A13" s="64" t="s">
        <v>18</v>
      </c>
      <c r="B13" s="64"/>
      <c r="C13" s="64"/>
      <c r="D13" s="69">
        <v>46038</v>
      </c>
      <c r="E13" s="65"/>
    </row>
    <row r="14" spans="1:12" x14ac:dyDescent="0.25">
      <c r="J14" s="16"/>
    </row>
  </sheetData>
  <mergeCells count="24">
    <mergeCell ref="A6:B6"/>
    <mergeCell ref="C6:D6"/>
    <mergeCell ref="E6:F6"/>
    <mergeCell ref="G6:H6"/>
    <mergeCell ref="I6:J6"/>
    <mergeCell ref="A2:L4"/>
    <mergeCell ref="A5:B5"/>
    <mergeCell ref="C5:D5"/>
    <mergeCell ref="E5:F5"/>
    <mergeCell ref="G5:H5"/>
    <mergeCell ref="I5:J5"/>
    <mergeCell ref="K5:L5"/>
    <mergeCell ref="C7:D7"/>
    <mergeCell ref="K7:L7"/>
    <mergeCell ref="C8:D8"/>
    <mergeCell ref="K8:L8"/>
    <mergeCell ref="K6:L6"/>
    <mergeCell ref="A13:C13"/>
    <mergeCell ref="D13:E13"/>
    <mergeCell ref="H10:I10"/>
    <mergeCell ref="A11:B11"/>
    <mergeCell ref="C11:E11"/>
    <mergeCell ref="A12:B12"/>
    <mergeCell ref="C12:E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9"/>
  <sheetViews>
    <sheetView showGridLines="0" showRuler="0" showWhiteSpace="0" zoomScaleNormal="100" workbookViewId="0">
      <selection activeCell="H12" sqref="H12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4" ht="17.2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4" ht="1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4" ht="17.100000000000001" customHeight="1" x14ac:dyDescent="0.25">
      <c r="A5" s="47" t="s">
        <v>12</v>
      </c>
      <c r="B5" s="47"/>
      <c r="C5" s="73" t="s">
        <v>25</v>
      </c>
      <c r="D5" s="71"/>
      <c r="E5" s="52" t="s">
        <v>11</v>
      </c>
      <c r="F5" s="53"/>
      <c r="G5" s="74">
        <v>1143121183</v>
      </c>
      <c r="H5" s="75"/>
      <c r="I5" s="52" t="s">
        <v>9</v>
      </c>
      <c r="J5" s="53"/>
      <c r="K5" s="75" t="s">
        <v>10</v>
      </c>
      <c r="L5" s="76"/>
      <c r="N5" s="10" t="s">
        <v>13</v>
      </c>
    </row>
    <row r="6" spans="1:14" ht="17.100000000000001" customHeight="1" x14ac:dyDescent="0.25">
      <c r="A6" s="47" t="s">
        <v>35</v>
      </c>
      <c r="B6" s="47"/>
      <c r="C6" s="49" t="s">
        <v>69</v>
      </c>
      <c r="D6" s="51"/>
      <c r="E6" s="52" t="s">
        <v>36</v>
      </c>
      <c r="F6" s="53"/>
      <c r="G6" s="59">
        <v>46007</v>
      </c>
      <c r="H6" s="77"/>
      <c r="I6" s="89" t="s">
        <v>72</v>
      </c>
      <c r="J6" s="90"/>
      <c r="K6" s="59">
        <v>46037</v>
      </c>
      <c r="L6" s="71"/>
    </row>
    <row r="7" spans="1:14" ht="48" customHeight="1" x14ac:dyDescent="0.25">
      <c r="A7" s="2" t="s">
        <v>0</v>
      </c>
      <c r="B7" s="2" t="s">
        <v>5</v>
      </c>
      <c r="C7" s="84" t="s">
        <v>6</v>
      </c>
      <c r="D7" s="84"/>
      <c r="E7" s="3" t="s">
        <v>1</v>
      </c>
      <c r="F7" s="3" t="s">
        <v>2</v>
      </c>
      <c r="G7" s="3" t="s">
        <v>13</v>
      </c>
      <c r="H7" s="17" t="s">
        <v>14</v>
      </c>
      <c r="I7" s="3" t="s">
        <v>3</v>
      </c>
      <c r="J7" s="3" t="s">
        <v>4</v>
      </c>
      <c r="K7" s="83" t="s">
        <v>7</v>
      </c>
      <c r="L7" s="83"/>
    </row>
    <row r="8" spans="1:14" ht="28.5" customHeight="1" x14ac:dyDescent="0.25">
      <c r="A8" s="4">
        <v>1</v>
      </c>
      <c r="B8" s="5">
        <v>46013</v>
      </c>
      <c r="C8" s="81" t="s">
        <v>76</v>
      </c>
      <c r="D8" s="81"/>
      <c r="E8" s="6">
        <v>0.34652777777777777</v>
      </c>
      <c r="F8" s="33">
        <v>0.79166666666666663</v>
      </c>
      <c r="G8" s="37">
        <v>4.1666666666666664E-2</v>
      </c>
      <c r="H8" s="22">
        <f>(F8-E8-G8)</f>
        <v>0.40347222222222218</v>
      </c>
      <c r="I8" s="38">
        <v>0.375</v>
      </c>
      <c r="J8" s="34">
        <v>1</v>
      </c>
      <c r="K8" s="85" t="s">
        <v>38</v>
      </c>
      <c r="L8" s="85"/>
    </row>
    <row r="9" spans="1:14" ht="15.75" customHeight="1" x14ac:dyDescent="0.25">
      <c r="A9" s="4">
        <v>3</v>
      </c>
      <c r="B9" s="5">
        <v>46029</v>
      </c>
      <c r="C9" s="81" t="s">
        <v>75</v>
      </c>
      <c r="D9" s="81"/>
      <c r="E9" s="15">
        <v>0.34097222222222223</v>
      </c>
      <c r="F9" s="22">
        <v>0.81666666666666665</v>
      </c>
      <c r="G9" s="39">
        <v>4.1666666666666664E-2</v>
      </c>
      <c r="H9" s="22">
        <f t="shared" ref="H9" si="0">(F9-E9-G9)</f>
        <v>0.43402777777777773</v>
      </c>
      <c r="I9" s="40">
        <v>0.375</v>
      </c>
      <c r="J9" s="35">
        <v>2</v>
      </c>
      <c r="K9" s="82" t="s">
        <v>38</v>
      </c>
      <c r="L9" s="82"/>
    </row>
    <row r="10" spans="1:14" ht="15.75" x14ac:dyDescent="0.25">
      <c r="H10" s="29"/>
    </row>
    <row r="12" spans="1:14" x14ac:dyDescent="0.25">
      <c r="B12" s="64" t="s">
        <v>16</v>
      </c>
      <c r="C12" s="64"/>
      <c r="D12" s="70" t="s">
        <v>25</v>
      </c>
      <c r="E12" s="70"/>
      <c r="F12" s="70"/>
    </row>
    <row r="13" spans="1:14" x14ac:dyDescent="0.25">
      <c r="B13" s="64" t="s">
        <v>17</v>
      </c>
      <c r="C13" s="64"/>
      <c r="D13" s="65" t="s">
        <v>21</v>
      </c>
      <c r="E13" s="65"/>
      <c r="F13" s="65"/>
    </row>
    <row r="14" spans="1:14" ht="15.75" x14ac:dyDescent="0.25">
      <c r="A14" s="27"/>
      <c r="B14" s="64" t="s">
        <v>18</v>
      </c>
      <c r="C14" s="64"/>
      <c r="D14" s="64"/>
      <c r="E14" s="69">
        <f ca="1">TODAY()</f>
        <v>46043</v>
      </c>
      <c r="F14" s="65"/>
      <c r="G14" s="29"/>
      <c r="H14" s="29"/>
      <c r="I14" s="29"/>
      <c r="J14" s="32"/>
      <c r="K14" s="92"/>
      <c r="L14" s="92"/>
    </row>
    <row r="15" spans="1:14" ht="15.75" x14ac:dyDescent="0.25">
      <c r="A15" s="27"/>
      <c r="G15" s="29"/>
      <c r="H15" s="78" t="s">
        <v>15</v>
      </c>
      <c r="I15" s="78"/>
      <c r="J15" s="13">
        <f>SUM(J8:J14)</f>
        <v>3</v>
      </c>
      <c r="K15" s="92"/>
      <c r="L15" s="92"/>
    </row>
    <row r="16" spans="1:14" ht="15.75" x14ac:dyDescent="0.25">
      <c r="A16" s="27"/>
      <c r="B16" s="28"/>
      <c r="C16" s="91"/>
      <c r="D16" s="91"/>
      <c r="E16" s="29"/>
      <c r="F16" s="29"/>
      <c r="G16" s="29"/>
      <c r="K16" s="92"/>
      <c r="L16" s="92"/>
    </row>
    <row r="17" spans="1:12" ht="15.75" x14ac:dyDescent="0.25">
      <c r="A17" s="27"/>
      <c r="B17" s="28"/>
      <c r="C17" s="91"/>
      <c r="D17" s="91"/>
      <c r="E17" s="29"/>
      <c r="F17" s="29"/>
      <c r="G17" s="29"/>
      <c r="H17" s="29"/>
      <c r="I17" s="29"/>
      <c r="J17" s="32"/>
      <c r="K17" s="92"/>
      <c r="L17" s="92"/>
    </row>
    <row r="18" spans="1:12" ht="15.75" x14ac:dyDescent="0.25">
      <c r="A18" s="27"/>
      <c r="B18" s="28"/>
      <c r="C18" s="91"/>
      <c r="D18" s="91"/>
      <c r="E18" s="29"/>
      <c r="F18" s="29"/>
      <c r="G18" s="29"/>
      <c r="H18" s="29"/>
      <c r="I18" s="29"/>
      <c r="J18" s="32"/>
      <c r="K18" s="92"/>
      <c r="L18" s="92"/>
    </row>
    <row r="19" spans="1:12" ht="15.75" x14ac:dyDescent="0.25">
      <c r="A19" s="27"/>
      <c r="B19" s="28"/>
      <c r="C19" s="91"/>
      <c r="D19" s="91"/>
      <c r="E19" s="29"/>
      <c r="F19" s="29"/>
      <c r="G19" s="29"/>
      <c r="H19" s="29"/>
      <c r="I19" s="29"/>
      <c r="J19" s="31"/>
      <c r="K19" s="92"/>
      <c r="L19" s="92"/>
    </row>
    <row r="21" spans="1:12" x14ac:dyDescent="0.25">
      <c r="H21" s="87"/>
      <c r="I21" s="87"/>
      <c r="J21" s="30"/>
    </row>
    <row r="23" spans="1:12" ht="20.100000000000001" customHeight="1" x14ac:dyDescent="0.25">
      <c r="A23" s="64"/>
      <c r="B23" s="64"/>
      <c r="C23" s="88"/>
      <c r="D23" s="88"/>
      <c r="E23" s="88"/>
    </row>
    <row r="24" spans="1:12" ht="20.100000000000001" customHeight="1" x14ac:dyDescent="0.25">
      <c r="A24" s="64"/>
      <c r="B24" s="64"/>
      <c r="C24" s="88"/>
      <c r="D24" s="88"/>
      <c r="E24" s="88"/>
    </row>
    <row r="25" spans="1:12" ht="20.100000000000001" customHeight="1" x14ac:dyDescent="0.25">
      <c r="A25" s="64"/>
      <c r="B25" s="64"/>
      <c r="C25" s="64"/>
      <c r="D25" s="86"/>
      <c r="E25" s="86"/>
    </row>
    <row r="29" spans="1:12" ht="31.5" customHeight="1" x14ac:dyDescent="0.25"/>
  </sheetData>
  <mergeCells count="43">
    <mergeCell ref="K19:L19"/>
    <mergeCell ref="C9:D9"/>
    <mergeCell ref="K14:L14"/>
    <mergeCell ref="K15:L15"/>
    <mergeCell ref="C16:D16"/>
    <mergeCell ref="K16:L16"/>
    <mergeCell ref="C17:D17"/>
    <mergeCell ref="K17:L17"/>
    <mergeCell ref="C18:D18"/>
    <mergeCell ref="K18:L18"/>
    <mergeCell ref="H15:I15"/>
    <mergeCell ref="B12:C12"/>
    <mergeCell ref="D12:F12"/>
    <mergeCell ref="B13:C13"/>
    <mergeCell ref="D13:F13"/>
    <mergeCell ref="C5:D5"/>
    <mergeCell ref="E5:F5"/>
    <mergeCell ref="C19:D19"/>
    <mergeCell ref="B14:D14"/>
    <mergeCell ref="E14:F14"/>
    <mergeCell ref="A25:C25"/>
    <mergeCell ref="D25:E25"/>
    <mergeCell ref="H21:I21"/>
    <mergeCell ref="A23:B23"/>
    <mergeCell ref="C23:E23"/>
    <mergeCell ref="A24:B24"/>
    <mergeCell ref="C24:E24"/>
    <mergeCell ref="A2:L4"/>
    <mergeCell ref="K7:L7"/>
    <mergeCell ref="K9:L9"/>
    <mergeCell ref="C7:D7"/>
    <mergeCell ref="K5:L5"/>
    <mergeCell ref="E6:F6"/>
    <mergeCell ref="C6:D6"/>
    <mergeCell ref="K6:L6"/>
    <mergeCell ref="A5:B5"/>
    <mergeCell ref="A6:B6"/>
    <mergeCell ref="G5:H5"/>
    <mergeCell ref="G6:H6"/>
    <mergeCell ref="C8:D8"/>
    <mergeCell ref="K8:L8"/>
    <mergeCell ref="I5:J5"/>
    <mergeCell ref="I6:J6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93AC-6E8B-4985-9EF5-7F8380AD48AC}">
  <dimension ref="A2:L15"/>
  <sheetViews>
    <sheetView workbookViewId="0">
      <selection activeCell="F15" sqref="F15"/>
    </sheetView>
  </sheetViews>
  <sheetFormatPr baseColWidth="10" defaultRowHeight="15" x14ac:dyDescent="0.25"/>
  <cols>
    <col min="2" max="2" width="11.85546875" bestFit="1" customWidth="1"/>
    <col min="4" max="4" width="19.7109375" customWidth="1"/>
    <col min="6" max="6" width="14.85546875" customWidth="1"/>
    <col min="7" max="7" width="13.85546875" customWidth="1"/>
    <col min="8" max="8" width="15.5703125" customWidth="1"/>
  </cols>
  <sheetData>
    <row r="2" spans="1:12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47" t="s">
        <v>12</v>
      </c>
      <c r="B5" s="47"/>
      <c r="C5" s="73" t="s">
        <v>48</v>
      </c>
      <c r="D5" s="71"/>
      <c r="E5" s="52" t="s">
        <v>11</v>
      </c>
      <c r="F5" s="53"/>
      <c r="G5" s="74">
        <v>1042355387</v>
      </c>
      <c r="H5" s="75"/>
      <c r="I5" s="52" t="s">
        <v>9</v>
      </c>
      <c r="J5" s="53"/>
      <c r="K5" s="75" t="s">
        <v>49</v>
      </c>
      <c r="L5" s="76"/>
    </row>
    <row r="6" spans="1:12" ht="15.75" x14ac:dyDescent="0.25">
      <c r="A6" s="47" t="s">
        <v>35</v>
      </c>
      <c r="B6" s="47"/>
      <c r="C6" s="49" t="s">
        <v>69</v>
      </c>
      <c r="D6" s="51"/>
      <c r="E6" s="52" t="s">
        <v>36</v>
      </c>
      <c r="F6" s="53"/>
      <c r="G6" s="59">
        <v>46007</v>
      </c>
      <c r="H6" s="77"/>
      <c r="I6" s="49" t="s">
        <v>70</v>
      </c>
      <c r="J6" s="51"/>
      <c r="K6" s="59">
        <v>46037</v>
      </c>
      <c r="L6" s="71"/>
    </row>
    <row r="7" spans="1:12" ht="31.5" x14ac:dyDescent="0.25">
      <c r="A7" s="2" t="s">
        <v>0</v>
      </c>
      <c r="B7" s="2" t="s">
        <v>5</v>
      </c>
      <c r="C7" s="84" t="s">
        <v>6</v>
      </c>
      <c r="D7" s="84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83" t="s">
        <v>7</v>
      </c>
      <c r="L7" s="83"/>
    </row>
    <row r="8" spans="1:12" ht="15.75" x14ac:dyDescent="0.25">
      <c r="A8" s="4">
        <v>1</v>
      </c>
      <c r="B8" s="5">
        <v>46013</v>
      </c>
      <c r="C8" s="81" t="s">
        <v>56</v>
      </c>
      <c r="D8" s="81"/>
      <c r="E8" s="6">
        <v>0.3298611111111111</v>
      </c>
      <c r="F8" s="6">
        <v>0.83333333333333337</v>
      </c>
      <c r="G8" s="6">
        <v>4.1666666666666664E-2</v>
      </c>
      <c r="H8" s="6">
        <f>F8-E8-G8</f>
        <v>0.46180555555555564</v>
      </c>
      <c r="I8" s="6">
        <v>0.375</v>
      </c>
      <c r="J8" s="12">
        <v>2</v>
      </c>
      <c r="K8" s="54" t="s">
        <v>38</v>
      </c>
      <c r="L8" s="54"/>
    </row>
    <row r="9" spans="1:12" ht="28.5" customHeight="1" x14ac:dyDescent="0.25">
      <c r="A9" s="4">
        <v>2</v>
      </c>
      <c r="B9" s="5">
        <v>46028</v>
      </c>
      <c r="C9" s="81" t="s">
        <v>56</v>
      </c>
      <c r="D9" s="81"/>
      <c r="E9" s="6">
        <v>0.32847222222222222</v>
      </c>
      <c r="F9" s="6">
        <v>0.85138888888888886</v>
      </c>
      <c r="G9" s="6">
        <v>4.1666666666666664E-2</v>
      </c>
      <c r="H9" s="6">
        <f t="shared" ref="H9" si="0">(F9-E9-G9)</f>
        <v>0.48125000000000001</v>
      </c>
      <c r="I9" s="6">
        <v>0.375</v>
      </c>
      <c r="J9" s="12">
        <v>3</v>
      </c>
      <c r="K9" s="54" t="s">
        <v>38</v>
      </c>
      <c r="L9" s="54"/>
    </row>
    <row r="10" spans="1:12" ht="15.75" x14ac:dyDescent="0.25">
      <c r="A10" s="4">
        <v>3</v>
      </c>
      <c r="B10" s="5">
        <v>46035</v>
      </c>
      <c r="C10" s="54" t="s">
        <v>57</v>
      </c>
      <c r="D10" s="54"/>
      <c r="E10" s="6">
        <v>0.33124999999999999</v>
      </c>
      <c r="F10" s="6">
        <v>0.83333333333333337</v>
      </c>
      <c r="G10" s="6">
        <v>4.1666666666666664E-2</v>
      </c>
      <c r="H10" s="6">
        <f>(F10-E10-G10)</f>
        <v>0.46041666666666675</v>
      </c>
      <c r="I10" s="6">
        <v>0.375</v>
      </c>
      <c r="J10" s="12">
        <v>2</v>
      </c>
      <c r="K10" s="54" t="s">
        <v>38</v>
      </c>
      <c r="L10" s="54"/>
    </row>
    <row r="11" spans="1:12" ht="15.75" x14ac:dyDescent="0.25">
      <c r="A11" s="1"/>
      <c r="B11" s="1"/>
      <c r="C11" s="1"/>
      <c r="D11" s="1"/>
      <c r="E11" s="1"/>
      <c r="F11" s="26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78" t="s">
        <v>15</v>
      </c>
      <c r="I12" s="78"/>
      <c r="J12" s="14">
        <v>7</v>
      </c>
      <c r="K12" s="1"/>
      <c r="L12" s="1"/>
    </row>
    <row r="13" spans="1:12" x14ac:dyDescent="0.25">
      <c r="A13" s="64" t="s">
        <v>16</v>
      </c>
      <c r="B13" s="64"/>
      <c r="C13" s="70" t="s">
        <v>50</v>
      </c>
      <c r="D13" s="70"/>
      <c r="E13" s="70"/>
    </row>
    <row r="14" spans="1:12" x14ac:dyDescent="0.25">
      <c r="A14" s="64" t="s">
        <v>17</v>
      </c>
      <c r="B14" s="64"/>
      <c r="C14" s="65" t="s">
        <v>37</v>
      </c>
      <c r="D14" s="65"/>
      <c r="E14" s="65"/>
    </row>
    <row r="15" spans="1:12" x14ac:dyDescent="0.25">
      <c r="A15" s="64" t="s">
        <v>18</v>
      </c>
      <c r="B15" s="64"/>
      <c r="C15" s="64"/>
      <c r="D15" s="69">
        <v>46038</v>
      </c>
      <c r="E15" s="65"/>
    </row>
  </sheetData>
  <mergeCells count="28">
    <mergeCell ref="A14:B14"/>
    <mergeCell ref="C14:E14"/>
    <mergeCell ref="A15:C15"/>
    <mergeCell ref="D15:E15"/>
    <mergeCell ref="C7:D7"/>
    <mergeCell ref="K7:L7"/>
    <mergeCell ref="C10:D10"/>
    <mergeCell ref="K10:L10"/>
    <mergeCell ref="H12:I12"/>
    <mergeCell ref="A13:B13"/>
    <mergeCell ref="C13:E13"/>
    <mergeCell ref="C9:D9"/>
    <mergeCell ref="K9:L9"/>
    <mergeCell ref="C8:D8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30"/>
  <sheetViews>
    <sheetView showGridLines="0" showRuler="0" showWhiteSpace="0" topLeftCell="A3" zoomScaleNormal="100" workbookViewId="0">
      <selection activeCell="B8" sqref="B8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4" ht="17.25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4" ht="15" customHeight="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4" ht="17.100000000000001" customHeight="1" x14ac:dyDescent="0.25">
      <c r="A5" s="47" t="s">
        <v>12</v>
      </c>
      <c r="B5" s="47"/>
      <c r="C5" s="73" t="s">
        <v>54</v>
      </c>
      <c r="D5" s="71"/>
      <c r="E5" s="52" t="s">
        <v>11</v>
      </c>
      <c r="F5" s="53"/>
      <c r="G5" s="74">
        <v>1051831886</v>
      </c>
      <c r="H5" s="75"/>
      <c r="I5" s="52" t="s">
        <v>9</v>
      </c>
      <c r="J5" s="53"/>
      <c r="K5" s="75" t="s">
        <v>10</v>
      </c>
      <c r="L5" s="76"/>
      <c r="N5" s="10" t="s">
        <v>13</v>
      </c>
    </row>
    <row r="6" spans="1:14" ht="17.100000000000001" customHeight="1" x14ac:dyDescent="0.25">
      <c r="A6" s="47" t="s">
        <v>35</v>
      </c>
      <c r="B6" s="47"/>
      <c r="C6" s="49" t="s">
        <v>67</v>
      </c>
      <c r="D6" s="51"/>
      <c r="E6" s="52" t="s">
        <v>36</v>
      </c>
      <c r="F6" s="53"/>
      <c r="G6" s="59">
        <v>46007</v>
      </c>
      <c r="H6" s="77"/>
      <c r="I6" s="49" t="s">
        <v>68</v>
      </c>
      <c r="J6" s="51"/>
      <c r="K6" s="59">
        <v>46037</v>
      </c>
      <c r="L6" s="71"/>
    </row>
    <row r="7" spans="1:14" ht="48" customHeight="1" x14ac:dyDescent="0.25">
      <c r="A7" s="2" t="s">
        <v>0</v>
      </c>
      <c r="B7" s="2" t="s">
        <v>5</v>
      </c>
      <c r="C7" s="84" t="s">
        <v>6</v>
      </c>
      <c r="D7" s="84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83" t="s">
        <v>7</v>
      </c>
      <c r="L7" s="83"/>
    </row>
    <row r="8" spans="1:14" ht="15.75" customHeight="1" x14ac:dyDescent="0.25">
      <c r="A8" s="4">
        <v>1</v>
      </c>
      <c r="B8" s="5">
        <v>46015</v>
      </c>
      <c r="C8" s="81" t="s">
        <v>64</v>
      </c>
      <c r="D8" s="81"/>
      <c r="E8" s="6">
        <v>0.54166666666666663</v>
      </c>
      <c r="F8" s="6">
        <v>0.68680555555555556</v>
      </c>
      <c r="G8" s="6">
        <v>0</v>
      </c>
      <c r="H8" s="15">
        <v>0.14305555555555555</v>
      </c>
      <c r="I8" s="15">
        <v>0</v>
      </c>
      <c r="J8" s="6">
        <f>+H8-I8</f>
        <v>0.14305555555555555</v>
      </c>
      <c r="K8" s="93" t="s">
        <v>38</v>
      </c>
      <c r="L8" s="42"/>
    </row>
    <row r="9" spans="1:14" ht="15.75" customHeight="1" x14ac:dyDescent="0.25">
      <c r="A9" s="4">
        <v>2</v>
      </c>
      <c r="B9" s="5">
        <v>46017</v>
      </c>
      <c r="C9" s="81" t="s">
        <v>58</v>
      </c>
      <c r="D9" s="81"/>
      <c r="E9" s="6">
        <v>0.33333333333333331</v>
      </c>
      <c r="F9" s="6">
        <v>0.75694444444444453</v>
      </c>
      <c r="G9" s="6">
        <v>4.1666666666666664E-2</v>
      </c>
      <c r="H9" s="6">
        <f t="shared" ref="H9:H11" si="0">(F9-E9-G9)</f>
        <v>0.38194444444444453</v>
      </c>
      <c r="I9" s="15">
        <v>0.25</v>
      </c>
      <c r="J9" s="6">
        <f>+H9-I9</f>
        <v>0.13194444444444453</v>
      </c>
      <c r="K9" s="93" t="s">
        <v>38</v>
      </c>
      <c r="L9" s="42"/>
    </row>
    <row r="10" spans="1:14" ht="15.75" customHeight="1" x14ac:dyDescent="0.25">
      <c r="A10" s="4">
        <v>3</v>
      </c>
      <c r="B10" s="5">
        <v>46032</v>
      </c>
      <c r="C10" s="81" t="s">
        <v>65</v>
      </c>
      <c r="D10" s="81"/>
      <c r="E10" s="6">
        <v>0.3576388888888889</v>
      </c>
      <c r="F10" s="6">
        <v>0.65625</v>
      </c>
      <c r="G10" s="6">
        <v>0</v>
      </c>
      <c r="H10" s="6">
        <f t="shared" si="0"/>
        <v>0.2986111111111111</v>
      </c>
      <c r="I10" s="15">
        <v>0</v>
      </c>
      <c r="J10" s="6">
        <f>+H10-I10</f>
        <v>0.2986111111111111</v>
      </c>
      <c r="K10" s="93" t="s">
        <v>38</v>
      </c>
      <c r="L10" s="42"/>
    </row>
    <row r="11" spans="1:14" ht="15.75" customHeight="1" x14ac:dyDescent="0.25">
      <c r="A11" s="4">
        <v>4</v>
      </c>
      <c r="B11" s="5">
        <v>45670</v>
      </c>
      <c r="C11" s="81" t="s">
        <v>66</v>
      </c>
      <c r="D11" s="81"/>
      <c r="E11" s="6">
        <v>0.33333333333333331</v>
      </c>
      <c r="F11" s="6">
        <v>0.84375</v>
      </c>
      <c r="G11" s="6">
        <v>4.1666666666666664E-2</v>
      </c>
      <c r="H11" s="6">
        <f t="shared" si="0"/>
        <v>0.46875000000000006</v>
      </c>
      <c r="I11" s="15">
        <v>0.375</v>
      </c>
      <c r="J11" s="6">
        <f>+H11-I11</f>
        <v>9.3750000000000056E-2</v>
      </c>
      <c r="K11" s="93" t="s">
        <v>38</v>
      </c>
      <c r="L11" s="42"/>
    </row>
    <row r="13" spans="1:14" x14ac:dyDescent="0.25">
      <c r="H13" s="78" t="s">
        <v>15</v>
      </c>
      <c r="I13" s="78"/>
      <c r="J13" s="13">
        <v>16</v>
      </c>
    </row>
    <row r="15" spans="1:14" x14ac:dyDescent="0.25">
      <c r="A15" s="64" t="s">
        <v>16</v>
      </c>
      <c r="B15" s="64"/>
      <c r="C15" s="70" t="s">
        <v>54</v>
      </c>
      <c r="D15" s="70"/>
      <c r="E15" s="70"/>
    </row>
    <row r="16" spans="1:14" x14ac:dyDescent="0.25">
      <c r="A16" s="64" t="s">
        <v>17</v>
      </c>
      <c r="B16" s="64"/>
      <c r="C16" s="65" t="s">
        <v>21</v>
      </c>
      <c r="D16" s="65"/>
      <c r="E16" s="65"/>
    </row>
    <row r="17" spans="1:12" x14ac:dyDescent="0.25">
      <c r="A17" s="64" t="s">
        <v>18</v>
      </c>
      <c r="B17" s="64"/>
      <c r="C17" s="64"/>
      <c r="D17" s="69">
        <f ca="1">TODAY()</f>
        <v>46043</v>
      </c>
      <c r="E17" s="65"/>
    </row>
    <row r="18" spans="1:12" ht="31.5" customHeight="1" x14ac:dyDescent="0.25"/>
    <row r="19" spans="1:12" ht="30" customHeight="1" x14ac:dyDescent="0.25">
      <c r="A19" s="27"/>
      <c r="B19" s="28"/>
      <c r="C19" s="91"/>
      <c r="D19" s="91"/>
      <c r="E19" s="29"/>
      <c r="F19" s="29"/>
      <c r="G19" s="29"/>
      <c r="H19" s="29"/>
      <c r="I19" s="29"/>
      <c r="J19" s="32"/>
      <c r="K19" s="92"/>
      <c r="L19" s="92"/>
    </row>
    <row r="20" spans="1:12" ht="30.75" customHeight="1" x14ac:dyDescent="0.25">
      <c r="A20" s="27"/>
      <c r="B20" s="28"/>
      <c r="C20" s="91"/>
      <c r="D20" s="91"/>
      <c r="E20" s="29"/>
      <c r="F20" s="29"/>
      <c r="G20" s="29"/>
      <c r="H20" s="29"/>
      <c r="I20" s="29"/>
      <c r="J20" s="32"/>
      <c r="K20" s="92"/>
      <c r="L20" s="92"/>
    </row>
    <row r="21" spans="1:12" ht="15.75" x14ac:dyDescent="0.25">
      <c r="A21" s="27"/>
      <c r="B21" s="28"/>
      <c r="C21" s="91"/>
      <c r="D21" s="91"/>
      <c r="E21" s="29"/>
      <c r="F21" s="29"/>
      <c r="G21" s="29"/>
      <c r="H21" s="29"/>
      <c r="I21" s="29"/>
      <c r="J21" s="32"/>
      <c r="K21" s="92"/>
      <c r="L21" s="92"/>
    </row>
    <row r="22" spans="1:12" ht="15.75" x14ac:dyDescent="0.25">
      <c r="A22" s="27"/>
      <c r="B22" s="28"/>
      <c r="C22" s="91"/>
      <c r="D22" s="91"/>
      <c r="E22" s="29"/>
      <c r="F22" s="29"/>
      <c r="G22" s="29"/>
      <c r="H22" s="29"/>
      <c r="I22" s="29"/>
      <c r="J22" s="32"/>
      <c r="K22" s="92"/>
      <c r="L22" s="92"/>
    </row>
    <row r="23" spans="1:12" ht="15.75" x14ac:dyDescent="0.25">
      <c r="A23" s="27"/>
      <c r="B23" s="28"/>
      <c r="C23" s="91"/>
      <c r="D23" s="91"/>
      <c r="E23" s="29"/>
      <c r="F23" s="29"/>
      <c r="G23" s="29"/>
      <c r="H23" s="29"/>
      <c r="I23" s="29"/>
      <c r="J23" s="32"/>
      <c r="K23" s="92"/>
      <c r="L23" s="92"/>
    </row>
    <row r="24" spans="1:12" ht="15.75" x14ac:dyDescent="0.25">
      <c r="A24" s="27"/>
      <c r="B24" s="28"/>
      <c r="C24" s="91"/>
      <c r="D24" s="91"/>
      <c r="E24" s="29"/>
      <c r="F24" s="29"/>
      <c r="G24" s="29"/>
      <c r="H24" s="29"/>
      <c r="I24" s="29"/>
      <c r="J24" s="31"/>
      <c r="K24" s="92"/>
      <c r="L24" s="92"/>
    </row>
    <row r="26" spans="1:12" x14ac:dyDescent="0.25">
      <c r="H26" s="87"/>
      <c r="I26" s="87"/>
      <c r="J26" s="30"/>
    </row>
    <row r="28" spans="1:12" ht="20.100000000000001" customHeight="1" x14ac:dyDescent="0.25">
      <c r="A28" s="64"/>
      <c r="B28" s="64"/>
      <c r="C28" s="88"/>
      <c r="D28" s="88"/>
      <c r="E28" s="88"/>
    </row>
    <row r="29" spans="1:12" ht="20.100000000000001" customHeight="1" x14ac:dyDescent="0.25">
      <c r="A29" s="64"/>
      <c r="B29" s="64"/>
      <c r="C29" s="88"/>
      <c r="D29" s="88"/>
      <c r="E29" s="88"/>
    </row>
    <row r="30" spans="1:12" ht="20.100000000000001" customHeight="1" x14ac:dyDescent="0.25">
      <c r="A30" s="64"/>
      <c r="B30" s="64"/>
      <c r="C30" s="64"/>
      <c r="D30" s="86"/>
      <c r="E30" s="86"/>
    </row>
  </sheetData>
  <mergeCells count="49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K8:L8"/>
    <mergeCell ref="K11:L11"/>
    <mergeCell ref="C9:D9"/>
    <mergeCell ref="C10:D10"/>
    <mergeCell ref="C8:D8"/>
    <mergeCell ref="C11:D11"/>
    <mergeCell ref="K9:L9"/>
    <mergeCell ref="K10:L10"/>
    <mergeCell ref="H13:I13"/>
    <mergeCell ref="A15:B15"/>
    <mergeCell ref="C15:E15"/>
    <mergeCell ref="A16:B16"/>
    <mergeCell ref="C16:E16"/>
    <mergeCell ref="A17:C17"/>
    <mergeCell ref="D17:E17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A30:C30"/>
    <mergeCell ref="D30:E30"/>
    <mergeCell ref="C24:D24"/>
    <mergeCell ref="K24:L24"/>
    <mergeCell ref="H26:I26"/>
    <mergeCell ref="A28:B28"/>
    <mergeCell ref="C28:E28"/>
    <mergeCell ref="A29:B29"/>
    <mergeCell ref="C29:E29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2AD6-AE76-41AA-B2C9-A1B30E9FD939}">
  <dimension ref="A2:L14"/>
  <sheetViews>
    <sheetView workbookViewId="0">
      <selection activeCell="I15" sqref="I15"/>
    </sheetView>
  </sheetViews>
  <sheetFormatPr baseColWidth="10" defaultRowHeight="15" x14ac:dyDescent="0.25"/>
  <cols>
    <col min="1" max="1" width="11.42578125" style="1"/>
    <col min="2" max="2" width="17" style="1" customWidth="1"/>
    <col min="3" max="3" width="23.7109375" style="1" customWidth="1"/>
    <col min="4" max="4" width="22.85546875" style="1" customWidth="1"/>
    <col min="5" max="5" width="15.28515625" style="1" bestFit="1" customWidth="1"/>
    <col min="6" max="6" width="18.7109375" style="1" customWidth="1"/>
    <col min="7" max="7" width="16.140625" style="1" customWidth="1"/>
    <col min="8" max="8" width="14.42578125" style="1" customWidth="1"/>
    <col min="9" max="16384" width="11.42578125" style="1"/>
  </cols>
  <sheetData>
    <row r="2" spans="1:12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47" t="s">
        <v>12</v>
      </c>
      <c r="B5" s="47"/>
      <c r="C5" s="73" t="s">
        <v>39</v>
      </c>
      <c r="D5" s="71"/>
      <c r="E5" s="52" t="s">
        <v>11</v>
      </c>
      <c r="F5" s="53"/>
      <c r="G5" s="74">
        <v>1143121183</v>
      </c>
      <c r="H5" s="75"/>
      <c r="I5" s="52" t="s">
        <v>9</v>
      </c>
      <c r="J5" s="53"/>
      <c r="K5" s="75" t="s">
        <v>51</v>
      </c>
      <c r="L5" s="76"/>
    </row>
    <row r="6" spans="1:12" ht="15.75" x14ac:dyDescent="0.25">
      <c r="A6" s="47" t="s">
        <v>35</v>
      </c>
      <c r="B6" s="47"/>
      <c r="C6" s="49" t="s">
        <v>69</v>
      </c>
      <c r="D6" s="51"/>
      <c r="E6" s="52" t="s">
        <v>36</v>
      </c>
      <c r="F6" s="53"/>
      <c r="G6" s="59">
        <v>46007</v>
      </c>
      <c r="H6" s="77"/>
      <c r="I6" s="49" t="s">
        <v>78</v>
      </c>
      <c r="J6" s="51"/>
      <c r="K6" s="59">
        <v>46037</v>
      </c>
      <c r="L6" s="71"/>
    </row>
    <row r="7" spans="1:12" ht="31.5" x14ac:dyDescent="0.25">
      <c r="A7" s="2" t="s">
        <v>0</v>
      </c>
      <c r="B7" s="2" t="s">
        <v>5</v>
      </c>
      <c r="C7" s="84" t="s">
        <v>6</v>
      </c>
      <c r="D7" s="84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7" t="s">
        <v>4</v>
      </c>
      <c r="K7" s="83" t="s">
        <v>7</v>
      </c>
      <c r="L7" s="83"/>
    </row>
    <row r="8" spans="1:12" ht="15.75" x14ac:dyDescent="0.25">
      <c r="A8" s="4"/>
      <c r="B8" s="5">
        <v>46035</v>
      </c>
      <c r="C8" s="54" t="s">
        <v>57</v>
      </c>
      <c r="D8" s="54"/>
      <c r="E8" s="6">
        <v>0.33124999999999999</v>
      </c>
      <c r="F8" s="6">
        <v>0.83333333333333337</v>
      </c>
      <c r="G8" s="6">
        <v>4.1666666666666664E-2</v>
      </c>
      <c r="H8" s="6">
        <f>(F8-E8-G8)</f>
        <v>0.46041666666666675</v>
      </c>
      <c r="I8" s="6">
        <v>0.375</v>
      </c>
      <c r="J8" s="12">
        <v>2</v>
      </c>
      <c r="K8" s="42" t="s">
        <v>71</v>
      </c>
      <c r="L8" s="54"/>
    </row>
    <row r="10" spans="1:12" x14ac:dyDescent="0.25">
      <c r="H10" s="78" t="s">
        <v>15</v>
      </c>
      <c r="I10" s="78"/>
      <c r="J10" s="13">
        <f>SUM(J8:J8)</f>
        <v>2</v>
      </c>
      <c r="K10" s="19"/>
    </row>
    <row r="12" spans="1:12" x14ac:dyDescent="0.25">
      <c r="A12" s="64" t="s">
        <v>16</v>
      </c>
      <c r="B12" s="64"/>
      <c r="C12" s="70" t="s">
        <v>39</v>
      </c>
      <c r="D12" s="70"/>
      <c r="E12" s="70"/>
    </row>
    <row r="13" spans="1:12" x14ac:dyDescent="0.25">
      <c r="A13" s="64" t="s">
        <v>17</v>
      </c>
      <c r="B13" s="64"/>
      <c r="C13" s="65" t="s">
        <v>21</v>
      </c>
      <c r="D13" s="65"/>
      <c r="E13" s="65"/>
    </row>
    <row r="14" spans="1:12" x14ac:dyDescent="0.25">
      <c r="A14" s="64" t="s">
        <v>18</v>
      </c>
      <c r="B14" s="64"/>
      <c r="C14" s="64"/>
      <c r="D14" s="69">
        <v>46038</v>
      </c>
      <c r="E14" s="65"/>
    </row>
  </sheetData>
  <mergeCells count="24">
    <mergeCell ref="C13:E13"/>
    <mergeCell ref="A14:C14"/>
    <mergeCell ref="D14:E14"/>
    <mergeCell ref="A12:B12"/>
    <mergeCell ref="C12:E12"/>
    <mergeCell ref="A13:B13"/>
    <mergeCell ref="H10:I10"/>
    <mergeCell ref="C7:D7"/>
    <mergeCell ref="K7:L7"/>
    <mergeCell ref="C8:D8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L15"/>
  <sheetViews>
    <sheetView tabSelected="1" topLeftCell="A3" workbookViewId="0">
      <selection activeCell="E8" sqref="E8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20" style="1" customWidth="1"/>
    <col min="4" max="4" width="19.7109375" style="1" customWidth="1"/>
    <col min="5" max="5" width="11.42578125" style="1"/>
    <col min="6" max="6" width="16.85546875" style="1" customWidth="1"/>
    <col min="7" max="7" width="19.85546875" style="1" customWidth="1"/>
    <col min="8" max="8" width="13.7109375" style="1" customWidth="1"/>
    <col min="9" max="16384" width="11.42578125" style="1"/>
  </cols>
  <sheetData>
    <row r="2" spans="1:12" x14ac:dyDescent="0.25">
      <c r="A2" s="72" t="s">
        <v>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47" t="s">
        <v>12</v>
      </c>
      <c r="B5" s="47"/>
      <c r="C5" s="73" t="s">
        <v>40</v>
      </c>
      <c r="D5" s="71"/>
      <c r="E5" s="52" t="s">
        <v>11</v>
      </c>
      <c r="F5" s="53"/>
      <c r="G5" s="74">
        <v>1002035293</v>
      </c>
      <c r="H5" s="75"/>
      <c r="I5" s="52" t="s">
        <v>9</v>
      </c>
      <c r="J5" s="53"/>
      <c r="K5" s="75" t="s">
        <v>10</v>
      </c>
      <c r="L5" s="76"/>
    </row>
    <row r="6" spans="1:12" ht="15.75" x14ac:dyDescent="0.25">
      <c r="A6" s="47" t="s">
        <v>35</v>
      </c>
      <c r="B6" s="47"/>
      <c r="C6" s="49" t="s">
        <v>69</v>
      </c>
      <c r="D6" s="51"/>
      <c r="E6" s="52" t="s">
        <v>36</v>
      </c>
      <c r="F6" s="53"/>
      <c r="G6" s="59">
        <v>46007</v>
      </c>
      <c r="H6" s="77"/>
      <c r="I6" s="49" t="s">
        <v>78</v>
      </c>
      <c r="J6" s="51"/>
      <c r="K6" s="59">
        <v>46037</v>
      </c>
      <c r="L6" s="71"/>
    </row>
    <row r="7" spans="1:12" ht="31.5" x14ac:dyDescent="0.25">
      <c r="A7" s="2" t="s">
        <v>0</v>
      </c>
      <c r="B7" s="2" t="s">
        <v>5</v>
      </c>
      <c r="C7" s="84" t="s">
        <v>6</v>
      </c>
      <c r="D7" s="84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7" t="s">
        <v>4</v>
      </c>
      <c r="K7" s="83" t="s">
        <v>7</v>
      </c>
      <c r="L7" s="83"/>
    </row>
    <row r="8" spans="1:12" ht="35.25" customHeight="1" x14ac:dyDescent="0.25">
      <c r="A8" s="4">
        <v>1</v>
      </c>
      <c r="B8" s="5">
        <v>46025</v>
      </c>
      <c r="C8" s="81" t="s">
        <v>73</v>
      </c>
      <c r="D8" s="81"/>
      <c r="E8" s="6">
        <v>0.4861111111111111</v>
      </c>
      <c r="F8" s="6">
        <v>0.55069444444444449</v>
      </c>
      <c r="G8" s="6">
        <v>0</v>
      </c>
      <c r="H8" s="6">
        <f>(F8-E8-G8)</f>
        <v>6.4583333333333381E-2</v>
      </c>
      <c r="I8" s="15">
        <v>0</v>
      </c>
      <c r="J8" s="18">
        <v>2</v>
      </c>
      <c r="K8" s="42" t="s">
        <v>38</v>
      </c>
      <c r="L8" s="54"/>
    </row>
    <row r="9" spans="1:12" ht="29.25" customHeight="1" x14ac:dyDescent="0.25">
      <c r="A9" s="4">
        <v>2</v>
      </c>
      <c r="B9" s="5">
        <v>46035</v>
      </c>
      <c r="C9" s="81" t="s">
        <v>74</v>
      </c>
      <c r="D9" s="81"/>
      <c r="E9" s="6">
        <v>0.32847222222222222</v>
      </c>
      <c r="F9" s="6">
        <v>0.84375</v>
      </c>
      <c r="G9" s="6">
        <v>4.1666666666666664E-2</v>
      </c>
      <c r="H9" s="6">
        <f t="shared" ref="H9" si="0">(F9-E9-G9)</f>
        <v>0.47361111111111104</v>
      </c>
      <c r="I9" s="15">
        <v>0.375</v>
      </c>
      <c r="J9" s="18">
        <v>1</v>
      </c>
      <c r="K9" s="42" t="s">
        <v>38</v>
      </c>
      <c r="L9" s="54"/>
    </row>
    <row r="11" spans="1:12" x14ac:dyDescent="0.25">
      <c r="H11" s="78" t="s">
        <v>15</v>
      </c>
      <c r="I11" s="78"/>
      <c r="J11" s="13">
        <f>SUM(J8:J10)</f>
        <v>3</v>
      </c>
      <c r="K11" s="19"/>
    </row>
    <row r="13" spans="1:12" x14ac:dyDescent="0.25">
      <c r="A13" s="64" t="s">
        <v>16</v>
      </c>
      <c r="B13" s="64"/>
      <c r="C13" s="70" t="s">
        <v>24</v>
      </c>
      <c r="D13" s="70"/>
      <c r="E13" s="70"/>
    </row>
    <row r="14" spans="1:12" x14ac:dyDescent="0.25">
      <c r="A14" s="64" t="s">
        <v>17</v>
      </c>
      <c r="B14" s="64"/>
      <c r="C14" s="65" t="s">
        <v>21</v>
      </c>
      <c r="D14" s="65"/>
      <c r="E14" s="65"/>
    </row>
    <row r="15" spans="1:12" x14ac:dyDescent="0.25">
      <c r="A15" s="64" t="s">
        <v>18</v>
      </c>
      <c r="B15" s="64"/>
      <c r="C15" s="64"/>
      <c r="D15" s="69">
        <v>46007</v>
      </c>
      <c r="E15" s="65"/>
    </row>
  </sheetData>
  <mergeCells count="26">
    <mergeCell ref="A2:L4"/>
    <mergeCell ref="K7:L7"/>
    <mergeCell ref="K8:L8"/>
    <mergeCell ref="C7:D7"/>
    <mergeCell ref="C8:D8"/>
    <mergeCell ref="A5:B5"/>
    <mergeCell ref="A6:B6"/>
    <mergeCell ref="G5:H5"/>
    <mergeCell ref="G6:H6"/>
    <mergeCell ref="I5:J5"/>
    <mergeCell ref="I6:J6"/>
    <mergeCell ref="C5:D5"/>
    <mergeCell ref="E5:F5"/>
    <mergeCell ref="K5:L5"/>
    <mergeCell ref="E6:F6"/>
    <mergeCell ref="K6:L6"/>
    <mergeCell ref="C6:D6"/>
    <mergeCell ref="K9:L9"/>
    <mergeCell ref="A15:C15"/>
    <mergeCell ref="D15:E15"/>
    <mergeCell ref="H11:I11"/>
    <mergeCell ref="A13:B13"/>
    <mergeCell ref="C13:E13"/>
    <mergeCell ref="A14:B14"/>
    <mergeCell ref="C14:E14"/>
    <mergeCell ref="C9:D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528405-41B7-43D8-875B-B7EAEC3A7BC2}"/>
</file>

<file path=customXml/itemProps2.xml><?xml version="1.0" encoding="utf-8"?>
<ds:datastoreItem xmlns:ds="http://schemas.openxmlformats.org/officeDocument/2006/customXml" ds:itemID="{68D5C2FF-7FA9-437F-9928-C54C33C230E6}"/>
</file>

<file path=customXml/itemProps3.xml><?xml version="1.0" encoding="utf-8"?>
<ds:datastoreItem xmlns:ds="http://schemas.openxmlformats.org/officeDocument/2006/customXml" ds:itemID="{CDCAFEEB-AC95-418D-9DB2-A2E4866AD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GENERAL</vt:lpstr>
      <vt:lpstr>NAYERLYS MONTES</vt:lpstr>
      <vt:lpstr>MOISES RINCON</vt:lpstr>
      <vt:lpstr>MARIO OROZCO</vt:lpstr>
      <vt:lpstr>STEFANY DE LA HOZ</vt:lpstr>
      <vt:lpstr>JOSE HENAO</vt:lpstr>
      <vt:lpstr>KEISSY ARRIETA</vt:lpstr>
      <vt:lpstr>JUSTIN ORTIZ</vt:lpstr>
      <vt:lpstr>'JOSE HENAO'!Área_de_impresión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Emaline Romero</cp:lastModifiedBy>
  <cp:lastPrinted>2025-02-26T14:41:28Z</cp:lastPrinted>
  <dcterms:created xsi:type="dcterms:W3CDTF">2025-02-26T13:50:56Z</dcterms:created>
  <dcterms:modified xsi:type="dcterms:W3CDTF">2026-01-21T16:20:32Z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