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10.10.50.91\almacen biosteel\HORAS EXTRAS\"/>
    </mc:Choice>
  </mc:AlternateContent>
  <xr:revisionPtr revIDLastSave="0" documentId="13_ncr:1_{67BFE09A-B758-4FD2-802F-9B0D59F43E1B}" xr6:coauthVersionLast="47" xr6:coauthVersionMax="47" xr10:uidLastSave="{00000000-0000-0000-0000-000000000000}"/>
  <bookViews>
    <workbookView xWindow="-120" yWindow="-120" windowWidth="20730" windowHeight="11040" firstSheet="4" activeTab="10" xr2:uid="{00000000-000D-0000-FFFF-FFFF00000000}"/>
  </bookViews>
  <sheets>
    <sheet name="EMA ROMERO" sheetId="13" state="hidden" r:id="rId1"/>
    <sheet name="NAYERLY MONTES" sheetId="22" r:id="rId2"/>
    <sheet name="MARIO OROZCO" sheetId="14" r:id="rId3"/>
    <sheet name="MOISES RINCON" sheetId="18" r:id="rId4"/>
    <sheet name="DAVID TORDECILLA" sheetId="17" r:id="rId5"/>
    <sheet name="JUSTIN ORTIZ" sheetId="16" r:id="rId6"/>
    <sheet name="KEISY ARRIETA" sheetId="20" r:id="rId7"/>
    <sheet name="STEFANY DE LA HOZ" sheetId="19" r:id="rId8"/>
    <sheet name="RONALD GRAJALES" sheetId="21" r:id="rId9"/>
    <sheet name="JOSE HENAO" sheetId="24" r:id="rId10"/>
    <sheet name="GENERAL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0" l="1"/>
  <c r="H8" i="17"/>
  <c r="J15" i="14"/>
  <c r="H9" i="21"/>
  <c r="H10" i="21"/>
  <c r="H11" i="21"/>
  <c r="H12" i="21"/>
  <c r="H8" i="21"/>
  <c r="H11" i="22"/>
  <c r="H10" i="22"/>
  <c r="H9" i="22"/>
  <c r="H8" i="22"/>
  <c r="J18" i="22"/>
  <c r="J15" i="19"/>
  <c r="H10" i="19"/>
  <c r="H9" i="19"/>
  <c r="H8" i="19"/>
  <c r="J15" i="17"/>
  <c r="H12" i="17"/>
  <c r="H11" i="17"/>
  <c r="H10" i="17"/>
  <c r="H9" i="17"/>
  <c r="J17" i="16"/>
  <c r="H15" i="16"/>
  <c r="H14" i="16"/>
  <c r="H13" i="16"/>
  <c r="H12" i="16"/>
  <c r="H11" i="16"/>
  <c r="H10" i="16"/>
  <c r="H9" i="16"/>
  <c r="H8" i="16"/>
  <c r="H12" i="14" l="1"/>
  <c r="H11" i="14"/>
  <c r="H10" i="14"/>
  <c r="H9" i="14"/>
  <c r="H8" i="14"/>
  <c r="H9" i="20" l="1"/>
  <c r="H10" i="20"/>
  <c r="H11" i="20"/>
  <c r="H12" i="20"/>
  <c r="H8" i="20"/>
  <c r="J17" i="24"/>
  <c r="H8" i="24"/>
  <c r="H10" i="24"/>
  <c r="H9" i="24"/>
  <c r="H12" i="18"/>
  <c r="H11" i="18"/>
  <c r="H10" i="18"/>
  <c r="H9" i="18"/>
  <c r="H8" i="18"/>
  <c r="J18" i="21"/>
  <c r="G20" i="15" l="1"/>
  <c r="I14" i="15"/>
  <c r="J17" i="18" l="1"/>
  <c r="I9" i="15"/>
  <c r="I19" i="15" l="1"/>
  <c r="I18" i="15"/>
  <c r="I17" i="15"/>
  <c r="I16" i="15"/>
  <c r="I15" i="15"/>
  <c r="I13" i="15"/>
  <c r="I12" i="15"/>
  <c r="I11" i="15"/>
  <c r="I10" i="15"/>
  <c r="I8" i="15"/>
  <c r="J16" i="13" l="1"/>
  <c r="H14" i="13"/>
  <c r="H13" i="13"/>
  <c r="H12" i="13"/>
  <c r="H11" i="13"/>
  <c r="H10" i="13"/>
  <c r="H9" i="13"/>
  <c r="H8" i="13"/>
</calcChain>
</file>

<file path=xl/sharedStrings.xml><?xml version="1.0" encoding="utf-8"?>
<sst xmlns="http://schemas.openxmlformats.org/spreadsheetml/2006/main" count="397" uniqueCount="104">
  <si>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</si>
  <si>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</si>
  <si>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</si>
  <si>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</si>
  <si>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</si>
  <si>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</si>
  <si>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</si>
  <si>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</si>
  <si>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</si>
  <si>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</si>
  <si>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</si>
  <si>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</si>
  <si>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</si>
  <si>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</si>
  <si>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</si>
  <si>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</si>
  <si>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</si>
  <si>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</si>
  <si>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>Marzo</t>
  </si>
  <si>
    <t xml:space="preserve">MES: </t>
  </si>
  <si>
    <t xml:space="preserve">PERIODO DE: </t>
  </si>
  <si>
    <t>Silia Diaz</t>
  </si>
  <si>
    <t xml:space="preserve">Silia Diaz </t>
  </si>
  <si>
    <t>Ema Romero Relaes</t>
  </si>
  <si>
    <t>Ema Romero Reales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</si>
  <si>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Abril</t>
    </r>
  </si>
  <si>
    <t>Revision cierres Farmaonline</t>
  </si>
  <si>
    <t>Inventario bodega 100 Principal</t>
  </si>
  <si>
    <t>Lider señior Logistico</t>
  </si>
  <si>
    <t>pedido mayoritario servilogistica ( fijadores)</t>
  </si>
  <si>
    <t>Pedido mayoritario Imeq (reposiciones radio y clavicula)</t>
  </si>
  <si>
    <t>Auxiliar Logistico</t>
  </si>
  <si>
    <t xml:space="preserve">A: </t>
  </si>
  <si>
    <t>SILIA DIAZ</t>
  </si>
  <si>
    <t>Mario Orozco</t>
  </si>
  <si>
    <t>REPORTE GENERAL DE HORAS EXTRAS</t>
  </si>
  <si>
    <t>RSPONSABLE:</t>
  </si>
  <si>
    <t>COORDINADOR LOGISTICO</t>
  </si>
  <si>
    <t>PROCESO:</t>
  </si>
  <si>
    <t>MES:</t>
  </si>
  <si>
    <t xml:space="preserve">PERIODO: </t>
  </si>
  <si>
    <t>NOMBRE DE COLABORADOR</t>
  </si>
  <si>
    <t xml:space="preserve">CARGO </t>
  </si>
  <si>
    <t>TOTAL DE HORAS EXTRAS</t>
  </si>
  <si>
    <t xml:space="preserve">VALOR UNITARIO </t>
  </si>
  <si>
    <t>TOTAL EN VALOR</t>
  </si>
  <si>
    <t>FIRMA DEL COLABORADOR</t>
  </si>
  <si>
    <t>RONALD GRAJALES</t>
  </si>
  <si>
    <t>MOISES RINCON</t>
  </si>
  <si>
    <t>Justin Ortiz</t>
  </si>
  <si>
    <t>David Tordecilla</t>
  </si>
  <si>
    <t xml:space="preserve">CARGO: </t>
  </si>
  <si>
    <t xml:space="preserve">DAVID TORDECILLA </t>
  </si>
  <si>
    <t>Auxiliar de compras</t>
  </si>
  <si>
    <t>Aux  Logistico</t>
  </si>
  <si>
    <t>Moises Rincon</t>
  </si>
  <si>
    <t>Mensajero</t>
  </si>
  <si>
    <t>STEFANY DE LA HOZ</t>
  </si>
  <si>
    <t>Aux compras</t>
  </si>
  <si>
    <t>Stefany de la Hoz</t>
  </si>
  <si>
    <t>KEISY ARRIETA</t>
  </si>
  <si>
    <t>Auxiliar administrativo</t>
  </si>
  <si>
    <t xml:space="preserve">KEISY ARRIETA </t>
  </si>
  <si>
    <t>Cotizaciones</t>
  </si>
  <si>
    <t>Keissy Arrieta</t>
  </si>
  <si>
    <t>Ronald Grajales</t>
  </si>
  <si>
    <t>TOTAL GENERAL</t>
  </si>
  <si>
    <t>1,002,035,293</t>
  </si>
  <si>
    <t>JUNIO-JULIO</t>
  </si>
  <si>
    <t>LISTADO MATERIALES AUTORIZADOS</t>
  </si>
  <si>
    <t xml:space="preserve">ESPERAR MATERIALES Y ENVIAR A CIUDADES </t>
  </si>
  <si>
    <t>Nayerly Montes</t>
  </si>
  <si>
    <t>NAYERLY MONTES</t>
  </si>
  <si>
    <t>JOSE HENAO</t>
  </si>
  <si>
    <t>JULIO - AGOSTO</t>
  </si>
  <si>
    <t>José Henao</t>
  </si>
  <si>
    <t>LISTADO MATERIAL BASICO</t>
  </si>
  <si>
    <t>COMPARATIVO TODO O</t>
  </si>
  <si>
    <t>ESPERAR MATERIALES DE PROVEEDOR Y ENTREGAR</t>
  </si>
  <si>
    <t>ESPERANDO REPOSICION DE RP D Y ENVIO A CIUDAD</t>
  </si>
  <si>
    <t>ESPERANDO MATERIAL DE ABUMAC</t>
  </si>
  <si>
    <t>ESPERANDO MATERIAL DE RP D</t>
  </si>
  <si>
    <t>ALMACE / COMPRAS</t>
  </si>
  <si>
    <t>ESPERAR MATERIALES Y ENVIAR A CIUDADES</t>
  </si>
  <si>
    <t xml:space="preserve">BUSCAR MATERIALES A DONDE PROVEEDORES Y ENTREGAR A CAMPBELL </t>
  </si>
  <si>
    <t xml:space="preserve">ESPERAR MATERIALES Y ENVIAR A BAHIA </t>
  </si>
  <si>
    <t xml:space="preserve">ESPERAR MATERIAL Y ENVIAR A BAHIA </t>
  </si>
  <si>
    <t xml:space="preserve">ESPERAR MATERIALES Y ENVIAR A BARU </t>
  </si>
  <si>
    <t xml:space="preserve">ESPERAR MATERIALES Y EVIAR A CIUDADES </t>
  </si>
  <si>
    <t>JULIO</t>
  </si>
  <si>
    <t>Evaluacion de proveedores</t>
  </si>
  <si>
    <t>Formatos de evaluacion mensual de proveedores</t>
  </si>
  <si>
    <t>Revisión e ingreso de facturas</t>
  </si>
  <si>
    <t xml:space="preserve"> 11:00</t>
  </si>
  <si>
    <t>JUNIO- AGOSTO</t>
  </si>
  <si>
    <t>AGOSTO</t>
  </si>
  <si>
    <t>Ingreso pedido mayoritario</t>
  </si>
  <si>
    <t xml:space="preserve">Cotizacion y orden de compra </t>
  </si>
  <si>
    <t>ENTREGANDO ARTROSCOPIA A CAMPBELL</t>
  </si>
  <si>
    <t>REMISIONAR Y TRANSFERIR MATERIAL DE SAMPEDRO A BARU</t>
  </si>
  <si>
    <t>ESPERANDO TIBIA Y CLAVICULA DE ABUMAC PARA BARU Y RESOLVIENDO GASTOS</t>
  </si>
  <si>
    <t>ENVIANDO MAXILO DE CAMPBELL A BARU Y PREPARANDO MATERIAL PARA MOVID</t>
  </si>
  <si>
    <t>ENVIANDO RADIO CANULADO Y PLACA FEMUR DE TODORTOPEDICO Y ENTREGANDO UN RETIRO DHS A BAHIA</t>
  </si>
  <si>
    <t>Cotizaciones REPRESADAS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</si>
</sst>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XDR&quot;* #,##0.00_-;\-&quot;XDR&quot;* #,##0.00_-;_-&quot;XDR&quot;* &quot;-&quot;??_-;_-@_-"/>
    <numFmt numFmtId="165" formatCode="_-* #,##0_-;\-* #,##0_-;_-* &quot;-&quot;??_-;_-@_-"/>
    <numFmt numFmtId="166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165" fontId="2" fillId="0" borderId="1" xfId="1" applyNumberFormat="1" applyFont="1" applyFill="1" applyBorder="1" applyAlignment="1">
      <alignment horizontal="center" vertical="center"/>
    </xf>
    <xf numFmtId="165" fontId="3" fillId="0" borderId="0" xfId="1" applyNumberFormat="1" applyFont="1"/>
    <xf numFmtId="0" fontId="8" fillId="2" borderId="1" xfId="0" applyFont="1" applyFill="1" applyBorder="1" applyAlignment="1">
      <alignment horizontal="left"/>
    </xf>
    <xf numFmtId="165" fontId="7" fillId="2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Border="1"/>
    <xf numFmtId="0" fontId="6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6" fontId="2" fillId="0" borderId="1" xfId="2" applyNumberFormat="1" applyFont="1" applyBorder="1" applyAlignment="1">
      <alignment vertical="center"/>
    </xf>
    <xf numFmtId="165" fontId="0" fillId="0" borderId="0" xfId="0" applyNumberFormat="1"/>
    <xf numFmtId="43" fontId="2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3" fillId="0" borderId="0" xfId="0" applyNumberFormat="1" applyFont="1"/>
    <xf numFmtId="166" fontId="2" fillId="0" borderId="3" xfId="2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4" fillId="0" borderId="8" xfId="0" applyNumberFormat="1" applyFont="1" applyBorder="1"/>
    <xf numFmtId="20" fontId="2" fillId="0" borderId="9" xfId="0" applyNumberFormat="1" applyFont="1" applyBorder="1" applyAlignment="1">
      <alignment horizontal="center" vertical="center"/>
    </xf>
    <xf numFmtId="165" fontId="2" fillId="0" borderId="9" xfId="1" applyNumberFormat="1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65" fontId="2" fillId="0" borderId="8" xfId="1" applyNumberFormat="1" applyFont="1" applyFill="1" applyBorder="1" applyAlignment="1">
      <alignment horizontal="center" vertical="center"/>
    </xf>
    <xf numFmtId="22" fontId="2" fillId="0" borderId="8" xfId="0" applyNumberFormat="1" applyFont="1" applyBorder="1" applyAlignment="1">
      <alignment horizontal="center" vertical="center"/>
    </xf>
    <xf numFmtId="165" fontId="0" fillId="0" borderId="0" xfId="1" applyNumberFormat="1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left" vertical="center"/>
    </xf>
    <xf numFmtId="20" fontId="2" fillId="0" borderId="3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20" fontId="2" fillId="0" borderId="10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left" vertical="center"/>
    </xf>
    <xf numFmtId="20" fontId="2" fillId="0" borderId="8" xfId="0" applyNumberFormat="1" applyFont="1" applyBorder="1" applyAlignment="1">
      <alignment horizontal="center" vertical="center"/>
    </xf>
  </cellXfs>
  <cellStyles count="5">
    <cellStyle name="Millares" xfId="1" builtinId="3"/>
    <cellStyle name="Millares 2" xfId="4" xr:uid="{FE384DE0-DB38-4EE3-B3A0-4B8EB2B57793}"/>
    <cellStyle name="Moneda" xfId="2" builtinId="4"/>
    <cellStyle name="Moneda 2" xfId="3" xr:uid="{8A856927-5BFF-4C7C-878B-F4E22C4BF09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462343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0C4F68-6692-4171-82D3-C84501FC2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56749E-D595-476A-BDE6-E2850ED73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5892" y="-73099"/>
          <a:ext cx="747280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2</xdr:row>
      <xdr:rowOff>152403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67EE19-6BC0-4988-A834-8D6E72FA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7342" y="-244549"/>
          <a:ext cx="404380" cy="1189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462343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A50088-B94A-498B-80B8-EE46D536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49286"/>
          <a:ext cx="604405" cy="11896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79170</xdr:colOff>
      <xdr:row>1</xdr:row>
      <xdr:rowOff>27423</xdr:rowOff>
    </xdr:from>
    <xdr:to>
      <xdr:col>2</xdr:col>
      <xdr:colOff>1968</xdr:colOff>
      <xdr:row>4</xdr:row>
      <xdr:rowOff>60328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435C89-2584-4F9D-BCE0-9599A9FE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2254" y="-160411"/>
          <a:ext cx="604405" cy="11705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53773</xdr:colOff>
      <xdr:row>1</xdr:row>
      <xdr:rowOff>90925</xdr:rowOff>
    </xdr:from>
    <xdr:to>
      <xdr:col>1</xdr:col>
      <xdr:colOff>986221</xdr:colOff>
      <xdr:row>3</xdr:row>
      <xdr:rowOff>85730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000F8-8881-4282-A9BB-95C92C07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89245" y="-149297"/>
          <a:ext cx="518680" cy="11896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4</xdr:row>
      <xdr:rowOff>85728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5A393F-1E5B-4958-919E-39DDF251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34719</xdr:colOff>
      <xdr:row>1</xdr:row>
      <xdr:rowOff>52824</xdr:rowOff>
    </xdr:from>
    <xdr:to>
      <xdr:col>1</xdr:col>
      <xdr:colOff>462342</xdr:colOff>
      <xdr:row>3</xdr:row>
      <xdr:rowOff>66676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A6397B-8F7E-4EA9-9838-2BDB4C81E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2105" y="-154062"/>
          <a:ext cx="394852" cy="11896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34719</xdr:colOff>
      <xdr:row>1</xdr:row>
      <xdr:rowOff>52824</xdr:rowOff>
    </xdr:from>
    <xdr:to>
      <xdr:col>1</xdr:col>
      <xdr:colOff>462342</xdr:colOff>
      <xdr:row>3</xdr:row>
      <xdr:rowOff>28578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FEEF00-E158-48AC-9804-4DEDB5EE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1154" y="-173111"/>
          <a:ext cx="356754" cy="11896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34719</xdr:colOff>
      <xdr:row>1</xdr:row>
      <xdr:rowOff>52824</xdr:rowOff>
    </xdr:from>
    <xdr:to>
      <xdr:col>1</xdr:col>
      <xdr:colOff>462342</xdr:colOff>
      <xdr:row>3</xdr:row>
      <xdr:rowOff>28578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2B5E19-862D-4555-B2BA-9B83BE7D6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1154" y="-173111"/>
          <a:ext cx="356754" cy="11896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157600</xdr:rowOff>
    </xdr:from>
    <xdr:to>
      <xdr:col>2</xdr:col>
      <xdr:colOff>24193</xdr:colOff>
      <xdr:row>3</xdr:row>
      <xdr:rowOff>95252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A43D26-B749-4C72-B870-EE33EAE8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4006" y="-77861"/>
          <a:ext cx="471052" cy="1189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67EB-2FDA-4C8C-9A4C-AC11EA9740B9}">
  <dimension ref="A2:Q19"/>
  <sheetViews>
    <sheetView workbookViewId="0">
      <selection activeCell="J16" sqref="J16"/>
    </sheetView>
  </sheetViews>
  <sheetFormatPr baseColWidth="10" defaultRowHeight="15" x14ac:dyDescent="0.25"/>
  <cols>
    <col min="2" max="2" width="16.28515625" customWidth="1"/>
    <col min="4" max="4" width="40.140625" customWidth="1"/>
    <col min="6" max="6" width="15.5703125" customWidth="1"/>
    <col min="7" max="7" width="13" customWidth="1"/>
    <col min="8" max="8" width="13.28515625" customWidth="1"/>
  </cols>
  <sheetData>
    <row r="2" spans="1:17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7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7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7" ht="15.75" x14ac:dyDescent="0.25">
      <c r="A5" s="42" t="s">
        <v>11</v>
      </c>
      <c r="B5" s="42"/>
      <c r="C5" s="43" t="s">
        <v>23</v>
      </c>
      <c r="D5" s="44"/>
      <c r="E5" s="45" t="s">
        <v>10</v>
      </c>
      <c r="F5" s="46"/>
      <c r="G5" s="47">
        <v>1149438959</v>
      </c>
      <c r="H5" s="48"/>
      <c r="I5" s="45" t="s">
        <v>9</v>
      </c>
      <c r="J5" s="46"/>
      <c r="K5" s="48" t="s">
        <v>28</v>
      </c>
      <c r="L5" s="49"/>
    </row>
    <row r="6" spans="1:17" ht="15.75" x14ac:dyDescent="0.25">
      <c r="A6" s="42" t="s">
        <v>19</v>
      </c>
      <c r="B6" s="42"/>
      <c r="C6" s="53" t="s">
        <v>18</v>
      </c>
      <c r="D6" s="54"/>
      <c r="E6" s="45" t="s">
        <v>20</v>
      </c>
      <c r="F6" s="46"/>
      <c r="G6" s="55">
        <v>45731</v>
      </c>
      <c r="H6" s="56"/>
      <c r="I6" s="53" t="s">
        <v>25</v>
      </c>
      <c r="J6" s="54"/>
      <c r="K6" s="55">
        <v>45762</v>
      </c>
      <c r="L6" s="44"/>
    </row>
    <row r="7" spans="1:17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  <c r="P7">
        <v>13</v>
      </c>
      <c r="Q7">
        <v>1</v>
      </c>
    </row>
    <row r="8" spans="1:17" ht="15.75" customHeight="1" x14ac:dyDescent="0.25">
      <c r="A8" s="4">
        <v>3</v>
      </c>
      <c r="B8" s="5">
        <v>45735</v>
      </c>
      <c r="C8" s="52" t="s">
        <v>27</v>
      </c>
      <c r="D8" s="52"/>
      <c r="E8" s="6">
        <v>0.33333333333333331</v>
      </c>
      <c r="F8" s="6">
        <v>0.83333333333333337</v>
      </c>
      <c r="G8" s="6">
        <v>4.1666666666666664E-2</v>
      </c>
      <c r="H8" s="6">
        <f t="shared" ref="H8:H14" si="0">(F8-E8-G8)</f>
        <v>0.45833333333333331</v>
      </c>
      <c r="I8" s="6">
        <v>0.33333333333333331</v>
      </c>
      <c r="J8" s="7">
        <v>3</v>
      </c>
      <c r="K8" s="52" t="s">
        <v>22</v>
      </c>
      <c r="L8" s="52"/>
      <c r="P8">
        <v>14</v>
      </c>
      <c r="Q8">
        <v>2</v>
      </c>
    </row>
    <row r="9" spans="1:17" ht="15.75" x14ac:dyDescent="0.25">
      <c r="A9" s="4">
        <v>4</v>
      </c>
      <c r="B9" s="5">
        <v>45737</v>
      </c>
      <c r="C9" s="52" t="s">
        <v>27</v>
      </c>
      <c r="D9" s="52"/>
      <c r="E9" s="6">
        <v>0.33333333333333331</v>
      </c>
      <c r="F9" s="6">
        <v>0.875</v>
      </c>
      <c r="G9" s="6">
        <v>4.1666666666666664E-2</v>
      </c>
      <c r="H9" s="6">
        <f t="shared" si="0"/>
        <v>0.50000000000000011</v>
      </c>
      <c r="I9" s="6">
        <v>0.33333333333333331</v>
      </c>
      <c r="J9" s="7">
        <v>4</v>
      </c>
      <c r="K9" s="52" t="s">
        <v>22</v>
      </c>
      <c r="L9" s="52"/>
      <c r="P9">
        <v>15</v>
      </c>
      <c r="Q9">
        <v>3</v>
      </c>
    </row>
    <row r="10" spans="1:17" ht="15.75" x14ac:dyDescent="0.25">
      <c r="A10" s="4">
        <v>5</v>
      </c>
      <c r="B10" s="5">
        <v>45738</v>
      </c>
      <c r="C10" s="52" t="s">
        <v>27</v>
      </c>
      <c r="D10" s="52"/>
      <c r="E10" s="6">
        <v>0.33333333333333331</v>
      </c>
      <c r="F10" s="6">
        <v>0.625</v>
      </c>
      <c r="G10" s="6">
        <v>4.1666666666666664E-2</v>
      </c>
      <c r="H10" s="6">
        <f t="shared" si="0"/>
        <v>0.25</v>
      </c>
      <c r="I10" s="6">
        <v>0.16666666666666666</v>
      </c>
      <c r="J10" s="7">
        <v>2</v>
      </c>
      <c r="K10" s="52" t="s">
        <v>22</v>
      </c>
      <c r="L10" s="52"/>
      <c r="P10">
        <v>16</v>
      </c>
      <c r="Q10">
        <v>4</v>
      </c>
    </row>
    <row r="11" spans="1:17" ht="15.75" x14ac:dyDescent="0.25">
      <c r="A11" s="4">
        <v>6</v>
      </c>
      <c r="B11" s="5">
        <v>45749</v>
      </c>
      <c r="C11" s="52" t="s">
        <v>26</v>
      </c>
      <c r="D11" s="52"/>
      <c r="E11" s="6">
        <v>0.33333333333333331</v>
      </c>
      <c r="F11" s="6">
        <v>0.83333333333333337</v>
      </c>
      <c r="G11" s="6">
        <v>4.1666666666666664E-2</v>
      </c>
      <c r="H11" s="6">
        <f t="shared" si="0"/>
        <v>0.45833333333333331</v>
      </c>
      <c r="I11" s="6">
        <v>0.33333333333333331</v>
      </c>
      <c r="J11" s="9">
        <v>3</v>
      </c>
      <c r="K11" s="52" t="s">
        <v>22</v>
      </c>
      <c r="L11" s="52"/>
      <c r="P11">
        <v>17</v>
      </c>
      <c r="Q11">
        <v>5</v>
      </c>
    </row>
    <row r="12" spans="1:17" ht="15.75" x14ac:dyDescent="0.25">
      <c r="A12" s="4">
        <v>7</v>
      </c>
      <c r="B12" s="5">
        <v>45750</v>
      </c>
      <c r="C12" s="52" t="s">
        <v>26</v>
      </c>
      <c r="D12" s="52"/>
      <c r="E12" s="6">
        <v>0.33333333333333331</v>
      </c>
      <c r="F12" s="6">
        <v>0.83333333333333337</v>
      </c>
      <c r="G12" s="6">
        <v>4.1666666666666664E-2</v>
      </c>
      <c r="H12" s="6">
        <f t="shared" si="0"/>
        <v>0.45833333333333331</v>
      </c>
      <c r="I12" s="6">
        <v>0.33333333333333331</v>
      </c>
      <c r="J12" s="7">
        <v>3</v>
      </c>
      <c r="K12" s="52" t="s">
        <v>22</v>
      </c>
      <c r="L12" s="52"/>
      <c r="P12">
        <v>18</v>
      </c>
      <c r="Q12">
        <v>6</v>
      </c>
    </row>
    <row r="13" spans="1:17" ht="15.75" x14ac:dyDescent="0.25">
      <c r="A13" s="4">
        <v>8</v>
      </c>
      <c r="B13" s="5">
        <v>45757</v>
      </c>
      <c r="C13" s="52" t="s">
        <v>29</v>
      </c>
      <c r="D13" s="52"/>
      <c r="E13" s="6">
        <v>0.33333333333333331</v>
      </c>
      <c r="F13" s="6">
        <v>0.79166666666666663</v>
      </c>
      <c r="G13" s="6">
        <v>4.1666666666666664E-2</v>
      </c>
      <c r="H13" s="6">
        <f t="shared" si="0"/>
        <v>0.41666666666666663</v>
      </c>
      <c r="I13" s="6">
        <v>0.33333333333333331</v>
      </c>
      <c r="J13" s="7">
        <v>2</v>
      </c>
      <c r="K13" s="52" t="s">
        <v>22</v>
      </c>
      <c r="L13" s="52"/>
      <c r="P13">
        <v>19</v>
      </c>
      <c r="Q13">
        <v>7</v>
      </c>
    </row>
    <row r="14" spans="1:17" ht="35.25" customHeight="1" x14ac:dyDescent="0.25">
      <c r="A14" s="4">
        <v>9</v>
      </c>
      <c r="B14" s="5">
        <v>45758</v>
      </c>
      <c r="C14" s="57" t="s">
        <v>30</v>
      </c>
      <c r="D14" s="57"/>
      <c r="E14" s="6">
        <v>0.33333333333333331</v>
      </c>
      <c r="F14" s="6">
        <v>0.79166666666666663</v>
      </c>
      <c r="G14" s="6">
        <v>4.1666666666666664E-2</v>
      </c>
      <c r="H14" s="6">
        <f t="shared" si="0"/>
        <v>0.41666666666666663</v>
      </c>
      <c r="I14" s="6">
        <v>0.33333333333333331</v>
      </c>
      <c r="J14" s="7">
        <v>2</v>
      </c>
      <c r="K14" s="52" t="s">
        <v>22</v>
      </c>
      <c r="L14" s="52"/>
      <c r="P14">
        <v>20</v>
      </c>
      <c r="Q14">
        <v>8</v>
      </c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P15">
        <v>21</v>
      </c>
      <c r="Q15">
        <v>9</v>
      </c>
    </row>
    <row r="16" spans="1:17" x14ac:dyDescent="0.25">
      <c r="A16" s="1"/>
      <c r="B16" s="1"/>
      <c r="C16" s="1"/>
      <c r="D16" s="1"/>
      <c r="E16" s="1"/>
      <c r="F16" s="1"/>
      <c r="G16" s="1"/>
      <c r="H16" s="61" t="s">
        <v>14</v>
      </c>
      <c r="I16" s="61"/>
      <c r="J16" s="8">
        <f>SUM(J8:J14)</f>
        <v>19</v>
      </c>
      <c r="K16" s="1"/>
      <c r="L16" s="1"/>
      <c r="P16">
        <v>22</v>
      </c>
      <c r="Q16">
        <v>10</v>
      </c>
    </row>
    <row r="17" spans="1:5" x14ac:dyDescent="0.25">
      <c r="A17" s="58" t="s">
        <v>15</v>
      </c>
      <c r="B17" s="58"/>
      <c r="C17" s="62" t="s">
        <v>24</v>
      </c>
      <c r="D17" s="62"/>
      <c r="E17" s="62"/>
    </row>
    <row r="18" spans="1:5" x14ac:dyDescent="0.25">
      <c r="A18" s="58" t="s">
        <v>16</v>
      </c>
      <c r="B18" s="58"/>
      <c r="C18" s="60" t="s">
        <v>21</v>
      </c>
      <c r="D18" s="60"/>
      <c r="E18" s="60"/>
    </row>
    <row r="19" spans="1:5" x14ac:dyDescent="0.25">
      <c r="A19" s="58" t="s">
        <v>17</v>
      </c>
      <c r="B19" s="58"/>
      <c r="C19" s="58"/>
      <c r="D19" s="59">
        <v>45762</v>
      </c>
      <c r="E19" s="60"/>
    </row>
  </sheetData>
  <mergeCells count="36">
    <mergeCell ref="A19:C19"/>
    <mergeCell ref="D19:E19"/>
    <mergeCell ref="H16:I16"/>
    <mergeCell ref="A17:B17"/>
    <mergeCell ref="C17:E17"/>
    <mergeCell ref="A18:B18"/>
    <mergeCell ref="C18:E18"/>
    <mergeCell ref="C12:D12"/>
    <mergeCell ref="K12:L12"/>
    <mergeCell ref="C13:D13"/>
    <mergeCell ref="K13:L13"/>
    <mergeCell ref="C14:D14"/>
    <mergeCell ref="K14:L14"/>
    <mergeCell ref="C9:D9"/>
    <mergeCell ref="K9:L9"/>
    <mergeCell ref="C10:D10"/>
    <mergeCell ref="K10:L10"/>
    <mergeCell ref="C11:D11"/>
    <mergeCell ref="K11:L11"/>
    <mergeCell ref="C7:D7"/>
    <mergeCell ref="K7:L7"/>
    <mergeCell ref="C8:D8"/>
    <mergeCell ref="K8:L8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EBF3-800C-4215-9FEB-0F1557EA2626}">
  <sheetPr>
    <tabColor rgb="FF00B050"/>
  </sheetPr>
  <dimension ref="A1:N22"/>
  <sheetViews>
    <sheetView workbookViewId="0">
      <selection activeCell="J8" sqref="J8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7.2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4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4" ht="15.75" x14ac:dyDescent="0.25">
      <c r="A5" s="42" t="s">
        <v>11</v>
      </c>
      <c r="B5" s="42"/>
      <c r="C5" s="43" t="s">
        <v>72</v>
      </c>
      <c r="D5" s="44"/>
      <c r="E5" s="45" t="s">
        <v>10</v>
      </c>
      <c r="F5" s="46"/>
      <c r="G5" s="47">
        <v>1069472210</v>
      </c>
      <c r="H5" s="48"/>
      <c r="I5" s="45" t="s">
        <v>9</v>
      </c>
      <c r="J5" s="46"/>
      <c r="K5" s="48" t="s">
        <v>61</v>
      </c>
      <c r="L5" s="49"/>
      <c r="N5" s="11" t="s">
        <v>12</v>
      </c>
    </row>
    <row r="6" spans="1:14" ht="15.75" x14ac:dyDescent="0.25">
      <c r="A6" s="42" t="s">
        <v>19</v>
      </c>
      <c r="B6" s="42"/>
      <c r="C6" s="53" t="s">
        <v>74</v>
      </c>
      <c r="D6" s="54"/>
      <c r="E6" s="45" t="s">
        <v>20</v>
      </c>
      <c r="F6" s="46"/>
      <c r="G6" s="55">
        <v>45854</v>
      </c>
      <c r="H6" s="56"/>
      <c r="I6" s="53"/>
      <c r="J6" s="54"/>
      <c r="K6" s="55">
        <v>45884</v>
      </c>
      <c r="L6" s="44"/>
    </row>
    <row r="7" spans="1:14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</row>
    <row r="8" spans="1:14" ht="15.75" x14ac:dyDescent="0.25">
      <c r="A8" s="4">
        <v>1</v>
      </c>
      <c r="B8" s="5">
        <v>45859</v>
      </c>
      <c r="C8" s="63" t="s">
        <v>90</v>
      </c>
      <c r="D8" s="63"/>
      <c r="E8" s="6">
        <v>0.33263888888888887</v>
      </c>
      <c r="F8" s="6">
        <v>0.8305555555555556</v>
      </c>
      <c r="G8" s="6">
        <v>4.1666666666666664E-2</v>
      </c>
      <c r="H8" s="6">
        <f>(F8-E8-G8)</f>
        <v>0.45625000000000004</v>
      </c>
      <c r="I8" s="6">
        <v>0.33333333333333331</v>
      </c>
      <c r="J8" s="7">
        <v>3</v>
      </c>
      <c r="K8" s="52" t="s">
        <v>22</v>
      </c>
      <c r="L8" s="52"/>
    </row>
    <row r="9" spans="1:14" ht="15.75" x14ac:dyDescent="0.25">
      <c r="A9" s="4">
        <v>2</v>
      </c>
      <c r="B9" s="5">
        <v>45860</v>
      </c>
      <c r="C9" s="63" t="s">
        <v>91</v>
      </c>
      <c r="D9" s="63"/>
      <c r="E9" s="6">
        <v>0.33124999999999999</v>
      </c>
      <c r="F9" s="6">
        <v>0.82986111111111116</v>
      </c>
      <c r="G9" s="6">
        <v>4.1666666666666664E-2</v>
      </c>
      <c r="H9" s="6">
        <f>(F9-E9-G9)</f>
        <v>0.45694444444444449</v>
      </c>
      <c r="I9" s="6">
        <v>0.33333333333333331</v>
      </c>
      <c r="J9" s="7">
        <v>3</v>
      </c>
      <c r="K9" s="52" t="s">
        <v>22</v>
      </c>
      <c r="L9" s="52"/>
    </row>
    <row r="10" spans="1:14" ht="15.75" x14ac:dyDescent="0.25">
      <c r="A10" s="4">
        <v>3</v>
      </c>
      <c r="B10" s="5">
        <v>45875</v>
      </c>
      <c r="C10" s="63" t="s">
        <v>97</v>
      </c>
      <c r="D10" s="63"/>
      <c r="E10" s="6">
        <v>0.33958333333333335</v>
      </c>
      <c r="F10" s="6">
        <v>0.83819444444444446</v>
      </c>
      <c r="G10" s="6">
        <v>4.1666666666666664E-2</v>
      </c>
      <c r="H10" s="6">
        <f>(F10-E10-G10)</f>
        <v>0.45694444444444443</v>
      </c>
      <c r="I10" s="6">
        <v>0.33333333333333331</v>
      </c>
      <c r="J10" s="7">
        <v>3</v>
      </c>
      <c r="K10" s="52" t="s">
        <v>22</v>
      </c>
      <c r="L10" s="52"/>
    </row>
    <row r="11" spans="1:14" ht="15.75" x14ac:dyDescent="0.25">
      <c r="A11" s="4">
        <v>4</v>
      </c>
      <c r="B11" s="5">
        <v>45881</v>
      </c>
      <c r="C11" s="63" t="s">
        <v>103</v>
      </c>
      <c r="D11" s="63"/>
      <c r="E11" s="6">
        <v>0.33958333333333335</v>
      </c>
      <c r="F11" s="6">
        <v>0.8354166666666667</v>
      </c>
      <c r="G11" s="6">
        <v>4.1666666666666664E-2</v>
      </c>
      <c r="H11" s="6">
        <f>(F11-E11-G11)</f>
        <v>0.45416666666666666</v>
      </c>
      <c r="I11" s="6">
        <v>0.33333333333333331</v>
      </c>
      <c r="J11" s="9">
        <v>3</v>
      </c>
      <c r="K11" s="52" t="s">
        <v>22</v>
      </c>
      <c r="L11" s="52"/>
    </row>
    <row r="12" spans="1:14" ht="15.75" x14ac:dyDescent="0.25">
      <c r="A12" s="4">
        <v>5</v>
      </c>
      <c r="B12" s="5"/>
      <c r="C12" s="52"/>
      <c r="D12" s="52"/>
      <c r="E12" s="6"/>
      <c r="F12" s="6"/>
      <c r="G12" s="6"/>
      <c r="H12" s="6"/>
      <c r="I12" s="6"/>
      <c r="J12" s="19"/>
      <c r="K12" s="52"/>
      <c r="L12" s="52"/>
    </row>
    <row r="13" spans="1:14" ht="15.75" x14ac:dyDescent="0.25">
      <c r="A13" s="4">
        <v>6</v>
      </c>
      <c r="B13" s="5"/>
      <c r="C13" s="52"/>
      <c r="D13" s="52"/>
      <c r="E13" s="6"/>
      <c r="F13" s="6"/>
      <c r="G13" s="6"/>
      <c r="H13" s="6"/>
      <c r="I13" s="6"/>
      <c r="J13" s="19"/>
      <c r="K13" s="52"/>
      <c r="L13" s="52"/>
    </row>
    <row r="14" spans="1:14" ht="15.75" x14ac:dyDescent="0.25">
      <c r="A14" s="4">
        <v>7</v>
      </c>
      <c r="B14" s="5"/>
      <c r="C14" s="52"/>
      <c r="D14" s="52"/>
      <c r="E14" s="6"/>
      <c r="F14" s="6"/>
      <c r="G14" s="6"/>
      <c r="H14" s="6"/>
      <c r="I14" s="6"/>
      <c r="J14" s="19"/>
      <c r="K14" s="52"/>
      <c r="L14" s="52"/>
    </row>
    <row r="15" spans="1:14" ht="15.75" x14ac:dyDescent="0.25">
      <c r="A15" s="4">
        <v>8</v>
      </c>
      <c r="B15" s="5"/>
      <c r="C15" s="52"/>
      <c r="D15" s="52"/>
      <c r="E15" s="6"/>
      <c r="F15" s="6"/>
      <c r="G15" s="6"/>
      <c r="H15" s="6"/>
      <c r="I15" s="6"/>
      <c r="J15" s="19"/>
      <c r="K15" s="52"/>
      <c r="L15" s="52"/>
    </row>
    <row r="16" spans="1:14" ht="15.75" x14ac:dyDescent="0.25">
      <c r="A16" s="4">
        <v>9</v>
      </c>
      <c r="B16" s="5"/>
      <c r="C16" s="52"/>
      <c r="D16" s="52"/>
      <c r="E16" s="6"/>
      <c r="F16" s="6"/>
      <c r="G16" s="6"/>
      <c r="H16" s="6"/>
      <c r="I16" s="6"/>
      <c r="J16" s="19"/>
      <c r="K16" s="52"/>
      <c r="L16" s="52"/>
    </row>
    <row r="18" spans="1:10" x14ac:dyDescent="0.25">
      <c r="H18" s="61" t="s">
        <v>14</v>
      </c>
      <c r="I18" s="61"/>
      <c r="J18" s="13">
        <f>SUM(J8:J17)</f>
        <v>12</v>
      </c>
    </row>
    <row r="20" spans="1:10" ht="20.100000000000001" customHeight="1" x14ac:dyDescent="0.25">
      <c r="A20" s="58" t="s">
        <v>15</v>
      </c>
      <c r="B20" s="58"/>
      <c r="C20" s="62" t="s">
        <v>72</v>
      </c>
      <c r="D20" s="62"/>
      <c r="E20" s="62"/>
    </row>
    <row r="21" spans="1:10" ht="20.100000000000001" customHeight="1" x14ac:dyDescent="0.25">
      <c r="A21" s="58" t="s">
        <v>16</v>
      </c>
      <c r="B21" s="58"/>
      <c r="C21" s="60" t="s">
        <v>21</v>
      </c>
      <c r="D21" s="60"/>
      <c r="E21" s="60"/>
    </row>
    <row r="22" spans="1:10" ht="20.100000000000001" customHeight="1" x14ac:dyDescent="0.25">
      <c r="A22" s="58" t="s">
        <v>17</v>
      </c>
      <c r="B22" s="58"/>
      <c r="C22" s="58"/>
      <c r="D22" s="59">
        <v>45889</v>
      </c>
      <c r="E22" s="60"/>
      <c r="J22" s="21"/>
    </row>
  </sheetData>
  <mergeCells count="40">
    <mergeCell ref="A22:C22"/>
    <mergeCell ref="D22:E22"/>
    <mergeCell ref="C16:D16"/>
    <mergeCell ref="K16:L16"/>
    <mergeCell ref="H18:I18"/>
    <mergeCell ref="A20:B20"/>
    <mergeCell ref="C20:E20"/>
    <mergeCell ref="A21:B21"/>
    <mergeCell ref="C21:E21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18A8-3237-4403-BAFA-66FC135B0B00}">
  <sheetPr>
    <tabColor rgb="FF00B050"/>
  </sheetPr>
  <dimension ref="A1:N19"/>
  <sheetViews>
    <sheetView workbookViewId="0">
      <selection activeCell="J16" sqref="J16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6.42578125" style="1" customWidth="1"/>
    <col min="9" max="9" width="13" style="1" customWidth="1"/>
    <col min="10" max="10" width="15.85546875" style="10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7.2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4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4" ht="15.75" x14ac:dyDescent="0.25">
      <c r="A5" s="42" t="s">
        <v>11</v>
      </c>
      <c r="B5" s="42"/>
      <c r="C5" s="43" t="s">
        <v>34</v>
      </c>
      <c r="D5" s="44"/>
      <c r="E5" s="45" t="s">
        <v>10</v>
      </c>
      <c r="F5" s="46"/>
      <c r="G5" s="47">
        <v>1143121183</v>
      </c>
      <c r="H5" s="48"/>
      <c r="I5" s="45" t="s">
        <v>9</v>
      </c>
      <c r="J5" s="46"/>
      <c r="K5" s="48" t="s">
        <v>31</v>
      </c>
      <c r="L5" s="49"/>
      <c r="N5" s="11" t="s">
        <v>12</v>
      </c>
    </row>
    <row r="6" spans="1:14" ht="15.75" x14ac:dyDescent="0.25">
      <c r="A6" s="42" t="s">
        <v>19</v>
      </c>
      <c r="B6" s="42"/>
      <c r="C6" s="53" t="s">
        <v>74</v>
      </c>
      <c r="D6" s="54"/>
      <c r="E6" s="45" t="s">
        <v>20</v>
      </c>
      <c r="F6" s="46"/>
      <c r="G6" s="55">
        <v>45854</v>
      </c>
      <c r="H6" s="56"/>
      <c r="I6" s="53"/>
      <c r="J6" s="54"/>
      <c r="K6" s="55">
        <v>45884</v>
      </c>
      <c r="L6" s="44"/>
    </row>
    <row r="7" spans="1:14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12" t="s">
        <v>4</v>
      </c>
      <c r="K7" s="51" t="s">
        <v>7</v>
      </c>
      <c r="L7" s="51"/>
    </row>
    <row r="8" spans="1:14" ht="15.75" x14ac:dyDescent="0.25">
      <c r="A8" s="4">
        <v>1</v>
      </c>
      <c r="B8" s="5">
        <v>45855</v>
      </c>
      <c r="C8" s="57" t="s">
        <v>78</v>
      </c>
      <c r="D8" s="57"/>
      <c r="E8" s="6">
        <v>0.35069444444444442</v>
      </c>
      <c r="F8" s="6">
        <v>0.81388888888888888</v>
      </c>
      <c r="G8" s="6">
        <v>4.1666666666666664E-2</v>
      </c>
      <c r="H8" s="6">
        <f>(F8-E8-G8)</f>
        <v>0.42152777777777778</v>
      </c>
      <c r="I8" s="6">
        <v>0.33333333333333331</v>
      </c>
      <c r="J8" s="9">
        <v>2</v>
      </c>
      <c r="K8" s="52" t="s">
        <v>22</v>
      </c>
      <c r="L8" s="52"/>
    </row>
    <row r="9" spans="1:14" ht="15.75" customHeight="1" x14ac:dyDescent="0.25">
      <c r="A9" s="4">
        <v>2</v>
      </c>
      <c r="B9" s="5">
        <v>45862</v>
      </c>
      <c r="C9" s="57" t="s">
        <v>78</v>
      </c>
      <c r="D9" s="57"/>
      <c r="E9" s="6">
        <v>0.35208333333333336</v>
      </c>
      <c r="F9" s="6">
        <v>0.81944444444444442</v>
      </c>
      <c r="G9" s="6">
        <v>4.1666666666666664E-2</v>
      </c>
      <c r="H9" s="6">
        <f>(F9-E9-G9)</f>
        <v>0.42569444444444438</v>
      </c>
      <c r="I9" s="6">
        <v>0.33333333333333331</v>
      </c>
      <c r="J9" s="9">
        <v>2</v>
      </c>
      <c r="K9" s="52" t="s">
        <v>22</v>
      </c>
      <c r="L9" s="52"/>
    </row>
    <row r="10" spans="1:14" ht="15.75" customHeight="1" x14ac:dyDescent="0.25">
      <c r="A10" s="4">
        <v>3</v>
      </c>
      <c r="B10" s="5">
        <v>45863</v>
      </c>
      <c r="C10" s="57" t="s">
        <v>78</v>
      </c>
      <c r="D10" s="57"/>
      <c r="E10" s="6">
        <v>0.33333333333333331</v>
      </c>
      <c r="F10" s="6">
        <v>0.875</v>
      </c>
      <c r="G10" s="6">
        <v>4.1666666666666664E-2</v>
      </c>
      <c r="H10" s="6">
        <f>(F10-E10-G10)</f>
        <v>0.50000000000000011</v>
      </c>
      <c r="I10" s="6">
        <v>0.33333333333333331</v>
      </c>
      <c r="J10" s="9">
        <v>4</v>
      </c>
      <c r="K10" s="52" t="s">
        <v>22</v>
      </c>
      <c r="L10" s="52"/>
    </row>
    <row r="11" spans="1:14" ht="15.75" customHeight="1" x14ac:dyDescent="0.25">
      <c r="A11" s="4">
        <v>4</v>
      </c>
      <c r="B11" s="5">
        <v>45869</v>
      </c>
      <c r="C11" s="57" t="s">
        <v>78</v>
      </c>
      <c r="D11" s="57"/>
      <c r="E11" s="6">
        <v>0.34583333333333333</v>
      </c>
      <c r="F11" s="6">
        <v>0.75694444444444442</v>
      </c>
      <c r="G11" s="6">
        <v>4.1666666666666664E-2</v>
      </c>
      <c r="H11" s="6">
        <f>(F11-E11-G11)</f>
        <v>0.36944444444444441</v>
      </c>
      <c r="I11" s="6">
        <v>0.33333333333333331</v>
      </c>
      <c r="J11" s="9">
        <v>1</v>
      </c>
      <c r="K11" s="52" t="s">
        <v>22</v>
      </c>
      <c r="L11" s="52"/>
    </row>
    <row r="12" spans="1:14" ht="15.75" customHeight="1" x14ac:dyDescent="0.25">
      <c r="A12" s="4">
        <v>5</v>
      </c>
      <c r="B12" s="5">
        <v>45873</v>
      </c>
      <c r="C12" s="57" t="s">
        <v>78</v>
      </c>
      <c r="D12" s="57"/>
      <c r="E12" s="6">
        <v>0.33263888888888887</v>
      </c>
      <c r="F12" s="6">
        <v>0.83333333333333337</v>
      </c>
      <c r="G12" s="6">
        <v>4.1666666666666664E-2</v>
      </c>
      <c r="H12" s="6">
        <f>(F12-E12-G12)</f>
        <v>0.45902777777777787</v>
      </c>
      <c r="I12" s="6">
        <v>0.33333333333333331</v>
      </c>
      <c r="J12" s="9">
        <v>3</v>
      </c>
      <c r="K12" s="52" t="s">
        <v>22</v>
      </c>
      <c r="L12" s="52"/>
    </row>
    <row r="13" spans="1:14" ht="15.75" x14ac:dyDescent="0.25">
      <c r="A13" s="4">
        <v>14</v>
      </c>
      <c r="B13" s="5"/>
      <c r="C13" s="57"/>
      <c r="D13" s="57"/>
      <c r="E13" s="6"/>
      <c r="F13" s="6"/>
      <c r="G13" s="6"/>
      <c r="H13" s="6"/>
      <c r="I13" s="6"/>
      <c r="J13" s="9"/>
      <c r="K13" s="52"/>
      <c r="L13" s="52"/>
    </row>
    <row r="15" spans="1:14" x14ac:dyDescent="0.25">
      <c r="H15" s="61" t="s">
        <v>14</v>
      </c>
      <c r="I15" s="61"/>
      <c r="J15" s="13">
        <f>SUM(J8:J14)</f>
        <v>12</v>
      </c>
    </row>
    <row r="17" spans="1:5" ht="20.100000000000001" customHeight="1" x14ac:dyDescent="0.25">
      <c r="A17" s="58" t="s">
        <v>15</v>
      </c>
      <c r="B17" s="58"/>
      <c r="D17" s="1" t="s">
        <v>34</v>
      </c>
    </row>
    <row r="18" spans="1:5" ht="20.100000000000001" customHeight="1" x14ac:dyDescent="0.25">
      <c r="A18" s="58" t="s">
        <v>16</v>
      </c>
      <c r="B18" s="58"/>
      <c r="C18" s="62" t="s">
        <v>33</v>
      </c>
      <c r="D18" s="62"/>
      <c r="E18" s="62"/>
    </row>
    <row r="19" spans="1:5" ht="20.100000000000001" customHeight="1" x14ac:dyDescent="0.25">
      <c r="A19" s="58" t="s">
        <v>17</v>
      </c>
      <c r="B19" s="58"/>
      <c r="C19" s="58"/>
      <c r="D19" s="59">
        <v>45889</v>
      </c>
      <c r="E19" s="60"/>
    </row>
  </sheetData>
  <mergeCells count="33">
    <mergeCell ref="C13:D13"/>
    <mergeCell ref="K13:L13"/>
    <mergeCell ref="A19:C19"/>
    <mergeCell ref="D19:E19"/>
    <mergeCell ref="H15:I15"/>
    <mergeCell ref="A17:B17"/>
    <mergeCell ref="C18:E18"/>
    <mergeCell ref="A18:B18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3BB5-D3CD-4819-B2BD-A9F92A5F48B2}">
  <sheetPr>
    <tabColor rgb="FFFF0000"/>
  </sheetPr>
  <dimension ref="A2:L21"/>
  <sheetViews>
    <sheetView workbookViewId="0">
      <selection activeCell="B8" sqref="B8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  <col min="9" max="9" width="15.28515625" bestFit="1" customWidth="1"/>
  </cols>
  <sheetData>
    <row r="2" spans="1:12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5.75" x14ac:dyDescent="0.25">
      <c r="A5" s="42" t="s">
        <v>11</v>
      </c>
      <c r="B5" s="42"/>
      <c r="C5" s="43" t="s">
        <v>48</v>
      </c>
      <c r="D5" s="44"/>
      <c r="E5" s="45" t="s">
        <v>10</v>
      </c>
      <c r="F5" s="46"/>
      <c r="G5" s="47"/>
      <c r="H5" s="48"/>
      <c r="I5" s="45" t="s">
        <v>9</v>
      </c>
      <c r="J5" s="46"/>
      <c r="K5" s="48" t="s">
        <v>54</v>
      </c>
      <c r="L5" s="49"/>
    </row>
    <row r="6" spans="1:12" ht="15.75" x14ac:dyDescent="0.25">
      <c r="A6" s="42" t="s">
        <v>19</v>
      </c>
      <c r="B6" s="42"/>
      <c r="C6" s="53" t="s">
        <v>68</v>
      </c>
      <c r="D6" s="54"/>
      <c r="E6" s="45" t="s">
        <v>20</v>
      </c>
      <c r="F6" s="46"/>
      <c r="G6" s="55">
        <v>45824</v>
      </c>
      <c r="H6" s="56"/>
      <c r="I6" s="53"/>
      <c r="J6" s="54"/>
      <c r="K6" s="55">
        <v>45853</v>
      </c>
      <c r="L6" s="44"/>
    </row>
    <row r="7" spans="1:12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</row>
    <row r="8" spans="1:12" ht="15.75" x14ac:dyDescent="0.25">
      <c r="A8" s="4">
        <v>1</v>
      </c>
      <c r="B8" s="5"/>
      <c r="C8" s="52"/>
      <c r="D8" s="52"/>
      <c r="E8" s="6">
        <v>0.33333333333333331</v>
      </c>
      <c r="F8" s="6"/>
      <c r="G8" s="6">
        <v>4.1666666666666664E-2</v>
      </c>
      <c r="H8" s="6">
        <f>(F8-E8-G8)</f>
        <v>-0.375</v>
      </c>
      <c r="I8" s="6">
        <v>0.16666666666666666</v>
      </c>
      <c r="J8" s="9"/>
      <c r="K8" s="52" t="s">
        <v>22</v>
      </c>
      <c r="L8" s="52"/>
    </row>
    <row r="9" spans="1:12" ht="15.75" x14ac:dyDescent="0.25">
      <c r="A9" s="4">
        <v>2</v>
      </c>
      <c r="B9" s="5"/>
      <c r="C9" s="52"/>
      <c r="D9" s="52"/>
      <c r="E9" s="6">
        <v>0.33333333333333331</v>
      </c>
      <c r="F9" s="6"/>
      <c r="G9" s="6">
        <v>4.1666666666666664E-2</v>
      </c>
      <c r="H9" s="6">
        <f>(F9-E9-G9)</f>
        <v>-0.375</v>
      </c>
      <c r="I9" s="6">
        <v>0.33333333333333331</v>
      </c>
      <c r="J9" s="7"/>
      <c r="K9" s="52" t="s">
        <v>22</v>
      </c>
      <c r="L9" s="52"/>
    </row>
    <row r="10" spans="1:12" ht="15.75" x14ac:dyDescent="0.25">
      <c r="A10" s="4">
        <v>3</v>
      </c>
      <c r="B10" s="5"/>
      <c r="C10" s="52"/>
      <c r="D10" s="52"/>
      <c r="E10" s="6">
        <v>0.33333333333333331</v>
      </c>
      <c r="F10" s="6"/>
      <c r="G10" s="6">
        <v>4.1666666666666664E-2</v>
      </c>
      <c r="H10" s="6">
        <f>(F10-E10-G10)</f>
        <v>-0.375</v>
      </c>
      <c r="I10" s="6">
        <v>0.33333333333333331</v>
      </c>
      <c r="J10" s="7"/>
      <c r="K10" s="52" t="s">
        <v>22</v>
      </c>
      <c r="L10" s="52"/>
    </row>
    <row r="11" spans="1:12" ht="15.75" x14ac:dyDescent="0.25">
      <c r="A11" s="4">
        <v>4</v>
      </c>
      <c r="B11" s="5"/>
      <c r="C11" s="52"/>
      <c r="D11" s="52"/>
      <c r="E11" s="6">
        <v>0.33333333333333331</v>
      </c>
      <c r="F11" s="6"/>
      <c r="G11" s="6">
        <v>4.1666666666666664E-2</v>
      </c>
      <c r="H11" s="6">
        <f>(F11-E11-G11)</f>
        <v>-0.375</v>
      </c>
      <c r="I11" s="6">
        <v>0.33333333333333331</v>
      </c>
      <c r="J11" s="7"/>
      <c r="K11" s="52" t="s">
        <v>22</v>
      </c>
      <c r="L11" s="52"/>
    </row>
    <row r="12" spans="1:12" ht="15.75" x14ac:dyDescent="0.25">
      <c r="A12" s="4">
        <v>6</v>
      </c>
      <c r="B12" s="5"/>
      <c r="C12" s="52"/>
      <c r="D12" s="52"/>
      <c r="E12" s="6">
        <v>0.33333333333333331</v>
      </c>
      <c r="F12" s="6"/>
      <c r="G12" s="6">
        <v>4.1666666666666664E-2</v>
      </c>
      <c r="H12" s="6">
        <f>(F12-E12-G12)</f>
        <v>-0.375</v>
      </c>
      <c r="I12" s="6">
        <v>0.16666666666666666</v>
      </c>
      <c r="J12" s="7"/>
      <c r="K12" s="52" t="s">
        <v>22</v>
      </c>
      <c r="L12" s="52"/>
    </row>
    <row r="13" spans="1:12" ht="15.75" x14ac:dyDescent="0.25">
      <c r="A13" s="4">
        <v>7</v>
      </c>
      <c r="B13" s="5"/>
      <c r="E13" s="6"/>
      <c r="F13" s="6"/>
      <c r="G13" s="6"/>
      <c r="H13" s="6"/>
      <c r="I13" s="6"/>
      <c r="J13" s="7"/>
      <c r="K13" s="52"/>
      <c r="L13" s="52"/>
    </row>
    <row r="14" spans="1:12" ht="15.75" x14ac:dyDescent="0.25">
      <c r="A14" s="4">
        <v>8</v>
      </c>
      <c r="B14" s="5"/>
      <c r="C14" s="52"/>
      <c r="D14" s="52"/>
      <c r="E14" s="6"/>
      <c r="F14" s="6"/>
      <c r="G14" s="6"/>
      <c r="H14" s="6"/>
      <c r="I14" s="6"/>
      <c r="J14" s="7"/>
      <c r="K14" s="52"/>
      <c r="L14" s="52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61" t="s">
        <v>14</v>
      </c>
      <c r="I17" s="61"/>
      <c r="J17" s="8">
        <f>SUM(J8:J16)</f>
        <v>0</v>
      </c>
      <c r="K17" s="1"/>
      <c r="L17" s="1"/>
    </row>
    <row r="18" spans="1:12" x14ac:dyDescent="0.25">
      <c r="A18" s="58" t="s">
        <v>15</v>
      </c>
      <c r="B18" s="58"/>
      <c r="C18" s="62" t="s">
        <v>48</v>
      </c>
      <c r="D18" s="62"/>
      <c r="E18" s="62"/>
    </row>
    <row r="19" spans="1:12" x14ac:dyDescent="0.25">
      <c r="A19" s="58" t="s">
        <v>16</v>
      </c>
      <c r="B19" s="58"/>
      <c r="C19" s="60" t="s">
        <v>21</v>
      </c>
      <c r="D19" s="60"/>
      <c r="E19" s="60"/>
    </row>
    <row r="20" spans="1:12" x14ac:dyDescent="0.25">
      <c r="A20" s="58" t="s">
        <v>17</v>
      </c>
      <c r="B20" s="58"/>
      <c r="C20" s="58"/>
      <c r="D20" s="59">
        <v>45856</v>
      </c>
      <c r="E20" s="60"/>
    </row>
    <row r="21" spans="1:12" x14ac:dyDescent="0.25">
      <c r="J21" s="18"/>
    </row>
  </sheetData>
  <mergeCells count="35">
    <mergeCell ref="A19:B19"/>
    <mergeCell ref="C19:E19"/>
    <mergeCell ref="A20:C20"/>
    <mergeCell ref="D20:E20"/>
    <mergeCell ref="K13:L13"/>
    <mergeCell ref="C14:D14"/>
    <mergeCell ref="K14:L14"/>
    <mergeCell ref="H17:I17"/>
    <mergeCell ref="A18:B18"/>
    <mergeCell ref="C18:E18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7F21-392A-4CF7-AD56-438F0C633A78}">
  <sheetPr>
    <tabColor rgb="FF00B050"/>
  </sheetPr>
  <dimension ref="A1:N20"/>
  <sheetViews>
    <sheetView workbookViewId="0">
      <selection activeCell="H21" sqref="H21"/>
    </sheetView>
  </sheetViews>
  <sheetFormatPr baseColWidth="10" defaultColWidth="11.42578125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7.2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4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4" ht="15.75" x14ac:dyDescent="0.25">
      <c r="A5" s="42" t="s">
        <v>11</v>
      </c>
      <c r="B5" s="42"/>
      <c r="C5" s="43" t="s">
        <v>50</v>
      </c>
      <c r="D5" s="44"/>
      <c r="E5" s="45" t="s">
        <v>10</v>
      </c>
      <c r="F5" s="46"/>
      <c r="G5" s="47">
        <v>1042451951</v>
      </c>
      <c r="H5" s="48"/>
      <c r="I5" s="45" t="s">
        <v>51</v>
      </c>
      <c r="J5" s="46"/>
      <c r="K5" s="48" t="s">
        <v>31</v>
      </c>
      <c r="L5" s="49"/>
      <c r="N5" s="11" t="s">
        <v>12</v>
      </c>
    </row>
    <row r="6" spans="1:14" ht="15.75" x14ac:dyDescent="0.25">
      <c r="A6" s="42" t="s">
        <v>19</v>
      </c>
      <c r="B6" s="42"/>
      <c r="C6" s="53" t="s">
        <v>94</v>
      </c>
      <c r="D6" s="54"/>
      <c r="E6" s="45" t="s">
        <v>20</v>
      </c>
      <c r="F6" s="46"/>
      <c r="G6" s="55" t="s">
        <v>89</v>
      </c>
      <c r="H6" s="56"/>
      <c r="I6" s="64" t="s">
        <v>32</v>
      </c>
      <c r="J6" s="65"/>
      <c r="K6" s="55" t="s">
        <v>95</v>
      </c>
      <c r="L6" s="44"/>
    </row>
    <row r="7" spans="1:14" ht="31.5" x14ac:dyDescent="0.25">
      <c r="A7" s="37" t="s">
        <v>0</v>
      </c>
      <c r="B7" s="37" t="s">
        <v>5</v>
      </c>
      <c r="C7" s="66" t="s">
        <v>6</v>
      </c>
      <c r="D7" s="66"/>
      <c r="E7" s="35" t="s">
        <v>1</v>
      </c>
      <c r="F7" s="35" t="s">
        <v>2</v>
      </c>
      <c r="G7" s="35" t="s">
        <v>12</v>
      </c>
      <c r="H7" s="35" t="s">
        <v>13</v>
      </c>
      <c r="I7" s="35" t="s">
        <v>3</v>
      </c>
      <c r="J7" s="35" t="s">
        <v>4</v>
      </c>
      <c r="K7" s="67" t="s">
        <v>7</v>
      </c>
      <c r="L7" s="67"/>
    </row>
    <row r="8" spans="1:14" ht="15.75" x14ac:dyDescent="0.25">
      <c r="A8" s="25"/>
      <c r="B8" s="33">
        <v>45859</v>
      </c>
      <c r="C8" s="68" t="s">
        <v>90</v>
      </c>
      <c r="D8" s="68"/>
      <c r="E8" s="26">
        <v>0.33333333333333331</v>
      </c>
      <c r="F8" s="26">
        <v>0.83333333333333337</v>
      </c>
      <c r="G8" s="26">
        <v>4.1666666666666664E-2</v>
      </c>
      <c r="H8" s="26">
        <f>(F8-E8-G8)</f>
        <v>0.45833333333333331</v>
      </c>
      <c r="I8" s="26">
        <v>0.33333333333333331</v>
      </c>
      <c r="J8" s="31">
        <v>3</v>
      </c>
      <c r="K8" s="69" t="s">
        <v>22</v>
      </c>
      <c r="L8" s="69"/>
    </row>
    <row r="9" spans="1:14" ht="15.75" x14ac:dyDescent="0.25">
      <c r="A9" s="25"/>
      <c r="B9" s="33">
        <v>45860</v>
      </c>
      <c r="C9" s="68" t="s">
        <v>91</v>
      </c>
      <c r="D9" s="68"/>
      <c r="E9" s="26">
        <v>0.33333333333333331</v>
      </c>
      <c r="F9" s="26">
        <v>0.83333333333333337</v>
      </c>
      <c r="G9" s="26">
        <v>4.1666666666666664E-2</v>
      </c>
      <c r="H9" s="26">
        <f>(F9-E9-G9)</f>
        <v>0.45833333333333331</v>
      </c>
      <c r="I9" s="26">
        <v>0.33333333333333331</v>
      </c>
      <c r="J9" s="31">
        <v>3</v>
      </c>
      <c r="K9" s="69" t="s">
        <v>22</v>
      </c>
      <c r="L9" s="69"/>
    </row>
    <row r="10" spans="1:14" ht="15.75" x14ac:dyDescent="0.25">
      <c r="A10" s="25"/>
      <c r="B10" s="33">
        <v>45862</v>
      </c>
      <c r="C10" s="68" t="s">
        <v>92</v>
      </c>
      <c r="D10" s="68"/>
      <c r="E10" s="26">
        <v>0.33333333333333331</v>
      </c>
      <c r="F10" s="26">
        <v>0.81944444444444442</v>
      </c>
      <c r="G10" s="26">
        <v>4.1666666666666664E-2</v>
      </c>
      <c r="H10" s="26">
        <f>(F10-E10-G10)</f>
        <v>0.44444444444444442</v>
      </c>
      <c r="I10" s="26">
        <v>0.33333333333333331</v>
      </c>
      <c r="J10" s="31">
        <v>3</v>
      </c>
      <c r="K10" s="69" t="s">
        <v>22</v>
      </c>
      <c r="L10" s="69"/>
    </row>
    <row r="11" spans="1:14" ht="15.75" x14ac:dyDescent="0.25">
      <c r="A11" s="25"/>
      <c r="B11" s="33">
        <v>45873</v>
      </c>
      <c r="C11" s="68" t="s">
        <v>92</v>
      </c>
      <c r="D11" s="68"/>
      <c r="E11" s="26">
        <v>0.34722222222222221</v>
      </c>
      <c r="F11" s="26">
        <v>0.83333333333333337</v>
      </c>
      <c r="G11" s="26">
        <v>4.1666666666666664E-2</v>
      </c>
      <c r="H11" s="26">
        <f>(F11-E11-G11)</f>
        <v>0.44444444444444448</v>
      </c>
      <c r="I11" s="26">
        <v>0.33333333333333331</v>
      </c>
      <c r="J11" s="31">
        <v>3</v>
      </c>
      <c r="K11" s="69" t="s">
        <v>22</v>
      </c>
      <c r="L11" s="69"/>
    </row>
    <row r="12" spans="1:14" ht="15.75" x14ac:dyDescent="0.25">
      <c r="A12" s="25"/>
      <c r="B12" s="33">
        <v>45875</v>
      </c>
      <c r="C12" s="68" t="s">
        <v>92</v>
      </c>
      <c r="D12" s="68"/>
      <c r="E12" s="26">
        <v>0.42152777777777778</v>
      </c>
      <c r="F12" s="26">
        <v>0.83333333333333337</v>
      </c>
      <c r="G12" s="26">
        <v>4.1666666666666664E-2</v>
      </c>
      <c r="H12" s="26">
        <f>(F12-E12-G12)</f>
        <v>0.37013888888888891</v>
      </c>
      <c r="I12" s="26">
        <v>0.33333333333333331</v>
      </c>
      <c r="J12" s="38">
        <v>1</v>
      </c>
      <c r="K12" s="69" t="s">
        <v>22</v>
      </c>
      <c r="L12" s="69"/>
    </row>
    <row r="13" spans="1:14" ht="15.75" x14ac:dyDescent="0.25">
      <c r="A13" s="25"/>
      <c r="B13" s="33">
        <v>45881</v>
      </c>
      <c r="C13" s="68" t="s">
        <v>92</v>
      </c>
      <c r="D13" s="68"/>
      <c r="E13" s="26">
        <v>0.34652777777777777</v>
      </c>
      <c r="F13" s="26">
        <v>0.83333333333333337</v>
      </c>
      <c r="G13" s="26">
        <v>4.1666666666666664E-2</v>
      </c>
      <c r="H13" s="39" t="s">
        <v>93</v>
      </c>
      <c r="I13" s="26">
        <v>0.33333333333333331</v>
      </c>
      <c r="J13" s="31">
        <v>3</v>
      </c>
      <c r="K13" s="69" t="s">
        <v>22</v>
      </c>
      <c r="L13" s="69"/>
    </row>
    <row r="15" spans="1:14" x14ac:dyDescent="0.25">
      <c r="H15" s="70" t="s">
        <v>14</v>
      </c>
      <c r="I15" s="71"/>
      <c r="J15" s="8">
        <f>SUM(J8:J13)</f>
        <v>16</v>
      </c>
    </row>
    <row r="18" spans="1:5" ht="20.100000000000001" customHeight="1" x14ac:dyDescent="0.25">
      <c r="A18" s="58" t="s">
        <v>15</v>
      </c>
      <c r="B18" s="58"/>
      <c r="C18" s="62" t="s">
        <v>52</v>
      </c>
      <c r="D18" s="62"/>
      <c r="E18" s="62"/>
    </row>
    <row r="19" spans="1:5" ht="20.100000000000001" customHeight="1" x14ac:dyDescent="0.25">
      <c r="A19" s="58" t="s">
        <v>16</v>
      </c>
      <c r="B19" s="58"/>
      <c r="C19" s="60" t="s">
        <v>21</v>
      </c>
      <c r="D19" s="60"/>
      <c r="E19" s="60"/>
    </row>
    <row r="20" spans="1:5" ht="20.100000000000001" customHeight="1" x14ac:dyDescent="0.25">
      <c r="A20" s="58" t="s">
        <v>17</v>
      </c>
      <c r="B20" s="58"/>
      <c r="C20" s="58"/>
      <c r="D20" s="59">
        <v>45889</v>
      </c>
      <c r="E20" s="60"/>
    </row>
  </sheetData>
  <mergeCells count="34">
    <mergeCell ref="A19:B19"/>
    <mergeCell ref="C19:E19"/>
    <mergeCell ref="A20:C20"/>
    <mergeCell ref="D20:E20"/>
    <mergeCell ref="C13:D13"/>
    <mergeCell ref="K13:L13"/>
    <mergeCell ref="H15:I15"/>
    <mergeCell ref="A18:B18"/>
    <mergeCell ref="C18:E18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C0D9-74BD-47FD-827D-D51FD961D198}">
  <sheetPr>
    <tabColor rgb="FF00B050"/>
  </sheetPr>
  <dimension ref="A1:N21"/>
  <sheetViews>
    <sheetView workbookViewId="0">
      <selection activeCell="J28" sqref="J28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7.2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4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4" ht="15.75" x14ac:dyDescent="0.25">
      <c r="A5" s="42" t="s">
        <v>11</v>
      </c>
      <c r="B5" s="42"/>
      <c r="C5" s="43" t="s">
        <v>49</v>
      </c>
      <c r="D5" s="44"/>
      <c r="E5" s="45" t="s">
        <v>10</v>
      </c>
      <c r="F5" s="46"/>
      <c r="G5" s="47"/>
      <c r="H5" s="48"/>
      <c r="I5" s="45" t="s">
        <v>9</v>
      </c>
      <c r="J5" s="46"/>
      <c r="K5" s="48" t="s">
        <v>31</v>
      </c>
      <c r="L5" s="49"/>
      <c r="N5" s="11" t="s">
        <v>12</v>
      </c>
    </row>
    <row r="6" spans="1:14" ht="15.75" x14ac:dyDescent="0.25">
      <c r="A6" s="42" t="s">
        <v>19</v>
      </c>
      <c r="B6" s="42"/>
      <c r="C6" s="53" t="s">
        <v>89</v>
      </c>
      <c r="D6" s="54"/>
      <c r="E6" s="45" t="s">
        <v>20</v>
      </c>
      <c r="F6" s="46"/>
      <c r="G6" s="55">
        <v>45854</v>
      </c>
      <c r="H6" s="56"/>
      <c r="I6" s="53"/>
      <c r="J6" s="54"/>
      <c r="K6" s="55">
        <v>45884</v>
      </c>
      <c r="L6" s="44"/>
    </row>
    <row r="7" spans="1:14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</row>
    <row r="8" spans="1:14" ht="15.75" x14ac:dyDescent="0.25">
      <c r="A8" s="4">
        <v>1</v>
      </c>
      <c r="B8" s="5">
        <v>45855</v>
      </c>
      <c r="C8" s="57" t="s">
        <v>83</v>
      </c>
      <c r="D8" s="57"/>
      <c r="E8" s="6">
        <v>0.33333333333333331</v>
      </c>
      <c r="F8" s="6">
        <v>0.81388888888888888</v>
      </c>
      <c r="G8" s="6">
        <v>4.1666666666666664E-2</v>
      </c>
      <c r="H8" s="6">
        <f t="shared" ref="H8:H15" si="0">(F8-E8-G8)</f>
        <v>0.43888888888888888</v>
      </c>
      <c r="I8" s="34">
        <v>0.33333333333333331</v>
      </c>
      <c r="J8" s="36">
        <v>2</v>
      </c>
      <c r="K8" s="52" t="s">
        <v>22</v>
      </c>
      <c r="L8" s="52"/>
    </row>
    <row r="9" spans="1:14" ht="15.75" x14ac:dyDescent="0.25">
      <c r="A9" s="4">
        <v>2</v>
      </c>
      <c r="B9" s="5">
        <v>45857</v>
      </c>
      <c r="C9" s="57" t="s">
        <v>84</v>
      </c>
      <c r="D9" s="57"/>
      <c r="E9" s="6">
        <v>0.33333333333333331</v>
      </c>
      <c r="F9" s="6">
        <v>0.625</v>
      </c>
      <c r="G9" s="6">
        <v>4.1666666666666664E-2</v>
      </c>
      <c r="H9" s="6">
        <f t="shared" si="0"/>
        <v>0.25</v>
      </c>
      <c r="I9" s="34">
        <v>0.16666666666666666</v>
      </c>
      <c r="J9" s="36">
        <v>2</v>
      </c>
      <c r="K9" s="52" t="s">
        <v>22</v>
      </c>
      <c r="L9" s="52"/>
    </row>
    <row r="10" spans="1:14" ht="15.75" customHeight="1" x14ac:dyDescent="0.25">
      <c r="A10" s="4">
        <v>3</v>
      </c>
      <c r="B10" s="5">
        <v>45861</v>
      </c>
      <c r="C10" s="57" t="s">
        <v>85</v>
      </c>
      <c r="D10" s="57"/>
      <c r="E10" s="6">
        <v>0.32847222222222222</v>
      </c>
      <c r="F10" s="6">
        <v>0.80277777777777781</v>
      </c>
      <c r="G10" s="6">
        <v>4.1666666666666664E-2</v>
      </c>
      <c r="H10" s="6">
        <f t="shared" si="0"/>
        <v>0.43263888888888891</v>
      </c>
      <c r="I10" s="34">
        <v>0.33333333333333331</v>
      </c>
      <c r="J10" s="36">
        <v>3</v>
      </c>
      <c r="K10" s="52" t="s">
        <v>22</v>
      </c>
      <c r="L10" s="52"/>
    </row>
    <row r="11" spans="1:14" ht="15.75" customHeight="1" x14ac:dyDescent="0.25">
      <c r="A11" s="4">
        <v>4</v>
      </c>
      <c r="B11" s="5">
        <v>45862</v>
      </c>
      <c r="C11" s="57" t="s">
        <v>86</v>
      </c>
      <c r="D11" s="57"/>
      <c r="E11" s="6">
        <v>0.33333333333333298</v>
      </c>
      <c r="F11" s="6">
        <v>0.77916666666666667</v>
      </c>
      <c r="G11" s="6">
        <v>4.1666666666666664E-2</v>
      </c>
      <c r="H11" s="6">
        <f t="shared" si="0"/>
        <v>0.40416666666666701</v>
      </c>
      <c r="I11" s="34">
        <v>0.33333333333333331</v>
      </c>
      <c r="J11" s="36">
        <v>1</v>
      </c>
      <c r="K11" s="52" t="s">
        <v>22</v>
      </c>
      <c r="L11" s="52"/>
    </row>
    <row r="12" spans="1:14" ht="15.75" customHeight="1" x14ac:dyDescent="0.25">
      <c r="A12" s="4">
        <v>5</v>
      </c>
      <c r="B12" s="5">
        <v>45863</v>
      </c>
      <c r="C12" s="57" t="s">
        <v>87</v>
      </c>
      <c r="D12" s="57"/>
      <c r="E12" s="6">
        <v>0.33333333333333298</v>
      </c>
      <c r="F12" s="6">
        <v>0.74027777777777781</v>
      </c>
      <c r="G12" s="6">
        <v>4.1666666666666664E-2</v>
      </c>
      <c r="H12" s="6">
        <f t="shared" si="0"/>
        <v>0.36527777777777815</v>
      </c>
      <c r="I12" s="34">
        <v>0.33333333333333331</v>
      </c>
      <c r="J12" s="36">
        <v>2</v>
      </c>
      <c r="K12" s="52" t="s">
        <v>22</v>
      </c>
      <c r="L12" s="52"/>
    </row>
    <row r="13" spans="1:14" ht="15.75" customHeight="1" x14ac:dyDescent="0.25">
      <c r="A13" s="4">
        <v>6</v>
      </c>
      <c r="B13" s="5">
        <v>45866</v>
      </c>
      <c r="C13" s="57" t="s">
        <v>70</v>
      </c>
      <c r="D13" s="57"/>
      <c r="E13" s="6">
        <v>0.34166666666666667</v>
      </c>
      <c r="F13" s="6">
        <v>0.77777777777777779</v>
      </c>
      <c r="G13" s="6">
        <v>4.1666666666666664E-2</v>
      </c>
      <c r="H13" s="6">
        <f t="shared" si="0"/>
        <v>0.39444444444444443</v>
      </c>
      <c r="I13" s="34">
        <v>0.33333333333333331</v>
      </c>
      <c r="J13" s="36">
        <v>3</v>
      </c>
      <c r="K13" s="52" t="s">
        <v>22</v>
      </c>
      <c r="L13" s="52"/>
    </row>
    <row r="14" spans="1:14" ht="15.75" customHeight="1" x14ac:dyDescent="0.25">
      <c r="A14" s="4">
        <v>7</v>
      </c>
      <c r="B14" s="5">
        <v>45873</v>
      </c>
      <c r="C14" s="57" t="s">
        <v>70</v>
      </c>
      <c r="D14" s="57"/>
      <c r="E14" s="6">
        <v>0.34305555555555556</v>
      </c>
      <c r="F14" s="6">
        <v>0.81874999999999998</v>
      </c>
      <c r="G14" s="6">
        <v>4.1666666666666664E-2</v>
      </c>
      <c r="H14" s="6">
        <f t="shared" si="0"/>
        <v>0.43402777777777773</v>
      </c>
      <c r="I14" s="34">
        <v>0.33333333333333331</v>
      </c>
      <c r="J14" s="36">
        <v>2</v>
      </c>
      <c r="K14" s="52" t="s">
        <v>22</v>
      </c>
      <c r="L14" s="52"/>
    </row>
    <row r="15" spans="1:14" ht="15.75" x14ac:dyDescent="0.25">
      <c r="A15" s="4">
        <v>8</v>
      </c>
      <c r="B15" s="5">
        <v>45875</v>
      </c>
      <c r="C15" s="57" t="s">
        <v>88</v>
      </c>
      <c r="D15" s="57"/>
      <c r="E15" s="6">
        <v>0.34652777777777777</v>
      </c>
      <c r="F15" s="6">
        <v>0.79166666666666663</v>
      </c>
      <c r="G15" s="6">
        <v>4.1666666666666664E-2</v>
      </c>
      <c r="H15" s="6">
        <f t="shared" si="0"/>
        <v>0.40347222222222218</v>
      </c>
      <c r="I15" s="34">
        <v>0.33333333333333331</v>
      </c>
      <c r="J15" s="36">
        <v>3</v>
      </c>
      <c r="K15" s="52" t="s">
        <v>22</v>
      </c>
      <c r="L15" s="52"/>
    </row>
    <row r="17" spans="1:10" x14ac:dyDescent="0.25">
      <c r="H17" s="61" t="s">
        <v>14</v>
      </c>
      <c r="I17" s="61"/>
      <c r="J17" s="8">
        <f>SUM(J8:J15)</f>
        <v>18</v>
      </c>
    </row>
    <row r="19" spans="1:10" ht="20.100000000000001" customHeight="1" x14ac:dyDescent="0.25">
      <c r="A19" s="58" t="s">
        <v>15</v>
      </c>
      <c r="B19" s="58"/>
      <c r="C19" s="62" t="s">
        <v>49</v>
      </c>
      <c r="D19" s="62"/>
      <c r="E19" s="62"/>
    </row>
    <row r="20" spans="1:10" ht="20.100000000000001" customHeight="1" x14ac:dyDescent="0.25">
      <c r="A20" s="58" t="s">
        <v>16</v>
      </c>
      <c r="B20" s="58"/>
      <c r="C20" s="60" t="s">
        <v>21</v>
      </c>
      <c r="D20" s="60"/>
      <c r="E20" s="60"/>
    </row>
    <row r="21" spans="1:10" ht="20.100000000000001" customHeight="1" x14ac:dyDescent="0.25">
      <c r="A21" s="58" t="s">
        <v>17</v>
      </c>
      <c r="B21" s="58"/>
      <c r="C21" s="58"/>
      <c r="D21" s="59">
        <v>45889</v>
      </c>
      <c r="E21" s="60"/>
    </row>
  </sheetData>
  <mergeCells count="38">
    <mergeCell ref="A20:B20"/>
    <mergeCell ref="C20:E20"/>
    <mergeCell ref="A21:C21"/>
    <mergeCell ref="D21:E21"/>
    <mergeCell ref="K15:L15"/>
    <mergeCell ref="H17:I17"/>
    <mergeCell ref="A19:B19"/>
    <mergeCell ref="C19:E19"/>
    <mergeCell ref="C15:D15"/>
    <mergeCell ref="C7:D7"/>
    <mergeCell ref="K7:L7"/>
    <mergeCell ref="K8:L8"/>
    <mergeCell ref="K9:L9"/>
    <mergeCell ref="C9:D9"/>
    <mergeCell ref="C8:D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12:D12"/>
    <mergeCell ref="C10:D10"/>
    <mergeCell ref="C14:D14"/>
    <mergeCell ref="C13:D13"/>
    <mergeCell ref="C11:D11"/>
    <mergeCell ref="K13:L13"/>
    <mergeCell ref="K14:L14"/>
    <mergeCell ref="K10:L10"/>
    <mergeCell ref="K11:L11"/>
    <mergeCell ref="K12:L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BDF8-179A-4943-B766-8A23E7ABD8C1}">
  <sheetPr>
    <tabColor rgb="FF00B050"/>
  </sheetPr>
  <dimension ref="A1:N22"/>
  <sheetViews>
    <sheetView workbookViewId="0">
      <selection activeCell="J30" sqref="J30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7.2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4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4" ht="15.75" x14ac:dyDescent="0.25">
      <c r="A5" s="42" t="s">
        <v>11</v>
      </c>
      <c r="B5" s="42"/>
      <c r="C5" s="43" t="s">
        <v>60</v>
      </c>
      <c r="D5" s="44"/>
      <c r="E5" s="45" t="s">
        <v>10</v>
      </c>
      <c r="F5" s="46"/>
      <c r="G5" s="47">
        <v>1143269882</v>
      </c>
      <c r="H5" s="48"/>
      <c r="I5" s="45" t="s">
        <v>9</v>
      </c>
      <c r="J5" s="46"/>
      <c r="K5" s="48" t="s">
        <v>61</v>
      </c>
      <c r="L5" s="49"/>
      <c r="N5" s="11" t="s">
        <v>12</v>
      </c>
    </row>
    <row r="6" spans="1:14" ht="15.75" x14ac:dyDescent="0.25">
      <c r="A6" s="42" t="s">
        <v>19</v>
      </c>
      <c r="B6" s="42"/>
      <c r="C6" s="53" t="s">
        <v>74</v>
      </c>
      <c r="D6" s="54"/>
      <c r="E6" s="45" t="s">
        <v>20</v>
      </c>
      <c r="F6" s="46"/>
      <c r="G6" s="55">
        <v>45854</v>
      </c>
      <c r="H6" s="56"/>
      <c r="I6" s="53"/>
      <c r="J6" s="54"/>
      <c r="K6" s="55">
        <v>45884</v>
      </c>
      <c r="L6" s="44"/>
    </row>
    <row r="7" spans="1:14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</row>
    <row r="8" spans="1:14" ht="15.75" x14ac:dyDescent="0.25">
      <c r="A8" s="4">
        <v>1</v>
      </c>
      <c r="B8" s="5">
        <v>45855</v>
      </c>
      <c r="C8" s="72" t="s">
        <v>69</v>
      </c>
      <c r="D8" s="73"/>
      <c r="E8" s="6">
        <v>0.33888888888888891</v>
      </c>
      <c r="F8" s="6">
        <v>0.83333333333333337</v>
      </c>
      <c r="G8" s="6">
        <v>4.1666666666666664E-2</v>
      </c>
      <c r="H8" s="6">
        <f>(F8-E8-G8)</f>
        <v>0.45277777777777778</v>
      </c>
      <c r="I8" s="6">
        <v>0.33333333333333331</v>
      </c>
      <c r="J8" s="19">
        <v>3</v>
      </c>
      <c r="K8" s="74" t="s">
        <v>22</v>
      </c>
      <c r="L8" s="75"/>
    </row>
    <row r="9" spans="1:14" ht="15.75" x14ac:dyDescent="0.25">
      <c r="A9" s="4">
        <v>2</v>
      </c>
      <c r="B9" s="5">
        <v>45861</v>
      </c>
      <c r="C9" s="72" t="s">
        <v>76</v>
      </c>
      <c r="D9" s="73"/>
      <c r="E9" s="6">
        <v>0.3659722222222222</v>
      </c>
      <c r="F9" s="6">
        <v>0.79166666666666663</v>
      </c>
      <c r="G9" s="6">
        <v>4.1666666666666664E-2</v>
      </c>
      <c r="H9" s="6">
        <f t="shared" ref="H9:H12" si="0">(F9-E9-G9)</f>
        <v>0.38402777777777775</v>
      </c>
      <c r="I9" s="6">
        <v>0.33333333333333331</v>
      </c>
      <c r="J9" s="19">
        <v>1</v>
      </c>
      <c r="K9" s="74" t="s">
        <v>22</v>
      </c>
      <c r="L9" s="75"/>
    </row>
    <row r="10" spans="1:14" ht="15.75" x14ac:dyDescent="0.25">
      <c r="A10" s="4">
        <v>3</v>
      </c>
      <c r="B10" s="5">
        <v>45862</v>
      </c>
      <c r="C10" s="72" t="s">
        <v>76</v>
      </c>
      <c r="D10" s="73"/>
      <c r="E10" s="6">
        <v>0.34097222222222223</v>
      </c>
      <c r="F10" s="6">
        <v>0.81805555555555554</v>
      </c>
      <c r="G10" s="6">
        <v>4.1666666666666664E-2</v>
      </c>
      <c r="H10" s="6">
        <f t="shared" si="0"/>
        <v>0.43541666666666662</v>
      </c>
      <c r="I10" s="6">
        <v>0.33333333333333331</v>
      </c>
      <c r="J10" s="19">
        <v>3</v>
      </c>
      <c r="K10" s="74" t="s">
        <v>22</v>
      </c>
      <c r="L10" s="75"/>
    </row>
    <row r="11" spans="1:14" ht="15.75" x14ac:dyDescent="0.25">
      <c r="A11" s="4">
        <v>4</v>
      </c>
      <c r="B11" s="5">
        <v>45863</v>
      </c>
      <c r="C11" s="72" t="s">
        <v>77</v>
      </c>
      <c r="D11" s="73"/>
      <c r="E11" s="6">
        <v>0.33750000000000002</v>
      </c>
      <c r="F11" s="6">
        <v>0.875</v>
      </c>
      <c r="G11" s="6">
        <v>4.1666666666666664E-2</v>
      </c>
      <c r="H11" s="6">
        <f t="shared" si="0"/>
        <v>0.49583333333333329</v>
      </c>
      <c r="I11" s="6">
        <v>0.33333333333333331</v>
      </c>
      <c r="J11" s="19">
        <v>4</v>
      </c>
      <c r="K11" s="74" t="s">
        <v>22</v>
      </c>
      <c r="L11" s="75"/>
    </row>
    <row r="12" spans="1:14" ht="15.75" x14ac:dyDescent="0.25">
      <c r="A12" s="4">
        <v>5</v>
      </c>
      <c r="B12" s="5">
        <v>45881</v>
      </c>
      <c r="C12" s="72" t="s">
        <v>76</v>
      </c>
      <c r="D12" s="73"/>
      <c r="E12" s="6">
        <v>0.33958333333333335</v>
      </c>
      <c r="F12" s="6">
        <v>0.83333333333333337</v>
      </c>
      <c r="G12" s="6">
        <v>4.1666666666666664E-2</v>
      </c>
      <c r="H12" s="6">
        <f t="shared" si="0"/>
        <v>0.45208333333333334</v>
      </c>
      <c r="I12" s="6">
        <v>0.33333333333333331</v>
      </c>
      <c r="J12" s="19">
        <v>4</v>
      </c>
      <c r="K12" s="74" t="s">
        <v>22</v>
      </c>
      <c r="L12" s="75"/>
    </row>
    <row r="13" spans="1:14" ht="15.75" x14ac:dyDescent="0.25">
      <c r="A13" s="4">
        <v>6</v>
      </c>
      <c r="B13" s="5"/>
      <c r="C13" s="52"/>
      <c r="D13" s="52"/>
      <c r="E13" s="6"/>
      <c r="F13" s="6"/>
      <c r="G13" s="6"/>
      <c r="H13" s="6"/>
      <c r="I13" s="6"/>
      <c r="J13" s="19"/>
      <c r="K13" s="52"/>
      <c r="L13" s="52"/>
    </row>
    <row r="14" spans="1:14" ht="15.75" x14ac:dyDescent="0.25">
      <c r="A14" s="4">
        <v>7</v>
      </c>
      <c r="B14" s="5"/>
      <c r="C14" s="52"/>
      <c r="D14" s="52"/>
      <c r="E14" s="6"/>
      <c r="F14" s="6"/>
      <c r="G14" s="6"/>
      <c r="H14" s="6"/>
      <c r="I14" s="6"/>
      <c r="J14" s="19"/>
      <c r="K14" s="52"/>
      <c r="L14" s="52"/>
    </row>
    <row r="15" spans="1:14" ht="15.75" x14ac:dyDescent="0.25">
      <c r="A15" s="4">
        <v>8</v>
      </c>
      <c r="B15" s="5"/>
      <c r="C15" s="52"/>
      <c r="D15" s="52"/>
      <c r="E15" s="6"/>
      <c r="F15" s="6"/>
      <c r="G15" s="6"/>
      <c r="H15" s="6"/>
      <c r="I15" s="6"/>
      <c r="J15" s="19"/>
      <c r="K15" s="52"/>
      <c r="L15" s="52"/>
    </row>
    <row r="16" spans="1:14" ht="15.75" x14ac:dyDescent="0.25">
      <c r="A16" s="4">
        <v>9</v>
      </c>
      <c r="B16" s="5"/>
      <c r="C16" s="52"/>
      <c r="D16" s="52"/>
      <c r="E16" s="6"/>
      <c r="F16" s="6"/>
      <c r="G16" s="6"/>
      <c r="H16" s="6"/>
      <c r="I16" s="6"/>
      <c r="J16" s="19"/>
      <c r="K16" s="52"/>
      <c r="L16" s="52"/>
    </row>
    <row r="18" spans="1:10" x14ac:dyDescent="0.25">
      <c r="H18" s="61" t="s">
        <v>14</v>
      </c>
      <c r="I18" s="61"/>
      <c r="J18" s="13">
        <f>SUM(J8:J17)</f>
        <v>15</v>
      </c>
    </row>
    <row r="20" spans="1:10" ht="20.100000000000001" customHeight="1" x14ac:dyDescent="0.25">
      <c r="A20" s="58" t="s">
        <v>15</v>
      </c>
      <c r="B20" s="58"/>
      <c r="C20" s="62" t="s">
        <v>62</v>
      </c>
      <c r="D20" s="62"/>
      <c r="E20" s="62"/>
    </row>
    <row r="21" spans="1:10" ht="20.100000000000001" customHeight="1" x14ac:dyDescent="0.25">
      <c r="A21" s="58" t="s">
        <v>16</v>
      </c>
      <c r="B21" s="58"/>
      <c r="C21" s="60" t="s">
        <v>21</v>
      </c>
      <c r="D21" s="60"/>
      <c r="E21" s="60"/>
    </row>
    <row r="22" spans="1:10" ht="20.100000000000001" customHeight="1" x14ac:dyDescent="0.25">
      <c r="A22" s="58" t="s">
        <v>17</v>
      </c>
      <c r="B22" s="58"/>
      <c r="C22" s="58"/>
      <c r="D22" s="59">
        <v>45889</v>
      </c>
      <c r="E22" s="60"/>
      <c r="J22" s="21"/>
    </row>
  </sheetData>
  <mergeCells count="40">
    <mergeCell ref="A22:C22"/>
    <mergeCell ref="D22:E22"/>
    <mergeCell ref="C16:D16"/>
    <mergeCell ref="K16:L16"/>
    <mergeCell ref="H18:I18"/>
    <mergeCell ref="A20:B20"/>
    <mergeCell ref="C20:E20"/>
    <mergeCell ref="A21:B21"/>
    <mergeCell ref="C21:E21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C74E-060D-4EED-8C47-AA00908435C1}">
  <sheetPr>
    <tabColor rgb="FF00B050"/>
  </sheetPr>
  <dimension ref="A2:L18"/>
  <sheetViews>
    <sheetView workbookViewId="0">
      <selection activeCell="O16" sqref="O16"/>
    </sheetView>
  </sheetViews>
  <sheetFormatPr baseColWidth="10" defaultRowHeight="15" x14ac:dyDescent="0.25"/>
  <cols>
    <col min="2" max="2" width="15.28515625" customWidth="1"/>
    <col min="4" max="4" width="34.42578125" customWidth="1"/>
    <col min="6" max="6" width="15.5703125" customWidth="1"/>
  </cols>
  <sheetData>
    <row r="2" spans="1:12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5.75" x14ac:dyDescent="0.25">
      <c r="A5" s="42" t="s">
        <v>11</v>
      </c>
      <c r="B5" s="42"/>
      <c r="C5" s="43" t="s">
        <v>57</v>
      </c>
      <c r="D5" s="44"/>
      <c r="E5" s="45" t="s">
        <v>10</v>
      </c>
      <c r="F5" s="46"/>
      <c r="G5" s="47">
        <v>1042355387</v>
      </c>
      <c r="H5" s="48"/>
      <c r="I5" s="45" t="s">
        <v>9</v>
      </c>
      <c r="J5" s="46"/>
      <c r="K5" s="48" t="s">
        <v>58</v>
      </c>
      <c r="L5" s="49"/>
    </row>
    <row r="6" spans="1:12" ht="15.75" x14ac:dyDescent="0.25">
      <c r="A6" s="42" t="s">
        <v>19</v>
      </c>
      <c r="B6" s="42"/>
      <c r="C6" s="53" t="s">
        <v>74</v>
      </c>
      <c r="D6" s="54"/>
      <c r="E6" s="45" t="s">
        <v>20</v>
      </c>
      <c r="F6" s="46"/>
      <c r="G6" s="55">
        <v>45854</v>
      </c>
      <c r="H6" s="56"/>
      <c r="I6" s="53"/>
      <c r="J6" s="54"/>
      <c r="K6" s="55">
        <v>45884</v>
      </c>
      <c r="L6" s="44"/>
    </row>
    <row r="7" spans="1:12" ht="47.2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</row>
    <row r="8" spans="1:12" ht="15.75" x14ac:dyDescent="0.25">
      <c r="A8" s="4">
        <v>1</v>
      </c>
      <c r="B8" s="5">
        <v>45859</v>
      </c>
      <c r="C8" s="63" t="s">
        <v>90</v>
      </c>
      <c r="D8" s="63"/>
      <c r="E8" s="6">
        <v>0.34027777777777779</v>
      </c>
      <c r="F8" s="6">
        <v>0.83333333333333337</v>
      </c>
      <c r="G8" s="6">
        <v>4.1666666666666664E-2</v>
      </c>
      <c r="H8" s="6">
        <f>(F8-E8-G8)</f>
        <v>0.4513888888888889</v>
      </c>
      <c r="I8" s="6">
        <v>0.33333333333333331</v>
      </c>
      <c r="J8" s="7">
        <v>3</v>
      </c>
      <c r="K8" s="52" t="s">
        <v>22</v>
      </c>
      <c r="L8" s="52"/>
    </row>
    <row r="9" spans="1:12" ht="25.5" customHeight="1" x14ac:dyDescent="0.25">
      <c r="A9" s="4">
        <v>2</v>
      </c>
      <c r="B9" s="5">
        <v>45860</v>
      </c>
      <c r="C9" s="63" t="s">
        <v>91</v>
      </c>
      <c r="D9" s="63"/>
      <c r="E9" s="6">
        <v>0.3125</v>
      </c>
      <c r="F9" s="6">
        <v>0.83333333333333337</v>
      </c>
      <c r="G9" s="6">
        <v>4.1666666666666664E-2</v>
      </c>
      <c r="H9" s="6">
        <f>(F9-E9-G9)</f>
        <v>0.47916666666666669</v>
      </c>
      <c r="I9" s="6">
        <v>0.33333333333333331</v>
      </c>
      <c r="J9" s="7">
        <v>3</v>
      </c>
      <c r="K9" s="52" t="s">
        <v>22</v>
      </c>
      <c r="L9" s="52"/>
    </row>
    <row r="10" spans="1:12" ht="15.75" x14ac:dyDescent="0.25">
      <c r="A10" s="4">
        <v>3</v>
      </c>
      <c r="B10" s="5">
        <v>45873</v>
      </c>
      <c r="C10" s="63" t="s">
        <v>96</v>
      </c>
      <c r="D10" s="63"/>
      <c r="E10" s="6">
        <v>0.3125</v>
      </c>
      <c r="F10" s="6">
        <v>0.83333333333333337</v>
      </c>
      <c r="G10" s="6">
        <v>4.1666666666666664E-2</v>
      </c>
      <c r="H10" s="6">
        <f>(F10-E10-G10)</f>
        <v>0.47916666666666669</v>
      </c>
      <c r="I10" s="6">
        <v>0.33333333333333331</v>
      </c>
      <c r="J10" s="7">
        <v>4</v>
      </c>
      <c r="K10" s="52" t="s">
        <v>22</v>
      </c>
      <c r="L10" s="52"/>
    </row>
    <row r="11" spans="1:12" ht="15.75" x14ac:dyDescent="0.25">
      <c r="A11" s="4"/>
      <c r="B11" s="5"/>
      <c r="C11" s="52"/>
      <c r="D11" s="52"/>
      <c r="E11" s="6"/>
      <c r="F11" s="6"/>
      <c r="G11" s="6"/>
      <c r="H11" s="6"/>
      <c r="I11" s="6"/>
      <c r="J11" s="7"/>
      <c r="K11" s="52"/>
      <c r="L11" s="52"/>
    </row>
    <row r="12" spans="1:12" ht="15.75" x14ac:dyDescent="0.25">
      <c r="A12" s="4"/>
      <c r="B12" s="5"/>
      <c r="C12" s="52"/>
      <c r="D12" s="52"/>
      <c r="E12" s="6"/>
      <c r="F12" s="6"/>
      <c r="G12" s="6"/>
      <c r="H12" s="6"/>
      <c r="I12" s="6"/>
      <c r="J12" s="7"/>
      <c r="K12" s="52"/>
      <c r="L12" s="52"/>
    </row>
    <row r="13" spans="1:12" ht="15.75" x14ac:dyDescent="0.25">
      <c r="A13" s="4"/>
      <c r="B13" s="5"/>
      <c r="C13" s="52"/>
      <c r="D13" s="52"/>
      <c r="E13" s="6"/>
      <c r="F13" s="6"/>
      <c r="G13" s="6"/>
      <c r="H13" s="6"/>
      <c r="I13" s="6"/>
      <c r="J13" s="7"/>
      <c r="K13" s="52"/>
      <c r="L13" s="52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61" t="s">
        <v>14</v>
      </c>
      <c r="I15" s="61"/>
      <c r="J15" s="8">
        <f>SUM(J8:J14)</f>
        <v>10</v>
      </c>
      <c r="K15" s="1"/>
      <c r="L15" s="1"/>
    </row>
    <row r="16" spans="1:12" x14ac:dyDescent="0.25">
      <c r="A16" s="58" t="s">
        <v>15</v>
      </c>
      <c r="B16" s="58"/>
      <c r="C16" s="62" t="s">
        <v>57</v>
      </c>
      <c r="D16" s="62"/>
      <c r="E16" s="62"/>
    </row>
    <row r="17" spans="1:5" x14ac:dyDescent="0.25">
      <c r="A17" s="58" t="s">
        <v>16</v>
      </c>
      <c r="B17" s="58"/>
      <c r="C17" s="60" t="s">
        <v>21</v>
      </c>
      <c r="D17" s="60"/>
      <c r="E17" s="60"/>
    </row>
    <row r="18" spans="1:5" x14ac:dyDescent="0.25">
      <c r="A18" s="58" t="s">
        <v>17</v>
      </c>
      <c r="B18" s="58"/>
      <c r="C18" s="58"/>
      <c r="D18" s="59">
        <v>45889</v>
      </c>
      <c r="E18" s="60"/>
    </row>
  </sheetData>
  <mergeCells count="34">
    <mergeCell ref="A18:C18"/>
    <mergeCell ref="D18:E18"/>
    <mergeCell ref="C11:D11"/>
    <mergeCell ref="K11:L11"/>
    <mergeCell ref="C12:D12"/>
    <mergeCell ref="K12:L12"/>
    <mergeCell ref="C13:D13"/>
    <mergeCell ref="K13:L13"/>
    <mergeCell ref="H15:I15"/>
    <mergeCell ref="A16:B16"/>
    <mergeCell ref="C16:E16"/>
    <mergeCell ref="A17:B17"/>
    <mergeCell ref="C17:E17"/>
    <mergeCell ref="C7:D7"/>
    <mergeCell ref="K7:L7"/>
    <mergeCell ref="C9:D9"/>
    <mergeCell ref="K9:L9"/>
    <mergeCell ref="C10:D10"/>
    <mergeCell ref="K10:L10"/>
    <mergeCell ref="C8:D8"/>
    <mergeCell ref="K8:L8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37FD-A155-424B-92EA-7B46AF8C2410}">
  <sheetPr>
    <tabColor rgb="FF00B050"/>
  </sheetPr>
  <dimension ref="A2:L22"/>
  <sheetViews>
    <sheetView workbookViewId="0">
      <selection activeCell="J18" sqref="J18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5.75" x14ac:dyDescent="0.25">
      <c r="A5" s="42" t="s">
        <v>11</v>
      </c>
      <c r="B5" s="42"/>
      <c r="C5" s="43" t="s">
        <v>47</v>
      </c>
      <c r="D5" s="44"/>
      <c r="E5" s="45" t="s">
        <v>10</v>
      </c>
      <c r="F5" s="46"/>
      <c r="G5" s="47" t="s">
        <v>67</v>
      </c>
      <c r="H5" s="48"/>
      <c r="I5" s="45" t="s">
        <v>9</v>
      </c>
      <c r="J5" s="46"/>
      <c r="K5" s="48" t="s">
        <v>54</v>
      </c>
      <c r="L5" s="49"/>
    </row>
    <row r="6" spans="1:12" ht="15.75" x14ac:dyDescent="0.25">
      <c r="A6" s="42" t="s">
        <v>19</v>
      </c>
      <c r="B6" s="42"/>
      <c r="C6" s="53" t="s">
        <v>74</v>
      </c>
      <c r="D6" s="54"/>
      <c r="E6" s="45" t="s">
        <v>20</v>
      </c>
      <c r="F6" s="46"/>
      <c r="G6" s="55">
        <v>45854</v>
      </c>
      <c r="H6" s="56"/>
      <c r="I6" s="53"/>
      <c r="J6" s="54"/>
      <c r="K6" s="55">
        <v>45884</v>
      </c>
      <c r="L6" s="44"/>
    </row>
    <row r="7" spans="1:12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</row>
    <row r="8" spans="1:12" ht="15.75" x14ac:dyDescent="0.25">
      <c r="A8" s="4">
        <v>1</v>
      </c>
      <c r="B8" s="5">
        <v>45855</v>
      </c>
      <c r="C8" s="76" t="s">
        <v>98</v>
      </c>
      <c r="D8" s="76"/>
      <c r="E8" s="6">
        <v>0.33333333333333331</v>
      </c>
      <c r="F8" s="6">
        <v>0.74722222222222223</v>
      </c>
      <c r="G8" s="6">
        <v>4.1666666666666664E-2</v>
      </c>
      <c r="H8" s="6">
        <f>F8-E8-G8</f>
        <v>0.37222222222222223</v>
      </c>
      <c r="I8" s="6">
        <v>0.33333333333333331</v>
      </c>
      <c r="J8" s="7">
        <v>1</v>
      </c>
      <c r="K8" s="52" t="s">
        <v>22</v>
      </c>
      <c r="L8" s="52"/>
    </row>
    <row r="9" spans="1:12" ht="15.75" x14ac:dyDescent="0.25">
      <c r="A9" s="20">
        <v>2</v>
      </c>
      <c r="B9" s="5">
        <v>45873</v>
      </c>
      <c r="C9" s="76" t="s">
        <v>99</v>
      </c>
      <c r="D9" s="76"/>
      <c r="E9" s="6">
        <v>0.33958333333333335</v>
      </c>
      <c r="F9" s="6">
        <v>0.8340277777777777</v>
      </c>
      <c r="G9" s="6">
        <v>4.1666666666666664E-2</v>
      </c>
      <c r="H9" s="6">
        <f t="shared" ref="H9:H12" si="0">F9-E9-G9</f>
        <v>0.45277777777777767</v>
      </c>
      <c r="I9" s="6">
        <v>0.33333333333333331</v>
      </c>
      <c r="J9" s="9">
        <v>3</v>
      </c>
      <c r="K9" s="52" t="s">
        <v>22</v>
      </c>
      <c r="L9" s="52"/>
    </row>
    <row r="10" spans="1:12" ht="15.75" x14ac:dyDescent="0.25">
      <c r="A10" s="4">
        <v>3</v>
      </c>
      <c r="B10" s="5">
        <v>45881</v>
      </c>
      <c r="C10" s="77" t="s">
        <v>100</v>
      </c>
      <c r="D10" s="77"/>
      <c r="E10" s="6">
        <v>0.33333333333333331</v>
      </c>
      <c r="F10" s="6">
        <v>0.8354166666666667</v>
      </c>
      <c r="G10" s="6">
        <v>4.1666666666666664E-2</v>
      </c>
      <c r="H10" s="6">
        <f t="shared" si="0"/>
        <v>0.46041666666666675</v>
      </c>
      <c r="I10" s="6">
        <v>0.33333333333333331</v>
      </c>
      <c r="J10" s="7">
        <v>3</v>
      </c>
      <c r="K10" s="52" t="s">
        <v>22</v>
      </c>
      <c r="L10" s="52"/>
    </row>
    <row r="11" spans="1:12" ht="15.75" x14ac:dyDescent="0.25">
      <c r="A11" s="20">
        <v>4</v>
      </c>
      <c r="B11" s="5">
        <v>45883</v>
      </c>
      <c r="C11" s="77" t="s">
        <v>101</v>
      </c>
      <c r="D11" s="77"/>
      <c r="E11" s="6">
        <v>0.33680555555555558</v>
      </c>
      <c r="F11" s="6">
        <v>0.80763888888888891</v>
      </c>
      <c r="G11" s="6">
        <v>4.1666666666666664E-2</v>
      </c>
      <c r="H11" s="6">
        <f t="shared" si="0"/>
        <v>0.42916666666666664</v>
      </c>
      <c r="I11" s="6">
        <v>0.33333333333333331</v>
      </c>
      <c r="J11" s="7">
        <v>2</v>
      </c>
      <c r="K11" s="52" t="s">
        <v>22</v>
      </c>
      <c r="L11" s="52"/>
    </row>
    <row r="12" spans="1:12" ht="15.75" x14ac:dyDescent="0.25">
      <c r="A12" s="4">
        <v>5</v>
      </c>
      <c r="B12" s="5">
        <v>45884</v>
      </c>
      <c r="C12" s="77" t="s">
        <v>102</v>
      </c>
      <c r="D12" s="77"/>
      <c r="E12" s="6">
        <v>0.34236111111111112</v>
      </c>
      <c r="F12" s="6">
        <v>0.7597222222222223</v>
      </c>
      <c r="G12" s="6">
        <v>4.1666666666666664E-2</v>
      </c>
      <c r="H12" s="6">
        <f t="shared" si="0"/>
        <v>0.3756944444444445</v>
      </c>
      <c r="I12" s="6">
        <v>0.33333333333333331</v>
      </c>
      <c r="J12" s="30">
        <v>1</v>
      </c>
      <c r="K12" s="52" t="s">
        <v>22</v>
      </c>
      <c r="L12" s="52"/>
    </row>
    <row r="13" spans="1:12" ht="15.75" x14ac:dyDescent="0.25">
      <c r="A13" s="20"/>
      <c r="B13" s="33"/>
      <c r="C13" s="69"/>
      <c r="D13" s="69"/>
      <c r="E13" s="26"/>
      <c r="F13" s="32"/>
      <c r="G13" s="29"/>
      <c r="H13" s="6"/>
      <c r="I13" s="26"/>
      <c r="J13" s="31"/>
      <c r="K13" s="78"/>
      <c r="L13" s="78"/>
    </row>
    <row r="14" spans="1:12" ht="15.75" x14ac:dyDescent="0.25">
      <c r="A14" s="20"/>
      <c r="B14" s="33"/>
      <c r="C14" s="69"/>
      <c r="D14" s="69"/>
      <c r="E14" s="26"/>
      <c r="F14" s="32"/>
      <c r="G14" s="29"/>
      <c r="H14" s="6"/>
      <c r="I14" s="29"/>
      <c r="J14" s="31"/>
      <c r="K14" s="78"/>
      <c r="L14" s="78"/>
    </row>
    <row r="15" spans="1:12" ht="15.75" x14ac:dyDescent="0.25">
      <c r="A15" s="20"/>
      <c r="B15" s="33"/>
      <c r="C15" s="69"/>
      <c r="D15" s="69"/>
      <c r="E15" s="26"/>
      <c r="F15" s="32"/>
      <c r="G15" s="29"/>
      <c r="H15" s="6"/>
      <c r="I15" s="29"/>
      <c r="J15" s="31"/>
      <c r="K15" s="78"/>
      <c r="L15" s="78"/>
    </row>
    <row r="16" spans="1:12" ht="15.75" x14ac:dyDescent="0.25">
      <c r="A16" s="20"/>
      <c r="B16" s="33"/>
      <c r="C16" s="69"/>
      <c r="D16" s="69"/>
      <c r="E16" s="26"/>
      <c r="F16" s="32"/>
      <c r="G16" s="29"/>
      <c r="H16" s="6"/>
      <c r="I16" s="26"/>
      <c r="J16" s="31"/>
      <c r="K16" s="78"/>
      <c r="L16" s="78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61" t="s">
        <v>14</v>
      </c>
      <c r="I18" s="61"/>
      <c r="J18" s="8">
        <f>SUM(J8:J17)</f>
        <v>10</v>
      </c>
      <c r="K18" s="1"/>
      <c r="L18" s="1"/>
    </row>
    <row r="19" spans="1:12" x14ac:dyDescent="0.25">
      <c r="A19" s="58" t="s">
        <v>15</v>
      </c>
      <c r="B19" s="58"/>
      <c r="C19" s="62" t="s">
        <v>47</v>
      </c>
      <c r="D19" s="62"/>
      <c r="E19" s="62"/>
    </row>
    <row r="20" spans="1:12" x14ac:dyDescent="0.25">
      <c r="A20" s="58" t="s">
        <v>16</v>
      </c>
      <c r="B20" s="58"/>
      <c r="C20" s="60" t="s">
        <v>21</v>
      </c>
      <c r="D20" s="60"/>
      <c r="E20" s="60"/>
    </row>
    <row r="21" spans="1:12" x14ac:dyDescent="0.25">
      <c r="A21" s="58" t="s">
        <v>17</v>
      </c>
      <c r="B21" s="58"/>
      <c r="C21" s="58"/>
      <c r="D21" s="59">
        <v>45889</v>
      </c>
      <c r="E21" s="60"/>
    </row>
    <row r="22" spans="1:12" x14ac:dyDescent="0.25">
      <c r="J22" s="18"/>
    </row>
  </sheetData>
  <mergeCells count="40">
    <mergeCell ref="A20:B20"/>
    <mergeCell ref="C20:E20"/>
    <mergeCell ref="A21:C21"/>
    <mergeCell ref="D21:E21"/>
    <mergeCell ref="C15:D15"/>
    <mergeCell ref="C16:D16"/>
    <mergeCell ref="K16:L16"/>
    <mergeCell ref="H18:I18"/>
    <mergeCell ref="A19:B19"/>
    <mergeCell ref="C19:E19"/>
    <mergeCell ref="C13:D13"/>
    <mergeCell ref="K13:L13"/>
    <mergeCell ref="C14:D14"/>
    <mergeCell ref="K14:L14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F8C5-0FFB-419C-A85A-5157FA13EB74}">
  <sheetPr>
    <tabColor rgb="FF00B050"/>
  </sheetPr>
  <dimension ref="A2:L21"/>
  <sheetViews>
    <sheetView topLeftCell="B1" workbookViewId="0">
      <selection activeCell="K6" sqref="K6:L6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41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5.75" x14ac:dyDescent="0.25">
      <c r="A5" s="42" t="s">
        <v>11</v>
      </c>
      <c r="B5" s="42"/>
      <c r="C5" s="43" t="s">
        <v>73</v>
      </c>
      <c r="D5" s="44"/>
      <c r="E5" s="45" t="s">
        <v>10</v>
      </c>
      <c r="F5" s="46"/>
      <c r="G5" s="47"/>
      <c r="H5" s="48"/>
      <c r="I5" s="45" t="s">
        <v>9</v>
      </c>
      <c r="J5" s="46"/>
      <c r="K5" s="48" t="s">
        <v>54</v>
      </c>
      <c r="L5" s="49"/>
    </row>
    <row r="6" spans="1:12" ht="15.75" x14ac:dyDescent="0.25">
      <c r="A6" s="42" t="s">
        <v>19</v>
      </c>
      <c r="B6" s="42"/>
      <c r="C6" s="53" t="s">
        <v>74</v>
      </c>
      <c r="D6" s="54"/>
      <c r="E6" s="45" t="s">
        <v>20</v>
      </c>
      <c r="F6" s="46"/>
      <c r="G6" s="55">
        <v>45854</v>
      </c>
      <c r="H6" s="56"/>
      <c r="I6" s="53"/>
      <c r="J6" s="54"/>
      <c r="K6" s="55">
        <v>45884</v>
      </c>
      <c r="L6" s="44"/>
    </row>
    <row r="7" spans="1:12" ht="31.5" x14ac:dyDescent="0.25">
      <c r="A7" s="2" t="s">
        <v>0</v>
      </c>
      <c r="B7" s="2" t="s">
        <v>5</v>
      </c>
      <c r="C7" s="50" t="s">
        <v>6</v>
      </c>
      <c r="D7" s="50"/>
      <c r="E7" s="3" t="s">
        <v>1</v>
      </c>
      <c r="F7" s="3" t="s">
        <v>2</v>
      </c>
      <c r="G7" s="3" t="s">
        <v>12</v>
      </c>
      <c r="H7" s="3" t="s">
        <v>13</v>
      </c>
      <c r="I7" s="3" t="s">
        <v>3</v>
      </c>
      <c r="J7" s="3" t="s">
        <v>4</v>
      </c>
      <c r="K7" s="51" t="s">
        <v>7</v>
      </c>
      <c r="L7" s="51"/>
    </row>
    <row r="8" spans="1:12" ht="15.75" x14ac:dyDescent="0.25">
      <c r="A8" s="20">
        <v>3</v>
      </c>
      <c r="B8" s="5">
        <v>45877</v>
      </c>
      <c r="C8" s="72" t="s">
        <v>81</v>
      </c>
      <c r="D8" s="73"/>
      <c r="E8" s="6">
        <v>0.33333333333333298</v>
      </c>
      <c r="F8" s="6">
        <v>0.79166666666666663</v>
      </c>
      <c r="G8" s="6">
        <v>4.1666666666666664E-2</v>
      </c>
      <c r="H8" s="6">
        <f t="shared" ref="H8" si="0">F8-E8-G8</f>
        <v>0.41666666666666696</v>
      </c>
      <c r="I8" s="6">
        <v>0.33333333333333331</v>
      </c>
      <c r="J8" s="7">
        <v>2</v>
      </c>
      <c r="K8" s="52" t="s">
        <v>22</v>
      </c>
      <c r="L8" s="52"/>
    </row>
    <row r="9" spans="1:12" ht="15.75" x14ac:dyDescent="0.25">
      <c r="A9" s="4">
        <v>1</v>
      </c>
      <c r="B9" s="5">
        <v>45884</v>
      </c>
      <c r="C9" s="72" t="s">
        <v>79</v>
      </c>
      <c r="D9" s="73"/>
      <c r="E9" s="6">
        <v>0.33333333333333331</v>
      </c>
      <c r="F9" s="6">
        <v>0.79374999999999996</v>
      </c>
      <c r="G9" s="6">
        <v>4.1666666666666664E-2</v>
      </c>
      <c r="H9" s="6">
        <f>F9-E9-G9</f>
        <v>0.41874999999999996</v>
      </c>
      <c r="I9" s="6">
        <v>0.33333333333333331</v>
      </c>
      <c r="J9" s="7">
        <v>2</v>
      </c>
      <c r="K9" s="52" t="s">
        <v>22</v>
      </c>
      <c r="L9" s="52"/>
    </row>
    <row r="10" spans="1:12" ht="15.75" x14ac:dyDescent="0.25">
      <c r="A10" s="20">
        <v>2</v>
      </c>
      <c r="B10" s="5">
        <v>45883</v>
      </c>
      <c r="C10" s="72" t="s">
        <v>80</v>
      </c>
      <c r="D10" s="73"/>
      <c r="E10" s="6">
        <v>0.33333333333333331</v>
      </c>
      <c r="F10" s="6">
        <v>0.80763888888888891</v>
      </c>
      <c r="G10" s="6">
        <v>4.1666666666666664E-2</v>
      </c>
      <c r="H10" s="6">
        <f>F10-E10-G10</f>
        <v>0.43263888888888891</v>
      </c>
      <c r="I10" s="6">
        <v>0.33333333333333331</v>
      </c>
      <c r="J10" s="9">
        <v>2</v>
      </c>
      <c r="K10" s="52" t="s">
        <v>22</v>
      </c>
      <c r="L10" s="52"/>
    </row>
    <row r="11" spans="1:12" ht="15.75" x14ac:dyDescent="0.25">
      <c r="A11" s="20"/>
      <c r="B11" s="33"/>
      <c r="C11" s="69"/>
      <c r="D11" s="69"/>
      <c r="E11" s="26"/>
      <c r="F11" s="32"/>
      <c r="G11" s="29"/>
      <c r="H11" s="6"/>
      <c r="I11" s="26"/>
      <c r="J11" s="31"/>
      <c r="K11" s="78"/>
      <c r="L11" s="78"/>
    </row>
    <row r="12" spans="1:12" ht="15.75" x14ac:dyDescent="0.25">
      <c r="A12" s="20"/>
      <c r="B12" s="33"/>
      <c r="C12" s="69"/>
      <c r="D12" s="69"/>
      <c r="E12" s="26"/>
      <c r="F12" s="32"/>
      <c r="G12" s="29"/>
      <c r="H12" s="6"/>
      <c r="I12" s="26"/>
      <c r="J12" s="31"/>
      <c r="K12" s="78"/>
      <c r="L12" s="78"/>
    </row>
    <row r="13" spans="1:12" ht="15.75" x14ac:dyDescent="0.25">
      <c r="A13" s="20"/>
      <c r="B13" s="33"/>
      <c r="C13" s="69"/>
      <c r="D13" s="69"/>
      <c r="E13" s="26"/>
      <c r="F13" s="32"/>
      <c r="G13" s="29"/>
      <c r="H13" s="6"/>
      <c r="I13" s="29"/>
      <c r="J13" s="31"/>
      <c r="K13" s="78"/>
      <c r="L13" s="78"/>
    </row>
    <row r="14" spans="1:12" ht="15.75" x14ac:dyDescent="0.25">
      <c r="A14" s="20"/>
      <c r="B14" s="33"/>
      <c r="C14" s="69"/>
      <c r="D14" s="69"/>
      <c r="E14" s="26"/>
      <c r="F14" s="32"/>
      <c r="G14" s="29"/>
      <c r="H14" s="6"/>
      <c r="I14" s="29"/>
      <c r="J14" s="31"/>
      <c r="K14" s="78"/>
      <c r="L14" s="78"/>
    </row>
    <row r="15" spans="1:12" ht="15.75" x14ac:dyDescent="0.25">
      <c r="A15" s="20"/>
      <c r="B15" s="33"/>
      <c r="C15" s="69"/>
      <c r="D15" s="69"/>
      <c r="E15" s="26"/>
      <c r="F15" s="32"/>
      <c r="G15" s="29"/>
      <c r="H15" s="6"/>
      <c r="I15" s="26"/>
      <c r="J15" s="31"/>
      <c r="K15" s="78"/>
      <c r="L15" s="78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61" t="s">
        <v>14</v>
      </c>
      <c r="I17" s="61"/>
      <c r="J17" s="8">
        <f>SUM(J8:J16)</f>
        <v>6</v>
      </c>
      <c r="K17" s="1"/>
      <c r="L17" s="1"/>
    </row>
    <row r="18" spans="1:12" x14ac:dyDescent="0.25">
      <c r="A18" s="58" t="s">
        <v>15</v>
      </c>
      <c r="B18" s="58"/>
      <c r="C18" s="62" t="s">
        <v>73</v>
      </c>
      <c r="D18" s="62"/>
      <c r="E18" s="62"/>
    </row>
    <row r="19" spans="1:12" x14ac:dyDescent="0.25">
      <c r="A19" s="58" t="s">
        <v>16</v>
      </c>
      <c r="B19" s="58"/>
      <c r="C19" s="60" t="s">
        <v>21</v>
      </c>
      <c r="D19" s="60"/>
      <c r="E19" s="60"/>
    </row>
    <row r="20" spans="1:12" x14ac:dyDescent="0.25">
      <c r="A20" s="58" t="s">
        <v>17</v>
      </c>
      <c r="B20" s="58"/>
      <c r="C20" s="58"/>
      <c r="D20" s="59">
        <v>45889</v>
      </c>
      <c r="E20" s="60"/>
    </row>
    <row r="21" spans="1:12" x14ac:dyDescent="0.25">
      <c r="J21" s="18"/>
    </row>
  </sheetData>
  <mergeCells count="38">
    <mergeCell ref="C10:D10"/>
    <mergeCell ref="K10:L10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8:D8"/>
    <mergeCell ref="K8:L8"/>
    <mergeCell ref="C7:D7"/>
    <mergeCell ref="K7:L7"/>
    <mergeCell ref="C9:D9"/>
    <mergeCell ref="K9:L9"/>
    <mergeCell ref="C11:D11"/>
    <mergeCell ref="K11:L11"/>
    <mergeCell ref="C12:D12"/>
    <mergeCell ref="K12:L12"/>
    <mergeCell ref="C13:D13"/>
    <mergeCell ref="K13:L13"/>
    <mergeCell ref="K14:L14"/>
    <mergeCell ref="C15:D15"/>
    <mergeCell ref="K15:L15"/>
    <mergeCell ref="H17:I17"/>
    <mergeCell ref="A18:B18"/>
    <mergeCell ref="C18:E18"/>
    <mergeCell ref="A19:B19"/>
    <mergeCell ref="C19:E19"/>
    <mergeCell ref="A20:C20"/>
    <mergeCell ref="D20:E20"/>
    <mergeCell ref="C14:D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5FE3-0004-4DDB-91C6-C2CA887F0EF9}">
  <sheetPr>
    <tabColor rgb="FFFFC000"/>
  </sheetPr>
  <dimension ref="A1:M25"/>
  <sheetViews>
    <sheetView tabSelected="1" topLeftCell="A3" workbookViewId="0">
      <selection activeCell="H16" sqref="H16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6" max="6" width="15" customWidth="1"/>
    <col min="7" max="7" width="14.140625" customWidth="1"/>
    <col min="8" max="8" width="14" customWidth="1"/>
    <col min="9" max="9" width="13.28515625" bestFit="1" customWidth="1"/>
    <col min="13" max="13" width="15.140625" bestFit="1" customWidth="1"/>
  </cols>
  <sheetData>
    <row r="1" spans="1:13" ht="9.75" customHeight="1" x14ac:dyDescent="0.25"/>
    <row r="2" spans="1:13" ht="23.25" customHeight="1" x14ac:dyDescent="0.25">
      <c r="A2" s="81" t="s">
        <v>35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3" ht="18.75" customHeight="1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</row>
    <row r="4" spans="1:13" ht="19.5" customHeight="1" x14ac:dyDescent="0.2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13" ht="15.75" x14ac:dyDescent="0.25">
      <c r="A5" s="42" t="s">
        <v>36</v>
      </c>
      <c r="B5" s="42"/>
      <c r="C5" s="82" t="s">
        <v>33</v>
      </c>
      <c r="D5" s="82"/>
      <c r="E5" s="82"/>
      <c r="F5" s="14" t="s">
        <v>9</v>
      </c>
      <c r="G5" s="83" t="s">
        <v>37</v>
      </c>
      <c r="H5" s="84"/>
      <c r="I5" s="14" t="s">
        <v>38</v>
      </c>
      <c r="J5" s="83" t="s">
        <v>82</v>
      </c>
      <c r="K5" s="85"/>
    </row>
    <row r="6" spans="1:13" ht="15.75" x14ac:dyDescent="0.25">
      <c r="A6" s="42" t="s">
        <v>39</v>
      </c>
      <c r="B6" s="42"/>
      <c r="C6" s="53" t="s">
        <v>74</v>
      </c>
      <c r="D6" s="79"/>
      <c r="E6" s="54"/>
      <c r="F6" s="45" t="s">
        <v>40</v>
      </c>
      <c r="G6" s="46"/>
      <c r="H6" s="80">
        <v>45854</v>
      </c>
      <c r="I6" s="75"/>
      <c r="J6" s="80">
        <v>45884</v>
      </c>
      <c r="K6" s="75"/>
    </row>
    <row r="7" spans="1:13" ht="47.25" x14ac:dyDescent="0.25">
      <c r="A7" s="2" t="s">
        <v>0</v>
      </c>
      <c r="B7" s="86" t="s">
        <v>41</v>
      </c>
      <c r="C7" s="87"/>
      <c r="D7" s="88"/>
      <c r="E7" s="89" t="s">
        <v>42</v>
      </c>
      <c r="F7" s="90"/>
      <c r="G7" s="3" t="s">
        <v>43</v>
      </c>
      <c r="H7" s="15" t="s">
        <v>44</v>
      </c>
      <c r="I7" s="15" t="s">
        <v>45</v>
      </c>
      <c r="J7" s="89" t="s">
        <v>46</v>
      </c>
      <c r="K7" s="90"/>
    </row>
    <row r="8" spans="1:13" ht="15.75" x14ac:dyDescent="0.25">
      <c r="A8" s="4">
        <v>1</v>
      </c>
      <c r="B8" s="55" t="s">
        <v>75</v>
      </c>
      <c r="C8" s="91"/>
      <c r="D8" s="92"/>
      <c r="E8" s="93" t="s">
        <v>31</v>
      </c>
      <c r="F8" s="94"/>
      <c r="G8" s="16">
        <v>6</v>
      </c>
      <c r="H8" s="17"/>
      <c r="I8" s="17">
        <f>H8*G8</f>
        <v>0</v>
      </c>
      <c r="J8" s="52"/>
      <c r="K8" s="52"/>
    </row>
    <row r="9" spans="1:13" ht="15.75" x14ac:dyDescent="0.25">
      <c r="A9" s="4">
        <v>2</v>
      </c>
      <c r="B9" s="55" t="s">
        <v>34</v>
      </c>
      <c r="C9" s="91"/>
      <c r="D9" s="92"/>
      <c r="E9" s="93" t="s">
        <v>31</v>
      </c>
      <c r="F9" s="94"/>
      <c r="G9" s="16">
        <v>12</v>
      </c>
      <c r="H9" s="17"/>
      <c r="I9" s="17">
        <f>H9*G9</f>
        <v>0</v>
      </c>
      <c r="J9" s="52"/>
      <c r="K9" s="52"/>
    </row>
    <row r="10" spans="1:13" ht="15.75" x14ac:dyDescent="0.25">
      <c r="A10" s="4">
        <v>3</v>
      </c>
      <c r="B10" s="55" t="s">
        <v>49</v>
      </c>
      <c r="C10" s="91"/>
      <c r="D10" s="92"/>
      <c r="E10" s="93" t="s">
        <v>31</v>
      </c>
      <c r="F10" s="94"/>
      <c r="G10" s="16">
        <v>18</v>
      </c>
      <c r="H10" s="17"/>
      <c r="I10" s="17">
        <f t="shared" ref="I10:I19" si="0">H10*G10</f>
        <v>0</v>
      </c>
      <c r="J10" s="52"/>
      <c r="K10" s="52"/>
    </row>
    <row r="11" spans="1:13" ht="15.75" x14ac:dyDescent="0.25">
      <c r="A11" s="4">
        <v>4</v>
      </c>
      <c r="B11" s="55" t="s">
        <v>50</v>
      </c>
      <c r="C11" s="91"/>
      <c r="D11" s="92"/>
      <c r="E11" s="93" t="s">
        <v>53</v>
      </c>
      <c r="F11" s="94"/>
      <c r="G11" s="16">
        <v>16</v>
      </c>
      <c r="H11" s="17"/>
      <c r="I11" s="17">
        <f t="shared" si="0"/>
        <v>0</v>
      </c>
      <c r="J11" s="52"/>
      <c r="K11" s="52"/>
    </row>
    <row r="12" spans="1:13" ht="15.75" x14ac:dyDescent="0.25">
      <c r="A12" s="4">
        <v>5</v>
      </c>
      <c r="B12" s="55" t="s">
        <v>55</v>
      </c>
      <c r="C12" s="91"/>
      <c r="D12" s="92"/>
      <c r="E12" s="93" t="s">
        <v>56</v>
      </c>
      <c r="F12" s="94"/>
      <c r="G12" s="16">
        <v>0</v>
      </c>
      <c r="H12" s="17"/>
      <c r="I12" s="17">
        <f t="shared" si="0"/>
        <v>0</v>
      </c>
      <c r="J12" s="52"/>
      <c r="K12" s="52"/>
    </row>
    <row r="13" spans="1:13" ht="15.75" x14ac:dyDescent="0.25">
      <c r="A13" s="4">
        <v>6</v>
      </c>
      <c r="B13" s="55" t="s">
        <v>59</v>
      </c>
      <c r="C13" s="91"/>
      <c r="D13" s="92"/>
      <c r="E13" s="93" t="s">
        <v>53</v>
      </c>
      <c r="F13" s="94"/>
      <c r="G13" s="16">
        <v>10</v>
      </c>
      <c r="H13" s="17"/>
      <c r="I13" s="17">
        <f t="shared" si="0"/>
        <v>0</v>
      </c>
      <c r="J13" s="52"/>
      <c r="K13" s="52"/>
      <c r="M13" s="40"/>
    </row>
    <row r="14" spans="1:13" ht="15.75" x14ac:dyDescent="0.25">
      <c r="A14" s="4">
        <v>7</v>
      </c>
      <c r="B14" s="55" t="s">
        <v>64</v>
      </c>
      <c r="C14" s="91"/>
      <c r="D14" s="92"/>
      <c r="E14" s="93" t="s">
        <v>63</v>
      </c>
      <c r="F14" s="94"/>
      <c r="G14" s="16">
        <v>15</v>
      </c>
      <c r="H14" s="17"/>
      <c r="I14" s="17">
        <f>H14*G14</f>
        <v>0</v>
      </c>
      <c r="J14" s="52"/>
      <c r="K14" s="52"/>
    </row>
    <row r="15" spans="1:13" ht="15.75" x14ac:dyDescent="0.25">
      <c r="A15" s="4">
        <v>8</v>
      </c>
      <c r="B15" s="55" t="s">
        <v>65</v>
      </c>
      <c r="C15" s="91"/>
      <c r="D15" s="92"/>
      <c r="E15" s="93" t="s">
        <v>31</v>
      </c>
      <c r="F15" s="94"/>
      <c r="G15" s="16">
        <v>10</v>
      </c>
      <c r="H15" s="17"/>
      <c r="I15" s="17">
        <f t="shared" si="0"/>
        <v>0</v>
      </c>
      <c r="J15" s="52"/>
      <c r="K15" s="52"/>
    </row>
    <row r="16" spans="1:13" ht="15.75" x14ac:dyDescent="0.25">
      <c r="A16" s="4">
        <v>9</v>
      </c>
      <c r="B16" s="55" t="s">
        <v>71</v>
      </c>
      <c r="C16" s="91"/>
      <c r="D16" s="92"/>
      <c r="E16" s="93" t="s">
        <v>63</v>
      </c>
      <c r="F16" s="94"/>
      <c r="G16" s="16">
        <v>12</v>
      </c>
      <c r="H16" s="17"/>
      <c r="I16" s="17">
        <f t="shared" si="0"/>
        <v>0</v>
      </c>
      <c r="J16" s="52"/>
      <c r="K16" s="52"/>
    </row>
    <row r="17" spans="1:11" ht="15.75" x14ac:dyDescent="0.25">
      <c r="A17" s="4">
        <v>10</v>
      </c>
      <c r="B17" s="55"/>
      <c r="C17" s="91"/>
      <c r="D17" s="92"/>
      <c r="E17" s="95"/>
      <c r="F17" s="96"/>
      <c r="G17" s="16"/>
      <c r="H17" s="17"/>
      <c r="I17" s="17">
        <f t="shared" si="0"/>
        <v>0</v>
      </c>
      <c r="J17" s="52"/>
      <c r="K17" s="52"/>
    </row>
    <row r="18" spans="1:11" ht="15.75" x14ac:dyDescent="0.25">
      <c r="A18" s="23">
        <v>11</v>
      </c>
      <c r="B18" s="97"/>
      <c r="C18" s="98"/>
      <c r="D18" s="99"/>
      <c r="E18" s="100"/>
      <c r="F18" s="101"/>
      <c r="G18" s="24"/>
      <c r="H18" s="17"/>
      <c r="I18" s="17">
        <f t="shared" si="0"/>
        <v>0</v>
      </c>
      <c r="J18" s="52"/>
      <c r="K18" s="52"/>
    </row>
    <row r="19" spans="1:11" ht="15.75" x14ac:dyDescent="0.25">
      <c r="A19" s="25">
        <v>12</v>
      </c>
      <c r="B19" s="103"/>
      <c r="C19" s="103"/>
      <c r="D19" s="103"/>
      <c r="E19" s="104"/>
      <c r="F19" s="104"/>
      <c r="G19" s="27"/>
      <c r="H19" s="22"/>
      <c r="I19" s="17">
        <f t="shared" si="0"/>
        <v>0</v>
      </c>
      <c r="J19" s="52"/>
      <c r="K19" s="52"/>
    </row>
    <row r="20" spans="1:11" x14ac:dyDescent="0.25">
      <c r="A20" s="102" t="s">
        <v>66</v>
      </c>
      <c r="B20" s="102"/>
      <c r="C20" s="102"/>
      <c r="D20" s="102"/>
      <c r="E20" s="102"/>
      <c r="F20" s="102"/>
      <c r="G20" s="28">
        <f>SUM(G8:G19)</f>
        <v>99</v>
      </c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0.100000000000001" customHeight="1" x14ac:dyDescent="0.25">
      <c r="A23" s="58" t="s">
        <v>16</v>
      </c>
      <c r="B23" s="58"/>
      <c r="C23" s="62" t="s">
        <v>33</v>
      </c>
      <c r="D23" s="62"/>
      <c r="E23" s="62"/>
      <c r="F23" s="62"/>
      <c r="G23" s="62"/>
      <c r="H23" s="1"/>
      <c r="I23" s="1"/>
      <c r="J23" s="1"/>
      <c r="K23" s="1"/>
    </row>
    <row r="24" spans="1:11" ht="20.100000000000001" customHeight="1" x14ac:dyDescent="0.25">
      <c r="A24" s="58" t="s">
        <v>17</v>
      </c>
      <c r="B24" s="58"/>
      <c r="C24" s="58"/>
      <c r="D24" s="59">
        <v>45889</v>
      </c>
      <c r="E24" s="60"/>
      <c r="F24" s="60"/>
      <c r="G24" s="60"/>
      <c r="H24" s="1"/>
      <c r="I24" s="1"/>
      <c r="J24" s="1"/>
      <c r="K24" s="1"/>
    </row>
    <row r="25" spans="1:11" ht="20.100000000000001" customHeight="1" x14ac:dyDescent="0.25"/>
  </sheetData>
  <mergeCells count="54">
    <mergeCell ref="A24:C24"/>
    <mergeCell ref="D24:G24"/>
    <mergeCell ref="A20:F20"/>
    <mergeCell ref="B19:D19"/>
    <mergeCell ref="E19:F19"/>
    <mergeCell ref="J19:K19"/>
    <mergeCell ref="C23:G23"/>
    <mergeCell ref="A23:B23"/>
    <mergeCell ref="B17:D17"/>
    <mergeCell ref="E17:F17"/>
    <mergeCell ref="J17:K17"/>
    <mergeCell ref="B18:D18"/>
    <mergeCell ref="E18:F18"/>
    <mergeCell ref="J18:K18"/>
    <mergeCell ref="B15:D15"/>
    <mergeCell ref="E15:F15"/>
    <mergeCell ref="J15:K15"/>
    <mergeCell ref="B16:D16"/>
    <mergeCell ref="E16:F16"/>
    <mergeCell ref="J16:K16"/>
    <mergeCell ref="B13:D13"/>
    <mergeCell ref="E13:F13"/>
    <mergeCell ref="J13:K13"/>
    <mergeCell ref="B14:D14"/>
    <mergeCell ref="E14:F14"/>
    <mergeCell ref="J14:K14"/>
    <mergeCell ref="B11:D11"/>
    <mergeCell ref="E11:F11"/>
    <mergeCell ref="J11:K11"/>
    <mergeCell ref="B12:D12"/>
    <mergeCell ref="E12:F12"/>
    <mergeCell ref="J12:K12"/>
    <mergeCell ref="B9:D9"/>
    <mergeCell ref="E9:F9"/>
    <mergeCell ref="J9:K9"/>
    <mergeCell ref="B10:D10"/>
    <mergeCell ref="E10:F10"/>
    <mergeCell ref="J10:K10"/>
    <mergeCell ref="B7:D7"/>
    <mergeCell ref="E7:F7"/>
    <mergeCell ref="J7:K7"/>
    <mergeCell ref="B8:D8"/>
    <mergeCell ref="E8:F8"/>
    <mergeCell ref="J8:K8"/>
    <mergeCell ref="A2:K4"/>
    <mergeCell ref="A5:B5"/>
    <mergeCell ref="C5:E5"/>
    <mergeCell ref="G5:H5"/>
    <mergeCell ref="J5:K5"/>
    <mergeCell ref="A6:B6"/>
    <mergeCell ref="C6:E6"/>
    <mergeCell ref="F6:G6"/>
    <mergeCell ref="H6:I6"/>
    <mergeCell ref="J6:K6"/>
  </mergeCells>
  <pageMargins left="0.70866141732283472" right="0.70866141732283472" top="0.74803149606299213" bottom="0.74803149606299213" header="0.31496062992125984" footer="0.31496062992125984"/>
  <pageSetup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859BD1-FB11-4039-B9C4-EB2F3FF49761}"/>
</file>

<file path=customXml/itemProps2.xml><?xml version="1.0" encoding="utf-8"?>
<ds:datastoreItem xmlns:ds="http://schemas.openxmlformats.org/officeDocument/2006/customXml" ds:itemID="{EBB56FB6-9CF9-4C15-8A76-8AD07EDD5C34}"/>
</file>

<file path=customXml/itemProps3.xml><?xml version="1.0" encoding="utf-8"?>
<ds:datastoreItem xmlns:ds="http://schemas.openxmlformats.org/officeDocument/2006/customXml" ds:itemID="{551D7587-1347-403A-A363-40DF7997E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EMA ROMERO</vt:lpstr>
      <vt:lpstr>NAYERLY MONTES</vt:lpstr>
      <vt:lpstr>MARIO OROZCO</vt:lpstr>
      <vt:lpstr>MOISES RINCON</vt:lpstr>
      <vt:lpstr>DAVID TORDECILLA</vt:lpstr>
      <vt:lpstr>JUSTIN ORTIZ</vt:lpstr>
      <vt:lpstr>KEISY ARRIETA</vt:lpstr>
      <vt:lpstr>STEFANY DE LA HOZ</vt:lpstr>
      <vt:lpstr>RONALD GRAJALES</vt:lpstr>
      <vt:lpstr>JOSE HENAO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Emaline Romero</cp:lastModifiedBy>
  <cp:lastPrinted>2025-04-21T21:08:25Z</cp:lastPrinted>
  <dcterms:created xsi:type="dcterms:W3CDTF">2025-02-26T13:50:56Z</dcterms:created>
  <dcterms:modified xsi:type="dcterms:W3CDTF">2025-10-20T21:22:39Z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