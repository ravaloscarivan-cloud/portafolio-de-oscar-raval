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IOSTEEL\Desktop\"/>
    </mc:Choice>
  </mc:AlternateContent>
  <xr:revisionPtr revIDLastSave="0" documentId="8_{944C4BC7-A05D-454B-AB5C-2C98F47B2DE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ENERAL" sheetId="2" r:id="rId1"/>
    <sheet name="MOISES RINCON" sheetId="16" r:id="rId2"/>
    <sheet name="MARIO OROZCO" sheetId="1" r:id="rId3"/>
    <sheet name="JOSE HENAO" sheetId="18" r:id="rId4"/>
    <sheet name="JUSTIN ORTIZ" sheetId="15" r:id="rId5"/>
  </sheets>
  <definedNames>
    <definedName name="_xlnm.Print_Area" localSheetId="3">'JOSE HENAO'!$A$1:$M$25</definedName>
    <definedName name="_xlnm.Print_Area" localSheetId="2">'MARIO OROZCO'!$A$1:$M$27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8" l="1"/>
  <c r="H10" i="18"/>
  <c r="H15" i="1" l="1"/>
  <c r="H13" i="1"/>
  <c r="H12" i="1"/>
  <c r="H12" i="15"/>
  <c r="H11" i="15"/>
  <c r="J12" i="18" l="1"/>
  <c r="D16" i="18"/>
  <c r="J14" i="15"/>
  <c r="G16" i="2" l="1"/>
  <c r="E20" i="1"/>
  <c r="J10" i="16" l="1"/>
  <c r="D21" i="2" l="1"/>
  <c r="I9" i="2" l="1"/>
  <c r="I10" i="2"/>
  <c r="I11" i="2"/>
  <c r="I12" i="2"/>
  <c r="I13" i="2"/>
  <c r="I14" i="2"/>
  <c r="I15" i="2"/>
  <c r="I16" i="2"/>
</calcChain>
</file>

<file path=xl/sharedStrings.xml><?xml version="1.0" encoding="utf-8"?>
<sst xmlns="http://schemas.openxmlformats.org/spreadsheetml/2006/main" count="166" uniqueCount="67">
  <si>
    <t>N°</t>
  </si>
  <si>
    <t>HORA DE INICIO</t>
  </si>
  <si>
    <t>HORA DE FINALIZACIÓN</t>
  </si>
  <si>
    <t>HORARIO REGULAR</t>
  </si>
  <si>
    <t>HORAS EXTRAS</t>
  </si>
  <si>
    <t xml:space="preserve">FECHA </t>
  </si>
  <si>
    <t>MOTIVO DE SALIDA TARDE</t>
  </si>
  <si>
    <t xml:space="preserve">AUTORIZADO POR </t>
  </si>
  <si>
    <t>PLANILLA INDIVIDUAL REGISTRO DE HORAS EXTRAS</t>
  </si>
  <si>
    <t>CARGO:</t>
  </si>
  <si>
    <t>Auxiliar Logistico</t>
  </si>
  <si>
    <t>IDENTIFICACION:</t>
  </si>
  <si>
    <t>COLABORADOR:</t>
  </si>
  <si>
    <t>HORA DE ALMUERZO</t>
  </si>
  <si>
    <t>HORARIO LABORADO</t>
  </si>
  <si>
    <t>TOTAL DE HORAS:</t>
  </si>
  <si>
    <t xml:space="preserve">ELABORADO POR: </t>
  </si>
  <si>
    <t xml:space="preserve">REVISADO POR: </t>
  </si>
  <si>
    <t>FECHA DE ELABORACION:</t>
  </si>
  <si>
    <t xml:space="preserve">CARGO </t>
  </si>
  <si>
    <t>COORDINADOR LOGISTICO</t>
  </si>
  <si>
    <t>SILIA DIAZ</t>
  </si>
  <si>
    <t xml:space="preserve">PERIODO: </t>
  </si>
  <si>
    <t>NOMBRE DE COLABORADOR</t>
  </si>
  <si>
    <t>JUSTIN ORTIZ</t>
  </si>
  <si>
    <t>MARIO OROZCO</t>
  </si>
  <si>
    <t>AUX. LOGISTICO</t>
  </si>
  <si>
    <t>TOTAL DE HORAS EXTRAS</t>
  </si>
  <si>
    <t>REPORTE GENERAL DE HORAS EXTRAS</t>
  </si>
  <si>
    <t xml:space="preserve">VALOR UNITARIO </t>
  </si>
  <si>
    <t>TOTAL EN VALOR</t>
  </si>
  <si>
    <t>MES:</t>
  </si>
  <si>
    <t>PROCESO:</t>
  </si>
  <si>
    <t>ALMACEN</t>
  </si>
  <si>
    <t>FIRMA DEL COLABORADOR</t>
  </si>
  <si>
    <t xml:space="preserve">MES: </t>
  </si>
  <si>
    <t xml:space="preserve">PERIODO DE: </t>
  </si>
  <si>
    <t>Silia Diaz</t>
  </si>
  <si>
    <t xml:space="preserve">Silia Diaz </t>
  </si>
  <si>
    <t>SEPTIEMBRE</t>
  </si>
  <si>
    <t xml:space="preserve">JUSTIN ORTIZ RUIZ </t>
  </si>
  <si>
    <t>RESPONSABLE:</t>
  </si>
  <si>
    <t xml:space="preserve">MOISES RINCON </t>
  </si>
  <si>
    <t>Mensajero</t>
  </si>
  <si>
    <t>MOISES RINCON</t>
  </si>
  <si>
    <t>MENSAJERO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</si>
  <si>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 OCTUBRE</t>
    </r>
  </si>
  <si>
    <t>JOSE HENAO</t>
  </si>
  <si>
    <t>OCTUBRE/NOVIEMBRE</t>
  </si>
  <si>
    <t>EMA ROMERO</t>
  </si>
  <si>
    <t>SALIDA TARDE REMISIONANDO MATERIAL DE SAMPEDRO Y BAJANDO A CAMPBELL</t>
  </si>
  <si>
    <t>SALIDA TARDE ESPERANDO ARTROSCOPIA DE ABUMAC Y BAJAR A CAMPBELL</t>
  </si>
  <si>
    <t>MARZO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</si>
  <si>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:MARZO</t>
    </r>
  </si>
  <si>
    <t>A:MARZO</t>
  </si>
  <si>
    <t>RECOGER PEDIDO</t>
  </si>
  <si>
    <t>DISPONIBILIDAD DE SEMANA SANTA</t>
  </si>
  <si>
    <t>ESPERANDO MATERIAL DE WASTON PARA ENVIAR A CLINICA BAHIA Y BARU</t>
  </si>
  <si>
    <t>ESPERANDO MATERIAL DE SERVILOGISTICA</t>
  </si>
  <si>
    <t>DISPONIBILIDAD DE SABADO</t>
  </si>
  <si>
    <t xml:space="preserve">ESPERANDO MATERIAL DE TOCAMEDIC </t>
  </si>
  <si>
    <t xml:space="preserve">DISPONIBILIDAD SABADO 
 </t>
  </si>
  <si>
    <t xml:space="preserve">SALIDA TARDE ORGANIZANDO FIJADORES TIPO A </t>
  </si>
  <si>
    <t>ORGANIZANDO MATERIAL EN BODEGA</t>
  </si>
  <si>
    <t>8.00</t>
  </si>
  <si>
    <t>DISPONIBILIDAD SABADO</t>
  </si>
  <si>
    <t>ESPERANDO MATERIAL PARA CAMPBELL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</si>
</sst>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5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8" fillId="0" borderId="1" xfId="0" applyFont="1" applyBorder="1"/>
    <xf numFmtId="165" fontId="6" fillId="0" borderId="1" xfId="2" applyNumberFormat="1" applyFont="1" applyBorder="1"/>
    <xf numFmtId="165" fontId="6" fillId="0" borderId="1" xfId="0" applyNumberFormat="1" applyFont="1" applyBorder="1"/>
    <xf numFmtId="165" fontId="0" fillId="0" borderId="0" xfId="0" applyNumberFormat="1"/>
    <xf numFmtId="0" fontId="9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49" fontId="5" fillId="0" borderId="0" xfId="0" applyNumberFormat="1" applyFont="1"/>
    <xf numFmtId="0" fontId="9" fillId="2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0" fontId="3" fillId="0" borderId="7" xfId="0" applyNumberFormat="1" applyFont="1" applyBorder="1" applyAlignment="1">
      <alignment horizontal="center" vertical="center"/>
    </xf>
    <xf numFmtId="165" fontId="3" fillId="0" borderId="7" xfId="2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65" fontId="6" fillId="0" borderId="0" xfId="2" applyNumberFormat="1" applyFont="1" applyBorder="1"/>
    <xf numFmtId="43" fontId="3" fillId="0" borderId="0" xfId="2" applyFont="1" applyBorder="1" applyAlignment="1">
      <alignment horizontal="center" vertical="center"/>
    </xf>
    <xf numFmtId="20" fontId="3" fillId="0" borderId="0" xfId="2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20" fontId="11" fillId="3" borderId="1" xfId="0" applyNumberFormat="1" applyFont="1" applyFill="1" applyBorder="1" applyAlignment="1">
      <alignment horizontal="center" vertical="center" wrapText="1"/>
    </xf>
    <xf numFmtId="20" fontId="11" fillId="3" borderId="2" xfId="0" applyNumberFormat="1" applyFont="1" applyFill="1" applyBorder="1" applyAlignment="1">
      <alignment horizontal="center" vertical="center" wrapText="1"/>
    </xf>
    <xf numFmtId="20" fontId="11" fillId="3" borderId="7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20" fontId="3" fillId="0" borderId="15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left" vertical="center"/>
    </xf>
    <xf numFmtId="20" fontId="3" fillId="0" borderId="3" xfId="0" applyNumberFormat="1" applyFont="1" applyBorder="1" applyAlignment="1">
      <alignment horizontal="left"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0" xfId="0" applyFont="1" applyFill="1"/>
    <xf numFmtId="0" fontId="3" fillId="0" borderId="14" xfId="0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20" fontId="3" fillId="0" borderId="1" xfId="2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7">
    <cellStyle name="Millares" xfId="2" builtinId="3"/>
    <cellStyle name="Millares 2" xfId="4" xr:uid="{6D9071CC-268F-4E5D-AD4A-7064E4DF6FA8}"/>
    <cellStyle name="Millares 3" xfId="6" xr:uid="{155B77A1-E7C6-451A-9382-C3DD591E1500}"/>
    <cellStyle name="Moneda" xfId="1" builtinId="4"/>
    <cellStyle name="Moneda 2" xfId="3" xr:uid="{DE384E4E-DC39-42FD-9BBD-E4E914639002}"/>
    <cellStyle name="Moneda 3" xfId="5" xr:uid="{40D57319-4955-4BAA-80D0-21D059C4556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90923</xdr:rowOff>
    </xdr:from>
    <xdr:to>
      <xdr:col>2</xdr:col>
      <xdr:colOff>24193</xdr:colOff>
      <xdr:row>3</xdr:row>
      <xdr:rowOff>161928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118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63294</xdr:colOff>
      <xdr:row>1</xdr:row>
      <xdr:rowOff>14723</xdr:rowOff>
    </xdr:from>
    <xdr:to>
      <xdr:col>1</xdr:col>
      <xdr:colOff>490917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F1F1A0-DBB1-4313-9687-CFDA183E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8767" y="-130250"/>
          <a:ext cx="518677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DF9AAED8-A575-4CDD-9F1E-ACBBA540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498AC1AE-B684-4F98-B141-C01B5732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E2156569-63D1-40D6-9146-F773194D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showGridLines="0" topLeftCell="A7" workbookViewId="0">
      <selection activeCell="K19" sqref="K19"/>
    </sheetView>
  </sheetViews>
  <sheetFormatPr baseColWidth="10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5" max="5" width="11.42578125" customWidth="1"/>
    <col min="6" max="6" width="17.85546875" customWidth="1"/>
    <col min="7" max="7" width="14.140625" customWidth="1"/>
    <col min="8" max="8" width="14" customWidth="1"/>
    <col min="9" max="9" width="13.28515625" bestFit="1" customWidth="1"/>
  </cols>
  <sheetData>
    <row r="1" spans="1:11" ht="9.75" customHeight="1" x14ac:dyDescent="0.25"/>
    <row r="2" spans="1:11" ht="23.25" customHeight="1" x14ac:dyDescent="0.25">
      <c r="A2" s="64" t="s">
        <v>28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ht="18.75" customHeight="1" x14ac:dyDescent="0.2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1" ht="19.5" customHeight="1" x14ac:dyDescent="0.2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15.75" x14ac:dyDescent="0.25">
      <c r="A5" s="47" t="s">
        <v>41</v>
      </c>
      <c r="B5" s="47"/>
      <c r="C5" s="65" t="s">
        <v>21</v>
      </c>
      <c r="D5" s="65"/>
      <c r="E5" s="65"/>
      <c r="F5" s="11" t="s">
        <v>9</v>
      </c>
      <c r="G5" s="61" t="s">
        <v>20</v>
      </c>
      <c r="H5" s="62"/>
      <c r="I5" s="11" t="s">
        <v>32</v>
      </c>
      <c r="J5" s="61" t="s">
        <v>33</v>
      </c>
      <c r="K5" s="63"/>
    </row>
    <row r="6" spans="1:11" ht="15.75" x14ac:dyDescent="0.25">
      <c r="A6" s="47" t="s">
        <v>31</v>
      </c>
      <c r="B6" s="47"/>
      <c r="C6" s="66" t="s">
        <v>48</v>
      </c>
      <c r="D6" s="67"/>
      <c r="E6" s="68"/>
      <c r="F6" s="69" t="s">
        <v>22</v>
      </c>
      <c r="G6" s="70"/>
      <c r="H6" s="59">
        <v>45946</v>
      </c>
      <c r="I6" s="60"/>
      <c r="J6" s="59">
        <v>45976</v>
      </c>
      <c r="K6" s="60"/>
    </row>
    <row r="7" spans="1:11" ht="47.25" x14ac:dyDescent="0.25">
      <c r="A7" s="2" t="s">
        <v>0</v>
      </c>
      <c r="B7" s="41" t="s">
        <v>23</v>
      </c>
      <c r="C7" s="42"/>
      <c r="D7" s="43"/>
      <c r="E7" s="57" t="s">
        <v>19</v>
      </c>
      <c r="F7" s="58"/>
      <c r="G7" s="3" t="s">
        <v>27</v>
      </c>
      <c r="H7" s="8" t="s">
        <v>29</v>
      </c>
      <c r="I7" s="8" t="s">
        <v>30</v>
      </c>
      <c r="J7" s="57" t="s">
        <v>34</v>
      </c>
      <c r="K7" s="58"/>
    </row>
    <row r="8" spans="1:11" ht="15.75" x14ac:dyDescent="0.25">
      <c r="A8" s="4">
        <v>1</v>
      </c>
      <c r="B8" s="44" t="s">
        <v>25</v>
      </c>
      <c r="C8" s="45"/>
      <c r="D8" s="46"/>
      <c r="E8" s="51" t="s">
        <v>26</v>
      </c>
      <c r="F8" s="52"/>
      <c r="G8" s="7">
        <v>5</v>
      </c>
      <c r="H8" s="9"/>
      <c r="I8" s="9"/>
      <c r="J8" s="56"/>
      <c r="K8" s="56"/>
    </row>
    <row r="9" spans="1:11" ht="15.75" x14ac:dyDescent="0.25">
      <c r="A9" s="4">
        <v>2</v>
      </c>
      <c r="B9" s="44" t="s">
        <v>24</v>
      </c>
      <c r="C9" s="45"/>
      <c r="D9" s="46"/>
      <c r="E9" s="51" t="s">
        <v>26</v>
      </c>
      <c r="F9" s="52"/>
      <c r="G9" s="7">
        <v>7</v>
      </c>
      <c r="H9" s="9"/>
      <c r="I9" s="9">
        <f t="shared" ref="I9:I16" si="0">H9*G9</f>
        <v>0</v>
      </c>
      <c r="J9" s="56"/>
      <c r="K9" s="56"/>
    </row>
    <row r="10" spans="1:11" ht="15.75" x14ac:dyDescent="0.25">
      <c r="A10" s="4">
        <v>3</v>
      </c>
      <c r="B10" s="44" t="s">
        <v>44</v>
      </c>
      <c r="C10" s="45"/>
      <c r="D10" s="46"/>
      <c r="E10" s="51" t="s">
        <v>45</v>
      </c>
      <c r="F10" s="52"/>
      <c r="G10" s="7">
        <v>1</v>
      </c>
      <c r="H10" s="9"/>
      <c r="I10" s="9">
        <f t="shared" si="0"/>
        <v>0</v>
      </c>
      <c r="J10" s="56"/>
      <c r="K10" s="56"/>
    </row>
    <row r="11" spans="1:11" ht="15.75" x14ac:dyDescent="0.25">
      <c r="A11" s="4">
        <v>4</v>
      </c>
      <c r="B11" s="44" t="s">
        <v>47</v>
      </c>
      <c r="C11" s="45"/>
      <c r="D11" s="46"/>
      <c r="E11" s="51" t="s">
        <v>26</v>
      </c>
      <c r="F11" s="52"/>
      <c r="G11" s="7">
        <v>3</v>
      </c>
      <c r="H11" s="9"/>
      <c r="I11" s="9">
        <f t="shared" si="0"/>
        <v>0</v>
      </c>
      <c r="J11" s="56"/>
      <c r="K11" s="56"/>
    </row>
    <row r="12" spans="1:11" ht="15.75" x14ac:dyDescent="0.25">
      <c r="A12" s="4">
        <v>5</v>
      </c>
      <c r="B12" s="44"/>
      <c r="C12" s="45"/>
      <c r="D12" s="46"/>
      <c r="E12" s="51"/>
      <c r="F12" s="52"/>
      <c r="G12" s="7"/>
      <c r="H12" s="9"/>
      <c r="I12" s="9">
        <f t="shared" si="0"/>
        <v>0</v>
      </c>
      <c r="J12" s="56"/>
      <c r="K12" s="56"/>
    </row>
    <row r="13" spans="1:11" ht="15.75" x14ac:dyDescent="0.25">
      <c r="A13" s="4">
        <v>6</v>
      </c>
      <c r="B13" s="44"/>
      <c r="C13" s="45"/>
      <c r="D13" s="46"/>
      <c r="E13" s="53"/>
      <c r="F13" s="54"/>
      <c r="G13" s="7"/>
      <c r="H13" s="9"/>
      <c r="I13" s="9">
        <f t="shared" si="0"/>
        <v>0</v>
      </c>
      <c r="J13" s="56"/>
      <c r="K13" s="56"/>
    </row>
    <row r="14" spans="1:11" ht="15.75" x14ac:dyDescent="0.25">
      <c r="A14" s="4">
        <v>7</v>
      </c>
      <c r="B14" s="44"/>
      <c r="C14" s="45"/>
      <c r="D14" s="46"/>
      <c r="E14" s="53"/>
      <c r="F14" s="54"/>
      <c r="G14" s="7"/>
      <c r="H14" s="9"/>
      <c r="I14" s="9">
        <f t="shared" si="0"/>
        <v>0</v>
      </c>
      <c r="J14" s="56"/>
      <c r="K14" s="56"/>
    </row>
    <row r="15" spans="1:11" ht="15.75" x14ac:dyDescent="0.25">
      <c r="A15" s="4">
        <v>8</v>
      </c>
      <c r="B15" s="44"/>
      <c r="C15" s="45"/>
      <c r="D15" s="46"/>
      <c r="E15" s="53"/>
      <c r="F15" s="54"/>
      <c r="G15" s="7"/>
      <c r="H15" s="9"/>
      <c r="I15" s="9">
        <f t="shared" si="0"/>
        <v>0</v>
      </c>
      <c r="J15" s="56"/>
      <c r="K15" s="56"/>
    </row>
    <row r="16" spans="1:11" ht="15.75" x14ac:dyDescent="0.25">
      <c r="A16" s="4">
        <v>9</v>
      </c>
      <c r="B16" s="44"/>
      <c r="C16" s="45"/>
      <c r="D16" s="46"/>
      <c r="E16" s="53"/>
      <c r="F16" s="54"/>
      <c r="G16" s="7">
        <f>SUM(G8:G15)</f>
        <v>16</v>
      </c>
      <c r="H16" s="9"/>
      <c r="I16" s="9">
        <f t="shared" si="0"/>
        <v>0</v>
      </c>
      <c r="J16" s="56"/>
      <c r="K16" s="56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100000000000001" customHeight="1" x14ac:dyDescent="0.25">
      <c r="A19" s="55" t="s">
        <v>16</v>
      </c>
      <c r="B19" s="55"/>
      <c r="C19" s="50" t="s">
        <v>49</v>
      </c>
      <c r="D19" s="50"/>
      <c r="E19" s="50"/>
      <c r="F19" s="50"/>
      <c r="G19" s="50"/>
      <c r="H19" s="1"/>
      <c r="I19" s="1"/>
      <c r="J19" s="1"/>
      <c r="K19" s="1"/>
    </row>
    <row r="20" spans="1:11" ht="20.100000000000001" customHeight="1" x14ac:dyDescent="0.25">
      <c r="A20" s="55" t="s">
        <v>17</v>
      </c>
      <c r="B20" s="55"/>
      <c r="C20" s="49"/>
      <c r="D20" s="49"/>
      <c r="E20" s="49"/>
      <c r="F20" s="49"/>
      <c r="G20" s="49"/>
      <c r="H20" s="1"/>
      <c r="I20" s="1"/>
      <c r="J20" s="1"/>
      <c r="K20" s="1"/>
    </row>
    <row r="21" spans="1:11" ht="20.100000000000001" customHeight="1" x14ac:dyDescent="0.25">
      <c r="A21" s="55" t="s">
        <v>18</v>
      </c>
      <c r="B21" s="55"/>
      <c r="C21" s="55"/>
      <c r="D21" s="48">
        <f ca="1">TODAY()</f>
        <v>46155</v>
      </c>
      <c r="E21" s="49"/>
      <c r="F21" s="49"/>
      <c r="G21" s="49"/>
      <c r="H21" s="1"/>
      <c r="I21" s="1"/>
      <c r="J21" s="1"/>
      <c r="K21" s="1"/>
    </row>
    <row r="22" spans="1:11" ht="20.100000000000001" customHeight="1" x14ac:dyDescent="0.25"/>
  </sheetData>
  <mergeCells count="46">
    <mergeCell ref="J6:K6"/>
    <mergeCell ref="G5:H5"/>
    <mergeCell ref="J5:K5"/>
    <mergeCell ref="A2:K4"/>
    <mergeCell ref="A5:B5"/>
    <mergeCell ref="C5:E5"/>
    <mergeCell ref="C6:E6"/>
    <mergeCell ref="F6:G6"/>
    <mergeCell ref="H6:I6"/>
    <mergeCell ref="J8:K8"/>
    <mergeCell ref="E7:F7"/>
    <mergeCell ref="E8:F8"/>
    <mergeCell ref="J7:K7"/>
    <mergeCell ref="J11:K11"/>
    <mergeCell ref="J12:K12"/>
    <mergeCell ref="B11:D11"/>
    <mergeCell ref="B12:D12"/>
    <mergeCell ref="J9:K9"/>
    <mergeCell ref="J10:K10"/>
    <mergeCell ref="B10:D10"/>
    <mergeCell ref="E9:F9"/>
    <mergeCell ref="J13:K13"/>
    <mergeCell ref="J14:K14"/>
    <mergeCell ref="J15:K15"/>
    <mergeCell ref="B13:D13"/>
    <mergeCell ref="B14:D14"/>
    <mergeCell ref="B15:D15"/>
    <mergeCell ref="E15:F15"/>
    <mergeCell ref="J16:K16"/>
    <mergeCell ref="A19:B19"/>
    <mergeCell ref="A20:B20"/>
    <mergeCell ref="B16:D16"/>
    <mergeCell ref="E16:F16"/>
    <mergeCell ref="C20:G20"/>
    <mergeCell ref="B7:D7"/>
    <mergeCell ref="B8:D8"/>
    <mergeCell ref="A6:B6"/>
    <mergeCell ref="D21:G21"/>
    <mergeCell ref="C19:G19"/>
    <mergeCell ref="E10:F10"/>
    <mergeCell ref="E11:F11"/>
    <mergeCell ref="E12:F12"/>
    <mergeCell ref="E13:F13"/>
    <mergeCell ref="E14:F14"/>
    <mergeCell ref="A21:C21"/>
    <mergeCell ref="B9:D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F313-B596-44D9-8A7F-7AA533F99A2F}">
  <dimension ref="A2:L14"/>
  <sheetViews>
    <sheetView tabSelected="1" workbookViewId="0">
      <selection activeCell="K11" sqref="K11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  <col min="9" max="9" width="15.28515625" bestFit="1" customWidth="1"/>
  </cols>
  <sheetData>
    <row r="2" spans="1:12" x14ac:dyDescent="0.25">
      <c r="A2" s="72" t="s">
        <v>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 ht="28.5" customHeight="1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47" t="s">
        <v>12</v>
      </c>
      <c r="B5" s="47"/>
      <c r="C5" s="73" t="s">
        <v>42</v>
      </c>
      <c r="D5" s="74"/>
      <c r="E5" s="69" t="s">
        <v>11</v>
      </c>
      <c r="F5" s="70"/>
      <c r="G5" s="75">
        <v>72157200</v>
      </c>
      <c r="H5" s="76"/>
      <c r="I5" s="69" t="s">
        <v>9</v>
      </c>
      <c r="J5" s="70"/>
      <c r="K5" s="76" t="s">
        <v>43</v>
      </c>
      <c r="L5" s="77"/>
    </row>
    <row r="6" spans="1:12" ht="15.75" x14ac:dyDescent="0.25">
      <c r="A6" s="47" t="s">
        <v>35</v>
      </c>
      <c r="B6" s="47"/>
      <c r="C6" s="66" t="s">
        <v>39</v>
      </c>
      <c r="D6" s="68"/>
      <c r="E6" s="69" t="s">
        <v>36</v>
      </c>
      <c r="F6" s="70"/>
      <c r="G6" s="44">
        <v>45916</v>
      </c>
      <c r="H6" s="71"/>
      <c r="I6" s="66" t="s">
        <v>46</v>
      </c>
      <c r="J6" s="68"/>
      <c r="K6" s="44">
        <v>45945</v>
      </c>
      <c r="L6" s="74"/>
    </row>
    <row r="7" spans="1:12" ht="31.5" x14ac:dyDescent="0.25">
      <c r="A7" s="18" t="s">
        <v>0</v>
      </c>
      <c r="B7" s="18" t="s">
        <v>5</v>
      </c>
      <c r="C7" s="78" t="s">
        <v>6</v>
      </c>
      <c r="D7" s="78"/>
      <c r="E7" s="15" t="s">
        <v>1</v>
      </c>
      <c r="F7" s="15" t="s">
        <v>2</v>
      </c>
      <c r="G7" s="15" t="s">
        <v>13</v>
      </c>
      <c r="H7" s="15" t="s">
        <v>14</v>
      </c>
      <c r="I7" s="15" t="s">
        <v>3</v>
      </c>
      <c r="J7" s="15" t="s">
        <v>4</v>
      </c>
      <c r="K7" s="79" t="s">
        <v>7</v>
      </c>
      <c r="L7" s="79"/>
    </row>
    <row r="8" spans="1:12" ht="15.75" x14ac:dyDescent="0.25">
      <c r="A8" s="19">
        <v>1</v>
      </c>
      <c r="B8" s="22">
        <v>46136</v>
      </c>
      <c r="C8" s="80" t="s">
        <v>55</v>
      </c>
      <c r="D8" s="80"/>
      <c r="E8" s="20">
        <v>0.33333333333333331</v>
      </c>
      <c r="F8" s="20">
        <v>0.76458333333333328</v>
      </c>
      <c r="G8" s="20">
        <v>4.1666666666666664E-2</v>
      </c>
      <c r="H8" s="20">
        <v>0.375</v>
      </c>
      <c r="I8" s="20">
        <v>0.33333333333333331</v>
      </c>
      <c r="J8" s="21">
        <v>1</v>
      </c>
      <c r="K8" s="80" t="s">
        <v>21</v>
      </c>
      <c r="L8" s="80"/>
    </row>
    <row r="9" spans="1:12" ht="15.75" x14ac:dyDescent="0.25">
      <c r="A9" s="1"/>
      <c r="B9" s="1"/>
      <c r="C9" s="1"/>
      <c r="D9" s="1"/>
      <c r="E9" s="1"/>
      <c r="F9" s="23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81" t="s">
        <v>15</v>
      </c>
      <c r="I10" s="81"/>
      <c r="J10" s="13">
        <f>SUM(J8:J9)</f>
        <v>1</v>
      </c>
      <c r="K10" s="1"/>
      <c r="L10" s="1"/>
    </row>
    <row r="11" spans="1:12" x14ac:dyDescent="0.25">
      <c r="A11" s="55" t="s">
        <v>16</v>
      </c>
      <c r="B11" s="55"/>
      <c r="C11" s="50" t="s">
        <v>42</v>
      </c>
      <c r="D11" s="50"/>
      <c r="E11" s="50"/>
    </row>
    <row r="12" spans="1:12" x14ac:dyDescent="0.25">
      <c r="A12" s="55" t="s">
        <v>17</v>
      </c>
      <c r="B12" s="55"/>
      <c r="C12" s="49"/>
      <c r="D12" s="49"/>
      <c r="E12" s="49"/>
    </row>
    <row r="13" spans="1:12" x14ac:dyDescent="0.25">
      <c r="A13" s="55" t="s">
        <v>18</v>
      </c>
      <c r="B13" s="55"/>
      <c r="C13" s="55"/>
      <c r="D13" s="48">
        <v>46155</v>
      </c>
      <c r="E13" s="49"/>
    </row>
    <row r="14" spans="1:12" x14ac:dyDescent="0.25">
      <c r="J14" s="14"/>
    </row>
  </sheetData>
  <mergeCells count="24">
    <mergeCell ref="A13:C13"/>
    <mergeCell ref="D13:E13"/>
    <mergeCell ref="H10:I10"/>
    <mergeCell ref="A11:B11"/>
    <mergeCell ref="C11:E11"/>
    <mergeCell ref="A12:B12"/>
    <mergeCell ref="C12:E12"/>
    <mergeCell ref="C7:D7"/>
    <mergeCell ref="K7:L7"/>
    <mergeCell ref="C8:D8"/>
    <mergeCell ref="K8:L8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1"/>
  <sheetViews>
    <sheetView showGridLines="0" showRuler="0" showWhiteSpace="0" topLeftCell="A6" zoomScaleNormal="100" workbookViewId="0">
      <selection activeCell="C14" sqref="C14:D14"/>
    </sheetView>
  </sheetViews>
  <sheetFormatPr baseColWidth="10" defaultRowHeight="15" x14ac:dyDescent="0.25"/>
  <cols>
    <col min="1" max="1" width="4.7109375" style="1" customWidth="1"/>
    <col min="2" max="2" width="14.85546875" style="1" customWidth="1"/>
    <col min="3" max="3" width="29.42578125" style="1" customWidth="1"/>
    <col min="4" max="4" width="36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72" t="s">
        <v>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4" ht="17.25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4" ht="15" customHeight="1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4" ht="17.100000000000001" customHeight="1" x14ac:dyDescent="0.25">
      <c r="A5" s="47" t="s">
        <v>12</v>
      </c>
      <c r="B5" s="47"/>
      <c r="C5" s="73" t="s">
        <v>25</v>
      </c>
      <c r="D5" s="74"/>
      <c r="E5" s="69" t="s">
        <v>11</v>
      </c>
      <c r="F5" s="70"/>
      <c r="G5" s="75">
        <v>1143121183</v>
      </c>
      <c r="H5" s="76"/>
      <c r="I5" s="69" t="s">
        <v>9</v>
      </c>
      <c r="J5" s="70"/>
      <c r="K5" s="76" t="s">
        <v>10</v>
      </c>
      <c r="L5" s="77"/>
      <c r="N5" s="10" t="s">
        <v>13</v>
      </c>
    </row>
    <row r="6" spans="1:14" ht="17.100000000000001" customHeight="1" x14ac:dyDescent="0.25">
      <c r="A6" s="47" t="s">
        <v>35</v>
      </c>
      <c r="B6" s="47"/>
      <c r="C6" s="66" t="s">
        <v>52</v>
      </c>
      <c r="D6" s="68"/>
      <c r="E6" s="69" t="s">
        <v>36</v>
      </c>
      <c r="F6" s="70"/>
      <c r="G6" s="44">
        <v>46082</v>
      </c>
      <c r="H6" s="71"/>
      <c r="I6" s="89" t="s">
        <v>54</v>
      </c>
      <c r="J6" s="90"/>
      <c r="K6" s="44">
        <v>46111</v>
      </c>
      <c r="L6" s="74"/>
    </row>
    <row r="7" spans="1:14" ht="48" customHeight="1" x14ac:dyDescent="0.25">
      <c r="A7" s="2" t="s">
        <v>0</v>
      </c>
      <c r="B7" s="2" t="s">
        <v>5</v>
      </c>
      <c r="C7" s="88" t="s">
        <v>6</v>
      </c>
      <c r="D7" s="88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15" t="s">
        <v>4</v>
      </c>
      <c r="K7" s="79" t="s">
        <v>7</v>
      </c>
      <c r="L7" s="79"/>
    </row>
    <row r="8" spans="1:14" s="98" customFormat="1" ht="15.75" x14ac:dyDescent="0.25">
      <c r="A8" s="4">
        <v>1</v>
      </c>
      <c r="B8" s="5">
        <v>46114</v>
      </c>
      <c r="C8" s="103" t="s">
        <v>56</v>
      </c>
      <c r="D8" s="104"/>
      <c r="E8" s="6"/>
      <c r="F8" s="6"/>
      <c r="G8" s="6"/>
      <c r="H8" s="6"/>
      <c r="I8" s="6"/>
      <c r="J8" s="100"/>
      <c r="K8" s="105" t="s">
        <v>38</v>
      </c>
      <c r="L8" s="106"/>
    </row>
    <row r="9" spans="1:14" s="98" customFormat="1" ht="15.75" x14ac:dyDescent="0.25">
      <c r="A9" s="4">
        <v>2</v>
      </c>
      <c r="B9" s="5">
        <v>46115</v>
      </c>
      <c r="C9" s="103" t="s">
        <v>56</v>
      </c>
      <c r="D9" s="104"/>
      <c r="E9" s="6"/>
      <c r="F9" s="6"/>
      <c r="G9" s="6"/>
      <c r="H9" s="6"/>
      <c r="I9" s="6"/>
      <c r="J9" s="100"/>
      <c r="K9" s="105" t="s">
        <v>38</v>
      </c>
      <c r="L9" s="106"/>
    </row>
    <row r="10" spans="1:14" s="98" customFormat="1" ht="15.75" x14ac:dyDescent="0.25">
      <c r="A10" s="4">
        <v>3</v>
      </c>
      <c r="B10" s="5">
        <v>46116</v>
      </c>
      <c r="C10" s="103" t="s">
        <v>56</v>
      </c>
      <c r="D10" s="104"/>
      <c r="E10" s="6"/>
      <c r="F10" s="6"/>
      <c r="G10" s="6"/>
      <c r="H10" s="6"/>
      <c r="I10" s="6"/>
      <c r="J10" s="100"/>
      <c r="K10" s="105" t="s">
        <v>38</v>
      </c>
      <c r="L10" s="106"/>
    </row>
    <row r="11" spans="1:14" s="98" customFormat="1" ht="15.75" x14ac:dyDescent="0.25">
      <c r="A11" s="4">
        <v>4</v>
      </c>
      <c r="B11" s="5">
        <v>46117</v>
      </c>
      <c r="C11" s="103" t="s">
        <v>56</v>
      </c>
      <c r="D11" s="104"/>
      <c r="E11" s="6"/>
      <c r="F11" s="6"/>
      <c r="G11" s="6"/>
      <c r="H11" s="6"/>
      <c r="I11" s="6"/>
      <c r="J11" s="100"/>
      <c r="K11" s="105" t="s">
        <v>38</v>
      </c>
      <c r="L11" s="106"/>
    </row>
    <row r="12" spans="1:14" ht="31.5" customHeight="1" x14ac:dyDescent="0.25">
      <c r="A12" s="4">
        <v>5</v>
      </c>
      <c r="B12" s="5">
        <v>46119</v>
      </c>
      <c r="C12" s="83" t="s">
        <v>57</v>
      </c>
      <c r="D12" s="83"/>
      <c r="E12" s="6">
        <v>0.33333333333333331</v>
      </c>
      <c r="F12" s="6">
        <v>0.81458333333333333</v>
      </c>
      <c r="G12" s="6">
        <v>4.1666666666666664E-2</v>
      </c>
      <c r="H12" s="6">
        <f t="shared" ref="H12:H13" si="0">(F12-E12)</f>
        <v>0.48125000000000001</v>
      </c>
      <c r="I12" s="6">
        <v>0.375</v>
      </c>
      <c r="J12" s="101">
        <v>2</v>
      </c>
      <c r="K12" s="99" t="s">
        <v>38</v>
      </c>
      <c r="L12" s="99"/>
      <c r="M12" s="82"/>
      <c r="N12" s="82"/>
    </row>
    <row r="13" spans="1:14" ht="15.75" customHeight="1" x14ac:dyDescent="0.25">
      <c r="A13" s="4">
        <v>6</v>
      </c>
      <c r="B13" s="5">
        <v>46135</v>
      </c>
      <c r="C13" s="83" t="s">
        <v>58</v>
      </c>
      <c r="D13" s="83"/>
      <c r="E13" s="6">
        <v>0.33333333333333331</v>
      </c>
      <c r="F13" s="6">
        <v>0.81388888888888888</v>
      </c>
      <c r="G13" s="6">
        <v>4.1666666666666664E-2</v>
      </c>
      <c r="H13" s="6">
        <f t="shared" si="0"/>
        <v>0.48055555555555557</v>
      </c>
      <c r="I13" s="6">
        <v>0.375</v>
      </c>
      <c r="J13" s="101">
        <v>2</v>
      </c>
      <c r="K13" s="80" t="s">
        <v>38</v>
      </c>
      <c r="L13" s="80"/>
      <c r="M13" s="82"/>
      <c r="N13" s="82"/>
    </row>
    <row r="14" spans="1:14" ht="15.75" customHeight="1" x14ac:dyDescent="0.25">
      <c r="A14" s="4">
        <v>7</v>
      </c>
      <c r="B14" s="5">
        <v>46137</v>
      </c>
      <c r="C14" s="83" t="s">
        <v>59</v>
      </c>
      <c r="D14" s="83"/>
      <c r="E14" s="6"/>
      <c r="F14" s="6"/>
      <c r="G14" s="6"/>
      <c r="H14" s="6"/>
      <c r="I14" s="6"/>
      <c r="J14" s="102"/>
      <c r="K14" s="80" t="s">
        <v>38</v>
      </c>
      <c r="L14" s="80"/>
      <c r="M14" s="82"/>
      <c r="N14" s="82"/>
    </row>
    <row r="15" spans="1:14" s="98" customFormat="1" ht="15.75" x14ac:dyDescent="0.25">
      <c r="A15" s="4">
        <v>8</v>
      </c>
      <c r="B15" s="5">
        <v>46141</v>
      </c>
      <c r="C15" s="103" t="s">
        <v>60</v>
      </c>
      <c r="D15" s="104"/>
      <c r="E15" s="6">
        <v>0.33333333333333331</v>
      </c>
      <c r="F15" s="6">
        <v>0.83333333333333337</v>
      </c>
      <c r="G15" s="6">
        <v>4.1666666666666664E-2</v>
      </c>
      <c r="H15" s="6">
        <f t="shared" ref="H15" si="1">(F15-E15)</f>
        <v>0.5</v>
      </c>
      <c r="I15" s="6">
        <v>0.375</v>
      </c>
      <c r="J15" s="100">
        <v>2</v>
      </c>
      <c r="K15" s="105" t="s">
        <v>38</v>
      </c>
      <c r="L15" s="106"/>
    </row>
    <row r="16" spans="1:14" ht="15.75" x14ac:dyDescent="0.25">
      <c r="H16" s="26"/>
    </row>
    <row r="18" spans="1:12" x14ac:dyDescent="0.25">
      <c r="B18" s="55" t="s">
        <v>16</v>
      </c>
      <c r="C18" s="55"/>
      <c r="D18" s="50" t="s">
        <v>25</v>
      </c>
      <c r="E18" s="50"/>
      <c r="F18" s="50"/>
    </row>
    <row r="19" spans="1:12" x14ac:dyDescent="0.25">
      <c r="B19" s="55" t="s">
        <v>17</v>
      </c>
      <c r="C19" s="55"/>
      <c r="D19" s="49"/>
      <c r="E19" s="49"/>
      <c r="F19" s="49"/>
    </row>
    <row r="20" spans="1:12" ht="15.75" x14ac:dyDescent="0.25">
      <c r="A20" s="24"/>
      <c r="B20" s="55" t="s">
        <v>18</v>
      </c>
      <c r="C20" s="55"/>
      <c r="D20" s="55"/>
      <c r="E20" s="48">
        <f ca="1">TODAY()</f>
        <v>46155</v>
      </c>
      <c r="F20" s="49"/>
      <c r="G20" s="26"/>
      <c r="H20" s="26"/>
      <c r="I20" s="26"/>
      <c r="J20" s="29"/>
      <c r="K20" s="82"/>
      <c r="L20" s="82"/>
    </row>
    <row r="21" spans="1:12" ht="15.75" x14ac:dyDescent="0.25">
      <c r="A21" s="24"/>
      <c r="G21" s="26"/>
      <c r="H21" s="81" t="s">
        <v>15</v>
      </c>
      <c r="I21" s="81"/>
      <c r="J21" s="12">
        <v>6</v>
      </c>
      <c r="K21" s="82"/>
      <c r="L21" s="82"/>
    </row>
    <row r="22" spans="1:12" ht="15.75" x14ac:dyDescent="0.25">
      <c r="A22" s="24"/>
      <c r="B22" s="25"/>
      <c r="C22" s="84"/>
      <c r="D22" s="84"/>
      <c r="E22" s="26"/>
      <c r="F22" s="26"/>
      <c r="G22" s="26"/>
      <c r="K22" s="82"/>
      <c r="L22" s="82"/>
    </row>
    <row r="23" spans="1:12" ht="15.75" x14ac:dyDescent="0.25">
      <c r="A23" s="24"/>
      <c r="B23" s="25"/>
      <c r="C23" s="84"/>
      <c r="D23" s="84"/>
      <c r="E23" s="26"/>
      <c r="F23" s="26"/>
      <c r="G23" s="26"/>
      <c r="H23" s="26"/>
      <c r="I23" s="26"/>
      <c r="J23" s="29"/>
      <c r="K23" s="82"/>
      <c r="L23" s="82"/>
    </row>
    <row r="24" spans="1:12" ht="15.75" x14ac:dyDescent="0.25">
      <c r="A24" s="24"/>
      <c r="B24" s="25"/>
      <c r="C24" s="84"/>
      <c r="D24" s="84"/>
      <c r="E24" s="26"/>
      <c r="F24" s="26"/>
      <c r="G24" s="26"/>
      <c r="H24" s="26"/>
      <c r="I24" s="26"/>
      <c r="J24" s="29"/>
      <c r="K24" s="82"/>
      <c r="L24" s="82"/>
    </row>
    <row r="25" spans="1:12" ht="20.100000000000001" customHeight="1" x14ac:dyDescent="0.25">
      <c r="A25" s="24"/>
      <c r="B25" s="25"/>
      <c r="C25" s="84"/>
      <c r="D25" s="84"/>
      <c r="E25" s="26"/>
      <c r="F25" s="26"/>
      <c r="G25" s="26"/>
      <c r="H25" s="26"/>
      <c r="I25" s="26"/>
      <c r="J25" s="28"/>
      <c r="K25" s="82"/>
      <c r="L25" s="82"/>
    </row>
    <row r="26" spans="1:12" ht="20.100000000000001" customHeight="1" x14ac:dyDescent="0.25"/>
    <row r="27" spans="1:12" ht="20.100000000000001" customHeight="1" x14ac:dyDescent="0.25">
      <c r="H27" s="86"/>
      <c r="I27" s="86"/>
      <c r="J27" s="27"/>
    </row>
    <row r="29" spans="1:12" x14ac:dyDescent="0.25">
      <c r="A29" s="55"/>
      <c r="B29" s="55"/>
      <c r="C29" s="87"/>
      <c r="D29" s="87"/>
      <c r="E29" s="87"/>
    </row>
    <row r="30" spans="1:12" x14ac:dyDescent="0.25">
      <c r="A30" s="55"/>
      <c r="B30" s="55"/>
      <c r="C30" s="87"/>
      <c r="D30" s="87"/>
      <c r="E30" s="87"/>
    </row>
    <row r="31" spans="1:12" ht="31.5" customHeight="1" x14ac:dyDescent="0.25">
      <c r="A31" s="55"/>
      <c r="B31" s="55"/>
      <c r="C31" s="55"/>
      <c r="D31" s="85"/>
      <c r="E31" s="85"/>
    </row>
  </sheetData>
  <mergeCells count="58">
    <mergeCell ref="K8:L8"/>
    <mergeCell ref="K9:L9"/>
    <mergeCell ref="K10:L10"/>
    <mergeCell ref="K11:L11"/>
    <mergeCell ref="A2:L4"/>
    <mergeCell ref="K7:L7"/>
    <mergeCell ref="C7:D7"/>
    <mergeCell ref="K5:L5"/>
    <mergeCell ref="E6:F6"/>
    <mergeCell ref="C6:D6"/>
    <mergeCell ref="K6:L6"/>
    <mergeCell ref="A5:B5"/>
    <mergeCell ref="A6:B6"/>
    <mergeCell ref="G5:H5"/>
    <mergeCell ref="G6:H6"/>
    <mergeCell ref="I5:J5"/>
    <mergeCell ref="I6:J6"/>
    <mergeCell ref="A31:C31"/>
    <mergeCell ref="D31:E31"/>
    <mergeCell ref="H27:I27"/>
    <mergeCell ref="A29:B29"/>
    <mergeCell ref="C29:E29"/>
    <mergeCell ref="A30:B30"/>
    <mergeCell ref="C30:E30"/>
    <mergeCell ref="D19:F19"/>
    <mergeCell ref="C5:D5"/>
    <mergeCell ref="E5:F5"/>
    <mergeCell ref="C25:D25"/>
    <mergeCell ref="B20:D20"/>
    <mergeCell ref="E20:F20"/>
    <mergeCell ref="C15:D15"/>
    <mergeCell ref="C8:D8"/>
    <mergeCell ref="C9:D9"/>
    <mergeCell ref="C10:D10"/>
    <mergeCell ref="C11:D11"/>
    <mergeCell ref="C12:D12"/>
    <mergeCell ref="C13:D13"/>
    <mergeCell ref="C14:D14"/>
    <mergeCell ref="K25:L25"/>
    <mergeCell ref="K20:L20"/>
    <mergeCell ref="K21:L21"/>
    <mergeCell ref="C22:D22"/>
    <mergeCell ref="K22:L22"/>
    <mergeCell ref="C23:D23"/>
    <mergeCell ref="K23:L23"/>
    <mergeCell ref="C24:D24"/>
    <mergeCell ref="K24:L24"/>
    <mergeCell ref="H21:I21"/>
    <mergeCell ref="B18:C18"/>
    <mergeCell ref="D18:F18"/>
    <mergeCell ref="B19:C19"/>
    <mergeCell ref="M12:N12"/>
    <mergeCell ref="M13:N13"/>
    <mergeCell ref="M14:N14"/>
    <mergeCell ref="K12:L12"/>
    <mergeCell ref="K13:L13"/>
    <mergeCell ref="K14:L14"/>
    <mergeCell ref="K15:L15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6A1F-9536-400A-BDAA-C3DD911BE5E9}">
  <sheetPr>
    <pageSetUpPr fitToPage="1"/>
  </sheetPr>
  <dimension ref="A1:N29"/>
  <sheetViews>
    <sheetView showGridLines="0" showRuler="0" showWhiteSpace="0" zoomScaleNormal="100" workbookViewId="0">
      <selection activeCell="D16" sqref="D16:E16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29.42578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72" t="s">
        <v>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4" ht="17.25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4" ht="15" customHeight="1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4" ht="17.100000000000001" customHeight="1" x14ac:dyDescent="0.25">
      <c r="A5" s="47" t="s">
        <v>12</v>
      </c>
      <c r="B5" s="47"/>
      <c r="C5" s="73" t="s">
        <v>47</v>
      </c>
      <c r="D5" s="74"/>
      <c r="E5" s="69" t="s">
        <v>11</v>
      </c>
      <c r="F5" s="70"/>
      <c r="G5" s="75">
        <v>1051831886</v>
      </c>
      <c r="H5" s="76"/>
      <c r="I5" s="69" t="s">
        <v>9</v>
      </c>
      <c r="J5" s="70"/>
      <c r="K5" s="76" t="s">
        <v>10</v>
      </c>
      <c r="L5" s="77"/>
      <c r="N5" s="10" t="s">
        <v>13</v>
      </c>
    </row>
    <row r="6" spans="1:14" ht="17.100000000000001" customHeight="1" x14ac:dyDescent="0.25">
      <c r="A6" s="47" t="s">
        <v>35</v>
      </c>
      <c r="B6" s="47"/>
      <c r="C6" s="66" t="s">
        <v>52</v>
      </c>
      <c r="D6" s="68"/>
      <c r="E6" s="69" t="s">
        <v>36</v>
      </c>
      <c r="F6" s="70"/>
      <c r="G6" s="44">
        <v>45946</v>
      </c>
      <c r="H6" s="71"/>
      <c r="I6" s="66" t="s">
        <v>54</v>
      </c>
      <c r="J6" s="68"/>
      <c r="K6" s="44">
        <v>45976</v>
      </c>
      <c r="L6" s="74"/>
    </row>
    <row r="7" spans="1:14" ht="48" customHeight="1" x14ac:dyDescent="0.25">
      <c r="A7" s="2" t="s">
        <v>0</v>
      </c>
      <c r="B7" s="2" t="s">
        <v>5</v>
      </c>
      <c r="C7" s="88" t="s">
        <v>6</v>
      </c>
      <c r="D7" s="88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91" t="s">
        <v>7</v>
      </c>
      <c r="L7" s="91"/>
    </row>
    <row r="8" spans="1:14" ht="15.75" customHeight="1" x14ac:dyDescent="0.25">
      <c r="A8" s="4">
        <v>1</v>
      </c>
      <c r="B8" s="31">
        <v>46130</v>
      </c>
      <c r="C8" s="107" t="s">
        <v>61</v>
      </c>
      <c r="D8" s="108"/>
      <c r="E8" s="30"/>
      <c r="F8" s="30"/>
      <c r="G8" s="30"/>
      <c r="H8" s="30"/>
      <c r="I8" s="39"/>
      <c r="J8" s="40"/>
      <c r="K8" s="92" t="s">
        <v>38</v>
      </c>
      <c r="L8" s="93"/>
    </row>
    <row r="9" spans="1:14" ht="15.75" customHeight="1" x14ac:dyDescent="0.25">
      <c r="A9" s="109">
        <v>2</v>
      </c>
      <c r="B9" s="32">
        <v>46136</v>
      </c>
      <c r="C9" s="112" t="s">
        <v>62</v>
      </c>
      <c r="D9" s="113"/>
      <c r="E9" s="20">
        <v>0.33333333333333331</v>
      </c>
      <c r="F9" s="20">
        <v>0.7680555555555556</v>
      </c>
      <c r="G9" s="20">
        <v>4.1666666666666664E-2</v>
      </c>
      <c r="H9" s="20">
        <f>(F9-E9-G9)</f>
        <v>0.3930555555555556</v>
      </c>
      <c r="I9" s="20">
        <v>0.33333333333333331</v>
      </c>
      <c r="J9" s="16">
        <v>1</v>
      </c>
      <c r="K9" s="111" t="s">
        <v>38</v>
      </c>
      <c r="L9" s="106"/>
    </row>
    <row r="10" spans="1:14" ht="15.75" customHeight="1" x14ac:dyDescent="0.25">
      <c r="A10" s="110">
        <v>3</v>
      </c>
      <c r="B10" s="32">
        <v>46141</v>
      </c>
      <c r="C10" s="97" t="s">
        <v>63</v>
      </c>
      <c r="D10" s="97"/>
      <c r="E10" s="20">
        <v>0.33333333333333331</v>
      </c>
      <c r="F10" s="20">
        <v>0.79305555555555551</v>
      </c>
      <c r="G10" s="20">
        <v>4.1666666666666664E-2</v>
      </c>
      <c r="H10" s="20">
        <f>(F10-E10-G10)</f>
        <v>0.41805555555555551</v>
      </c>
      <c r="I10" s="20">
        <v>0.375</v>
      </c>
      <c r="J10" s="16">
        <v>2</v>
      </c>
      <c r="K10" s="80" t="s">
        <v>38</v>
      </c>
      <c r="L10" s="80"/>
    </row>
    <row r="12" spans="1:14" x14ac:dyDescent="0.25">
      <c r="H12" s="81" t="s">
        <v>15</v>
      </c>
      <c r="I12" s="81"/>
      <c r="J12" s="12">
        <f>SUM(J8:J11)</f>
        <v>3</v>
      </c>
    </row>
    <row r="14" spans="1:14" x14ac:dyDescent="0.25">
      <c r="A14" s="55" t="s">
        <v>16</v>
      </c>
      <c r="B14" s="55"/>
      <c r="C14" s="50" t="s">
        <v>47</v>
      </c>
      <c r="D14" s="50"/>
      <c r="E14" s="50"/>
    </row>
    <row r="15" spans="1:14" x14ac:dyDescent="0.25">
      <c r="A15" s="55" t="s">
        <v>17</v>
      </c>
      <c r="B15" s="55"/>
      <c r="C15" s="49"/>
      <c r="D15" s="49"/>
      <c r="E15" s="49"/>
    </row>
    <row r="16" spans="1:14" x14ac:dyDescent="0.25">
      <c r="A16" s="55" t="s">
        <v>18</v>
      </c>
      <c r="B16" s="55"/>
      <c r="C16" s="55"/>
      <c r="D16" s="48">
        <f ca="1">TODAY()</f>
        <v>46155</v>
      </c>
      <c r="E16" s="49"/>
    </row>
    <row r="17" spans="1:12" ht="31.5" customHeight="1" x14ac:dyDescent="0.25"/>
    <row r="18" spans="1:12" ht="30" customHeight="1" x14ac:dyDescent="0.25">
      <c r="A18" s="24"/>
      <c r="B18" s="25"/>
      <c r="C18" s="84"/>
      <c r="D18" s="84"/>
      <c r="E18" s="26"/>
      <c r="F18" s="26"/>
      <c r="G18" s="26"/>
      <c r="H18" s="26"/>
      <c r="I18" s="26"/>
      <c r="J18" s="29"/>
      <c r="K18" s="82"/>
      <c r="L18" s="82"/>
    </row>
    <row r="19" spans="1:12" ht="30.75" customHeight="1" x14ac:dyDescent="0.25">
      <c r="A19" s="24"/>
      <c r="B19" s="25"/>
      <c r="C19" s="84"/>
      <c r="D19" s="84"/>
      <c r="E19" s="26"/>
      <c r="F19" s="26"/>
      <c r="G19" s="26"/>
      <c r="H19" s="26"/>
      <c r="I19" s="26"/>
      <c r="J19" s="29"/>
      <c r="K19" s="82"/>
      <c r="L19" s="82"/>
    </row>
    <row r="20" spans="1:12" ht="15.75" x14ac:dyDescent="0.25">
      <c r="A20" s="24"/>
      <c r="B20" s="25"/>
      <c r="C20" s="84"/>
      <c r="D20" s="84"/>
      <c r="E20" s="26"/>
      <c r="F20" s="26"/>
      <c r="G20" s="26"/>
      <c r="H20" s="26"/>
      <c r="I20" s="26"/>
      <c r="J20" s="29"/>
      <c r="K20" s="82"/>
      <c r="L20" s="82"/>
    </row>
    <row r="21" spans="1:12" ht="15.75" x14ac:dyDescent="0.25">
      <c r="A21" s="24"/>
      <c r="B21" s="25"/>
      <c r="C21" s="84"/>
      <c r="D21" s="84"/>
      <c r="E21" s="26"/>
      <c r="F21" s="26"/>
      <c r="G21" s="26"/>
      <c r="H21" s="26"/>
      <c r="I21" s="26"/>
      <c r="J21" s="29"/>
      <c r="K21" s="82"/>
      <c r="L21" s="82"/>
    </row>
    <row r="22" spans="1:12" ht="15.75" x14ac:dyDescent="0.25">
      <c r="A22" s="24"/>
      <c r="B22" s="25"/>
      <c r="C22" s="84"/>
      <c r="D22" s="84"/>
      <c r="E22" s="26"/>
      <c r="F22" s="26"/>
      <c r="G22" s="26"/>
      <c r="H22" s="26"/>
      <c r="I22" s="26"/>
      <c r="J22" s="29"/>
      <c r="K22" s="82"/>
      <c r="L22" s="82"/>
    </row>
    <row r="23" spans="1:12" ht="15.75" x14ac:dyDescent="0.25">
      <c r="A23" s="24"/>
      <c r="B23" s="25"/>
      <c r="C23" s="84"/>
      <c r="D23" s="84"/>
      <c r="E23" s="26"/>
      <c r="F23" s="26"/>
      <c r="G23" s="26"/>
      <c r="H23" s="26"/>
      <c r="I23" s="26"/>
      <c r="J23" s="28"/>
      <c r="K23" s="82"/>
      <c r="L23" s="82"/>
    </row>
    <row r="25" spans="1:12" x14ac:dyDescent="0.25">
      <c r="H25" s="86"/>
      <c r="I25" s="86"/>
      <c r="J25" s="27"/>
    </row>
    <row r="27" spans="1:12" ht="20.100000000000001" customHeight="1" x14ac:dyDescent="0.25">
      <c r="A27" s="55"/>
      <c r="B27" s="55"/>
      <c r="C27" s="87"/>
      <c r="D27" s="87"/>
      <c r="E27" s="87"/>
    </row>
    <row r="28" spans="1:12" ht="20.100000000000001" customHeight="1" x14ac:dyDescent="0.25">
      <c r="A28" s="55"/>
      <c r="B28" s="55"/>
      <c r="C28" s="87"/>
      <c r="D28" s="87"/>
      <c r="E28" s="87"/>
    </row>
    <row r="29" spans="1:12" ht="20.100000000000001" customHeight="1" x14ac:dyDescent="0.25">
      <c r="A29" s="55"/>
      <c r="B29" s="55"/>
      <c r="C29" s="55"/>
      <c r="D29" s="85"/>
      <c r="E29" s="85"/>
    </row>
  </sheetData>
  <mergeCells count="47">
    <mergeCell ref="A29:C29"/>
    <mergeCell ref="D29:E29"/>
    <mergeCell ref="C23:D23"/>
    <mergeCell ref="K23:L23"/>
    <mergeCell ref="H25:I25"/>
    <mergeCell ref="A27:B27"/>
    <mergeCell ref="C27:E27"/>
    <mergeCell ref="A28:B28"/>
    <mergeCell ref="C28:E28"/>
    <mergeCell ref="C20:D20"/>
    <mergeCell ref="K20:L20"/>
    <mergeCell ref="C21:D21"/>
    <mergeCell ref="K21:L21"/>
    <mergeCell ref="C22:D22"/>
    <mergeCell ref="K22:L22"/>
    <mergeCell ref="A16:C16"/>
    <mergeCell ref="D16:E16"/>
    <mergeCell ref="C18:D18"/>
    <mergeCell ref="K18:L18"/>
    <mergeCell ref="C19:D19"/>
    <mergeCell ref="K19:L19"/>
    <mergeCell ref="H12:I12"/>
    <mergeCell ref="A14:B14"/>
    <mergeCell ref="C14:E14"/>
    <mergeCell ref="A15:B15"/>
    <mergeCell ref="C15:E15"/>
    <mergeCell ref="C7:D7"/>
    <mergeCell ref="K7:L7"/>
    <mergeCell ref="K8:L8"/>
    <mergeCell ref="C10:D10"/>
    <mergeCell ref="C8:D8"/>
    <mergeCell ref="K10:L10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0E5F-F8E9-4BCF-8F52-D6D47A2F45C0}">
  <dimension ref="A2:L18"/>
  <sheetViews>
    <sheetView topLeftCell="A8" workbookViewId="0">
      <selection activeCell="I19" sqref="I19"/>
    </sheetView>
  </sheetViews>
  <sheetFormatPr baseColWidth="10" defaultRowHeight="15" x14ac:dyDescent="0.25"/>
  <cols>
    <col min="1" max="1" width="11.42578125" style="1"/>
    <col min="2" max="2" width="11.85546875" style="1" bestFit="1" customWidth="1"/>
    <col min="3" max="3" width="20" style="1" customWidth="1"/>
    <col min="4" max="4" width="19.7109375" style="1" customWidth="1"/>
    <col min="5" max="5" width="11.42578125" style="1"/>
    <col min="6" max="6" width="16.85546875" style="1" customWidth="1"/>
    <col min="7" max="7" width="19.85546875" style="1" customWidth="1"/>
    <col min="8" max="8" width="13.7109375" style="1" customWidth="1"/>
    <col min="9" max="16384" width="11.42578125" style="1"/>
  </cols>
  <sheetData>
    <row r="2" spans="1:12" x14ac:dyDescent="0.25">
      <c r="A2" s="72" t="s">
        <v>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47" t="s">
        <v>12</v>
      </c>
      <c r="B5" s="47"/>
      <c r="C5" s="73" t="s">
        <v>40</v>
      </c>
      <c r="D5" s="74"/>
      <c r="E5" s="69" t="s">
        <v>11</v>
      </c>
      <c r="F5" s="70"/>
      <c r="G5" s="75">
        <v>1002035293</v>
      </c>
      <c r="H5" s="76"/>
      <c r="I5" s="69" t="s">
        <v>9</v>
      </c>
      <c r="J5" s="70"/>
      <c r="K5" s="76" t="s">
        <v>10</v>
      </c>
      <c r="L5" s="77"/>
    </row>
    <row r="6" spans="1:12" ht="15.75" x14ac:dyDescent="0.25">
      <c r="A6" s="47" t="s">
        <v>35</v>
      </c>
      <c r="B6" s="47"/>
      <c r="C6" s="66" t="s">
        <v>52</v>
      </c>
      <c r="D6" s="68"/>
      <c r="E6" s="69" t="s">
        <v>36</v>
      </c>
      <c r="F6" s="70"/>
      <c r="G6" s="44">
        <v>46082</v>
      </c>
      <c r="H6" s="71"/>
      <c r="I6" s="66" t="s">
        <v>53</v>
      </c>
      <c r="J6" s="68"/>
      <c r="K6" s="44">
        <v>46112</v>
      </c>
      <c r="L6" s="74"/>
    </row>
    <row r="7" spans="1:12" ht="31.5" x14ac:dyDescent="0.25">
      <c r="A7" s="2" t="s">
        <v>0</v>
      </c>
      <c r="B7" s="2" t="s">
        <v>5</v>
      </c>
      <c r="C7" s="88" t="s">
        <v>6</v>
      </c>
      <c r="D7" s="88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15" t="s">
        <v>4</v>
      </c>
      <c r="K7" s="91" t="s">
        <v>7</v>
      </c>
      <c r="L7" s="91"/>
    </row>
    <row r="8" spans="1:12" ht="46.5" customHeight="1" x14ac:dyDescent="0.25">
      <c r="A8" s="4">
        <v>1</v>
      </c>
      <c r="B8" s="38">
        <v>46119</v>
      </c>
      <c r="C8" s="96" t="s">
        <v>50</v>
      </c>
      <c r="D8" s="95"/>
      <c r="E8" s="33">
        <v>0.33333333333333331</v>
      </c>
      <c r="F8" s="33">
        <v>0.8354166666666667</v>
      </c>
      <c r="G8" s="33">
        <v>4.1666666666666664E-2</v>
      </c>
      <c r="H8" s="34">
        <v>0.46041666666666664</v>
      </c>
      <c r="I8" s="35">
        <v>0.375</v>
      </c>
      <c r="J8" s="36">
        <v>2</v>
      </c>
      <c r="K8" s="94" t="s">
        <v>37</v>
      </c>
      <c r="L8" s="95"/>
    </row>
    <row r="9" spans="1:12" ht="55.5" customHeight="1" x14ac:dyDescent="0.25">
      <c r="A9" s="4">
        <v>2</v>
      </c>
      <c r="B9" s="38">
        <v>46122</v>
      </c>
      <c r="C9" s="96" t="s">
        <v>51</v>
      </c>
      <c r="D9" s="95"/>
      <c r="E9" s="33">
        <v>0.33333333333333331</v>
      </c>
      <c r="F9" s="33">
        <v>0.77708333333333335</v>
      </c>
      <c r="G9" s="33">
        <v>4.1666666666666664E-2</v>
      </c>
      <c r="H9" s="34">
        <v>0.44374999999999998</v>
      </c>
      <c r="I9" s="35">
        <v>0.33333333333333331</v>
      </c>
      <c r="J9" s="36">
        <v>2</v>
      </c>
      <c r="K9" s="94" t="s">
        <v>37</v>
      </c>
      <c r="L9" s="95"/>
    </row>
    <row r="10" spans="1:12" ht="15.75" x14ac:dyDescent="0.25">
      <c r="A10" s="4">
        <v>3</v>
      </c>
      <c r="B10" s="5">
        <v>46123</v>
      </c>
      <c r="C10" s="83" t="s">
        <v>65</v>
      </c>
      <c r="D10" s="83"/>
      <c r="E10" s="6"/>
      <c r="F10" s="6"/>
      <c r="G10" s="6"/>
      <c r="H10" s="6"/>
      <c r="I10" s="35"/>
      <c r="J10" s="37"/>
      <c r="K10" s="94" t="s">
        <v>37</v>
      </c>
      <c r="L10" s="95"/>
    </row>
    <row r="11" spans="1:12" ht="15.75" x14ac:dyDescent="0.25">
      <c r="A11" s="4">
        <v>4</v>
      </c>
      <c r="B11" s="5">
        <v>46136</v>
      </c>
      <c r="C11" s="83" t="s">
        <v>66</v>
      </c>
      <c r="D11" s="83"/>
      <c r="E11" s="6">
        <v>0.33333333333333331</v>
      </c>
      <c r="F11" s="6">
        <v>0.77013888888888893</v>
      </c>
      <c r="G11" s="6">
        <v>4.1666666666666664E-2</v>
      </c>
      <c r="H11" s="6">
        <f>(F11-E11-G11)</f>
        <v>0.39513888888888893</v>
      </c>
      <c r="I11" s="35" t="s">
        <v>64</v>
      </c>
      <c r="J11" s="37">
        <v>1</v>
      </c>
      <c r="K11" s="60" t="s">
        <v>38</v>
      </c>
      <c r="L11" s="56"/>
    </row>
    <row r="12" spans="1:12" ht="15.75" customHeight="1" x14ac:dyDescent="0.25">
      <c r="A12" s="4">
        <v>54</v>
      </c>
      <c r="B12" s="5">
        <v>46139</v>
      </c>
      <c r="C12" s="83" t="s">
        <v>66</v>
      </c>
      <c r="D12" s="83"/>
      <c r="E12" s="6">
        <v>0.33333333333333331</v>
      </c>
      <c r="F12" s="6">
        <v>0.8125</v>
      </c>
      <c r="G12" s="6">
        <v>4.1666666666666664E-2</v>
      </c>
      <c r="H12" s="6">
        <f t="shared" ref="H12" si="0">(F12-E12-G12)</f>
        <v>0.4375</v>
      </c>
      <c r="I12" s="35">
        <v>0.375</v>
      </c>
      <c r="J12" s="16">
        <v>2</v>
      </c>
      <c r="K12" s="60" t="s">
        <v>38</v>
      </c>
      <c r="L12" s="56"/>
    </row>
    <row r="14" spans="1:12" x14ac:dyDescent="0.25">
      <c r="H14" s="81" t="s">
        <v>15</v>
      </c>
      <c r="I14" s="81"/>
      <c r="J14" s="12">
        <f>SUM(J8:J13)</f>
        <v>7</v>
      </c>
      <c r="K14" s="17"/>
    </row>
    <row r="16" spans="1:12" x14ac:dyDescent="0.25">
      <c r="A16" s="55" t="s">
        <v>16</v>
      </c>
      <c r="B16" s="55"/>
      <c r="C16" s="50" t="s">
        <v>24</v>
      </c>
      <c r="D16" s="50"/>
      <c r="E16" s="50"/>
    </row>
    <row r="17" spans="1:5" x14ac:dyDescent="0.25">
      <c r="A17" s="55" t="s">
        <v>17</v>
      </c>
      <c r="B17" s="55"/>
      <c r="C17" s="49"/>
      <c r="D17" s="49"/>
      <c r="E17" s="49"/>
    </row>
    <row r="18" spans="1:5" x14ac:dyDescent="0.25">
      <c r="A18" s="55" t="s">
        <v>18</v>
      </c>
      <c r="B18" s="55"/>
      <c r="C18" s="55"/>
      <c r="D18" s="48">
        <v>46155</v>
      </c>
      <c r="E18" s="49"/>
    </row>
  </sheetData>
  <mergeCells count="32">
    <mergeCell ref="C6:D6"/>
    <mergeCell ref="K9:L9"/>
    <mergeCell ref="A18:C18"/>
    <mergeCell ref="D18:E18"/>
    <mergeCell ref="H14:I14"/>
    <mergeCell ref="A16:B16"/>
    <mergeCell ref="C16:E16"/>
    <mergeCell ref="A17:B17"/>
    <mergeCell ref="C17:E17"/>
    <mergeCell ref="C9:D9"/>
    <mergeCell ref="C12:D12"/>
    <mergeCell ref="C10:D10"/>
    <mergeCell ref="A2:L4"/>
    <mergeCell ref="K7:L7"/>
    <mergeCell ref="K8:L8"/>
    <mergeCell ref="C7:D7"/>
    <mergeCell ref="C8:D8"/>
    <mergeCell ref="A5:B5"/>
    <mergeCell ref="A6:B6"/>
    <mergeCell ref="G5:H5"/>
    <mergeCell ref="G6:H6"/>
    <mergeCell ref="I5:J5"/>
    <mergeCell ref="I6:J6"/>
    <mergeCell ref="C5:D5"/>
    <mergeCell ref="E5:F5"/>
    <mergeCell ref="K5:L5"/>
    <mergeCell ref="E6:F6"/>
    <mergeCell ref="K6:L6"/>
    <mergeCell ref="C11:D11"/>
    <mergeCell ref="K11:L11"/>
    <mergeCell ref="K12:L12"/>
    <mergeCell ref="K10:L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3" ma:contentTypeDescription="Crear nuevo documento." ma:contentTypeScope="" ma:versionID="9b0e5553133b2f4142f2e5705dd684d8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e41be3e45561d4e4b0e258d977097ec9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66D139-E550-436A-A7EF-5D736B8C2D37}"/>
</file>

<file path=customXml/itemProps2.xml><?xml version="1.0" encoding="utf-8"?>
<ds:datastoreItem xmlns:ds="http://schemas.openxmlformats.org/officeDocument/2006/customXml" ds:itemID="{B49EB303-54DA-4474-B296-D6DE58424A7B}"/>
</file>

<file path=customXml/itemProps3.xml><?xml version="1.0" encoding="utf-8"?>
<ds:datastoreItem xmlns:ds="http://schemas.openxmlformats.org/officeDocument/2006/customXml" ds:itemID="{F03718EB-5056-412A-912A-930EFDC124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GENERAL</vt:lpstr>
      <vt:lpstr>MOISES RINCON</vt:lpstr>
      <vt:lpstr>MARIO OROZCO</vt:lpstr>
      <vt:lpstr>JOSE HENAO</vt:lpstr>
      <vt:lpstr>JUSTIN ORTIZ</vt:lpstr>
      <vt:lpstr>'JOSE HENAO'!Área_de_impresión</vt:lpstr>
      <vt:lpstr>'MARIO OROZCO'!Área_de_impresión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HUMANA</dc:creator>
  <cp:lastModifiedBy>JESNY LOMBO</cp:lastModifiedBy>
  <cp:lastPrinted>2025-02-26T14:41:28Z</cp:lastPrinted>
  <dcterms:created xsi:type="dcterms:W3CDTF">2025-02-26T13:50:56Z</dcterms:created>
  <dcterms:modified xsi:type="dcterms:W3CDTF">2026-05-13T20:38:49Z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