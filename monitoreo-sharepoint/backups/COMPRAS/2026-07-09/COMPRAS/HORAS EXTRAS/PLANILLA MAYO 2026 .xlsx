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0" documentId="13_ncr:1_{5EC94D93-5DD9-4683-9A87-B84182C00C0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GENERAL" sheetId="2" r:id="rId1"/>
    <sheet name="MOISES RINCON" sheetId="16" r:id="rId2"/>
    <sheet name="MARIO OROZCO" sheetId="1" r:id="rId3"/>
    <sheet name="JOSE HENAO" sheetId="18" r:id="rId4"/>
    <sheet name="STEFANY DE LA HOZ" sheetId="21" r:id="rId5"/>
    <sheet name="KEYSI ARRIETA" sheetId="20" r:id="rId6"/>
    <sheet name="NAYERLIS MONTES" sheetId="19" r:id="rId7"/>
    <sheet name="JUSTIN ORTIZ" sheetId="15" r:id="rId8"/>
  </sheets>
  <definedNames>
    <definedName name="_xlnm.Print_Area" localSheetId="3">'JOSE HENAO'!$A$1:$M$28</definedName>
    <definedName name="_xlnm.Print_Area" localSheetId="2">'MARIO OROZCO'!$A$1:$J$27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0" i="1"/>
  <c r="G9" i="1"/>
  <c r="G8" i="1"/>
  <c r="H11" i="18"/>
  <c r="H10" i="18"/>
  <c r="H9" i="18"/>
  <c r="H8" i="18"/>
  <c r="I12" i="21" l="1"/>
  <c r="I12" i="20"/>
  <c r="I11" i="19"/>
  <c r="J15" i="18" l="1"/>
  <c r="D19" i="18"/>
  <c r="I18" i="15"/>
  <c r="G17" i="2" l="1"/>
  <c r="D20" i="1"/>
  <c r="I13" i="16" l="1"/>
  <c r="D22" i="2" l="1"/>
  <c r="I9" i="2" l="1"/>
  <c r="I10" i="2"/>
  <c r="I11" i="2"/>
  <c r="I12" i="2"/>
  <c r="I13" i="2"/>
  <c r="I14" i="2"/>
  <c r="I15" i="2"/>
</calcChain>
</file>

<file path=xl/sharedStrings.xml><?xml version="1.0" encoding="utf-8"?>
<sst xmlns="http://schemas.openxmlformats.org/spreadsheetml/2006/main" count="283" uniqueCount="86">
  <si>
    <t>REPORTE GENERAL DE HORAS EXTRAS</t>
  </si>
  <si>
    <t>RESPONSABLE:</t>
  </si>
  <si>
    <t>SILIA DIAZ</t>
  </si>
  <si>
    <t>CARGO:</t>
  </si>
  <si>
    <t>COORDINADOR LOGISTICO</t>
  </si>
  <si>
    <t>PROCESO:</t>
  </si>
  <si>
    <t>ALMACEN</t>
  </si>
  <si>
    <t>MES:</t>
  </si>
  <si>
    <t>OCTUBRE/NOVIEMBRE</t>
  </si>
  <si>
    <t xml:space="preserve">PERIODO: </t>
  </si>
  <si>
    <t>N°</t>
  </si>
  <si>
    <t>NOMBRE DE COLABORADOR</t>
  </si>
  <si>
    <t xml:space="preserve">CARGO </t>
  </si>
  <si>
    <t>TOTAL DE HORAS EXTRAS</t>
  </si>
  <si>
    <t xml:space="preserve">VALOR UNITARIO </t>
  </si>
  <si>
    <t>TOTAL EN VALOR</t>
  </si>
  <si>
    <t>FIRMA DEL COLABORADOR</t>
  </si>
  <si>
    <t>MARIO OROZCO</t>
  </si>
  <si>
    <t>AUX. LOGISTICO</t>
  </si>
  <si>
    <t>JUSTIN ORTIZ</t>
  </si>
  <si>
    <t>MOISES RINCON</t>
  </si>
  <si>
    <t>MENSAJERO</t>
  </si>
  <si>
    <t>JOSE HENAO</t>
  </si>
  <si>
    <t>NAYERLYS MONTES</t>
  </si>
  <si>
    <t>AUX.COTIZACIONES</t>
  </si>
  <si>
    <t>KEYSI ARRIETA</t>
  </si>
  <si>
    <t>COTIZACIONES</t>
  </si>
  <si>
    <t>STEFANY DE LA HOZ</t>
  </si>
  <si>
    <t>AUX.COMPRAS</t>
  </si>
  <si>
    <t>EMALINE ROMERO</t>
  </si>
  <si>
    <t>TOTAL HORAS</t>
  </si>
  <si>
    <t xml:space="preserve">ELABORADO POR: </t>
  </si>
  <si>
    <t>EMA ROMERO</t>
  </si>
  <si>
    <t xml:space="preserve">REVISADO POR: </t>
  </si>
  <si>
    <t>FECHA DE ELABORACION:</t>
  </si>
  <si>
    <t>PLANILLA INDIVIDUAL REGISTRO DE HORAS EXTRAS</t>
  </si>
  <si>
    <t>COLABORADOR:</t>
  </si>
  <si>
    <t xml:space="preserve">MOISES RINCON </t>
  </si>
  <si>
    <t>IDENTIFICACION:</t>
  </si>
  <si>
    <t>Mensajero</t>
  </si>
  <si>
    <t xml:space="preserve">MES: </t>
  </si>
  <si>
    <t>SEPTIEMBRE</t>
  </si>
  <si>
    <t xml:space="preserve">PERIODO DE: 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</si>
  <si>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</si>
  <si>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 xml:space="preserve">FECHA </t>
  </si>
  <si>
    <t>MOTIVO DE SALIDA TARDE</t>
  </si>
  <si>
    <t>HORA DE INICIO</t>
  </si>
  <si>
    <t>HORA DE FINALIZACIÓN</t>
  </si>
  <si>
    <t>HORA DE ALMUERZO</t>
  </si>
  <si>
    <t>HORARIO LABORADO</t>
  </si>
  <si>
    <t>HORARIO REGULAR</t>
  </si>
  <si>
    <t>HORAS EXTRAS</t>
  </si>
  <si>
    <t xml:space="preserve">AUTORIZADO POR </t>
  </si>
  <si>
    <t>DISPONIBILIDAD RECOJIENDO MATERIAL AL AEROPUERTO</t>
  </si>
  <si>
    <t>DISPONIBILIDAD RECOJIENDO MATERIAL ALRP DENTAL</t>
  </si>
  <si>
    <t>DISPONIBILIDAD RECOJIENDO MATERIAL Y LLEVANDO AL AEROPUERTO</t>
  </si>
  <si>
    <t>RECOGIENDO MATERIAL EN TODO ORTOPEDICO</t>
  </si>
  <si>
    <t>TOTAL DE HORAS:</t>
  </si>
  <si>
    <t>FECHA DE ELABORACION:                                                                      10/05/2026</t>
  </si>
  <si>
    <t>Auxiliar Logistico</t>
  </si>
  <si>
    <t>MARZO</t>
  </si>
  <si>
    <t>MAYO</t>
  </si>
  <si>
    <t>INVENTARIO BODEGA PRINCIPAL</t>
  </si>
  <si>
    <t>DISPONIBILIDAD SABADO</t>
  </si>
  <si>
    <t>DISPONIBILIDAD FESTIVO</t>
  </si>
  <si>
    <t>ESPERANDO MAXILO DEOSTEONORTE</t>
  </si>
  <si>
    <t>ESPERANDO MATERIAL JORNADA ARTROSCOPIA</t>
  </si>
  <si>
    <t xml:space="preserve">Silia Diaz </t>
  </si>
  <si>
    <t xml:space="preserve">STEFANY DE LA HOZ </t>
  </si>
  <si>
    <t>Auxiliar Compras</t>
  </si>
  <si>
    <t xml:space="preserve">MAYO 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</si>
  <si>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:MAYO</t>
    </r>
  </si>
  <si>
    <t>SALIDA TARDE POR INVENTARIO BOD PRINCIPAL</t>
  </si>
  <si>
    <t>Silia Diaz</t>
  </si>
  <si>
    <t>FECHA DE ELABORACION:                                       10/06/2026</t>
  </si>
  <si>
    <t>Auxiliar Administrativo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</si>
  <si>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:MARZO</t>
    </r>
  </si>
  <si>
    <t>FECHA DE ELABORACION:                                         10/06/2026</t>
  </si>
  <si>
    <t>NAYERLIS MONTES</t>
  </si>
  <si>
    <t>Auxiliar Cotizaciones</t>
  </si>
  <si>
    <t xml:space="preserve">JUSTIN ORTIZ RUIZ </t>
  </si>
  <si>
    <t>ESPERANDO MATERIALES Y BAJAR A CAMPBELL</t>
  </si>
  <si>
    <t xml:space="preserve">ESPERANDO REPOSICION RP DE BAHIA/CAMPBELL Y ENVIAR A IPS </t>
  </si>
  <si>
    <t xml:space="preserve">DISPONIBILIDAD FESTIVO </t>
  </si>
  <si>
    <t xml:space="preserve">DISPONIBILIDAD SABADO </t>
  </si>
  <si>
    <t>FECHA DE ELABORACION:                                                     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</si>
</sst>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* #,##0_-;\-* #,##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6" fontId="6" fillId="0" borderId="1" xfId="2" applyNumberFormat="1" applyFont="1" applyBorder="1"/>
    <xf numFmtId="166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166" fontId="3" fillId="0" borderId="7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6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20" fontId="11" fillId="3" borderId="1" xfId="0" applyNumberFormat="1" applyFont="1" applyFill="1" applyBorder="1" applyAlignment="1">
      <alignment horizontal="center" vertical="center" wrapText="1"/>
    </xf>
    <xf numFmtId="20" fontId="11" fillId="3" borderId="2" xfId="0" applyNumberFormat="1" applyFont="1" applyFill="1" applyBorder="1" applyAlignment="1">
      <alignment horizontal="center" vertical="center" wrapText="1"/>
    </xf>
    <xf numFmtId="20" fontId="11" fillId="3" borderId="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20" fontId="1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9" fillId="2" borderId="18" xfId="0" applyFont="1" applyFill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166" fontId="3" fillId="0" borderId="16" xfId="2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6" fillId="0" borderId="7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6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165" fontId="3" fillId="0" borderId="7" xfId="1" applyNumberFormat="1" applyFont="1" applyBorder="1" applyAlignment="1">
      <alignment vertical="center"/>
    </xf>
    <xf numFmtId="1" fontId="3" fillId="0" borderId="1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</cellXfs>
  <cellStyles count="7">
    <cellStyle name="Millares" xfId="2" builtinId="3"/>
    <cellStyle name="Millares 2" xfId="4" xr:uid="{6D9071CC-268F-4E5D-AD4A-7064E4DF6FA8}"/>
    <cellStyle name="Millares 3" xfId="6" xr:uid="{155B77A1-E7C6-451A-9382-C3DD591E1500}"/>
    <cellStyle name="Moneda" xfId="1" builtinId="4"/>
    <cellStyle name="Moneda 2" xfId="3" xr:uid="{DE384E4E-DC39-42FD-9BBD-E4E914639002}"/>
    <cellStyle name="Moneda 3" xfId="5" xr:uid="{40D57319-4955-4BAA-80D0-21D059C455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2D7CBDC3-6EC6-4B4F-A47E-7B42EA416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70E595F6-E072-4C56-980D-0FBC95F5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2D0289BC-7F30-4DA6-9B4B-B250F8FB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opLeftCell="A7" workbookViewId="0">
      <selection activeCell="B13" sqref="B13:H13"/>
    </sheetView>
  </sheetViews>
  <sheetFormatPr defaultColWidth="11.42578125" defaultRowHeight="1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/>
    <row r="2" spans="1:11" ht="23.25" customHeight="1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</row>
    <row r="3" spans="1:11" ht="18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 spans="1:11" ht="19.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</row>
    <row r="5" spans="1:11" ht="15.75">
      <c r="A5" s="90" t="s">
        <v>1</v>
      </c>
      <c r="B5" s="90"/>
      <c r="C5" s="106" t="s">
        <v>2</v>
      </c>
      <c r="D5" s="106"/>
      <c r="E5" s="106"/>
      <c r="F5" s="11" t="s">
        <v>3</v>
      </c>
      <c r="G5" s="102" t="s">
        <v>4</v>
      </c>
      <c r="H5" s="103"/>
      <c r="I5" s="11" t="s">
        <v>5</v>
      </c>
      <c r="J5" s="102" t="s">
        <v>6</v>
      </c>
      <c r="K5" s="104"/>
    </row>
    <row r="6" spans="1:11" ht="15.75">
      <c r="A6" s="90" t="s">
        <v>7</v>
      </c>
      <c r="B6" s="90"/>
      <c r="C6" s="95" t="s">
        <v>8</v>
      </c>
      <c r="D6" s="107"/>
      <c r="E6" s="96"/>
      <c r="F6" s="91" t="s">
        <v>9</v>
      </c>
      <c r="G6" s="92"/>
      <c r="H6" s="100">
        <v>45946</v>
      </c>
      <c r="I6" s="101"/>
      <c r="J6" s="100">
        <v>45976</v>
      </c>
      <c r="K6" s="101"/>
    </row>
    <row r="7" spans="1:11" ht="47.25">
      <c r="A7" s="2" t="s">
        <v>10</v>
      </c>
      <c r="B7" s="119" t="s">
        <v>11</v>
      </c>
      <c r="C7" s="120"/>
      <c r="D7" s="121"/>
      <c r="E7" s="109" t="s">
        <v>12</v>
      </c>
      <c r="F7" s="110"/>
      <c r="G7" s="3" t="s">
        <v>13</v>
      </c>
      <c r="H7" s="8" t="s">
        <v>14</v>
      </c>
      <c r="I7" s="8" t="s">
        <v>15</v>
      </c>
      <c r="J7" s="109" t="s">
        <v>16</v>
      </c>
      <c r="K7" s="110"/>
    </row>
    <row r="8" spans="1:11" ht="15.75">
      <c r="A8" s="4">
        <v>1</v>
      </c>
      <c r="B8" s="93" t="s">
        <v>17</v>
      </c>
      <c r="C8" s="113"/>
      <c r="D8" s="114"/>
      <c r="E8" s="111" t="s">
        <v>18</v>
      </c>
      <c r="F8" s="112"/>
      <c r="G8" s="7">
        <v>15</v>
      </c>
      <c r="H8" s="9"/>
      <c r="I8" s="9"/>
      <c r="J8" s="108"/>
      <c r="K8" s="108"/>
    </row>
    <row r="9" spans="1:11" ht="15.75">
      <c r="A9" s="4">
        <v>2</v>
      </c>
      <c r="B9" s="93" t="s">
        <v>19</v>
      </c>
      <c r="C9" s="113"/>
      <c r="D9" s="114"/>
      <c r="E9" s="111" t="s">
        <v>18</v>
      </c>
      <c r="F9" s="112"/>
      <c r="G9" s="7">
        <v>14</v>
      </c>
      <c r="H9" s="9"/>
      <c r="I9" s="9">
        <f t="shared" ref="I9:I15" si="0">H9*G9</f>
        <v>0</v>
      </c>
      <c r="J9" s="108"/>
      <c r="K9" s="108"/>
    </row>
    <row r="10" spans="1:11" ht="15.75">
      <c r="A10" s="4">
        <v>3</v>
      </c>
      <c r="B10" s="93" t="s">
        <v>20</v>
      </c>
      <c r="C10" s="113"/>
      <c r="D10" s="114"/>
      <c r="E10" s="111" t="s">
        <v>21</v>
      </c>
      <c r="F10" s="112"/>
      <c r="G10" s="7">
        <v>1</v>
      </c>
      <c r="H10" s="9"/>
      <c r="I10" s="9">
        <f t="shared" si="0"/>
        <v>0</v>
      </c>
      <c r="J10" s="108"/>
      <c r="K10" s="108"/>
    </row>
    <row r="11" spans="1:11" ht="15.75">
      <c r="A11" s="4">
        <v>4</v>
      </c>
      <c r="B11" s="93" t="s">
        <v>22</v>
      </c>
      <c r="C11" s="113"/>
      <c r="D11" s="114"/>
      <c r="E11" s="111" t="s">
        <v>18</v>
      </c>
      <c r="F11" s="112"/>
      <c r="G11" s="7">
        <v>11</v>
      </c>
      <c r="H11" s="9"/>
      <c r="I11" s="9">
        <f t="shared" si="0"/>
        <v>0</v>
      </c>
      <c r="J11" s="108"/>
      <c r="K11" s="108"/>
    </row>
    <row r="12" spans="1:11" ht="15.75">
      <c r="A12" s="4">
        <v>5</v>
      </c>
      <c r="B12" s="93" t="s">
        <v>23</v>
      </c>
      <c r="C12" s="113"/>
      <c r="D12" s="114"/>
      <c r="E12" s="111" t="s">
        <v>24</v>
      </c>
      <c r="F12" s="112"/>
      <c r="G12" s="7">
        <v>7</v>
      </c>
      <c r="H12" s="9"/>
      <c r="I12" s="9">
        <f t="shared" si="0"/>
        <v>0</v>
      </c>
      <c r="J12" s="108"/>
      <c r="K12" s="108"/>
    </row>
    <row r="13" spans="1:11" ht="15.75">
      <c r="A13" s="4">
        <v>6</v>
      </c>
      <c r="B13" s="93" t="s">
        <v>25</v>
      </c>
      <c r="C13" s="113"/>
      <c r="D13" s="114"/>
      <c r="E13" s="111" t="s">
        <v>26</v>
      </c>
      <c r="F13" s="112"/>
      <c r="G13" s="7">
        <v>10</v>
      </c>
      <c r="H13" s="9"/>
      <c r="I13" s="9">
        <f t="shared" si="0"/>
        <v>0</v>
      </c>
      <c r="J13" s="108"/>
      <c r="K13" s="108"/>
    </row>
    <row r="14" spans="1:11" ht="15.75">
      <c r="A14" s="4">
        <v>7</v>
      </c>
      <c r="B14" s="93" t="s">
        <v>27</v>
      </c>
      <c r="C14" s="113"/>
      <c r="D14" s="114"/>
      <c r="E14" s="111" t="s">
        <v>28</v>
      </c>
      <c r="F14" s="112"/>
      <c r="G14" s="7">
        <v>10</v>
      </c>
      <c r="H14" s="9"/>
      <c r="I14" s="9">
        <f t="shared" si="0"/>
        <v>0</v>
      </c>
      <c r="J14" s="108"/>
      <c r="K14" s="108"/>
    </row>
    <row r="15" spans="1:11" ht="15.75">
      <c r="A15" s="4">
        <v>8</v>
      </c>
      <c r="B15" s="93" t="s">
        <v>29</v>
      </c>
      <c r="C15" s="113"/>
      <c r="D15" s="114"/>
      <c r="E15" s="116"/>
      <c r="F15" s="117"/>
      <c r="G15" s="7">
        <v>10</v>
      </c>
      <c r="H15" s="81"/>
      <c r="I15" s="81">
        <f t="shared" si="0"/>
        <v>0</v>
      </c>
      <c r="J15" s="115"/>
      <c r="K15" s="115"/>
    </row>
    <row r="16" spans="1:11" ht="15.75">
      <c r="A16" s="4"/>
      <c r="B16" s="38"/>
      <c r="C16" s="39"/>
      <c r="D16" s="40"/>
      <c r="E16" s="42"/>
      <c r="F16" s="43"/>
      <c r="G16" s="84"/>
      <c r="H16" s="83"/>
      <c r="I16" s="83"/>
      <c r="J16" s="118"/>
      <c r="K16" s="118"/>
    </row>
    <row r="17" spans="1:11" ht="15.75">
      <c r="A17" s="116" t="s">
        <v>30</v>
      </c>
      <c r="B17" s="123"/>
      <c r="C17" s="123"/>
      <c r="D17" s="123"/>
      <c r="E17" s="123"/>
      <c r="F17" s="123"/>
      <c r="G17" s="85">
        <f>SUM(G8:G15)</f>
        <v>78</v>
      </c>
      <c r="H17" s="82"/>
      <c r="I17" s="82"/>
      <c r="J17" s="124"/>
      <c r="K17" s="124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100000000000001" customHeight="1">
      <c r="A20" s="86" t="s">
        <v>31</v>
      </c>
      <c r="B20" s="86"/>
      <c r="C20" s="88" t="s">
        <v>32</v>
      </c>
      <c r="D20" s="88"/>
      <c r="E20" s="88"/>
      <c r="F20" s="88"/>
      <c r="G20" s="88"/>
      <c r="H20" s="1"/>
      <c r="I20" s="1"/>
      <c r="J20" s="1"/>
      <c r="K20" s="1"/>
    </row>
    <row r="21" spans="1:11" ht="20.100000000000001" customHeight="1">
      <c r="A21" s="86" t="s">
        <v>33</v>
      </c>
      <c r="B21" s="86"/>
      <c r="C21" s="89"/>
      <c r="D21" s="89"/>
      <c r="E21" s="89"/>
      <c r="F21" s="89"/>
      <c r="G21" s="89"/>
      <c r="H21" s="1"/>
      <c r="I21" s="1"/>
      <c r="J21" s="1"/>
      <c r="K21" s="1"/>
    </row>
    <row r="22" spans="1:11" ht="20.100000000000001" customHeight="1">
      <c r="A22" s="86" t="s">
        <v>34</v>
      </c>
      <c r="B22" s="86"/>
      <c r="C22" s="86"/>
      <c r="D22" s="122">
        <f ca="1">TODAY()</f>
        <v>46210</v>
      </c>
      <c r="E22" s="89"/>
      <c r="F22" s="89"/>
      <c r="G22" s="89"/>
      <c r="H22" s="1"/>
      <c r="I22" s="1"/>
      <c r="J22" s="1"/>
      <c r="K22" s="1"/>
    </row>
    <row r="23" spans="1:11" ht="20.100000000000001" customHeight="1"/>
  </sheetData>
  <mergeCells count="46">
    <mergeCell ref="B7:D7"/>
    <mergeCell ref="B8:D8"/>
    <mergeCell ref="A6:B6"/>
    <mergeCell ref="D22:G22"/>
    <mergeCell ref="C20:G20"/>
    <mergeCell ref="E10:F10"/>
    <mergeCell ref="E11:F11"/>
    <mergeCell ref="E12:F12"/>
    <mergeCell ref="E13:F13"/>
    <mergeCell ref="E14:F14"/>
    <mergeCell ref="A22:C22"/>
    <mergeCell ref="B9:D9"/>
    <mergeCell ref="A17:F17"/>
    <mergeCell ref="A20:B20"/>
    <mergeCell ref="A21:B21"/>
    <mergeCell ref="C21:G21"/>
    <mergeCell ref="J13:K13"/>
    <mergeCell ref="J14:K14"/>
    <mergeCell ref="J15:K15"/>
    <mergeCell ref="B13:D13"/>
    <mergeCell ref="B14:D14"/>
    <mergeCell ref="B15:D15"/>
    <mergeCell ref="E15:F15"/>
    <mergeCell ref="J16:K16"/>
    <mergeCell ref="J17:K17"/>
    <mergeCell ref="J12:K12"/>
    <mergeCell ref="B11:D11"/>
    <mergeCell ref="B12:D12"/>
    <mergeCell ref="J9:K9"/>
    <mergeCell ref="J10:K10"/>
    <mergeCell ref="B10:D10"/>
    <mergeCell ref="E9:F9"/>
    <mergeCell ref="J8:K8"/>
    <mergeCell ref="E7:F7"/>
    <mergeCell ref="E8:F8"/>
    <mergeCell ref="J7:K7"/>
    <mergeCell ref="J11:K11"/>
    <mergeCell ref="J6:K6"/>
    <mergeCell ref="G5:H5"/>
    <mergeCell ref="J5:K5"/>
    <mergeCell ref="A2:K4"/>
    <mergeCell ref="A5:B5"/>
    <mergeCell ref="C5:E5"/>
    <mergeCell ref="C6:E6"/>
    <mergeCell ref="F6:G6"/>
    <mergeCell ref="H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J17"/>
  <sheetViews>
    <sheetView tabSelected="1" workbookViewId="0">
      <selection activeCell="C18" sqref="C18"/>
    </sheetView>
  </sheetViews>
  <sheetFormatPr defaultColWidth="11.42578125" defaultRowHeight="15"/>
  <cols>
    <col min="2" max="2" width="16.28515625" customWidth="1"/>
    <col min="3" max="3" width="71.85546875" customWidth="1"/>
    <col min="4" max="5" width="15.28515625" customWidth="1"/>
    <col min="6" max="6" width="13" customWidth="1"/>
    <col min="7" max="7" width="12" bestFit="1" customWidth="1"/>
    <col min="8" max="8" width="15.28515625" bestFit="1" customWidth="1"/>
    <col min="10" max="10" width="21.140625" customWidth="1"/>
  </cols>
  <sheetData>
    <row r="2" spans="1:10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</row>
    <row r="3" spans="1:10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0" ht="28.5" customHeight="1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ht="15.75">
      <c r="A5" s="90" t="s">
        <v>36</v>
      </c>
      <c r="B5" s="90"/>
      <c r="C5" s="45" t="s">
        <v>37</v>
      </c>
      <c r="D5" s="91" t="s">
        <v>38</v>
      </c>
      <c r="E5" s="92"/>
      <c r="F5" s="98">
        <v>72157200</v>
      </c>
      <c r="G5" s="99"/>
      <c r="H5" s="91" t="s">
        <v>3</v>
      </c>
      <c r="I5" s="92"/>
      <c r="J5" s="46" t="s">
        <v>39</v>
      </c>
    </row>
    <row r="6" spans="1:10" ht="15.75">
      <c r="A6" s="90" t="s">
        <v>40</v>
      </c>
      <c r="B6" s="90"/>
      <c r="C6" s="44" t="s">
        <v>41</v>
      </c>
      <c r="D6" s="91" t="s">
        <v>42</v>
      </c>
      <c r="E6" s="92"/>
      <c r="F6" s="93">
        <v>45916</v>
      </c>
      <c r="G6" s="94"/>
      <c r="H6" s="95" t="s">
        <v>43</v>
      </c>
      <c r="I6" s="96"/>
      <c r="J6" s="38">
        <v>45945</v>
      </c>
    </row>
    <row r="7" spans="1:10" ht="31.5">
      <c r="A7" s="17" t="s">
        <v>10</v>
      </c>
      <c r="B7" s="17" t="s">
        <v>44</v>
      </c>
      <c r="C7" s="70" t="s">
        <v>45</v>
      </c>
      <c r="D7" s="14" t="s">
        <v>46</v>
      </c>
      <c r="E7" s="14" t="s">
        <v>47</v>
      </c>
      <c r="F7" s="14" t="s">
        <v>48</v>
      </c>
      <c r="G7" s="14" t="s">
        <v>49</v>
      </c>
      <c r="H7" s="14" t="s">
        <v>50</v>
      </c>
      <c r="I7" s="14" t="s">
        <v>51</v>
      </c>
      <c r="J7" s="14" t="s">
        <v>52</v>
      </c>
    </row>
    <row r="8" spans="1:10" ht="15.75">
      <c r="A8" s="18">
        <v>1</v>
      </c>
      <c r="B8" s="21">
        <v>46144</v>
      </c>
      <c r="C8" s="55" t="s">
        <v>53</v>
      </c>
      <c r="D8" s="19"/>
      <c r="E8" s="19"/>
      <c r="F8" s="19"/>
      <c r="G8" s="19"/>
      <c r="H8" s="19"/>
      <c r="I8" s="20"/>
      <c r="J8" s="47" t="s">
        <v>2</v>
      </c>
    </row>
    <row r="9" spans="1:10" ht="15.75">
      <c r="A9" s="18">
        <v>2</v>
      </c>
      <c r="B9" s="71">
        <v>46158</v>
      </c>
      <c r="C9" s="47" t="s">
        <v>54</v>
      </c>
      <c r="D9" s="19"/>
      <c r="E9" s="19"/>
      <c r="F9" s="19"/>
      <c r="G9" s="19"/>
      <c r="H9" s="19"/>
      <c r="I9" s="20"/>
      <c r="J9" s="47" t="s">
        <v>2</v>
      </c>
    </row>
    <row r="10" spans="1:10" ht="15.75">
      <c r="A10" s="75">
        <v>3</v>
      </c>
      <c r="B10" s="30">
        <v>46165</v>
      </c>
      <c r="C10" s="72" t="s">
        <v>55</v>
      </c>
      <c r="D10" s="73"/>
      <c r="E10" s="73"/>
      <c r="F10" s="73"/>
      <c r="G10" s="73"/>
      <c r="H10" s="73"/>
      <c r="I10" s="74"/>
      <c r="J10" s="72" t="s">
        <v>2</v>
      </c>
    </row>
    <row r="11" spans="1:10" ht="15.75">
      <c r="A11" s="76">
        <v>4</v>
      </c>
      <c r="B11" s="30">
        <v>46169</v>
      </c>
      <c r="C11" s="47" t="s">
        <v>56</v>
      </c>
      <c r="D11" s="19">
        <v>0.33333333333333331</v>
      </c>
      <c r="E11" s="19">
        <v>0.79305555555555551</v>
      </c>
      <c r="F11" s="19">
        <v>4.1666666666666664E-2</v>
      </c>
      <c r="G11" s="43">
        <v>0.41805555555555557</v>
      </c>
      <c r="H11" s="19">
        <v>0.375</v>
      </c>
      <c r="I11" s="15">
        <v>1</v>
      </c>
      <c r="J11" s="47" t="s">
        <v>2</v>
      </c>
    </row>
    <row r="12" spans="1:10" ht="15.75">
      <c r="A12" s="77"/>
      <c r="B12" s="23"/>
      <c r="C12" s="22"/>
      <c r="D12" s="24"/>
      <c r="E12" s="24"/>
      <c r="F12" s="24"/>
      <c r="G12" s="24"/>
      <c r="H12" s="24"/>
      <c r="I12" s="56"/>
      <c r="J12" s="22"/>
    </row>
    <row r="13" spans="1:10">
      <c r="A13" s="1"/>
      <c r="B13" s="1"/>
      <c r="C13" s="1"/>
      <c r="D13" s="1"/>
      <c r="E13" s="1"/>
      <c r="F13" s="1"/>
      <c r="G13" s="87" t="s">
        <v>57</v>
      </c>
      <c r="H13" s="87"/>
      <c r="I13" s="78">
        <f>SUM(I10:I11)</f>
        <v>1</v>
      </c>
      <c r="J13" s="1"/>
    </row>
    <row r="14" spans="1:10">
      <c r="A14" s="86" t="s">
        <v>31</v>
      </c>
      <c r="B14" s="86"/>
      <c r="C14" s="88" t="s">
        <v>37</v>
      </c>
      <c r="D14" s="88"/>
    </row>
    <row r="15" spans="1:10">
      <c r="A15" s="86" t="s">
        <v>33</v>
      </c>
      <c r="B15" s="86"/>
      <c r="C15" s="89" t="s">
        <v>32</v>
      </c>
      <c r="D15" s="89"/>
    </row>
    <row r="16" spans="1:10">
      <c r="A16" s="86" t="s">
        <v>58</v>
      </c>
      <c r="B16" s="86"/>
      <c r="C16" s="86"/>
      <c r="D16" s="41"/>
    </row>
    <row r="17" spans="9:9">
      <c r="I17" s="13"/>
    </row>
  </sheetData>
  <mergeCells count="15">
    <mergeCell ref="A6:B6"/>
    <mergeCell ref="D6:E6"/>
    <mergeCell ref="F6:G6"/>
    <mergeCell ref="H6:I6"/>
    <mergeCell ref="A2:J4"/>
    <mergeCell ref="A5:B5"/>
    <mergeCell ref="D5:E5"/>
    <mergeCell ref="F5:G5"/>
    <mergeCell ref="H5:I5"/>
    <mergeCell ref="A16:C16"/>
    <mergeCell ref="G13:H13"/>
    <mergeCell ref="A14:B14"/>
    <mergeCell ref="C14:D14"/>
    <mergeCell ref="A15:B15"/>
    <mergeCell ref="C15:D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1"/>
  <sheetViews>
    <sheetView showGridLines="0" showRuler="0" showWhiteSpace="0" topLeftCell="A6" zoomScaleNormal="100" workbookViewId="0">
      <selection activeCell="I9" sqref="I9"/>
    </sheetView>
  </sheetViews>
  <sheetFormatPr defaultColWidth="11.42578125" defaultRowHeight="15"/>
  <cols>
    <col min="1" max="1" width="4.7109375" style="1" customWidth="1"/>
    <col min="2" max="2" width="14.85546875" style="1" customWidth="1"/>
    <col min="3" max="3" width="49.28515625" style="1" customWidth="1"/>
    <col min="4" max="4" width="13.5703125" style="1" customWidth="1"/>
    <col min="5" max="5" width="16.28515625" style="1" customWidth="1"/>
    <col min="6" max="6" width="13.5703125" style="1" customWidth="1"/>
    <col min="7" max="7" width="12" style="1" bestFit="1" customWidth="1"/>
    <col min="8" max="8" width="15.5703125" style="1" customWidth="1"/>
    <col min="9" max="9" width="16.42578125" style="1" customWidth="1"/>
    <col min="10" max="10" width="27.7109375" style="1" customWidth="1"/>
    <col min="11" max="11" width="11.42578125" style="1" customWidth="1"/>
    <col min="12" max="16384" width="11.42578125" style="1"/>
  </cols>
  <sheetData>
    <row r="1" spans="1:11" ht="7.5" customHeight="1"/>
    <row r="2" spans="1:11" ht="24" customHeight="1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</row>
    <row r="3" spans="1:11" ht="17.25" customHeight="1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1" ht="15" customHeight="1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1" ht="17.100000000000001" customHeight="1">
      <c r="A5" s="90" t="s">
        <v>36</v>
      </c>
      <c r="B5" s="90"/>
      <c r="C5" s="45" t="s">
        <v>17</v>
      </c>
      <c r="D5" s="91" t="s">
        <v>38</v>
      </c>
      <c r="E5" s="92"/>
      <c r="F5" s="98">
        <v>1143121183</v>
      </c>
      <c r="G5" s="99"/>
      <c r="H5" s="91" t="s">
        <v>3</v>
      </c>
      <c r="I5" s="92"/>
      <c r="J5" s="46" t="s">
        <v>59</v>
      </c>
      <c r="K5" s="10" t="s">
        <v>48</v>
      </c>
    </row>
    <row r="6" spans="1:11" ht="17.100000000000001" customHeight="1">
      <c r="A6" s="90" t="s">
        <v>40</v>
      </c>
      <c r="B6" s="90"/>
      <c r="C6" s="44" t="s">
        <v>60</v>
      </c>
      <c r="D6" s="91" t="s">
        <v>42</v>
      </c>
      <c r="E6" s="92"/>
      <c r="F6" s="93">
        <v>46143</v>
      </c>
      <c r="G6" s="94"/>
      <c r="H6" s="127" t="s">
        <v>61</v>
      </c>
      <c r="I6" s="128"/>
      <c r="J6" s="38">
        <v>46172</v>
      </c>
    </row>
    <row r="7" spans="1:11" ht="48" customHeight="1">
      <c r="A7" s="2" t="s">
        <v>10</v>
      </c>
      <c r="B7" s="2" t="s">
        <v>44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14" t="s">
        <v>51</v>
      </c>
      <c r="J7" s="14" t="s">
        <v>52</v>
      </c>
    </row>
    <row r="8" spans="1:11" ht="15.75">
      <c r="A8" s="4">
        <v>1</v>
      </c>
      <c r="B8" s="5">
        <v>46148</v>
      </c>
      <c r="C8" s="60" t="s">
        <v>62</v>
      </c>
      <c r="D8" s="6">
        <v>0.33333333333333298</v>
      </c>
      <c r="E8" s="6">
        <v>0.86944444444444446</v>
      </c>
      <c r="F8" s="68">
        <v>4.1666666666666664E-2</v>
      </c>
      <c r="G8" s="6">
        <f t="shared" ref="G8:G14" si="0">(E8-D8-F8)</f>
        <v>0.49444444444444474</v>
      </c>
      <c r="H8" s="42">
        <v>0.375</v>
      </c>
      <c r="I8" s="15">
        <v>3</v>
      </c>
      <c r="J8" s="15" t="s">
        <v>2</v>
      </c>
    </row>
    <row r="9" spans="1:11" ht="15.75">
      <c r="A9" s="50">
        <v>2</v>
      </c>
      <c r="B9" s="29">
        <v>46149</v>
      </c>
      <c r="C9" s="61" t="s">
        <v>62</v>
      </c>
      <c r="D9" s="6">
        <v>0.33333333333333331</v>
      </c>
      <c r="E9" s="28">
        <v>0.875</v>
      </c>
      <c r="F9" s="68">
        <v>4.1666666666666664E-2</v>
      </c>
      <c r="G9" s="6">
        <f t="shared" si="0"/>
        <v>0.50000000000000011</v>
      </c>
      <c r="H9" s="36">
        <v>0.375</v>
      </c>
      <c r="I9" s="37">
        <v>3</v>
      </c>
      <c r="J9" s="15" t="s">
        <v>2</v>
      </c>
    </row>
    <row r="10" spans="1:11" ht="15.75">
      <c r="A10" s="67">
        <v>3</v>
      </c>
      <c r="B10" s="30">
        <v>46150</v>
      </c>
      <c r="C10" s="69" t="s">
        <v>62</v>
      </c>
      <c r="D10" s="36">
        <v>0.33333333333333331</v>
      </c>
      <c r="E10" s="19">
        <v>0.86597222222222225</v>
      </c>
      <c r="F10" s="68">
        <v>4.1666666666666664E-2</v>
      </c>
      <c r="G10" s="42">
        <f t="shared" si="0"/>
        <v>0.4909722222222222</v>
      </c>
      <c r="H10" s="19">
        <v>0.33333333333333331</v>
      </c>
      <c r="I10" s="37">
        <v>4</v>
      </c>
      <c r="J10" s="15" t="s">
        <v>2</v>
      </c>
    </row>
    <row r="11" spans="1:11" ht="15.75">
      <c r="A11" s="4">
        <v>4</v>
      </c>
      <c r="B11" s="5">
        <v>46158</v>
      </c>
      <c r="C11" s="79" t="s">
        <v>63</v>
      </c>
      <c r="D11" s="6"/>
      <c r="E11" s="6"/>
      <c r="F11" s="6"/>
      <c r="G11" s="42"/>
      <c r="H11" s="6"/>
      <c r="I11" s="51"/>
      <c r="J11" s="15" t="s">
        <v>2</v>
      </c>
    </row>
    <row r="12" spans="1:11" ht="15.75">
      <c r="A12" s="4">
        <v>5</v>
      </c>
      <c r="B12" s="5">
        <v>46160</v>
      </c>
      <c r="C12" s="80" t="s">
        <v>64</v>
      </c>
      <c r="D12" s="6"/>
      <c r="E12" s="6"/>
      <c r="F12" s="6"/>
      <c r="G12" s="42"/>
      <c r="H12" s="6"/>
      <c r="I12" s="52"/>
      <c r="J12" s="15" t="s">
        <v>2</v>
      </c>
      <c r="K12" s="22"/>
    </row>
    <row r="13" spans="1:11" ht="15.75" customHeight="1">
      <c r="A13" s="4">
        <v>6</v>
      </c>
      <c r="B13" s="5">
        <v>46162</v>
      </c>
      <c r="C13" s="80" t="s">
        <v>65</v>
      </c>
      <c r="D13" s="6">
        <v>0.33333333333333331</v>
      </c>
      <c r="E13" s="6">
        <v>0.86805555555555558</v>
      </c>
      <c r="F13" s="6">
        <v>4.1666666666666664E-2</v>
      </c>
      <c r="G13" s="42">
        <f t="shared" si="0"/>
        <v>0.49305555555555564</v>
      </c>
      <c r="H13" s="6">
        <v>0.375</v>
      </c>
      <c r="I13" s="52">
        <v>3</v>
      </c>
      <c r="J13" s="15" t="s">
        <v>2</v>
      </c>
      <c r="K13" s="22"/>
    </row>
    <row r="14" spans="1:11" ht="15.75" customHeight="1">
      <c r="A14" s="4">
        <v>7</v>
      </c>
      <c r="B14" s="5">
        <v>46169</v>
      </c>
      <c r="C14" s="60" t="s">
        <v>66</v>
      </c>
      <c r="D14" s="6">
        <v>0.33333333333333331</v>
      </c>
      <c r="E14" s="6">
        <v>0.84166666666666667</v>
      </c>
      <c r="F14" s="6">
        <v>4.1666666666666664E-2</v>
      </c>
      <c r="G14" s="42">
        <f t="shared" si="0"/>
        <v>0.46666666666666662</v>
      </c>
      <c r="H14" s="6">
        <v>0.375</v>
      </c>
      <c r="I14" s="52">
        <v>2</v>
      </c>
      <c r="J14" s="15" t="s">
        <v>2</v>
      </c>
      <c r="K14" s="22"/>
    </row>
    <row r="15" spans="1:11" ht="15.75">
      <c r="A15" s="4"/>
      <c r="B15" s="5"/>
      <c r="C15" s="53"/>
      <c r="D15" s="6"/>
      <c r="E15" s="6"/>
      <c r="F15" s="6"/>
      <c r="G15" s="6"/>
      <c r="H15" s="6"/>
      <c r="I15" s="51"/>
      <c r="J15" s="54"/>
    </row>
    <row r="16" spans="1:11" ht="15.75">
      <c r="G16" s="24"/>
    </row>
    <row r="18" spans="1:10">
      <c r="B18" s="86" t="s">
        <v>31</v>
      </c>
      <c r="C18" s="86"/>
      <c r="D18" s="88" t="s">
        <v>17</v>
      </c>
      <c r="E18" s="88"/>
    </row>
    <row r="19" spans="1:10">
      <c r="B19" s="86" t="s">
        <v>33</v>
      </c>
      <c r="C19" s="86"/>
      <c r="D19" s="89" t="s">
        <v>32</v>
      </c>
      <c r="E19" s="89"/>
    </row>
    <row r="20" spans="1:10" ht="15.75">
      <c r="A20" s="22"/>
      <c r="B20" s="86" t="s">
        <v>34</v>
      </c>
      <c r="C20" s="86"/>
      <c r="D20" s="122">
        <f ca="1">TODAY()</f>
        <v>46210</v>
      </c>
      <c r="E20" s="89"/>
      <c r="F20" s="24"/>
      <c r="G20" s="24"/>
      <c r="H20" s="24"/>
      <c r="I20" s="27"/>
      <c r="J20" s="22"/>
    </row>
    <row r="21" spans="1:10" ht="15.75">
      <c r="A21" s="22"/>
      <c r="F21" s="24"/>
      <c r="G21" s="87" t="s">
        <v>57</v>
      </c>
      <c r="H21" s="87"/>
      <c r="I21" s="12">
        <v>15</v>
      </c>
      <c r="J21" s="22"/>
    </row>
    <row r="22" spans="1:10" ht="15.75">
      <c r="A22" s="22"/>
      <c r="B22" s="23"/>
      <c r="C22" s="48"/>
      <c r="D22" s="24"/>
      <c r="E22" s="24"/>
      <c r="F22" s="24"/>
      <c r="J22" s="22"/>
    </row>
    <row r="23" spans="1:10" ht="15.75">
      <c r="A23" s="22"/>
      <c r="B23" s="23"/>
      <c r="C23" s="48"/>
      <c r="D23" s="24"/>
      <c r="E23" s="24"/>
      <c r="F23" s="24"/>
      <c r="G23" s="24"/>
      <c r="H23" s="24"/>
      <c r="I23" s="27"/>
      <c r="J23" s="22"/>
    </row>
    <row r="24" spans="1:10" ht="15.75">
      <c r="A24" s="22"/>
      <c r="B24" s="23"/>
      <c r="C24" s="48"/>
      <c r="D24" s="24"/>
      <c r="E24" s="24"/>
      <c r="F24" s="24"/>
      <c r="G24" s="24"/>
      <c r="H24" s="24"/>
      <c r="I24" s="27"/>
      <c r="J24" s="22"/>
    </row>
    <row r="25" spans="1:10" ht="20.100000000000001" customHeight="1">
      <c r="A25" s="22"/>
      <c r="B25" s="23"/>
      <c r="C25" s="48"/>
      <c r="D25" s="24"/>
      <c r="E25" s="24"/>
      <c r="F25" s="24"/>
      <c r="G25" s="24"/>
      <c r="H25" s="24"/>
      <c r="I25" s="26"/>
      <c r="J25" s="22"/>
    </row>
    <row r="26" spans="1:10" ht="20.100000000000001" customHeight="1"/>
    <row r="27" spans="1:10" ht="20.100000000000001" customHeight="1">
      <c r="G27" s="125"/>
      <c r="H27" s="125"/>
      <c r="I27" s="25"/>
    </row>
    <row r="29" spans="1:10">
      <c r="A29" s="86"/>
      <c r="B29" s="86"/>
      <c r="C29" s="126"/>
      <c r="D29" s="126"/>
    </row>
    <row r="30" spans="1:10">
      <c r="A30" s="86"/>
      <c r="B30" s="86"/>
      <c r="C30" s="126"/>
      <c r="D30" s="126"/>
    </row>
    <row r="31" spans="1:10" ht="31.5" customHeight="1">
      <c r="A31" s="86"/>
      <c r="B31" s="86"/>
      <c r="C31" s="86"/>
      <c r="D31" s="49"/>
    </row>
  </sheetData>
  <mergeCells count="22">
    <mergeCell ref="G21:H21"/>
    <mergeCell ref="D5:E5"/>
    <mergeCell ref="B20:C20"/>
    <mergeCell ref="D20:E20"/>
    <mergeCell ref="B18:C18"/>
    <mergeCell ref="D18:E18"/>
    <mergeCell ref="B19:C19"/>
    <mergeCell ref="H6:I6"/>
    <mergeCell ref="D19:E19"/>
    <mergeCell ref="A31:C31"/>
    <mergeCell ref="G27:H27"/>
    <mergeCell ref="A29:B29"/>
    <mergeCell ref="C29:D29"/>
    <mergeCell ref="A30:B30"/>
    <mergeCell ref="C30:D30"/>
    <mergeCell ref="A2:J4"/>
    <mergeCell ref="D6:E6"/>
    <mergeCell ref="A5:B5"/>
    <mergeCell ref="A6:B6"/>
    <mergeCell ref="F5:G5"/>
    <mergeCell ref="F6:G6"/>
    <mergeCell ref="H5:I5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32"/>
  <sheetViews>
    <sheetView showGridLines="0" showRuler="0" showWhiteSpace="0" topLeftCell="B6" zoomScaleNormal="100" workbookViewId="0">
      <selection activeCell="J11" sqref="J11"/>
    </sheetView>
  </sheetViews>
  <sheetFormatPr defaultColWidth="11.42578125" defaultRowHeight="1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/>
    <row r="2" spans="1:14" ht="24" customHeight="1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4" ht="17.25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4" ht="15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4" ht="17.100000000000001" customHeight="1">
      <c r="A5" s="90" t="s">
        <v>36</v>
      </c>
      <c r="B5" s="90"/>
      <c r="C5" s="142" t="s">
        <v>22</v>
      </c>
      <c r="D5" s="141"/>
      <c r="E5" s="91" t="s">
        <v>38</v>
      </c>
      <c r="F5" s="92"/>
      <c r="G5" s="98">
        <v>1051831886</v>
      </c>
      <c r="H5" s="99"/>
      <c r="I5" s="91" t="s">
        <v>3</v>
      </c>
      <c r="J5" s="92"/>
      <c r="K5" s="99" t="s">
        <v>59</v>
      </c>
      <c r="L5" s="143"/>
      <c r="N5" s="10" t="s">
        <v>48</v>
      </c>
    </row>
    <row r="6" spans="1:14" ht="17.100000000000001" customHeight="1">
      <c r="A6" s="90" t="s">
        <v>40</v>
      </c>
      <c r="B6" s="90"/>
      <c r="C6" s="95" t="s">
        <v>61</v>
      </c>
      <c r="D6" s="96"/>
      <c r="E6" s="91" t="s">
        <v>42</v>
      </c>
      <c r="F6" s="92"/>
      <c r="G6" s="93">
        <v>46143</v>
      </c>
      <c r="H6" s="94"/>
      <c r="I6" s="95" t="s">
        <v>61</v>
      </c>
      <c r="J6" s="96"/>
      <c r="K6" s="93">
        <v>46172</v>
      </c>
      <c r="L6" s="141"/>
    </row>
    <row r="7" spans="1:14" ht="48" customHeight="1">
      <c r="A7" s="2" t="s">
        <v>10</v>
      </c>
      <c r="B7" s="2" t="s">
        <v>44</v>
      </c>
      <c r="C7" s="138" t="s">
        <v>45</v>
      </c>
      <c r="D7" s="138"/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139" t="s">
        <v>52</v>
      </c>
      <c r="L7" s="139"/>
    </row>
    <row r="8" spans="1:14" ht="15.75" customHeight="1">
      <c r="A8" s="4">
        <v>1</v>
      </c>
      <c r="B8" s="5">
        <v>46148</v>
      </c>
      <c r="C8" s="140" t="s">
        <v>62</v>
      </c>
      <c r="D8" s="140"/>
      <c r="E8" s="6">
        <v>0.33333333333333298</v>
      </c>
      <c r="F8" s="6">
        <v>0.86944444444444446</v>
      </c>
      <c r="G8" s="6">
        <v>4.1666666666666664E-2</v>
      </c>
      <c r="H8" s="6">
        <f t="shared" ref="H8:H11" si="0">(F8-E8-G8)</f>
        <v>0.49444444444444474</v>
      </c>
      <c r="I8" s="42">
        <v>0.375</v>
      </c>
      <c r="J8" s="15">
        <v>3</v>
      </c>
      <c r="K8" s="101" t="s">
        <v>67</v>
      </c>
      <c r="L8" s="108"/>
    </row>
    <row r="9" spans="1:14" ht="15.75" customHeight="1">
      <c r="A9" s="50">
        <v>2</v>
      </c>
      <c r="B9" s="29">
        <v>46149</v>
      </c>
      <c r="C9" s="137" t="s">
        <v>62</v>
      </c>
      <c r="D9" s="136"/>
      <c r="E9" s="6">
        <v>0.33333333333333331</v>
      </c>
      <c r="F9" s="28">
        <v>0.875</v>
      </c>
      <c r="G9" s="6">
        <v>4.1666666666666664E-2</v>
      </c>
      <c r="H9" s="6">
        <f t="shared" si="0"/>
        <v>0.50000000000000011</v>
      </c>
      <c r="I9" s="36">
        <v>0.375</v>
      </c>
      <c r="J9" s="37">
        <v>3</v>
      </c>
      <c r="K9" s="101" t="s">
        <v>67</v>
      </c>
      <c r="L9" s="108"/>
    </row>
    <row r="10" spans="1:14" ht="15.75" customHeight="1">
      <c r="A10" s="67">
        <v>3</v>
      </c>
      <c r="B10" s="30">
        <v>46150</v>
      </c>
      <c r="C10" s="135" t="s">
        <v>62</v>
      </c>
      <c r="D10" s="136"/>
      <c r="E10" s="36">
        <v>0.33333333333333331</v>
      </c>
      <c r="F10" s="19">
        <v>0.86597222222222225</v>
      </c>
      <c r="G10" s="68">
        <v>4.1666666666666664E-2</v>
      </c>
      <c r="H10" s="42">
        <f t="shared" si="0"/>
        <v>0.4909722222222222</v>
      </c>
      <c r="I10" s="19">
        <v>0.33333333333333331</v>
      </c>
      <c r="J10" s="37">
        <v>4</v>
      </c>
      <c r="K10" s="101" t="s">
        <v>67</v>
      </c>
      <c r="L10" s="108"/>
    </row>
    <row r="11" spans="1:14" ht="15.75" customHeight="1">
      <c r="A11" s="50">
        <v>4</v>
      </c>
      <c r="B11" s="23">
        <v>46153</v>
      </c>
      <c r="C11" s="137" t="s">
        <v>62</v>
      </c>
      <c r="D11" s="136"/>
      <c r="E11" s="28">
        <v>0.33333333333333331</v>
      </c>
      <c r="F11" s="24">
        <v>0.78194444444444444</v>
      </c>
      <c r="G11" s="28">
        <v>4.1666666666666664E-2</v>
      </c>
      <c r="H11" s="6">
        <f t="shared" si="0"/>
        <v>0.40694444444444444</v>
      </c>
      <c r="I11" s="24">
        <v>0.375</v>
      </c>
      <c r="J11" s="37">
        <v>1</v>
      </c>
      <c r="K11" s="101" t="s">
        <v>67</v>
      </c>
      <c r="L11" s="108"/>
    </row>
    <row r="12" spans="1:14" ht="15.75" customHeight="1">
      <c r="A12" s="50">
        <v>5</v>
      </c>
      <c r="B12" s="30">
        <v>46151</v>
      </c>
      <c r="C12" s="131" t="s">
        <v>63</v>
      </c>
      <c r="D12" s="132"/>
      <c r="E12" s="19"/>
      <c r="F12" s="19"/>
      <c r="G12" s="19"/>
      <c r="H12" s="19"/>
      <c r="I12" s="19"/>
      <c r="J12" s="15"/>
      <c r="K12" s="133"/>
      <c r="L12" s="134"/>
    </row>
    <row r="13" spans="1:14" ht="15.75" customHeight="1">
      <c r="A13" s="47">
        <v>6</v>
      </c>
      <c r="B13" s="30">
        <v>46172</v>
      </c>
      <c r="C13" s="131" t="s">
        <v>63</v>
      </c>
      <c r="D13" s="132"/>
      <c r="E13" s="19"/>
      <c r="F13" s="19"/>
      <c r="G13" s="19"/>
      <c r="H13" s="19"/>
      <c r="I13" s="19"/>
      <c r="J13" s="15"/>
      <c r="K13" s="133"/>
      <c r="L13" s="134"/>
    </row>
    <row r="15" spans="1:14">
      <c r="H15" s="87" t="s">
        <v>57</v>
      </c>
      <c r="I15" s="87"/>
      <c r="J15" s="12">
        <f>SUM(J8:J14)</f>
        <v>11</v>
      </c>
    </row>
    <row r="17" spans="1:12">
      <c r="A17" s="86" t="s">
        <v>31</v>
      </c>
      <c r="B17" s="86"/>
      <c r="C17" s="88" t="s">
        <v>22</v>
      </c>
      <c r="D17" s="88"/>
      <c r="E17" s="88"/>
    </row>
    <row r="18" spans="1:12">
      <c r="A18" s="86" t="s">
        <v>33</v>
      </c>
      <c r="B18" s="86"/>
      <c r="C18" s="89" t="s">
        <v>32</v>
      </c>
      <c r="D18" s="89"/>
      <c r="E18" s="89"/>
    </row>
    <row r="19" spans="1:12">
      <c r="A19" s="86" t="s">
        <v>34</v>
      </c>
      <c r="B19" s="86"/>
      <c r="C19" s="86"/>
      <c r="D19" s="122">
        <f ca="1">TODAY()</f>
        <v>46210</v>
      </c>
      <c r="E19" s="89"/>
    </row>
    <row r="20" spans="1:12" ht="31.5" customHeight="1"/>
    <row r="21" spans="1:12" ht="30" customHeight="1">
      <c r="A21" s="22"/>
      <c r="B21" s="23"/>
      <c r="C21" s="129"/>
      <c r="D21" s="129"/>
      <c r="E21" s="24"/>
      <c r="F21" s="24"/>
      <c r="G21" s="24"/>
      <c r="H21" s="24"/>
      <c r="I21" s="24"/>
      <c r="J21" s="27"/>
      <c r="K21" s="124"/>
      <c r="L21" s="124"/>
    </row>
    <row r="22" spans="1:12" ht="30.75" customHeight="1">
      <c r="A22" s="22"/>
      <c r="B22" s="23"/>
      <c r="C22" s="129"/>
      <c r="D22" s="129"/>
      <c r="E22" s="24"/>
      <c r="F22" s="24"/>
      <c r="G22" s="24"/>
      <c r="H22" s="24"/>
      <c r="I22" s="24"/>
      <c r="J22" s="27"/>
      <c r="K22" s="124"/>
      <c r="L22" s="124"/>
    </row>
    <row r="23" spans="1:12" ht="15.75">
      <c r="A23" s="22"/>
      <c r="B23" s="23"/>
      <c r="C23" s="129"/>
      <c r="D23" s="129"/>
      <c r="E23" s="24"/>
      <c r="F23" s="24"/>
      <c r="G23" s="24"/>
      <c r="H23" s="24"/>
      <c r="I23" s="24"/>
      <c r="J23" s="27"/>
      <c r="K23" s="124"/>
      <c r="L23" s="124"/>
    </row>
    <row r="24" spans="1:12" ht="15.75">
      <c r="A24" s="22"/>
      <c r="B24" s="23"/>
      <c r="C24" s="129"/>
      <c r="D24" s="129"/>
      <c r="E24" s="24"/>
      <c r="F24" s="24"/>
      <c r="G24" s="24"/>
      <c r="H24" s="24"/>
      <c r="I24" s="24"/>
      <c r="J24" s="27"/>
      <c r="K24" s="124"/>
      <c r="L24" s="124"/>
    </row>
    <row r="25" spans="1:12" ht="15.75">
      <c r="A25" s="22"/>
      <c r="B25" s="23"/>
      <c r="C25" s="129"/>
      <c r="D25" s="129"/>
      <c r="E25" s="24"/>
      <c r="F25" s="24"/>
      <c r="G25" s="24"/>
      <c r="H25" s="24"/>
      <c r="I25" s="24"/>
      <c r="J25" s="27"/>
      <c r="K25" s="124"/>
      <c r="L25" s="124"/>
    </row>
    <row r="26" spans="1:12" ht="15.75">
      <c r="A26" s="22"/>
      <c r="B26" s="23"/>
      <c r="C26" s="129"/>
      <c r="D26" s="129"/>
      <c r="E26" s="24"/>
      <c r="F26" s="24"/>
      <c r="G26" s="24"/>
      <c r="H26" s="24"/>
      <c r="I26" s="24"/>
      <c r="J26" s="26"/>
      <c r="K26" s="124"/>
      <c r="L26" s="124"/>
    </row>
    <row r="28" spans="1:12">
      <c r="H28" s="125"/>
      <c r="I28" s="125"/>
      <c r="J28" s="25"/>
    </row>
    <row r="30" spans="1:12" ht="20.100000000000001" customHeight="1">
      <c r="A30" s="86"/>
      <c r="B30" s="86"/>
      <c r="C30" s="126"/>
      <c r="D30" s="126"/>
      <c r="E30" s="126"/>
    </row>
    <row r="31" spans="1:12" ht="20.100000000000001" customHeight="1">
      <c r="A31" s="86"/>
      <c r="B31" s="86"/>
      <c r="C31" s="126"/>
      <c r="D31" s="126"/>
      <c r="E31" s="126"/>
    </row>
    <row r="32" spans="1:12" ht="20.100000000000001" customHeight="1">
      <c r="A32" s="86"/>
      <c r="B32" s="86"/>
      <c r="C32" s="86"/>
      <c r="D32" s="130"/>
      <c r="E32" s="130"/>
    </row>
  </sheetData>
  <mergeCells count="53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K8:L8"/>
    <mergeCell ref="C8:D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H15:I15"/>
    <mergeCell ref="A17:B17"/>
    <mergeCell ref="C17:E17"/>
    <mergeCell ref="A18:B18"/>
    <mergeCell ref="C18:E18"/>
    <mergeCell ref="A19:C19"/>
    <mergeCell ref="D19:E19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A32:C32"/>
    <mergeCell ref="D32:E32"/>
    <mergeCell ref="C26:D26"/>
    <mergeCell ref="K26:L26"/>
    <mergeCell ref="H28:I28"/>
    <mergeCell ref="A30:B30"/>
    <mergeCell ref="C30:E30"/>
    <mergeCell ref="A31:B31"/>
    <mergeCell ref="C31:E31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CC4B-B544-4B59-8153-09CCC58DF9F1}">
  <dimension ref="A2:K16"/>
  <sheetViews>
    <sheetView workbookViewId="0">
      <selection activeCell="I8" sqref="I8:I10"/>
    </sheetView>
  </sheetViews>
  <sheetFormatPr defaultColWidth="11.42578125" defaultRowHeight="15"/>
  <cols>
    <col min="1" max="1" width="11.42578125" style="1"/>
    <col min="2" max="2" width="11.85546875" style="1" bestFit="1" customWidth="1"/>
    <col min="3" max="3" width="51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5.75">
      <c r="A5" s="90" t="s">
        <v>36</v>
      </c>
      <c r="B5" s="90"/>
      <c r="C5" s="45" t="s">
        <v>68</v>
      </c>
      <c r="D5" s="91" t="s">
        <v>38</v>
      </c>
      <c r="E5" s="92"/>
      <c r="F5" s="98"/>
      <c r="G5" s="99"/>
      <c r="H5" s="91" t="s">
        <v>3</v>
      </c>
      <c r="I5" s="92"/>
      <c r="J5" s="99" t="s">
        <v>69</v>
      </c>
      <c r="K5" s="143"/>
    </row>
    <row r="6" spans="1:11" ht="15.75">
      <c r="A6" s="90" t="s">
        <v>40</v>
      </c>
      <c r="B6" s="90"/>
      <c r="C6" s="44" t="s">
        <v>70</v>
      </c>
      <c r="D6" s="91" t="s">
        <v>42</v>
      </c>
      <c r="E6" s="92"/>
      <c r="F6" s="93">
        <v>46143</v>
      </c>
      <c r="G6" s="94"/>
      <c r="H6" s="95" t="s">
        <v>71</v>
      </c>
      <c r="I6" s="96"/>
      <c r="J6" s="93">
        <v>46173</v>
      </c>
      <c r="K6" s="141"/>
    </row>
    <row r="7" spans="1:11" ht="31.5">
      <c r="A7" s="2" t="s">
        <v>10</v>
      </c>
      <c r="B7" s="2" t="s">
        <v>44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14" t="s">
        <v>51</v>
      </c>
      <c r="J7" s="139" t="s">
        <v>52</v>
      </c>
      <c r="K7" s="139"/>
    </row>
    <row r="8" spans="1:11" ht="15.75">
      <c r="A8" s="58">
        <v>1</v>
      </c>
      <c r="B8" s="59">
        <v>46148</v>
      </c>
      <c r="C8" s="57" t="s">
        <v>72</v>
      </c>
      <c r="D8" s="31">
        <v>0.33333333333333331</v>
      </c>
      <c r="E8" s="31">
        <v>0.86944444444444446</v>
      </c>
      <c r="F8" s="31">
        <v>4.1666666666666664E-2</v>
      </c>
      <c r="G8" s="32">
        <v>0.49444444444444446</v>
      </c>
      <c r="H8" s="33">
        <v>0.375</v>
      </c>
      <c r="I8" s="34">
        <v>3</v>
      </c>
      <c r="J8" s="144" t="s">
        <v>73</v>
      </c>
      <c r="K8" s="145"/>
    </row>
    <row r="9" spans="1:11" ht="15.75">
      <c r="A9" s="58">
        <v>2</v>
      </c>
      <c r="B9" s="59">
        <v>46149</v>
      </c>
      <c r="C9" s="57" t="s">
        <v>72</v>
      </c>
      <c r="D9" s="31">
        <v>0.33333333333333331</v>
      </c>
      <c r="E9" s="31">
        <v>0.87569444444444444</v>
      </c>
      <c r="F9" s="31">
        <v>4.1666666666666664E-2</v>
      </c>
      <c r="G9" s="32">
        <v>0.50069444444444444</v>
      </c>
      <c r="H9" s="33">
        <v>0.375</v>
      </c>
      <c r="I9" s="34">
        <v>3</v>
      </c>
      <c r="J9" s="144" t="s">
        <v>73</v>
      </c>
      <c r="K9" s="145"/>
    </row>
    <row r="10" spans="1:11" ht="15.75">
      <c r="A10" s="58">
        <v>3</v>
      </c>
      <c r="B10" s="5">
        <v>46150</v>
      </c>
      <c r="C10" s="57" t="s">
        <v>72</v>
      </c>
      <c r="D10" s="6">
        <v>0.33333333333333331</v>
      </c>
      <c r="E10" s="6">
        <v>0.85763888888888884</v>
      </c>
      <c r="F10" s="6">
        <v>4.1666666666666664E-2</v>
      </c>
      <c r="G10" s="6">
        <v>0.5</v>
      </c>
      <c r="H10" s="33">
        <v>0.33333333333333331</v>
      </c>
      <c r="I10" s="35">
        <v>4</v>
      </c>
      <c r="J10" s="144" t="s">
        <v>73</v>
      </c>
      <c r="K10" s="145"/>
    </row>
    <row r="12" spans="1:11">
      <c r="G12" s="87" t="s">
        <v>57</v>
      </c>
      <c r="H12" s="87"/>
      <c r="I12" s="12">
        <f>SUM(I8:I11)</f>
        <v>10</v>
      </c>
      <c r="J12" s="16"/>
    </row>
    <row r="14" spans="1:11">
      <c r="A14" s="86" t="s">
        <v>31</v>
      </c>
      <c r="B14" s="86"/>
      <c r="C14" s="88" t="s">
        <v>27</v>
      </c>
      <c r="D14" s="88"/>
    </row>
    <row r="15" spans="1:11">
      <c r="A15" s="86" t="s">
        <v>33</v>
      </c>
      <c r="B15" s="86"/>
      <c r="C15" s="89" t="s">
        <v>32</v>
      </c>
      <c r="D15" s="89"/>
    </row>
    <row r="16" spans="1:11">
      <c r="A16" s="86" t="s">
        <v>74</v>
      </c>
      <c r="B16" s="86"/>
      <c r="C16" s="86"/>
      <c r="D16" s="41"/>
    </row>
  </sheetData>
  <mergeCells count="21">
    <mergeCell ref="A16:C16"/>
    <mergeCell ref="J10:K10"/>
    <mergeCell ref="J7:K7"/>
    <mergeCell ref="J8:K8"/>
    <mergeCell ref="J9:K9"/>
    <mergeCell ref="G12:H12"/>
    <mergeCell ref="A14:B14"/>
    <mergeCell ref="C14:D14"/>
    <mergeCell ref="A15:B15"/>
    <mergeCell ref="C15:D15"/>
    <mergeCell ref="A6:B6"/>
    <mergeCell ref="D6:E6"/>
    <mergeCell ref="F6:G6"/>
    <mergeCell ref="H6:I6"/>
    <mergeCell ref="J6:K6"/>
    <mergeCell ref="A2:K4"/>
    <mergeCell ref="A5:B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D005-D8BF-4910-B9A3-27A1B591318E}">
  <dimension ref="A2:K16"/>
  <sheetViews>
    <sheetView workbookViewId="0">
      <selection activeCell="H16" sqref="H16"/>
    </sheetView>
  </sheetViews>
  <sheetFormatPr defaultColWidth="11.42578125" defaultRowHeight="15"/>
  <cols>
    <col min="1" max="1" width="11.42578125" style="1"/>
    <col min="2" max="2" width="11.85546875" style="1" bestFit="1" customWidth="1"/>
    <col min="3" max="3" width="54.4257812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5.75">
      <c r="A5" s="90" t="s">
        <v>36</v>
      </c>
      <c r="B5" s="90"/>
      <c r="C5" s="45"/>
      <c r="D5" s="91" t="s">
        <v>38</v>
      </c>
      <c r="E5" s="92"/>
      <c r="F5" s="98"/>
      <c r="G5" s="99"/>
      <c r="H5" s="91" t="s">
        <v>3</v>
      </c>
      <c r="I5" s="92"/>
      <c r="J5" s="99" t="s">
        <v>75</v>
      </c>
      <c r="K5" s="143"/>
    </row>
    <row r="6" spans="1:11" ht="15.75">
      <c r="A6" s="90" t="s">
        <v>40</v>
      </c>
      <c r="B6" s="90"/>
      <c r="C6" s="44" t="s">
        <v>60</v>
      </c>
      <c r="D6" s="91" t="s">
        <v>42</v>
      </c>
      <c r="E6" s="92"/>
      <c r="F6" s="93">
        <v>46082</v>
      </c>
      <c r="G6" s="94"/>
      <c r="H6" s="95" t="s">
        <v>76</v>
      </c>
      <c r="I6" s="96"/>
      <c r="J6" s="93">
        <v>46112</v>
      </c>
      <c r="K6" s="141"/>
    </row>
    <row r="7" spans="1:11" ht="31.5">
      <c r="A7" s="2" t="s">
        <v>10</v>
      </c>
      <c r="B7" s="2" t="s">
        <v>44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14" t="s">
        <v>51</v>
      </c>
      <c r="J7" s="139" t="s">
        <v>52</v>
      </c>
      <c r="K7" s="139"/>
    </row>
    <row r="8" spans="1:11" ht="15.75">
      <c r="A8" s="58">
        <v>1</v>
      </c>
      <c r="B8" s="59">
        <v>46148</v>
      </c>
      <c r="C8" s="57" t="s">
        <v>72</v>
      </c>
      <c r="D8" s="31">
        <v>0.33333333333333331</v>
      </c>
      <c r="E8" s="31">
        <v>0.86944444444444446</v>
      </c>
      <c r="F8" s="31">
        <v>4.1666666666666664E-2</v>
      </c>
      <c r="G8" s="32">
        <v>0.49444444444444446</v>
      </c>
      <c r="H8" s="33">
        <v>0.375</v>
      </c>
      <c r="I8" s="34">
        <v>3</v>
      </c>
      <c r="J8" s="144" t="s">
        <v>73</v>
      </c>
      <c r="K8" s="145"/>
    </row>
    <row r="9" spans="1:11" ht="15.75">
      <c r="A9" s="58">
        <v>2</v>
      </c>
      <c r="B9" s="59">
        <v>46149</v>
      </c>
      <c r="C9" s="57" t="s">
        <v>72</v>
      </c>
      <c r="D9" s="31">
        <v>0.33333333333333331</v>
      </c>
      <c r="E9" s="31">
        <v>0.87569444444444444</v>
      </c>
      <c r="F9" s="31">
        <v>4.1666666666666664E-2</v>
      </c>
      <c r="G9" s="32">
        <v>0.50069444444444444</v>
      </c>
      <c r="H9" s="33">
        <v>0.375</v>
      </c>
      <c r="I9" s="34">
        <v>3</v>
      </c>
      <c r="J9" s="144" t="s">
        <v>73</v>
      </c>
      <c r="K9" s="145"/>
    </row>
    <row r="10" spans="1:11" ht="15.75">
      <c r="A10" s="58">
        <v>3</v>
      </c>
      <c r="B10" s="5">
        <v>46150</v>
      </c>
      <c r="C10" s="57" t="s">
        <v>72</v>
      </c>
      <c r="D10" s="6">
        <v>0.33333333333333331</v>
      </c>
      <c r="E10" s="6">
        <v>0.85763888888888884</v>
      </c>
      <c r="F10" s="6">
        <v>4.1666666666666664E-2</v>
      </c>
      <c r="G10" s="6">
        <v>0.5</v>
      </c>
      <c r="H10" s="33">
        <v>0.33333333333333331</v>
      </c>
      <c r="I10" s="35">
        <v>4</v>
      </c>
      <c r="J10" s="144" t="s">
        <v>73</v>
      </c>
      <c r="K10" s="145"/>
    </row>
    <row r="12" spans="1:11">
      <c r="G12" s="87" t="s">
        <v>57</v>
      </c>
      <c r="H12" s="87"/>
      <c r="I12" s="12">
        <f>SUM(I8:I11)</f>
        <v>10</v>
      </c>
      <c r="J12" s="16"/>
    </row>
    <row r="14" spans="1:11">
      <c r="A14" s="86" t="s">
        <v>31</v>
      </c>
      <c r="B14" s="86"/>
      <c r="C14" s="88" t="s">
        <v>25</v>
      </c>
      <c r="D14" s="88"/>
    </row>
    <row r="15" spans="1:11">
      <c r="A15" s="86" t="s">
        <v>33</v>
      </c>
      <c r="B15" s="86"/>
      <c r="C15" s="89" t="s">
        <v>32</v>
      </c>
      <c r="D15" s="89"/>
    </row>
    <row r="16" spans="1:11">
      <c r="A16" s="86" t="s">
        <v>77</v>
      </c>
      <c r="B16" s="86"/>
      <c r="C16" s="86"/>
      <c r="D16" s="41"/>
    </row>
  </sheetData>
  <mergeCells count="21">
    <mergeCell ref="A16:C16"/>
    <mergeCell ref="J10:K10"/>
    <mergeCell ref="J7:K7"/>
    <mergeCell ref="J8:K8"/>
    <mergeCell ref="J9:K9"/>
    <mergeCell ref="G12:H12"/>
    <mergeCell ref="A14:B14"/>
    <mergeCell ref="C14:D14"/>
    <mergeCell ref="A15:B15"/>
    <mergeCell ref="C15:D15"/>
    <mergeCell ref="A6:B6"/>
    <mergeCell ref="D6:E6"/>
    <mergeCell ref="F6:G6"/>
    <mergeCell ref="H6:I6"/>
    <mergeCell ref="J6:K6"/>
    <mergeCell ref="A2:K4"/>
    <mergeCell ref="A5:B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0AE5-74CA-4070-90CA-72DB9C985263}">
  <dimension ref="A2:K15"/>
  <sheetViews>
    <sheetView workbookViewId="0">
      <selection activeCell="I8" sqref="I8:I9"/>
    </sheetView>
  </sheetViews>
  <sheetFormatPr defaultColWidth="11.42578125" defaultRowHeight="15"/>
  <cols>
    <col min="1" max="1" width="11.42578125" style="1"/>
    <col min="2" max="2" width="11.85546875" style="1" bestFit="1" customWidth="1"/>
    <col min="3" max="3" width="49.8554687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5.75">
      <c r="A5" s="90" t="s">
        <v>36</v>
      </c>
      <c r="B5" s="90"/>
      <c r="C5" s="45" t="s">
        <v>78</v>
      </c>
      <c r="D5" s="91" t="s">
        <v>38</v>
      </c>
      <c r="E5" s="92"/>
      <c r="F5" s="98">
        <v>1069472210</v>
      </c>
      <c r="G5" s="99"/>
      <c r="H5" s="91" t="s">
        <v>3</v>
      </c>
      <c r="I5" s="92"/>
      <c r="J5" s="99" t="s">
        <v>79</v>
      </c>
      <c r="K5" s="143"/>
    </row>
    <row r="6" spans="1:11" ht="15.75">
      <c r="A6" s="90" t="s">
        <v>40</v>
      </c>
      <c r="B6" s="90"/>
      <c r="C6" s="44" t="s">
        <v>61</v>
      </c>
      <c r="D6" s="91" t="s">
        <v>42</v>
      </c>
      <c r="E6" s="92"/>
      <c r="F6" s="93">
        <v>46143</v>
      </c>
      <c r="G6" s="94"/>
      <c r="H6" s="95" t="s">
        <v>76</v>
      </c>
      <c r="I6" s="96"/>
      <c r="J6" s="93">
        <v>46173</v>
      </c>
      <c r="K6" s="141"/>
    </row>
    <row r="7" spans="1:11" ht="31.5">
      <c r="A7" s="2" t="s">
        <v>10</v>
      </c>
      <c r="B7" s="2" t="s">
        <v>44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14" t="s">
        <v>51</v>
      </c>
      <c r="J7" s="139" t="s">
        <v>52</v>
      </c>
      <c r="K7" s="139"/>
    </row>
    <row r="8" spans="1:11" ht="15.75">
      <c r="A8" s="58">
        <v>1</v>
      </c>
      <c r="B8" s="59">
        <v>46149</v>
      </c>
      <c r="C8" s="57" t="s">
        <v>72</v>
      </c>
      <c r="D8" s="31">
        <v>0.33333333333333331</v>
      </c>
      <c r="E8" s="31">
        <v>0.87569444444444444</v>
      </c>
      <c r="F8" s="31">
        <v>4.1666666666666664E-2</v>
      </c>
      <c r="G8" s="32">
        <v>0.50069444444444444</v>
      </c>
      <c r="H8" s="33">
        <v>0.375</v>
      </c>
      <c r="I8" s="34">
        <v>3</v>
      </c>
      <c r="J8" s="144" t="s">
        <v>73</v>
      </c>
      <c r="K8" s="145"/>
    </row>
    <row r="9" spans="1:11" ht="15.75" customHeight="1">
      <c r="A9" s="58">
        <v>2</v>
      </c>
      <c r="B9" s="5">
        <v>46150</v>
      </c>
      <c r="C9" s="57" t="s">
        <v>72</v>
      </c>
      <c r="D9" s="6">
        <v>0.33333333333333331</v>
      </c>
      <c r="E9" s="6">
        <v>0.85763888888888884</v>
      </c>
      <c r="F9" s="6">
        <v>4.1666666666666664E-2</v>
      </c>
      <c r="G9" s="6">
        <v>0.5</v>
      </c>
      <c r="H9" s="33">
        <v>0.33333333333333331</v>
      </c>
      <c r="I9" s="35">
        <v>4</v>
      </c>
      <c r="J9" s="144" t="s">
        <v>73</v>
      </c>
      <c r="K9" s="145"/>
    </row>
    <row r="11" spans="1:11">
      <c r="G11" s="87" t="s">
        <v>57</v>
      </c>
      <c r="H11" s="87"/>
      <c r="I11" s="12">
        <f>SUM(I8:I10)</f>
        <v>7</v>
      </c>
      <c r="J11" s="16"/>
    </row>
    <row r="13" spans="1:11">
      <c r="A13" s="86" t="s">
        <v>31</v>
      </c>
      <c r="B13" s="86"/>
      <c r="C13" s="88" t="s">
        <v>78</v>
      </c>
      <c r="D13" s="88"/>
    </row>
    <row r="14" spans="1:11">
      <c r="A14" s="86" t="s">
        <v>33</v>
      </c>
      <c r="B14" s="86"/>
      <c r="C14" s="89" t="s">
        <v>32</v>
      </c>
      <c r="D14" s="89"/>
    </row>
    <row r="15" spans="1:11">
      <c r="A15" s="86" t="s">
        <v>74</v>
      </c>
      <c r="B15" s="86"/>
      <c r="C15" s="86"/>
      <c r="D15" s="41"/>
    </row>
  </sheetData>
  <mergeCells count="20">
    <mergeCell ref="A15:C15"/>
    <mergeCell ref="J9:K9"/>
    <mergeCell ref="J7:K7"/>
    <mergeCell ref="J8:K8"/>
    <mergeCell ref="A6:B6"/>
    <mergeCell ref="D6:E6"/>
    <mergeCell ref="F6:G6"/>
    <mergeCell ref="H6:I6"/>
    <mergeCell ref="J6:K6"/>
    <mergeCell ref="G11:H11"/>
    <mergeCell ref="A13:B13"/>
    <mergeCell ref="C13:D13"/>
    <mergeCell ref="A14:B14"/>
    <mergeCell ref="C14:D14"/>
    <mergeCell ref="A2:K4"/>
    <mergeCell ref="A5:B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J22"/>
  <sheetViews>
    <sheetView topLeftCell="A6" workbookViewId="0">
      <selection activeCell="I13" sqref="I13"/>
    </sheetView>
  </sheetViews>
  <sheetFormatPr defaultColWidth="11.42578125" defaultRowHeight="15"/>
  <cols>
    <col min="1" max="1" width="11.42578125" style="1"/>
    <col min="2" max="2" width="11.85546875" style="1" bestFit="1" customWidth="1"/>
    <col min="3" max="3" width="67.2851562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9" width="11.42578125" style="1"/>
    <col min="10" max="10" width="19.85546875" style="1" customWidth="1"/>
    <col min="11" max="16384" width="11.42578125" style="1"/>
  </cols>
  <sheetData>
    <row r="2" spans="1:10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</row>
    <row r="3" spans="1:10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0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ht="15.75">
      <c r="A5" s="90" t="s">
        <v>36</v>
      </c>
      <c r="B5" s="90"/>
      <c r="C5" s="45" t="s">
        <v>80</v>
      </c>
      <c r="D5" s="91" t="s">
        <v>38</v>
      </c>
      <c r="E5" s="92"/>
      <c r="F5" s="98">
        <v>1002035293</v>
      </c>
      <c r="G5" s="99"/>
      <c r="H5" s="91" t="s">
        <v>3</v>
      </c>
      <c r="I5" s="92"/>
      <c r="J5" s="46" t="s">
        <v>59</v>
      </c>
    </row>
    <row r="6" spans="1:10" ht="15.75">
      <c r="A6" s="90" t="s">
        <v>40</v>
      </c>
      <c r="B6" s="90"/>
      <c r="C6" s="44" t="s">
        <v>61</v>
      </c>
      <c r="D6" s="91" t="s">
        <v>42</v>
      </c>
      <c r="E6" s="92"/>
      <c r="F6" s="93">
        <v>46143</v>
      </c>
      <c r="G6" s="94"/>
      <c r="H6" s="95" t="s">
        <v>76</v>
      </c>
      <c r="I6" s="96"/>
      <c r="J6" s="38">
        <v>46173</v>
      </c>
    </row>
    <row r="7" spans="1:10" ht="31.5">
      <c r="A7" s="2" t="s">
        <v>10</v>
      </c>
      <c r="B7" s="2" t="s">
        <v>44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14" t="s">
        <v>51</v>
      </c>
      <c r="J7" s="3" t="s">
        <v>52</v>
      </c>
    </row>
    <row r="8" spans="1:10" ht="15.75">
      <c r="A8" s="58">
        <v>1</v>
      </c>
      <c r="B8" s="59">
        <v>46148</v>
      </c>
      <c r="C8" s="57" t="s">
        <v>72</v>
      </c>
      <c r="D8" s="31">
        <v>0.33333333333333331</v>
      </c>
      <c r="E8" s="66">
        <v>0.86944444444444446</v>
      </c>
      <c r="F8" s="31">
        <v>4.1666666666666664E-2</v>
      </c>
      <c r="G8" s="32">
        <v>0.49444444444444446</v>
      </c>
      <c r="H8" s="33">
        <v>0.375</v>
      </c>
      <c r="I8" s="34">
        <v>3</v>
      </c>
      <c r="J8" s="34" t="s">
        <v>2</v>
      </c>
    </row>
    <row r="9" spans="1:10" ht="15.75">
      <c r="A9" s="58">
        <v>2</v>
      </c>
      <c r="B9" s="59">
        <v>46149</v>
      </c>
      <c r="C9" s="57" t="s">
        <v>72</v>
      </c>
      <c r="D9" s="31">
        <v>0.33333333333333331</v>
      </c>
      <c r="E9" s="66">
        <v>0.87569444444444444</v>
      </c>
      <c r="F9" s="31">
        <v>4.1666666666666664E-2</v>
      </c>
      <c r="G9" s="32">
        <v>0.50069444444444444</v>
      </c>
      <c r="H9" s="33">
        <v>0.375</v>
      </c>
      <c r="I9" s="34">
        <v>3</v>
      </c>
      <c r="J9" s="34" t="s">
        <v>2</v>
      </c>
    </row>
    <row r="10" spans="1:10" ht="15.75">
      <c r="A10" s="58">
        <v>3</v>
      </c>
      <c r="B10" s="5">
        <v>46150</v>
      </c>
      <c r="C10" s="57" t="s">
        <v>72</v>
      </c>
      <c r="D10" s="6">
        <v>0.31805555555555554</v>
      </c>
      <c r="E10" s="6">
        <v>0.85763888888888884</v>
      </c>
      <c r="F10" s="6">
        <v>4.1666666666666664E-2</v>
      </c>
      <c r="G10" s="6">
        <v>0.5</v>
      </c>
      <c r="H10" s="33">
        <v>0.33333333333333331</v>
      </c>
      <c r="I10" s="35">
        <v>4</v>
      </c>
      <c r="J10" s="34" t="s">
        <v>2</v>
      </c>
    </row>
    <row r="11" spans="1:10" ht="15.75">
      <c r="A11" s="58">
        <v>4</v>
      </c>
      <c r="B11" s="5">
        <v>46153</v>
      </c>
      <c r="C11" s="57" t="s">
        <v>72</v>
      </c>
      <c r="D11" s="6">
        <v>0.33333333333333331</v>
      </c>
      <c r="E11" s="6">
        <v>0.79305555555555562</v>
      </c>
      <c r="F11" s="6">
        <v>4.1666666666666664E-2</v>
      </c>
      <c r="G11" s="6">
        <v>0.41805555555555557</v>
      </c>
      <c r="H11" s="33">
        <v>0.375</v>
      </c>
      <c r="I11" s="15">
        <v>1</v>
      </c>
      <c r="J11" s="34" t="s">
        <v>2</v>
      </c>
    </row>
    <row r="12" spans="1:10" ht="15.75">
      <c r="A12" s="58">
        <v>5</v>
      </c>
      <c r="B12" s="5">
        <v>46163</v>
      </c>
      <c r="C12" s="60" t="s">
        <v>81</v>
      </c>
      <c r="D12" s="6">
        <v>0.33333333333333298</v>
      </c>
      <c r="E12" s="6">
        <v>0.81944444444444453</v>
      </c>
      <c r="F12" s="6">
        <v>4.1666666666666664E-2</v>
      </c>
      <c r="G12" s="6">
        <v>0.44444444444444442</v>
      </c>
      <c r="H12" s="33">
        <v>0.375</v>
      </c>
      <c r="I12" s="15">
        <v>2</v>
      </c>
      <c r="J12" s="34" t="s">
        <v>2</v>
      </c>
    </row>
    <row r="13" spans="1:10" ht="15.75">
      <c r="A13" s="58">
        <v>6</v>
      </c>
      <c r="B13" s="5">
        <v>46164</v>
      </c>
      <c r="C13" s="60" t="s">
        <v>82</v>
      </c>
      <c r="D13" s="6">
        <v>0.33333333333333298</v>
      </c>
      <c r="E13" s="6">
        <v>0.76944444444444438</v>
      </c>
      <c r="F13" s="6">
        <v>4.1666666666666664E-2</v>
      </c>
      <c r="G13" s="6">
        <v>0.39444444444444443</v>
      </c>
      <c r="H13" s="33">
        <v>0.33333333333333331</v>
      </c>
      <c r="I13" s="15">
        <v>1</v>
      </c>
      <c r="J13" s="34" t="s">
        <v>2</v>
      </c>
    </row>
    <row r="14" spans="1:10" ht="15.75">
      <c r="A14" s="58">
        <v>7</v>
      </c>
      <c r="B14" s="5">
        <v>46143</v>
      </c>
      <c r="C14" s="61" t="s">
        <v>83</v>
      </c>
      <c r="D14" s="62"/>
      <c r="E14" s="6"/>
      <c r="F14" s="6"/>
      <c r="G14" s="6"/>
      <c r="H14" s="6"/>
      <c r="I14" s="42"/>
      <c r="J14" s="15"/>
    </row>
    <row r="15" spans="1:10" ht="15.75">
      <c r="A15" s="58">
        <v>8</v>
      </c>
      <c r="B15" s="29">
        <v>46144</v>
      </c>
      <c r="C15" s="63" t="s">
        <v>84</v>
      </c>
      <c r="D15" s="63"/>
      <c r="E15" s="28"/>
      <c r="F15" s="28"/>
      <c r="G15" s="28"/>
      <c r="H15" s="28"/>
      <c r="I15" s="36"/>
      <c r="J15" s="37"/>
    </row>
    <row r="16" spans="1:10" ht="15.75" customHeight="1">
      <c r="A16" s="58">
        <v>9</v>
      </c>
      <c r="B16" s="30">
        <v>46165</v>
      </c>
      <c r="C16" s="64" t="s">
        <v>84</v>
      </c>
      <c r="D16" s="65"/>
      <c r="E16" s="19"/>
      <c r="F16" s="19"/>
      <c r="G16" s="19"/>
      <c r="H16" s="19"/>
      <c r="I16" s="19"/>
      <c r="J16" s="15"/>
    </row>
    <row r="18" spans="1:10">
      <c r="G18" s="87" t="s">
        <v>57</v>
      </c>
      <c r="H18" s="87"/>
      <c r="I18" s="12">
        <f>SUM(I8:I17)</f>
        <v>14</v>
      </c>
      <c r="J18" s="16"/>
    </row>
    <row r="20" spans="1:10">
      <c r="A20" s="86" t="s">
        <v>31</v>
      </c>
      <c r="B20" s="86"/>
      <c r="C20" s="88" t="s">
        <v>19</v>
      </c>
      <c r="D20" s="88"/>
    </row>
    <row r="21" spans="1:10">
      <c r="A21" s="86" t="s">
        <v>33</v>
      </c>
      <c r="B21" s="86"/>
      <c r="C21" s="89" t="s">
        <v>32</v>
      </c>
      <c r="D21" s="89"/>
    </row>
    <row r="22" spans="1:10">
      <c r="A22" s="86" t="s">
        <v>85</v>
      </c>
      <c r="B22" s="86"/>
      <c r="C22" s="86"/>
      <c r="D22" s="41"/>
    </row>
  </sheetData>
  <mergeCells count="15">
    <mergeCell ref="A2:J4"/>
    <mergeCell ref="A5:B5"/>
    <mergeCell ref="A6:B6"/>
    <mergeCell ref="F5:G5"/>
    <mergeCell ref="F6:G6"/>
    <mergeCell ref="H5:I5"/>
    <mergeCell ref="H6:I6"/>
    <mergeCell ref="D5:E5"/>
    <mergeCell ref="D6:E6"/>
    <mergeCell ref="A22:C22"/>
    <mergeCell ref="G18:H18"/>
    <mergeCell ref="A20:B20"/>
    <mergeCell ref="C20:D20"/>
    <mergeCell ref="A21:B21"/>
    <mergeCell ref="C21:D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0" ma:contentTypeDescription="Crear nuevo documento." ma:contentTypeScope="" ma:versionID="29b6bc28b634efb95039bef73294e59e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f5a938f1d8e134be76bdc803659755ab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068dc5-0173-432d-aae8-3f50884c04ae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657346-0D1B-4FBD-AEE6-6C1F4DDA1063}"/>
</file>

<file path=customXml/itemProps2.xml><?xml version="1.0" encoding="utf-8"?>
<ds:datastoreItem xmlns:ds="http://schemas.openxmlformats.org/officeDocument/2006/customXml" ds:itemID="{62DF1F05-64A9-4948-836C-1E8DB9759407}"/>
</file>

<file path=customXml/itemProps3.xml><?xml version="1.0" encoding="utf-8"?>
<ds:datastoreItem xmlns:ds="http://schemas.openxmlformats.org/officeDocument/2006/customXml" ds:itemID="{2B0E5A2F-BB27-4EC0-995A-8E66ECC1F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GESTION HUMANA</dc:creator>
  <cp:keywords/>
  <dc:description/>
  <cp:lastModifiedBy>Emaline Romero</cp:lastModifiedBy>
  <cp:revision/>
  <dcterms:created xsi:type="dcterms:W3CDTF">2025-02-26T13:50:56Z</dcterms:created>
  <dcterms:modified xsi:type="dcterms:W3CDTF">2026-07-07T16:25:04Z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