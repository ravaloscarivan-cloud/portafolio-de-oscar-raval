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BIOSTEEL ALMACEN\Desktop\HORAS EXTRAS\"/>
    </mc:Choice>
  </mc:AlternateContent>
  <xr:revisionPtr revIDLastSave="0" documentId="13_ncr:1_{BFD7E916-9093-4DA0-B952-45533F29EAFC}" xr6:coauthVersionLast="47" xr6:coauthVersionMax="47" xr10:uidLastSave="{00000000-0000-0000-0000-000000000000}"/>
  <bookViews>
    <workbookView xWindow="-120" yWindow="-120" windowWidth="29040" windowHeight="15840" firstSheet="2" activeTab="7" xr2:uid="{00000000-000D-0000-FFFF-FFFF00000000}"/>
  </bookViews>
  <sheets>
    <sheet name="EMA ROMERO" sheetId="13" r:id="rId1"/>
    <sheet name="MARIO OROZCO" sheetId="14" r:id="rId2"/>
    <sheet name="MOISES RINCON" sheetId="18" r:id="rId3"/>
    <sheet name="DAVID TORDECILLA" sheetId="17" r:id="rId4"/>
    <sheet name="JUSTIN ORTIZ" sheetId="16" r:id="rId5"/>
    <sheet name="KEISY ARRIETA" sheetId="20" r:id="rId6"/>
    <sheet name="STEFANY DE LA HOZ" sheetId="19" r:id="rId7"/>
    <sheet name="RONALD GRAJALES" sheetId="21" r:id="rId8"/>
    <sheet name="GENERAL" sheetId="1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21" l="1"/>
  <c r="H17" i="21"/>
  <c r="H16" i="21"/>
  <c r="H15" i="21"/>
  <c r="H14" i="21"/>
  <c r="H13" i="21"/>
  <c r="H12" i="21"/>
  <c r="H11" i="21"/>
  <c r="H10" i="21"/>
  <c r="H9" i="21"/>
  <c r="H8" i="21"/>
  <c r="G20" i="15" l="1"/>
  <c r="I14" i="15"/>
  <c r="J18" i="20"/>
  <c r="H12" i="20"/>
  <c r="H11" i="20"/>
  <c r="H10" i="20"/>
  <c r="H9" i="20"/>
  <c r="H8" i="20"/>
  <c r="J14" i="19" l="1"/>
  <c r="H12" i="19"/>
  <c r="H11" i="19"/>
  <c r="H10" i="19"/>
  <c r="H9" i="19"/>
  <c r="H8" i="19"/>
  <c r="J17" i="18" l="1"/>
  <c r="H14" i="18"/>
  <c r="H13" i="18"/>
  <c r="H12" i="18"/>
  <c r="H11" i="18"/>
  <c r="H10" i="18"/>
  <c r="H9" i="18"/>
  <c r="H8" i="18"/>
  <c r="R19" i="17"/>
  <c r="J19" i="17"/>
  <c r="H17" i="17"/>
  <c r="H12" i="17"/>
  <c r="H11" i="17"/>
  <c r="H10" i="17"/>
  <c r="H9" i="17"/>
  <c r="H8" i="17"/>
  <c r="I9" i="15"/>
  <c r="H9" i="16"/>
  <c r="H11" i="16"/>
  <c r="H10" i="16"/>
  <c r="H8" i="16"/>
  <c r="J13" i="16"/>
  <c r="I19" i="15" l="1"/>
  <c r="I18" i="15"/>
  <c r="I17" i="15"/>
  <c r="I16" i="15"/>
  <c r="I15" i="15"/>
  <c r="I13" i="15"/>
  <c r="I12" i="15"/>
  <c r="I11" i="15"/>
  <c r="I10" i="15"/>
  <c r="I8" i="15"/>
  <c r="J23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J16" i="13" l="1"/>
  <c r="H14" i="13"/>
  <c r="H13" i="13"/>
  <c r="H12" i="13"/>
  <c r="H11" i="13"/>
  <c r="H10" i="13"/>
  <c r="H9" i="13"/>
  <c r="H8" i="13"/>
</calcChain>
</file>

<file path=xl/sharedStrings.xml><?xml version="1.0" encoding="utf-8"?>
<sst xmlns="http://schemas.openxmlformats.org/spreadsheetml/2006/main" count="379" uniqueCount="100">
  <si>
    <t>N°</t>
  </si>
  <si>
    <t>HORA DE INICIO</t>
  </si>
  <si>
    <t>HORA DE FINALIZACIÓN</t>
  </si>
  <si>
    <t>HORARIO REGULAR</t>
  </si>
  <si>
    <t>HORAS EXTRAS</t>
  </si>
  <si>
    <t xml:space="preserve">FECHA </t>
  </si>
  <si>
    <t>MOTIVO DE SALIDA TARDE</t>
  </si>
  <si>
    <t xml:space="preserve">AUTORIZADO POR </t>
  </si>
  <si>
    <t>PLANILLA INDIVIDUAL REGISTRO DE HORAS EXTRAS</t>
  </si>
  <si>
    <t>CARGO:</t>
  </si>
  <si>
    <t>IDENTIFICACION:</t>
  </si>
  <si>
    <t>COLABORADOR:</t>
  </si>
  <si>
    <t>HORA DE ALMUERZO</t>
  </si>
  <si>
    <t>HORARIO LABORADO</t>
  </si>
  <si>
    <t>TOTAL DE HORAS:</t>
  </si>
  <si>
    <t xml:space="preserve">ELABORADO POR: </t>
  </si>
  <si>
    <t xml:space="preserve">REVISADO POR: </t>
  </si>
  <si>
    <t>FECHA DE ELABORACION:</t>
  </si>
  <si>
    <t>Marzo</t>
  </si>
  <si>
    <t xml:space="preserve">MES: </t>
  </si>
  <si>
    <t xml:space="preserve">PERIODO DE: </t>
  </si>
  <si>
    <t>Silia Diaz</t>
  </si>
  <si>
    <t xml:space="preserve">Silia Diaz </t>
  </si>
  <si>
    <t>Ema Romero Relaes</t>
  </si>
  <si>
    <t>Ema Romero Reales</t>
  </si>
  <si>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: Abril</t>
    </r>
  </si>
  <si>
    <t>Revision cierres Farmaonline</t>
  </si>
  <si>
    <t>Inventario bodega 100 Principal</t>
  </si>
  <si>
    <t>Lider señior Logistico</t>
  </si>
  <si>
    <t>pedido mayoritario servilogistica ( fijadores)</t>
  </si>
  <si>
    <t>Pedido mayoritario Imeq (reposiciones radio y clavicula)</t>
  </si>
  <si>
    <t>Auxiliar Logistico</t>
  </si>
  <si>
    <t xml:space="preserve">A: </t>
  </si>
  <si>
    <t>INVENTARIO BODEGA PRINCIPAL</t>
  </si>
  <si>
    <t>MATERIAL PARA CIRUGIA URGENTE</t>
  </si>
  <si>
    <t>ESPERAR MATERIALES DE PROVEEDOR Y ENTREGAR</t>
  </si>
  <si>
    <t>RETIRANDO MATERIALES DE ABUMAC Y ENTREGANDO</t>
  </si>
  <si>
    <t>ESPERAR MATERIALES DE DISII Y ENTREGAR EN CENTRAL</t>
  </si>
  <si>
    <t>SILIA DIAZ</t>
  </si>
  <si>
    <t>Mario Orozco</t>
  </si>
  <si>
    <t>Marzo-abril</t>
  </si>
  <si>
    <t>REPORTE GENERAL DE HORAS EXTRAS</t>
  </si>
  <si>
    <t>RSPONSABLE:</t>
  </si>
  <si>
    <t>COORDINADOR LOGISTICO</t>
  </si>
  <si>
    <t>PROCESO:</t>
  </si>
  <si>
    <t>ALMACEN</t>
  </si>
  <si>
    <t>MES:</t>
  </si>
  <si>
    <t xml:space="preserve">PERIODO: </t>
  </si>
  <si>
    <t>NOMBRE DE COLABORADOR</t>
  </si>
  <si>
    <t xml:space="preserve">CARGO </t>
  </si>
  <si>
    <t>TOTAL DE HORAS EXTRAS</t>
  </si>
  <si>
    <t xml:space="preserve">VALOR UNITARIO </t>
  </si>
  <si>
    <t>TOTAL EN VALOR</t>
  </si>
  <si>
    <t>FIRMA DEL COLABORADOR</t>
  </si>
  <si>
    <t>RONALD GRAJALES</t>
  </si>
  <si>
    <t>MOISES RINCON</t>
  </si>
  <si>
    <t>Compras</t>
  </si>
  <si>
    <t>Justin Ortiz</t>
  </si>
  <si>
    <t>Disponibilidad en carnavales para reposicion de material d clinica bahia y clinica campbell</t>
  </si>
  <si>
    <t xml:space="preserve">Esperar femur proximal y reposición de clavicula para ips campbell </t>
  </si>
  <si>
    <t>Esperar material de proveedor</t>
  </si>
  <si>
    <t>llevar material  aberlinas por servicio express por cirugia en clinica bahia el 11 de marzo</t>
  </si>
  <si>
    <t>David Tordecilla</t>
  </si>
  <si>
    <t xml:space="preserve">CARGO: </t>
  </si>
  <si>
    <t>Revisión e ingreso de facturas</t>
  </si>
  <si>
    <t xml:space="preserve">  12:00</t>
  </si>
  <si>
    <t xml:space="preserve">  11:00</t>
  </si>
  <si>
    <t xml:space="preserve">DAVID TORDECILLA </t>
  </si>
  <si>
    <t>Auxiliar de compras</t>
  </si>
  <si>
    <t>Aux  Logistico</t>
  </si>
  <si>
    <t>CONSIGNACIONES</t>
  </si>
  <si>
    <t>llevar material terminal</t>
  </si>
  <si>
    <t>llevar material lh suministros</t>
  </si>
  <si>
    <t>no válida</t>
  </si>
  <si>
    <t>llevar material clinica del caribe</t>
  </si>
  <si>
    <t>llevar material señor armando</t>
  </si>
  <si>
    <t xml:space="preserve">recogida material lh </t>
  </si>
  <si>
    <t>llevar materila armando charris</t>
  </si>
  <si>
    <t>Moises Rincon</t>
  </si>
  <si>
    <t>Mensajero</t>
  </si>
  <si>
    <t>STEFANY DE LA HOZ</t>
  </si>
  <si>
    <t>Aux compras</t>
  </si>
  <si>
    <t>Ordenes de compra</t>
  </si>
  <si>
    <t>Stefany de la Hoz</t>
  </si>
  <si>
    <t>KEISY ARRIETA</t>
  </si>
  <si>
    <t>Auxiliar administrativo</t>
  </si>
  <si>
    <t>ABRIL</t>
  </si>
  <si>
    <t>INVENTARIO BODEGA 100</t>
  </si>
  <si>
    <t>COTIZACIONES ATRASADAS POR INDUCCION</t>
  </si>
  <si>
    <t xml:space="preserve">KEISY ARRIETA </t>
  </si>
  <si>
    <t>Cotizaciones</t>
  </si>
  <si>
    <t>Keissy Arrieta</t>
  </si>
  <si>
    <t>Ronald Grajales</t>
  </si>
  <si>
    <t>TOTAL GENERAL</t>
  </si>
  <si>
    <t>1,002,035,293</t>
  </si>
  <si>
    <t>Inventario bodega cartagena</t>
  </si>
  <si>
    <t>Apoyo almacen (mario permiso- ronald incapacitado)</t>
  </si>
  <si>
    <t>Esperar material proveedor y enviar material a Bahia</t>
  </si>
  <si>
    <t xml:space="preserve">Inventario Bodega principal </t>
  </si>
  <si>
    <t>MARZO-ABRIL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</si>
</sst>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XDR&quot;* #,##0.00_-;\-&quot;XDR&quot;* #,##0.00_-;_-&quot;XDR&quot;* &quot;-&quot;??_-;_-@_-"/>
    <numFmt numFmtId="43" formatCode="_-* #,##0.00_-;\-* #,##0.00_-;_-* &quot;-&quot;??_-;_-@_-"/>
    <numFmt numFmtId="164" formatCode="_-* #,##0_-;\-* #,##0_-;_-* &quot;-&quot;??_-;_-@_-"/>
    <numFmt numFmtId="166" formatCode="_-&quot;$&quot;\ * #,##0_-;\-&quot;$&quot;\ * #,##0_-;_-&quot;$&quot;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8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64" fontId="4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left"/>
    </xf>
    <xf numFmtId="14" fontId="2" fillId="0" borderId="3" xfId="0" applyNumberFormat="1" applyFont="1" applyBorder="1" applyAlignment="1">
      <alignment horizontal="left"/>
    </xf>
    <xf numFmtId="14" fontId="2" fillId="0" borderId="2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1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8" fillId="2" borderId="0" xfId="0" applyFont="1" applyFill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20" fontId="2" fillId="0" borderId="1" xfId="0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3" fillId="0" borderId="0" xfId="1" applyNumberFormat="1" applyFont="1"/>
    <xf numFmtId="0" fontId="8" fillId="2" borderId="1" xfId="0" applyFont="1" applyFill="1" applyBorder="1" applyAlignment="1">
      <alignment horizontal="left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164" fontId="7" fillId="2" borderId="1" xfId="1" applyNumberFormat="1" applyFont="1" applyFill="1" applyBorder="1" applyAlignment="1">
      <alignment horizontal="center" vertical="center" wrapText="1"/>
    </xf>
    <xf numFmtId="20" fontId="2" fillId="3" borderId="1" xfId="0" applyNumberFormat="1" applyFont="1" applyFill="1" applyBorder="1" applyAlignment="1">
      <alignment horizontal="center" vertical="center"/>
    </xf>
    <xf numFmtId="164" fontId="2" fillId="4" borderId="1" xfId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64" fontId="4" fillId="0" borderId="1" xfId="1" applyNumberFormat="1" applyFont="1" applyBorder="1"/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4" fontId="2" fillId="0" borderId="4" xfId="0" applyNumberFormat="1" applyFont="1" applyBorder="1" applyAlignment="1">
      <alignment horizontal="left"/>
    </xf>
    <xf numFmtId="14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left" vertical="center"/>
    </xf>
    <xf numFmtId="14" fontId="2" fillId="0" borderId="3" xfId="0" applyNumberFormat="1" applyFont="1" applyBorder="1" applyAlignment="1">
      <alignment horizontal="left" vertical="center"/>
    </xf>
    <xf numFmtId="20" fontId="2" fillId="0" borderId="2" xfId="0" applyNumberFormat="1" applyFont="1" applyBorder="1" applyAlignment="1">
      <alignment horizontal="left" vertical="center"/>
    </xf>
    <xf numFmtId="20" fontId="2" fillId="0" borderId="3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/>
    </xf>
    <xf numFmtId="166" fontId="2" fillId="0" borderId="1" xfId="2" applyNumberFormat="1" applyFont="1" applyBorder="1" applyAlignment="1">
      <alignment vertical="center"/>
    </xf>
    <xf numFmtId="20" fontId="2" fillId="0" borderId="2" xfId="0" applyNumberFormat="1" applyFont="1" applyBorder="1" applyAlignment="1">
      <alignment horizontal="center" vertical="center"/>
    </xf>
    <xf numFmtId="20" fontId="2" fillId="0" borderId="3" xfId="0" applyNumberFormat="1" applyFont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20" fontId="2" fillId="6" borderId="1" xfId="0" applyNumberFormat="1" applyFont="1" applyFill="1" applyBorder="1" applyAlignment="1">
      <alignment horizontal="center" vertical="center"/>
    </xf>
    <xf numFmtId="164" fontId="2" fillId="6" borderId="1" xfId="1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  <xf numFmtId="0" fontId="8" fillId="2" borderId="6" xfId="0" applyFont="1" applyFill="1" applyBorder="1" applyAlignment="1">
      <alignment horizontal="left"/>
    </xf>
    <xf numFmtId="0" fontId="8" fillId="2" borderId="7" xfId="0" applyFont="1" applyFill="1" applyBorder="1" applyAlignment="1">
      <alignment horizontal="left"/>
    </xf>
    <xf numFmtId="164" fontId="0" fillId="0" borderId="0" xfId="0" applyNumberForma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0" fontId="3" fillId="0" borderId="0" xfId="0" applyNumberFormat="1" applyFont="1"/>
    <xf numFmtId="166" fontId="2" fillId="0" borderId="3" xfId="2" applyNumberFormat="1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left" vertical="center"/>
    </xf>
    <xf numFmtId="14" fontId="2" fillId="0" borderId="6" xfId="0" applyNumberFormat="1" applyFont="1" applyBorder="1" applyAlignment="1">
      <alignment horizontal="left" vertical="center"/>
    </xf>
    <xf numFmtId="14" fontId="2" fillId="0" borderId="7" xfId="0" applyNumberFormat="1" applyFont="1" applyBorder="1" applyAlignment="1">
      <alignment horizontal="left" vertical="center"/>
    </xf>
    <xf numFmtId="20" fontId="2" fillId="0" borderId="10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left" vertical="center"/>
    </xf>
    <xf numFmtId="20" fontId="2" fillId="0" borderId="8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1" fontId="4" fillId="0" borderId="8" xfId="0" applyNumberFormat="1" applyFont="1" applyBorder="1"/>
    <xf numFmtId="0" fontId="2" fillId="0" borderId="9" xfId="0" applyFont="1" applyBorder="1" applyAlignment="1">
      <alignment horizontal="center" vertical="center"/>
    </xf>
    <xf numFmtId="20" fontId="2" fillId="0" borderId="9" xfId="0" applyNumberFormat="1" applyFont="1" applyBorder="1" applyAlignment="1">
      <alignment horizontal="center" vertical="center"/>
    </xf>
    <xf numFmtId="164" fontId="2" fillId="0" borderId="9" xfId="1" applyNumberFormat="1" applyFont="1" applyBorder="1" applyAlignment="1">
      <alignment horizontal="center" vertical="center"/>
    </xf>
    <xf numFmtId="20" fontId="2" fillId="0" borderId="8" xfId="0" applyNumberFormat="1" applyFont="1" applyBorder="1" applyAlignment="1">
      <alignment horizontal="center" vertical="center"/>
    </xf>
    <xf numFmtId="164" fontId="2" fillId="0" borderId="8" xfId="1" applyNumberFormat="1" applyFont="1" applyBorder="1" applyAlignment="1">
      <alignment horizontal="center" vertical="center"/>
    </xf>
    <xf numFmtId="20" fontId="2" fillId="0" borderId="3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52823</xdr:rowOff>
    </xdr:from>
    <xdr:to>
      <xdr:col>1</xdr:col>
      <xdr:colOff>462343</xdr:colOff>
      <xdr:row>4</xdr:row>
      <xdr:rowOff>85728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B0C4F68-6692-4171-82D3-C84501FC2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52823</xdr:rowOff>
    </xdr:from>
    <xdr:to>
      <xdr:col>1</xdr:col>
      <xdr:colOff>967168</xdr:colOff>
      <xdr:row>2</xdr:row>
      <xdr:rowOff>152403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267EE19-6BC0-4988-A834-8D6E72FA7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27342" y="-244549"/>
          <a:ext cx="404380" cy="11896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52823</xdr:rowOff>
    </xdr:from>
    <xdr:to>
      <xdr:col>1</xdr:col>
      <xdr:colOff>462343</xdr:colOff>
      <xdr:row>4</xdr:row>
      <xdr:rowOff>85728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6A50088-B94A-498B-80B8-EE46D536E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49286"/>
          <a:ext cx="604405" cy="118962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79170</xdr:colOff>
      <xdr:row>1</xdr:row>
      <xdr:rowOff>27423</xdr:rowOff>
    </xdr:from>
    <xdr:to>
      <xdr:col>2</xdr:col>
      <xdr:colOff>1968</xdr:colOff>
      <xdr:row>4</xdr:row>
      <xdr:rowOff>60328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9435C89-2584-4F9D-BCE0-9599A9FED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2254" y="-160411"/>
          <a:ext cx="604405" cy="117057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53773</xdr:colOff>
      <xdr:row>1</xdr:row>
      <xdr:rowOff>90925</xdr:rowOff>
    </xdr:from>
    <xdr:to>
      <xdr:col>1</xdr:col>
      <xdr:colOff>986221</xdr:colOff>
      <xdr:row>3</xdr:row>
      <xdr:rowOff>85730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7000F8-8881-4282-A9BB-95C92C072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89245" y="-149297"/>
          <a:ext cx="518680" cy="11896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52823</xdr:rowOff>
    </xdr:from>
    <xdr:to>
      <xdr:col>1</xdr:col>
      <xdr:colOff>967168</xdr:colOff>
      <xdr:row>4</xdr:row>
      <xdr:rowOff>85728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B5A393F-1E5B-4958-919E-39DDF251F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34719</xdr:colOff>
      <xdr:row>1</xdr:row>
      <xdr:rowOff>52824</xdr:rowOff>
    </xdr:from>
    <xdr:to>
      <xdr:col>1</xdr:col>
      <xdr:colOff>462342</xdr:colOff>
      <xdr:row>3</xdr:row>
      <xdr:rowOff>66676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7A6397B-8F7E-4EA9-9838-2BDB4C81E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32105" y="-154062"/>
          <a:ext cx="394852" cy="11896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34719</xdr:colOff>
      <xdr:row>1</xdr:row>
      <xdr:rowOff>52824</xdr:rowOff>
    </xdr:from>
    <xdr:to>
      <xdr:col>1</xdr:col>
      <xdr:colOff>462342</xdr:colOff>
      <xdr:row>3</xdr:row>
      <xdr:rowOff>28578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FEEF00-E158-48AC-9804-4DEDB5EEB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51154" y="-173111"/>
          <a:ext cx="356754" cy="11896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157600</xdr:rowOff>
    </xdr:from>
    <xdr:to>
      <xdr:col>2</xdr:col>
      <xdr:colOff>24193</xdr:colOff>
      <xdr:row>3</xdr:row>
      <xdr:rowOff>95252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FA43D26-B749-4C72-B870-EE33EAE80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94006" y="-77861"/>
          <a:ext cx="471052" cy="11896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067EB-2FDA-4C8C-9A4C-AC11EA9740B9}">
  <dimension ref="A2:Q19"/>
  <sheetViews>
    <sheetView workbookViewId="0">
      <selection activeCell="J16" sqref="J16"/>
    </sheetView>
  </sheetViews>
  <sheetFormatPr baseColWidth="10" defaultRowHeight="15" x14ac:dyDescent="0.25"/>
  <cols>
    <col min="2" max="2" width="16.28515625" customWidth="1"/>
    <col min="4" max="4" width="40.140625" customWidth="1"/>
    <col min="6" max="6" width="15.5703125" customWidth="1"/>
    <col min="7" max="7" width="13" customWidth="1"/>
    <col min="8" max="8" width="13.28515625" customWidth="1"/>
  </cols>
  <sheetData>
    <row r="2" spans="1:17" x14ac:dyDescent="0.25">
      <c r="A2" s="9" t="s">
        <v>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7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7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7" ht="15.75" x14ac:dyDescent="0.25">
      <c r="A5" s="10" t="s">
        <v>11</v>
      </c>
      <c r="B5" s="10"/>
      <c r="C5" s="11" t="s">
        <v>23</v>
      </c>
      <c r="D5" s="12"/>
      <c r="E5" s="13" t="s">
        <v>10</v>
      </c>
      <c r="F5" s="14"/>
      <c r="G5" s="15">
        <v>1149438959</v>
      </c>
      <c r="H5" s="16"/>
      <c r="I5" s="13" t="s">
        <v>9</v>
      </c>
      <c r="J5" s="14"/>
      <c r="K5" s="16" t="s">
        <v>28</v>
      </c>
      <c r="L5" s="17"/>
    </row>
    <row r="6" spans="1:17" ht="15.75" x14ac:dyDescent="0.25">
      <c r="A6" s="10" t="s">
        <v>19</v>
      </c>
      <c r="B6" s="10"/>
      <c r="C6" s="21" t="s">
        <v>18</v>
      </c>
      <c r="D6" s="22"/>
      <c r="E6" s="13" t="s">
        <v>20</v>
      </c>
      <c r="F6" s="14"/>
      <c r="G6" s="23">
        <v>45731</v>
      </c>
      <c r="H6" s="24"/>
      <c r="I6" s="21" t="s">
        <v>25</v>
      </c>
      <c r="J6" s="22"/>
      <c r="K6" s="23">
        <v>45762</v>
      </c>
      <c r="L6" s="12"/>
    </row>
    <row r="7" spans="1:17" ht="31.5" x14ac:dyDescent="0.25">
      <c r="A7" s="2" t="s">
        <v>0</v>
      </c>
      <c r="B7" s="2" t="s">
        <v>5</v>
      </c>
      <c r="C7" s="18" t="s">
        <v>6</v>
      </c>
      <c r="D7" s="18"/>
      <c r="E7" s="3" t="s">
        <v>1</v>
      </c>
      <c r="F7" s="3" t="s">
        <v>2</v>
      </c>
      <c r="G7" s="3" t="s">
        <v>12</v>
      </c>
      <c r="H7" s="3" t="s">
        <v>13</v>
      </c>
      <c r="I7" s="3" t="s">
        <v>3</v>
      </c>
      <c r="J7" s="3" t="s">
        <v>4</v>
      </c>
      <c r="K7" s="19" t="s">
        <v>7</v>
      </c>
      <c r="L7" s="19"/>
      <c r="P7">
        <v>13</v>
      </c>
      <c r="Q7">
        <v>1</v>
      </c>
    </row>
    <row r="8" spans="1:17" ht="15.75" customHeight="1" x14ac:dyDescent="0.25">
      <c r="A8" s="4">
        <v>3</v>
      </c>
      <c r="B8" s="5">
        <v>45735</v>
      </c>
      <c r="C8" s="20" t="s">
        <v>27</v>
      </c>
      <c r="D8" s="20"/>
      <c r="E8" s="6">
        <v>0.33333333333333331</v>
      </c>
      <c r="F8" s="6">
        <v>0.83333333333333337</v>
      </c>
      <c r="G8" s="6">
        <v>4.1666666666666664E-2</v>
      </c>
      <c r="H8" s="6">
        <f>(F8-E8-G8)</f>
        <v>0.45833333333333331</v>
      </c>
      <c r="I8" s="6">
        <v>0.33333333333333331</v>
      </c>
      <c r="J8" s="7">
        <v>3</v>
      </c>
      <c r="K8" s="20" t="s">
        <v>22</v>
      </c>
      <c r="L8" s="20"/>
      <c r="P8">
        <v>14</v>
      </c>
      <c r="Q8">
        <v>2</v>
      </c>
    </row>
    <row r="9" spans="1:17" ht="15.75" x14ac:dyDescent="0.25">
      <c r="A9" s="4">
        <v>4</v>
      </c>
      <c r="B9" s="5">
        <v>45737</v>
      </c>
      <c r="C9" s="20" t="s">
        <v>27</v>
      </c>
      <c r="D9" s="20"/>
      <c r="E9" s="6">
        <v>0.33333333333333331</v>
      </c>
      <c r="F9" s="6">
        <v>0.875</v>
      </c>
      <c r="G9" s="6">
        <v>4.1666666666666664E-2</v>
      </c>
      <c r="H9" s="6">
        <f>(F9-E9-G9)</f>
        <v>0.50000000000000011</v>
      </c>
      <c r="I9" s="6">
        <v>0.33333333333333331</v>
      </c>
      <c r="J9" s="7">
        <v>4</v>
      </c>
      <c r="K9" s="20" t="s">
        <v>22</v>
      </c>
      <c r="L9" s="20"/>
      <c r="P9">
        <v>15</v>
      </c>
      <c r="Q9">
        <v>3</v>
      </c>
    </row>
    <row r="10" spans="1:17" ht="15.75" x14ac:dyDescent="0.25">
      <c r="A10" s="4">
        <v>5</v>
      </c>
      <c r="B10" s="5">
        <v>45738</v>
      </c>
      <c r="C10" s="20" t="s">
        <v>27</v>
      </c>
      <c r="D10" s="20"/>
      <c r="E10" s="6">
        <v>0.33333333333333331</v>
      </c>
      <c r="F10" s="6">
        <v>0.625</v>
      </c>
      <c r="G10" s="6">
        <v>4.1666666666666664E-2</v>
      </c>
      <c r="H10" s="6">
        <f>(F10-E10-G10)</f>
        <v>0.25</v>
      </c>
      <c r="I10" s="6">
        <v>0.16666666666666666</v>
      </c>
      <c r="J10" s="7">
        <v>2</v>
      </c>
      <c r="K10" s="20" t="s">
        <v>22</v>
      </c>
      <c r="L10" s="20"/>
      <c r="P10">
        <v>16</v>
      </c>
      <c r="Q10">
        <v>4</v>
      </c>
    </row>
    <row r="11" spans="1:17" ht="15.75" x14ac:dyDescent="0.25">
      <c r="A11" s="30">
        <v>6</v>
      </c>
      <c r="B11" s="31">
        <v>45749</v>
      </c>
      <c r="C11" s="32" t="s">
        <v>26</v>
      </c>
      <c r="D11" s="32"/>
      <c r="E11" s="33">
        <v>0.33333333333333331</v>
      </c>
      <c r="F11" s="33">
        <v>0.83333333333333337</v>
      </c>
      <c r="G11" s="33">
        <v>4.1666666666666664E-2</v>
      </c>
      <c r="H11" s="33">
        <f>(F11-E11-G11)</f>
        <v>0.45833333333333331</v>
      </c>
      <c r="I11" s="33">
        <v>0.33333333333333331</v>
      </c>
      <c r="J11" s="34">
        <v>3</v>
      </c>
      <c r="K11" s="32" t="s">
        <v>22</v>
      </c>
      <c r="L11" s="32"/>
      <c r="P11">
        <v>17</v>
      </c>
      <c r="Q11">
        <v>5</v>
      </c>
    </row>
    <row r="12" spans="1:17" ht="15.75" x14ac:dyDescent="0.25">
      <c r="A12" s="4">
        <v>7</v>
      </c>
      <c r="B12" s="5">
        <v>45750</v>
      </c>
      <c r="C12" s="20" t="s">
        <v>26</v>
      </c>
      <c r="D12" s="20"/>
      <c r="E12" s="6">
        <v>0.33333333333333331</v>
      </c>
      <c r="F12" s="6">
        <v>0.83333333333333337</v>
      </c>
      <c r="G12" s="6">
        <v>4.1666666666666664E-2</v>
      </c>
      <c r="H12" s="6">
        <f>(F12-E12-G12)</f>
        <v>0.45833333333333331</v>
      </c>
      <c r="I12" s="6">
        <v>0.33333333333333331</v>
      </c>
      <c r="J12" s="7">
        <v>3</v>
      </c>
      <c r="K12" s="20" t="s">
        <v>22</v>
      </c>
      <c r="L12" s="20"/>
      <c r="P12">
        <v>18</v>
      </c>
      <c r="Q12">
        <v>6</v>
      </c>
    </row>
    <row r="13" spans="1:17" ht="15.75" x14ac:dyDescent="0.25">
      <c r="A13" s="4">
        <v>8</v>
      </c>
      <c r="B13" s="5">
        <v>45757</v>
      </c>
      <c r="C13" s="20" t="s">
        <v>29</v>
      </c>
      <c r="D13" s="20"/>
      <c r="E13" s="6">
        <v>0.33333333333333331</v>
      </c>
      <c r="F13" s="6">
        <v>0.79166666666666663</v>
      </c>
      <c r="G13" s="6">
        <v>4.1666666666666664E-2</v>
      </c>
      <c r="H13" s="6">
        <f>(F13-E13-G13)</f>
        <v>0.41666666666666663</v>
      </c>
      <c r="I13" s="6">
        <v>0.33333333333333331</v>
      </c>
      <c r="J13" s="7">
        <v>2</v>
      </c>
      <c r="K13" s="20" t="s">
        <v>22</v>
      </c>
      <c r="L13" s="20"/>
      <c r="P13">
        <v>19</v>
      </c>
      <c r="Q13">
        <v>7</v>
      </c>
    </row>
    <row r="14" spans="1:17" ht="35.25" customHeight="1" x14ac:dyDescent="0.25">
      <c r="A14" s="4">
        <v>9</v>
      </c>
      <c r="B14" s="5">
        <v>45758</v>
      </c>
      <c r="C14" s="35" t="s">
        <v>30</v>
      </c>
      <c r="D14" s="35"/>
      <c r="E14" s="6">
        <v>0.33333333333333331</v>
      </c>
      <c r="F14" s="6">
        <v>0.79166666666666663</v>
      </c>
      <c r="G14" s="6">
        <v>4.1666666666666664E-2</v>
      </c>
      <c r="H14" s="6">
        <f>(F14-E14-G14)</f>
        <v>0.41666666666666663</v>
      </c>
      <c r="I14" s="6">
        <v>0.33333333333333331</v>
      </c>
      <c r="J14" s="7">
        <v>2</v>
      </c>
      <c r="K14" s="20" t="s">
        <v>22</v>
      </c>
      <c r="L14" s="20"/>
      <c r="P14">
        <v>20</v>
      </c>
      <c r="Q14">
        <v>8</v>
      </c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P15">
        <v>21</v>
      </c>
      <c r="Q15">
        <v>9</v>
      </c>
    </row>
    <row r="16" spans="1:17" x14ac:dyDescent="0.25">
      <c r="A16" s="1"/>
      <c r="B16" s="1"/>
      <c r="C16" s="1"/>
      <c r="D16" s="1"/>
      <c r="E16" s="1"/>
      <c r="F16" s="1"/>
      <c r="G16" s="1"/>
      <c r="H16" s="28" t="s">
        <v>14</v>
      </c>
      <c r="I16" s="28"/>
      <c r="J16" s="8">
        <f>SUM(J8:J14)</f>
        <v>19</v>
      </c>
      <c r="K16" s="1"/>
      <c r="L16" s="1"/>
      <c r="P16">
        <v>22</v>
      </c>
      <c r="Q16">
        <v>10</v>
      </c>
    </row>
    <row r="17" spans="1:5" x14ac:dyDescent="0.25">
      <c r="A17" s="25" t="s">
        <v>15</v>
      </c>
      <c r="B17" s="25"/>
      <c r="C17" s="29" t="s">
        <v>24</v>
      </c>
      <c r="D17" s="29"/>
      <c r="E17" s="29"/>
    </row>
    <row r="18" spans="1:5" x14ac:dyDescent="0.25">
      <c r="A18" s="25" t="s">
        <v>16</v>
      </c>
      <c r="B18" s="25"/>
      <c r="C18" s="27" t="s">
        <v>21</v>
      </c>
      <c r="D18" s="27"/>
      <c r="E18" s="27"/>
    </row>
    <row r="19" spans="1:5" x14ac:dyDescent="0.25">
      <c r="A19" s="25" t="s">
        <v>17</v>
      </c>
      <c r="B19" s="25"/>
      <c r="C19" s="25"/>
      <c r="D19" s="26">
        <v>45762</v>
      </c>
      <c r="E19" s="27"/>
    </row>
  </sheetData>
  <mergeCells count="36">
    <mergeCell ref="A19:C19"/>
    <mergeCell ref="D19:E19"/>
    <mergeCell ref="H16:I16"/>
    <mergeCell ref="A17:B17"/>
    <mergeCell ref="C17:E17"/>
    <mergeCell ref="A18:B18"/>
    <mergeCell ref="C18:E18"/>
    <mergeCell ref="C12:D12"/>
    <mergeCell ref="K12:L12"/>
    <mergeCell ref="C13:D13"/>
    <mergeCell ref="K13:L13"/>
    <mergeCell ref="C14:D14"/>
    <mergeCell ref="K14:L14"/>
    <mergeCell ref="C9:D9"/>
    <mergeCell ref="K9:L9"/>
    <mergeCell ref="C10:D10"/>
    <mergeCell ref="K10:L10"/>
    <mergeCell ref="C11:D11"/>
    <mergeCell ref="K11:L11"/>
    <mergeCell ref="C7:D7"/>
    <mergeCell ref="K7:L7"/>
    <mergeCell ref="C8:D8"/>
    <mergeCell ref="K8:L8"/>
    <mergeCell ref="A6:B6"/>
    <mergeCell ref="C6:D6"/>
    <mergeCell ref="E6:F6"/>
    <mergeCell ref="G6:H6"/>
    <mergeCell ref="I6:J6"/>
    <mergeCell ref="K6:L6"/>
    <mergeCell ref="A2:L4"/>
    <mergeCell ref="A5:B5"/>
    <mergeCell ref="C5:D5"/>
    <mergeCell ref="E5:F5"/>
    <mergeCell ref="G5:H5"/>
    <mergeCell ref="I5:J5"/>
    <mergeCell ref="K5:L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618A8-3237-4403-BAFA-66FC135B0B00}">
  <dimension ref="A1:N27"/>
  <sheetViews>
    <sheetView workbookViewId="0">
      <selection activeCell="D27" sqref="D27:E27"/>
    </sheetView>
  </sheetViews>
  <sheetFormatPr baseColWidth="10" defaultRowHeight="15" x14ac:dyDescent="0.25"/>
  <cols>
    <col min="1" max="1" width="3.85546875" style="1" customWidth="1"/>
    <col min="2" max="2" width="14.85546875" style="1" customWidth="1"/>
    <col min="3" max="3" width="14.5703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8" width="16.42578125" style="1" customWidth="1"/>
    <col min="9" max="9" width="13" style="1" customWidth="1"/>
    <col min="10" max="10" width="15.85546875" style="36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4" ht="7.5" customHeight="1" x14ac:dyDescent="0.25"/>
    <row r="2" spans="1:14" ht="24" customHeight="1" x14ac:dyDescent="0.25">
      <c r="A2" s="9" t="s">
        <v>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4" ht="17.25" customHeight="1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4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4" ht="15.75" x14ac:dyDescent="0.25">
      <c r="A5" s="10" t="s">
        <v>11</v>
      </c>
      <c r="B5" s="10"/>
      <c r="C5" s="11" t="s">
        <v>39</v>
      </c>
      <c r="D5" s="12"/>
      <c r="E5" s="13" t="s">
        <v>10</v>
      </c>
      <c r="F5" s="14"/>
      <c r="G5" s="15">
        <v>1143121183</v>
      </c>
      <c r="H5" s="16"/>
      <c r="I5" s="13" t="s">
        <v>9</v>
      </c>
      <c r="J5" s="14"/>
      <c r="K5" s="16" t="s">
        <v>31</v>
      </c>
      <c r="L5" s="17"/>
      <c r="N5" s="37" t="s">
        <v>12</v>
      </c>
    </row>
    <row r="6" spans="1:14" ht="15.75" x14ac:dyDescent="0.25">
      <c r="A6" s="10" t="s">
        <v>19</v>
      </c>
      <c r="B6" s="10"/>
      <c r="C6" s="21" t="s">
        <v>40</v>
      </c>
      <c r="D6" s="22"/>
      <c r="E6" s="13" t="s">
        <v>20</v>
      </c>
      <c r="F6" s="14"/>
      <c r="G6" s="23">
        <v>45732</v>
      </c>
      <c r="H6" s="24"/>
      <c r="I6" s="38" t="s">
        <v>32</v>
      </c>
      <c r="J6" s="39"/>
      <c r="K6" s="23">
        <v>45762</v>
      </c>
      <c r="L6" s="12"/>
    </row>
    <row r="7" spans="1:14" ht="31.5" x14ac:dyDescent="0.25">
      <c r="A7" s="2" t="s">
        <v>0</v>
      </c>
      <c r="B7" s="2" t="s">
        <v>5</v>
      </c>
      <c r="C7" s="18" t="s">
        <v>6</v>
      </c>
      <c r="D7" s="18"/>
      <c r="E7" s="3" t="s">
        <v>1</v>
      </c>
      <c r="F7" s="3" t="s">
        <v>2</v>
      </c>
      <c r="G7" s="3" t="s">
        <v>12</v>
      </c>
      <c r="H7" s="3" t="s">
        <v>13</v>
      </c>
      <c r="I7" s="3" t="s">
        <v>3</v>
      </c>
      <c r="J7" s="40" t="s">
        <v>4</v>
      </c>
      <c r="K7" s="19" t="s">
        <v>7</v>
      </c>
      <c r="L7" s="19"/>
    </row>
    <row r="8" spans="1:14" ht="15.75" x14ac:dyDescent="0.25">
      <c r="A8" s="4">
        <v>1</v>
      </c>
      <c r="B8" s="5">
        <v>45734</v>
      </c>
      <c r="C8" s="35" t="s">
        <v>33</v>
      </c>
      <c r="D8" s="35"/>
      <c r="E8" s="6">
        <v>0.33333333333333331</v>
      </c>
      <c r="F8" s="41">
        <v>0.875</v>
      </c>
      <c r="G8" s="6">
        <v>4.1666666666666664E-2</v>
      </c>
      <c r="H8" s="6">
        <f>(F8-E8-G8)</f>
        <v>0.50000000000000011</v>
      </c>
      <c r="I8" s="6">
        <v>0.33333333333333331</v>
      </c>
      <c r="J8" s="42">
        <v>4</v>
      </c>
      <c r="K8" s="20" t="s">
        <v>22</v>
      </c>
      <c r="L8" s="20"/>
    </row>
    <row r="9" spans="1:14" ht="15.75" x14ac:dyDescent="0.25">
      <c r="A9" s="4">
        <v>2</v>
      </c>
      <c r="B9" s="5">
        <v>45735</v>
      </c>
      <c r="C9" s="35" t="s">
        <v>33</v>
      </c>
      <c r="D9" s="35"/>
      <c r="E9" s="6">
        <v>0.33333333333333331</v>
      </c>
      <c r="F9" s="41">
        <v>0.875</v>
      </c>
      <c r="G9" s="6">
        <v>4.1666666666666664E-2</v>
      </c>
      <c r="H9" s="6">
        <f t="shared" ref="H9:H21" si="0">(F9-E9-G9)</f>
        <v>0.50000000000000011</v>
      </c>
      <c r="I9" s="6">
        <v>0.33333333333333331</v>
      </c>
      <c r="J9" s="42">
        <v>4</v>
      </c>
      <c r="K9" s="20" t="s">
        <v>22</v>
      </c>
      <c r="L9" s="20"/>
    </row>
    <row r="10" spans="1:14" ht="15.75" x14ac:dyDescent="0.25">
      <c r="A10" s="4">
        <v>3</v>
      </c>
      <c r="B10" s="5">
        <v>45736</v>
      </c>
      <c r="C10" s="35" t="s">
        <v>33</v>
      </c>
      <c r="D10" s="35"/>
      <c r="E10" s="6">
        <v>0.33333333333333331</v>
      </c>
      <c r="F10" s="41">
        <v>0.875</v>
      </c>
      <c r="G10" s="6">
        <v>4.1666666666666664E-2</v>
      </c>
      <c r="H10" s="6">
        <f t="shared" si="0"/>
        <v>0.50000000000000011</v>
      </c>
      <c r="I10" s="6">
        <v>0.33333333333333331</v>
      </c>
      <c r="J10" s="42">
        <v>4</v>
      </c>
      <c r="K10" s="20" t="s">
        <v>22</v>
      </c>
      <c r="L10" s="20"/>
    </row>
    <row r="11" spans="1:14" ht="15.75" x14ac:dyDescent="0.25">
      <c r="A11" s="4">
        <v>4</v>
      </c>
      <c r="B11" s="5">
        <v>45737</v>
      </c>
      <c r="C11" s="35" t="s">
        <v>33</v>
      </c>
      <c r="D11" s="35"/>
      <c r="E11" s="6">
        <v>0.33333333333333331</v>
      </c>
      <c r="F11" s="41">
        <v>0.91666666666666663</v>
      </c>
      <c r="G11" s="6">
        <v>4.1666666666666664E-2</v>
      </c>
      <c r="H11" s="6">
        <f t="shared" si="0"/>
        <v>0.54166666666666663</v>
      </c>
      <c r="I11" s="6">
        <v>0.33333333333333331</v>
      </c>
      <c r="J11" s="42">
        <v>5</v>
      </c>
      <c r="K11" s="20" t="s">
        <v>22</v>
      </c>
      <c r="L11" s="20"/>
    </row>
    <row r="12" spans="1:14" ht="15.75" x14ac:dyDescent="0.25">
      <c r="A12" s="4">
        <v>5</v>
      </c>
      <c r="B12" s="5">
        <v>45740</v>
      </c>
      <c r="C12" s="43" t="s">
        <v>34</v>
      </c>
      <c r="D12" s="43"/>
      <c r="E12" s="6">
        <v>0.54166666666666663</v>
      </c>
      <c r="F12" s="41">
        <v>0.625</v>
      </c>
      <c r="G12" s="6">
        <v>0</v>
      </c>
      <c r="H12" s="6">
        <f>(F12-E12-G12)</f>
        <v>8.333333333333337E-2</v>
      </c>
      <c r="I12" s="6">
        <v>0</v>
      </c>
      <c r="J12" s="42">
        <v>2</v>
      </c>
      <c r="K12" s="20" t="s">
        <v>22</v>
      </c>
      <c r="L12" s="20"/>
    </row>
    <row r="13" spans="1:14" ht="15.75" x14ac:dyDescent="0.25">
      <c r="A13" s="4">
        <v>6</v>
      </c>
      <c r="B13" s="5">
        <v>45741</v>
      </c>
      <c r="C13" s="35" t="s">
        <v>35</v>
      </c>
      <c r="D13" s="35"/>
      <c r="E13" s="6">
        <v>0.33333333333333331</v>
      </c>
      <c r="F13" s="41">
        <v>0.75</v>
      </c>
      <c r="G13" s="6">
        <v>4.1666666666666664E-2</v>
      </c>
      <c r="H13" s="6">
        <f t="shared" si="0"/>
        <v>0.375</v>
      </c>
      <c r="I13" s="6">
        <v>0.33333333333333331</v>
      </c>
      <c r="J13" s="42">
        <v>1</v>
      </c>
      <c r="K13" s="20" t="s">
        <v>22</v>
      </c>
      <c r="L13" s="20"/>
    </row>
    <row r="14" spans="1:14" ht="15.75" x14ac:dyDescent="0.25">
      <c r="A14" s="4">
        <v>7</v>
      </c>
      <c r="B14" s="5">
        <v>45742</v>
      </c>
      <c r="C14" s="35" t="s">
        <v>36</v>
      </c>
      <c r="D14" s="35"/>
      <c r="E14" s="6">
        <v>0.33333333333333331</v>
      </c>
      <c r="F14" s="41">
        <v>0.875</v>
      </c>
      <c r="G14" s="6">
        <v>4.1666666666666664E-2</v>
      </c>
      <c r="H14" s="6">
        <f t="shared" si="0"/>
        <v>0.50000000000000011</v>
      </c>
      <c r="I14" s="6">
        <v>0.33333333333333331</v>
      </c>
      <c r="J14" s="42">
        <v>4</v>
      </c>
      <c r="K14" s="20" t="s">
        <v>22</v>
      </c>
      <c r="L14" s="20"/>
    </row>
    <row r="15" spans="1:14" ht="15.75" x14ac:dyDescent="0.25">
      <c r="A15" s="4">
        <v>8</v>
      </c>
      <c r="B15" s="5">
        <v>45743</v>
      </c>
      <c r="C15" s="35" t="s">
        <v>35</v>
      </c>
      <c r="D15" s="35"/>
      <c r="E15" s="6">
        <v>0.33333333333333331</v>
      </c>
      <c r="F15" s="41">
        <v>0.79166666666666663</v>
      </c>
      <c r="G15" s="6">
        <v>4.1666666666666664E-2</v>
      </c>
      <c r="H15" s="6">
        <f t="shared" si="0"/>
        <v>0.41666666666666663</v>
      </c>
      <c r="I15" s="6">
        <v>0.33333333333333331</v>
      </c>
      <c r="J15" s="42">
        <v>2</v>
      </c>
      <c r="K15" s="20" t="s">
        <v>22</v>
      </c>
      <c r="L15" s="20"/>
    </row>
    <row r="16" spans="1:14" ht="15.75" x14ac:dyDescent="0.25">
      <c r="A16" s="4">
        <v>9</v>
      </c>
      <c r="B16" s="5">
        <v>45744</v>
      </c>
      <c r="C16" s="35" t="s">
        <v>35</v>
      </c>
      <c r="D16" s="35"/>
      <c r="E16" s="6">
        <v>0.33333333333333331</v>
      </c>
      <c r="F16" s="41">
        <v>0.66666666666666663</v>
      </c>
      <c r="G16" s="6">
        <v>4.1666666666666664E-2</v>
      </c>
      <c r="H16" s="6">
        <f t="shared" si="0"/>
        <v>0.29166666666666663</v>
      </c>
      <c r="I16" s="6">
        <v>0.33333333333333298</v>
      </c>
      <c r="J16" s="42">
        <v>1</v>
      </c>
      <c r="K16" s="20" t="s">
        <v>22</v>
      </c>
      <c r="L16" s="20"/>
    </row>
    <row r="17" spans="1:12" ht="15.75" x14ac:dyDescent="0.25">
      <c r="A17" s="4">
        <v>10</v>
      </c>
      <c r="B17" s="5">
        <v>45745</v>
      </c>
      <c r="C17" s="35" t="s">
        <v>35</v>
      </c>
      <c r="D17" s="35"/>
      <c r="E17" s="6">
        <v>0.33333333333333331</v>
      </c>
      <c r="F17" s="41">
        <v>0.66666666666666663</v>
      </c>
      <c r="G17" s="6">
        <v>4.1666666666666664E-2</v>
      </c>
      <c r="H17" s="6">
        <f t="shared" si="0"/>
        <v>0.29166666666666663</v>
      </c>
      <c r="I17" s="6">
        <v>0.16666666666666666</v>
      </c>
      <c r="J17" s="42">
        <v>3</v>
      </c>
      <c r="K17" s="20" t="s">
        <v>22</v>
      </c>
      <c r="L17" s="20"/>
    </row>
    <row r="18" spans="1:12" ht="15.75" x14ac:dyDescent="0.25">
      <c r="A18" s="4">
        <v>11</v>
      </c>
      <c r="B18" s="5">
        <v>45748</v>
      </c>
      <c r="C18" s="35" t="s">
        <v>35</v>
      </c>
      <c r="D18" s="35"/>
      <c r="E18" s="6">
        <v>0.33333333333333331</v>
      </c>
      <c r="F18" s="41">
        <v>0.79166666666666663</v>
      </c>
      <c r="G18" s="6">
        <v>4.1666666666666664E-2</v>
      </c>
      <c r="H18" s="6">
        <f t="shared" si="0"/>
        <v>0.41666666666666663</v>
      </c>
      <c r="I18" s="6">
        <v>0.33333333333333298</v>
      </c>
      <c r="J18" s="42">
        <v>2</v>
      </c>
      <c r="K18" s="20" t="s">
        <v>22</v>
      </c>
      <c r="L18" s="20"/>
    </row>
    <row r="19" spans="1:12" ht="15.75" x14ac:dyDescent="0.25">
      <c r="A19" s="4">
        <v>12</v>
      </c>
      <c r="B19" s="5">
        <v>45751</v>
      </c>
      <c r="C19" s="35" t="s">
        <v>35</v>
      </c>
      <c r="D19" s="35"/>
      <c r="E19" s="6">
        <v>0.33333333333333331</v>
      </c>
      <c r="F19" s="41">
        <v>0.875</v>
      </c>
      <c r="G19" s="6">
        <v>4.1666666666666664E-2</v>
      </c>
      <c r="H19" s="6">
        <f t="shared" si="0"/>
        <v>0.50000000000000011</v>
      </c>
      <c r="I19" s="6">
        <v>0.33333333333333298</v>
      </c>
      <c r="J19" s="42">
        <v>4</v>
      </c>
      <c r="K19" s="20" t="s">
        <v>22</v>
      </c>
      <c r="L19" s="20"/>
    </row>
    <row r="20" spans="1:12" ht="15.75" x14ac:dyDescent="0.25">
      <c r="A20" s="4">
        <v>13</v>
      </c>
      <c r="B20" s="5">
        <v>45755</v>
      </c>
      <c r="C20" s="35" t="s">
        <v>37</v>
      </c>
      <c r="D20" s="35"/>
      <c r="E20" s="6">
        <v>0.33333333333333331</v>
      </c>
      <c r="F20" s="41">
        <v>0.75</v>
      </c>
      <c r="G20" s="6">
        <v>4.1666666666666664E-2</v>
      </c>
      <c r="H20" s="6">
        <f t="shared" si="0"/>
        <v>0.375</v>
      </c>
      <c r="I20" s="6">
        <v>0.33333333333333298</v>
      </c>
      <c r="J20" s="42">
        <v>1</v>
      </c>
      <c r="K20" s="20" t="s">
        <v>22</v>
      </c>
      <c r="L20" s="20"/>
    </row>
    <row r="21" spans="1:12" ht="15.75" x14ac:dyDescent="0.25">
      <c r="A21" s="4">
        <v>14</v>
      </c>
      <c r="B21" s="5">
        <v>45758</v>
      </c>
      <c r="C21" s="35" t="s">
        <v>35</v>
      </c>
      <c r="D21" s="35"/>
      <c r="E21" s="6">
        <v>0.33333333333333331</v>
      </c>
      <c r="F21" s="41">
        <v>0.75</v>
      </c>
      <c r="G21" s="6">
        <v>4.1666666666666664E-2</v>
      </c>
      <c r="H21" s="6">
        <f t="shared" si="0"/>
        <v>0.375</v>
      </c>
      <c r="I21" s="6">
        <v>0.33333333333333298</v>
      </c>
      <c r="J21" s="42">
        <v>1</v>
      </c>
      <c r="K21" s="20" t="s">
        <v>22</v>
      </c>
      <c r="L21" s="20"/>
    </row>
    <row r="23" spans="1:12" x14ac:dyDescent="0.25">
      <c r="H23" s="28" t="s">
        <v>14</v>
      </c>
      <c r="I23" s="28"/>
      <c r="J23" s="44">
        <f>J8+J9+J10+J11+J12+J13+J14+J15+J16+J17+J18+J19+J20+J21</f>
        <v>38</v>
      </c>
    </row>
    <row r="25" spans="1:12" ht="20.100000000000001" customHeight="1" x14ac:dyDescent="0.25">
      <c r="A25" s="25" t="s">
        <v>15</v>
      </c>
      <c r="B25" s="25"/>
      <c r="D25" s="1" t="s">
        <v>39</v>
      </c>
    </row>
    <row r="26" spans="1:12" ht="20.100000000000001" customHeight="1" x14ac:dyDescent="0.25">
      <c r="A26" s="25" t="s">
        <v>16</v>
      </c>
      <c r="B26" s="25"/>
      <c r="C26" s="29" t="s">
        <v>38</v>
      </c>
      <c r="D26" s="29"/>
      <c r="E26" s="29"/>
    </row>
    <row r="27" spans="1:12" ht="20.100000000000001" customHeight="1" x14ac:dyDescent="0.25">
      <c r="A27" s="25" t="s">
        <v>17</v>
      </c>
      <c r="B27" s="25"/>
      <c r="C27" s="25"/>
      <c r="D27" s="26">
        <v>45749</v>
      </c>
      <c r="E27" s="27"/>
    </row>
  </sheetData>
  <mergeCells count="49">
    <mergeCell ref="A27:C27"/>
    <mergeCell ref="D27:E27"/>
    <mergeCell ref="H23:I23"/>
    <mergeCell ref="A25:B25"/>
    <mergeCell ref="C26:E26"/>
    <mergeCell ref="A26:B26"/>
    <mergeCell ref="C19:D19"/>
    <mergeCell ref="K19:L19"/>
    <mergeCell ref="C20:D20"/>
    <mergeCell ref="K20:L20"/>
    <mergeCell ref="C21:D21"/>
    <mergeCell ref="K21:L21"/>
    <mergeCell ref="C16:D16"/>
    <mergeCell ref="K16:L16"/>
    <mergeCell ref="C17:D17"/>
    <mergeCell ref="K17:L17"/>
    <mergeCell ref="C18:D18"/>
    <mergeCell ref="K18:L18"/>
    <mergeCell ref="C13:D13"/>
    <mergeCell ref="K13:L13"/>
    <mergeCell ref="C14:D14"/>
    <mergeCell ref="K14:L14"/>
    <mergeCell ref="C15:D15"/>
    <mergeCell ref="K15:L15"/>
    <mergeCell ref="C10:D10"/>
    <mergeCell ref="K10:L10"/>
    <mergeCell ref="C11:D11"/>
    <mergeCell ref="K11:L11"/>
    <mergeCell ref="C12:D12"/>
    <mergeCell ref="K12:L12"/>
    <mergeCell ref="C7:D7"/>
    <mergeCell ref="K7:L7"/>
    <mergeCell ref="C8:D8"/>
    <mergeCell ref="K8:L8"/>
    <mergeCell ref="C9:D9"/>
    <mergeCell ref="K9:L9"/>
    <mergeCell ref="A6:B6"/>
    <mergeCell ref="C6:D6"/>
    <mergeCell ref="E6:F6"/>
    <mergeCell ref="G6:H6"/>
    <mergeCell ref="I6:J6"/>
    <mergeCell ref="K6:L6"/>
    <mergeCell ref="A2:L4"/>
    <mergeCell ref="A5:B5"/>
    <mergeCell ref="C5:D5"/>
    <mergeCell ref="E5:F5"/>
    <mergeCell ref="G5:H5"/>
    <mergeCell ref="I5:J5"/>
    <mergeCell ref="K5:L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53BB5-D3CD-4819-B2BD-A9F92A5F48B2}">
  <dimension ref="A2:O21"/>
  <sheetViews>
    <sheetView workbookViewId="0">
      <selection activeCell="E28" sqref="E28"/>
    </sheetView>
  </sheetViews>
  <sheetFormatPr baseColWidth="10" defaultRowHeight="15" x14ac:dyDescent="0.25"/>
  <cols>
    <col min="2" max="2" width="16.28515625" customWidth="1"/>
    <col min="4" max="4" width="45.42578125" customWidth="1"/>
    <col min="6" max="6" width="15.5703125" customWidth="1"/>
    <col min="7" max="7" width="13" customWidth="1"/>
    <col min="8" max="8" width="12" bestFit="1" customWidth="1"/>
    <col min="9" max="9" width="15.28515625" bestFit="1" customWidth="1"/>
  </cols>
  <sheetData>
    <row r="2" spans="1:15" x14ac:dyDescent="0.25">
      <c r="A2" s="9" t="s">
        <v>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5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5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5" ht="15.75" x14ac:dyDescent="0.25">
      <c r="A5" s="10" t="s">
        <v>11</v>
      </c>
      <c r="B5" s="10"/>
      <c r="C5" s="11" t="s">
        <v>55</v>
      </c>
      <c r="D5" s="12"/>
      <c r="E5" s="13" t="s">
        <v>10</v>
      </c>
      <c r="F5" s="14"/>
      <c r="G5" s="15"/>
      <c r="H5" s="16"/>
      <c r="I5" s="13" t="s">
        <v>9</v>
      </c>
      <c r="J5" s="14"/>
      <c r="K5" s="16" t="s">
        <v>69</v>
      </c>
      <c r="L5" s="17"/>
    </row>
    <row r="6" spans="1:15" ht="15.75" x14ac:dyDescent="0.25">
      <c r="A6" s="10" t="s">
        <v>19</v>
      </c>
      <c r="B6" s="10"/>
      <c r="C6" s="21" t="s">
        <v>18</v>
      </c>
      <c r="D6" s="22"/>
      <c r="E6" s="13" t="s">
        <v>20</v>
      </c>
      <c r="F6" s="14"/>
      <c r="G6" s="23">
        <v>45731</v>
      </c>
      <c r="H6" s="24"/>
      <c r="I6" s="21" t="s">
        <v>25</v>
      </c>
      <c r="J6" s="22"/>
      <c r="K6" s="23">
        <v>45762</v>
      </c>
      <c r="L6" s="12"/>
    </row>
    <row r="7" spans="1:15" ht="31.5" x14ac:dyDescent="0.25">
      <c r="A7" s="2" t="s">
        <v>0</v>
      </c>
      <c r="B7" s="2" t="s">
        <v>5</v>
      </c>
      <c r="C7" s="18" t="s">
        <v>6</v>
      </c>
      <c r="D7" s="18"/>
      <c r="E7" s="3" t="s">
        <v>1</v>
      </c>
      <c r="F7" s="3" t="s">
        <v>2</v>
      </c>
      <c r="G7" s="3" t="s">
        <v>12</v>
      </c>
      <c r="H7" s="3" t="s">
        <v>13</v>
      </c>
      <c r="I7" s="3" t="s">
        <v>3</v>
      </c>
      <c r="J7" s="3" t="s">
        <v>4</v>
      </c>
      <c r="K7" s="19" t="s">
        <v>7</v>
      </c>
      <c r="L7" s="19"/>
      <c r="N7">
        <v>13</v>
      </c>
      <c r="O7">
        <v>1</v>
      </c>
    </row>
    <row r="8" spans="1:15" ht="15.75" x14ac:dyDescent="0.25">
      <c r="A8" s="4">
        <v>1</v>
      </c>
      <c r="B8" s="5">
        <v>45735</v>
      </c>
      <c r="C8" s="20" t="s">
        <v>70</v>
      </c>
      <c r="D8" s="20"/>
      <c r="E8" s="6">
        <v>0.33333333333333331</v>
      </c>
      <c r="F8" s="6">
        <v>0.75</v>
      </c>
      <c r="G8" s="6">
        <v>4.1666666666666664E-2</v>
      </c>
      <c r="H8" s="6">
        <f>(F8-E8-G8)</f>
        <v>0.375</v>
      </c>
      <c r="I8" s="6">
        <v>0.33333333333333331</v>
      </c>
      <c r="J8" s="7">
        <v>1</v>
      </c>
      <c r="K8" s="20" t="s">
        <v>22</v>
      </c>
      <c r="L8" s="20"/>
      <c r="N8">
        <v>14</v>
      </c>
      <c r="O8">
        <v>2</v>
      </c>
    </row>
    <row r="9" spans="1:15" ht="15.75" x14ac:dyDescent="0.25">
      <c r="A9" s="4">
        <v>2</v>
      </c>
      <c r="B9" s="5">
        <v>45736</v>
      </c>
      <c r="C9" s="20" t="s">
        <v>71</v>
      </c>
      <c r="D9" s="20"/>
      <c r="E9" s="6">
        <v>0.33333333333333331</v>
      </c>
      <c r="F9" s="6">
        <v>0.83333333333333337</v>
      </c>
      <c r="G9" s="6">
        <v>4.1666666666666664E-2</v>
      </c>
      <c r="H9" s="6">
        <f t="shared" ref="H9:H13" si="0">(F9-E9-G9)</f>
        <v>0.45833333333333331</v>
      </c>
      <c r="I9" s="6">
        <v>0.33333333333333331</v>
      </c>
      <c r="J9" s="7">
        <v>3</v>
      </c>
      <c r="K9" s="20" t="s">
        <v>22</v>
      </c>
      <c r="L9" s="20"/>
      <c r="N9">
        <v>15</v>
      </c>
      <c r="O9">
        <v>3</v>
      </c>
    </row>
    <row r="10" spans="1:15" ht="15.75" x14ac:dyDescent="0.25">
      <c r="A10" s="4">
        <v>3</v>
      </c>
      <c r="B10" s="5">
        <v>45737</v>
      </c>
      <c r="C10" s="20" t="s">
        <v>72</v>
      </c>
      <c r="D10" s="20"/>
      <c r="E10" s="6">
        <v>0.33333333333333331</v>
      </c>
      <c r="F10" s="6">
        <v>0.58333333333333337</v>
      </c>
      <c r="G10" s="6">
        <v>4.1666666666666664E-2</v>
      </c>
      <c r="H10" s="6">
        <f>(F10-E10-G10)</f>
        <v>0.2083333333333334</v>
      </c>
      <c r="I10" s="6">
        <v>0.33333333333333331</v>
      </c>
      <c r="J10" s="7">
        <v>0</v>
      </c>
      <c r="K10" s="20" t="s">
        <v>22</v>
      </c>
      <c r="L10" s="20"/>
      <c r="M10" t="s">
        <v>73</v>
      </c>
      <c r="N10">
        <v>16</v>
      </c>
      <c r="O10">
        <v>4</v>
      </c>
    </row>
    <row r="11" spans="1:15" ht="15.75" x14ac:dyDescent="0.25">
      <c r="A11" s="4">
        <v>4</v>
      </c>
      <c r="B11" s="5">
        <v>45742</v>
      </c>
      <c r="C11" s="20" t="s">
        <v>74</v>
      </c>
      <c r="D11" s="20"/>
      <c r="E11" s="6">
        <v>0.33333333333333331</v>
      </c>
      <c r="F11" s="6">
        <v>0.83333333333333337</v>
      </c>
      <c r="G11" s="6">
        <v>4.1666666666666664E-2</v>
      </c>
      <c r="H11" s="6">
        <f t="shared" si="0"/>
        <v>0.45833333333333331</v>
      </c>
      <c r="I11" s="6">
        <v>0.33333333333333331</v>
      </c>
      <c r="J11" s="7">
        <v>3</v>
      </c>
      <c r="K11" s="20" t="s">
        <v>22</v>
      </c>
      <c r="L11" s="20"/>
      <c r="N11">
        <v>17</v>
      </c>
      <c r="O11">
        <v>5</v>
      </c>
    </row>
    <row r="12" spans="1:15" ht="15.75" x14ac:dyDescent="0.25">
      <c r="A12" s="4">
        <v>6</v>
      </c>
      <c r="B12" s="5">
        <v>45748</v>
      </c>
      <c r="C12" s="20" t="s">
        <v>75</v>
      </c>
      <c r="D12" s="20"/>
      <c r="E12" s="6">
        <v>0.33333333333333331</v>
      </c>
      <c r="F12" s="6">
        <v>0.79166666666666663</v>
      </c>
      <c r="G12" s="6">
        <v>4.1666666666666664E-2</v>
      </c>
      <c r="H12" s="6">
        <f t="shared" si="0"/>
        <v>0.41666666666666663</v>
      </c>
      <c r="I12" s="6">
        <v>0.33333333333333331</v>
      </c>
      <c r="J12" s="7">
        <v>2</v>
      </c>
      <c r="K12" s="20" t="s">
        <v>22</v>
      </c>
      <c r="L12" s="20"/>
      <c r="N12">
        <v>18</v>
      </c>
      <c r="O12">
        <v>6</v>
      </c>
    </row>
    <row r="13" spans="1:15" ht="15.75" x14ac:dyDescent="0.25">
      <c r="A13" s="4">
        <v>6</v>
      </c>
      <c r="B13" s="5">
        <v>45758</v>
      </c>
      <c r="D13" t="s">
        <v>76</v>
      </c>
      <c r="E13" s="6">
        <v>0.33333333333333331</v>
      </c>
      <c r="F13" s="6">
        <v>0.75</v>
      </c>
      <c r="G13" s="6">
        <v>4.1666666666666699E-2</v>
      </c>
      <c r="H13" s="6">
        <f t="shared" si="0"/>
        <v>0.375</v>
      </c>
      <c r="I13" s="6">
        <v>0.33333333333333298</v>
      </c>
      <c r="J13" s="7">
        <v>1</v>
      </c>
      <c r="K13" s="20" t="s">
        <v>22</v>
      </c>
      <c r="L13" s="20"/>
      <c r="N13">
        <v>19</v>
      </c>
      <c r="O13">
        <v>7</v>
      </c>
    </row>
    <row r="14" spans="1:15" ht="15.75" x14ac:dyDescent="0.25">
      <c r="A14" s="4">
        <v>6</v>
      </c>
      <c r="B14" s="5">
        <v>45761</v>
      </c>
      <c r="C14" s="20" t="s">
        <v>77</v>
      </c>
      <c r="D14" s="20"/>
      <c r="E14" s="6">
        <v>0.33333333333333331</v>
      </c>
      <c r="F14" s="6">
        <v>0.75</v>
      </c>
      <c r="G14" s="6">
        <v>4.1666666666666699E-2</v>
      </c>
      <c r="H14" s="6">
        <f>(F14-E14-G14)</f>
        <v>0.375</v>
      </c>
      <c r="I14" s="6">
        <v>0.33333333333333298</v>
      </c>
      <c r="J14" s="7">
        <v>1</v>
      </c>
      <c r="K14" s="20" t="s">
        <v>22</v>
      </c>
      <c r="L14" s="20"/>
      <c r="N14">
        <v>20</v>
      </c>
      <c r="O14">
        <v>8</v>
      </c>
    </row>
    <row r="15" spans="1:15" x14ac:dyDescent="0.25">
      <c r="N15">
        <v>21</v>
      </c>
      <c r="O15">
        <v>9</v>
      </c>
    </row>
    <row r="16" spans="1:1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N16">
        <v>22</v>
      </c>
      <c r="O16">
        <v>10</v>
      </c>
    </row>
    <row r="17" spans="1:15" x14ac:dyDescent="0.25">
      <c r="A17" s="1"/>
      <c r="B17" s="1"/>
      <c r="C17" s="1"/>
      <c r="D17" s="1"/>
      <c r="E17" s="1"/>
      <c r="F17" s="1"/>
      <c r="G17" s="1"/>
      <c r="H17" s="28" t="s">
        <v>14</v>
      </c>
      <c r="I17" s="28"/>
      <c r="J17" s="8">
        <f>SUM(J8:J16)</f>
        <v>11</v>
      </c>
      <c r="K17" s="1"/>
      <c r="L17" s="1"/>
      <c r="N17">
        <v>23</v>
      </c>
      <c r="O17">
        <v>11</v>
      </c>
    </row>
    <row r="18" spans="1:15" x14ac:dyDescent="0.25">
      <c r="A18" s="25" t="s">
        <v>15</v>
      </c>
      <c r="B18" s="25"/>
      <c r="C18" s="29" t="s">
        <v>55</v>
      </c>
      <c r="D18" s="29"/>
      <c r="E18" s="29"/>
      <c r="N18">
        <v>24</v>
      </c>
      <c r="O18">
        <v>12</v>
      </c>
    </row>
    <row r="19" spans="1:15" x14ac:dyDescent="0.25">
      <c r="A19" s="25" t="s">
        <v>16</v>
      </c>
      <c r="B19" s="25"/>
      <c r="C19" s="27" t="s">
        <v>21</v>
      </c>
      <c r="D19" s="27"/>
      <c r="E19" s="27"/>
      <c r="N19">
        <v>25</v>
      </c>
      <c r="O19">
        <v>13</v>
      </c>
    </row>
    <row r="20" spans="1:15" x14ac:dyDescent="0.25">
      <c r="A20" s="25" t="s">
        <v>17</v>
      </c>
      <c r="B20" s="25"/>
      <c r="C20" s="25"/>
      <c r="D20" s="26">
        <v>45768</v>
      </c>
      <c r="E20" s="27"/>
      <c r="N20">
        <v>26</v>
      </c>
      <c r="O20">
        <v>14</v>
      </c>
    </row>
    <row r="21" spans="1:15" x14ac:dyDescent="0.25">
      <c r="J21" s="76"/>
      <c r="N21">
        <v>27</v>
      </c>
      <c r="O21">
        <v>15</v>
      </c>
    </row>
  </sheetData>
  <mergeCells count="35">
    <mergeCell ref="A19:B19"/>
    <mergeCell ref="C19:E19"/>
    <mergeCell ref="A20:C20"/>
    <mergeCell ref="D20:E20"/>
    <mergeCell ref="K13:L13"/>
    <mergeCell ref="C14:D14"/>
    <mergeCell ref="K14:L14"/>
    <mergeCell ref="H17:I17"/>
    <mergeCell ref="A18:B18"/>
    <mergeCell ref="C18:E18"/>
    <mergeCell ref="C10:D10"/>
    <mergeCell ref="K10:L10"/>
    <mergeCell ref="C11:D11"/>
    <mergeCell ref="K11:L11"/>
    <mergeCell ref="C12:D12"/>
    <mergeCell ref="K12:L12"/>
    <mergeCell ref="C7:D7"/>
    <mergeCell ref="K7:L7"/>
    <mergeCell ref="C8:D8"/>
    <mergeCell ref="K8:L8"/>
    <mergeCell ref="C9:D9"/>
    <mergeCell ref="K9:L9"/>
    <mergeCell ref="A6:B6"/>
    <mergeCell ref="C6:D6"/>
    <mergeCell ref="E6:F6"/>
    <mergeCell ref="G6:H6"/>
    <mergeCell ref="I6:J6"/>
    <mergeCell ref="K6:L6"/>
    <mergeCell ref="A2:L4"/>
    <mergeCell ref="A5:B5"/>
    <mergeCell ref="C5:D5"/>
    <mergeCell ref="E5:F5"/>
    <mergeCell ref="G5:H5"/>
    <mergeCell ref="I5:J5"/>
    <mergeCell ref="K5:L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17F21-392A-4CF7-AD56-438F0C633A78}">
  <dimension ref="A1:R23"/>
  <sheetViews>
    <sheetView workbookViewId="0">
      <selection activeCell="H28" sqref="H28"/>
    </sheetView>
  </sheetViews>
  <sheetFormatPr baseColWidth="10" defaultColWidth="11.42578125" defaultRowHeight="15" x14ac:dyDescent="0.25"/>
  <cols>
    <col min="1" max="1" width="3.85546875" style="1" customWidth="1"/>
    <col min="2" max="2" width="14.85546875" style="1" customWidth="1"/>
    <col min="3" max="3" width="14.5703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9" width="13" style="1" customWidth="1"/>
    <col min="10" max="10" width="15.85546875" style="1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7" ht="7.5" customHeight="1" x14ac:dyDescent="0.25"/>
    <row r="2" spans="1:17" ht="24" customHeight="1" x14ac:dyDescent="0.25">
      <c r="A2" s="9" t="s">
        <v>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7" ht="17.25" customHeight="1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7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7" ht="15.75" x14ac:dyDescent="0.25">
      <c r="A5" s="10" t="s">
        <v>11</v>
      </c>
      <c r="B5" s="10"/>
      <c r="C5" s="11" t="s">
        <v>62</v>
      </c>
      <c r="D5" s="12"/>
      <c r="E5" s="13" t="s">
        <v>10</v>
      </c>
      <c r="F5" s="14"/>
      <c r="G5" s="15">
        <v>1042451951</v>
      </c>
      <c r="H5" s="16"/>
      <c r="I5" s="13" t="s">
        <v>63</v>
      </c>
      <c r="J5" s="14"/>
      <c r="K5" s="16" t="s">
        <v>31</v>
      </c>
      <c r="L5" s="17"/>
      <c r="N5" s="37" t="s">
        <v>12</v>
      </c>
    </row>
    <row r="6" spans="1:17" ht="15.75" x14ac:dyDescent="0.25">
      <c r="A6" s="10" t="s">
        <v>19</v>
      </c>
      <c r="B6" s="10"/>
      <c r="C6" s="21" t="s">
        <v>18</v>
      </c>
      <c r="D6" s="22"/>
      <c r="E6" s="13" t="s">
        <v>20</v>
      </c>
      <c r="F6" s="14"/>
      <c r="G6" s="23">
        <v>45732</v>
      </c>
      <c r="H6" s="24"/>
      <c r="I6" s="38" t="s">
        <v>32</v>
      </c>
      <c r="J6" s="39"/>
      <c r="K6" s="23">
        <v>45762</v>
      </c>
      <c r="L6" s="12"/>
    </row>
    <row r="7" spans="1:17" ht="31.5" x14ac:dyDescent="0.25">
      <c r="A7" s="2" t="s">
        <v>0</v>
      </c>
      <c r="B7" s="2" t="s">
        <v>5</v>
      </c>
      <c r="C7" s="18" t="s">
        <v>6</v>
      </c>
      <c r="D7" s="18"/>
      <c r="E7" s="3" t="s">
        <v>1</v>
      </c>
      <c r="F7" s="3" t="s">
        <v>2</v>
      </c>
      <c r="G7" s="3" t="s">
        <v>12</v>
      </c>
      <c r="H7" s="3" t="s">
        <v>13</v>
      </c>
      <c r="I7" s="3" t="s">
        <v>3</v>
      </c>
      <c r="J7" s="3" t="s">
        <v>4</v>
      </c>
      <c r="K7" s="19" t="s">
        <v>7</v>
      </c>
      <c r="L7" s="19"/>
    </row>
    <row r="8" spans="1:17" ht="15.75" x14ac:dyDescent="0.25">
      <c r="A8" s="4">
        <v>2</v>
      </c>
      <c r="B8" s="5">
        <v>45736</v>
      </c>
      <c r="C8" s="35" t="s">
        <v>64</v>
      </c>
      <c r="D8" s="35"/>
      <c r="E8" s="6">
        <v>0.33333333333333331</v>
      </c>
      <c r="F8" s="6">
        <v>0.875</v>
      </c>
      <c r="G8" s="6">
        <v>4.1666666666666664E-2</v>
      </c>
      <c r="H8" s="6">
        <f>(F8-E8-G8)</f>
        <v>0.50000000000000011</v>
      </c>
      <c r="I8" s="6">
        <v>0.33333333333333331</v>
      </c>
      <c r="J8" s="7">
        <v>4</v>
      </c>
      <c r="K8" s="20" t="s">
        <v>22</v>
      </c>
      <c r="L8" s="20"/>
      <c r="P8" s="1">
        <v>13</v>
      </c>
      <c r="Q8" s="1">
        <v>1</v>
      </c>
    </row>
    <row r="9" spans="1:17" ht="15.75" x14ac:dyDescent="0.25">
      <c r="A9" s="4">
        <v>3</v>
      </c>
      <c r="B9" s="5">
        <v>45737</v>
      </c>
      <c r="C9" s="35" t="s">
        <v>64</v>
      </c>
      <c r="D9" s="35"/>
      <c r="E9" s="6">
        <v>0.33333333333333331</v>
      </c>
      <c r="F9" s="6">
        <v>0.83333333333333337</v>
      </c>
      <c r="G9" s="6">
        <v>4.1666666666666664E-2</v>
      </c>
      <c r="H9" s="6">
        <f>(F9-E9-G9)</f>
        <v>0.45833333333333331</v>
      </c>
      <c r="I9" s="6">
        <v>0.33333333333333331</v>
      </c>
      <c r="J9" s="7">
        <v>3</v>
      </c>
      <c r="K9" s="20" t="s">
        <v>22</v>
      </c>
      <c r="L9" s="20"/>
      <c r="P9" s="1">
        <v>14</v>
      </c>
      <c r="Q9" s="1">
        <v>2</v>
      </c>
    </row>
    <row r="10" spans="1:17" ht="15.75" x14ac:dyDescent="0.25">
      <c r="A10" s="4">
        <v>4</v>
      </c>
      <c r="B10" s="5">
        <v>45741</v>
      </c>
      <c r="C10" s="35" t="s">
        <v>64</v>
      </c>
      <c r="D10" s="35"/>
      <c r="E10" s="6">
        <v>0.33333333333333331</v>
      </c>
      <c r="F10" s="6">
        <v>0.875</v>
      </c>
      <c r="G10" s="6">
        <v>4.1666666666666664E-2</v>
      </c>
      <c r="H10" s="6">
        <f>(F10-E10-G10)</f>
        <v>0.50000000000000011</v>
      </c>
      <c r="I10" s="6">
        <v>0.33333333333333331</v>
      </c>
      <c r="J10" s="7">
        <v>4</v>
      </c>
      <c r="K10" s="20" t="s">
        <v>22</v>
      </c>
      <c r="L10" s="20"/>
      <c r="P10" s="1">
        <v>15</v>
      </c>
      <c r="Q10" s="1">
        <v>3</v>
      </c>
    </row>
    <row r="11" spans="1:17" ht="15.75" x14ac:dyDescent="0.25">
      <c r="A11" s="4">
        <v>5</v>
      </c>
      <c r="B11" s="5">
        <v>45742</v>
      </c>
      <c r="C11" s="35" t="s">
        <v>64</v>
      </c>
      <c r="D11" s="35"/>
      <c r="E11" s="6">
        <v>0.33333333333333331</v>
      </c>
      <c r="F11" s="6">
        <v>0.83333333333333337</v>
      </c>
      <c r="G11" s="6">
        <v>4.1666666666666664E-2</v>
      </c>
      <c r="H11" s="6">
        <f>(F11-E11-G11)</f>
        <v>0.45833333333333331</v>
      </c>
      <c r="I11" s="6">
        <v>0.33333333333333331</v>
      </c>
      <c r="J11" s="7">
        <v>4</v>
      </c>
      <c r="K11" s="20" t="s">
        <v>22</v>
      </c>
      <c r="L11" s="20"/>
      <c r="P11" s="1">
        <v>16</v>
      </c>
      <c r="Q11" s="1">
        <v>4</v>
      </c>
    </row>
    <row r="12" spans="1:17" ht="15.75" x14ac:dyDescent="0.25">
      <c r="A12" s="4">
        <v>5</v>
      </c>
      <c r="B12" s="68">
        <v>45745</v>
      </c>
      <c r="C12" s="69" t="s">
        <v>64</v>
      </c>
      <c r="D12" s="69"/>
      <c r="E12" s="70">
        <v>0.33333333333333331</v>
      </c>
      <c r="F12" s="70">
        <v>0.625</v>
      </c>
      <c r="G12" s="6">
        <v>4.1666666666666664E-2</v>
      </c>
      <c r="H12" s="6">
        <f>(F12-E12-G12)</f>
        <v>0.25</v>
      </c>
      <c r="I12" s="6">
        <v>0.16666666666666666</v>
      </c>
      <c r="J12" s="71">
        <v>2</v>
      </c>
      <c r="K12" s="72" t="s">
        <v>22</v>
      </c>
      <c r="L12" s="72"/>
      <c r="P12" s="1">
        <v>17</v>
      </c>
      <c r="Q12" s="1">
        <v>5</v>
      </c>
    </row>
    <row r="13" spans="1:17" ht="15.75" x14ac:dyDescent="0.25">
      <c r="A13" s="4"/>
      <c r="B13" s="5">
        <v>45748</v>
      </c>
      <c r="C13" s="35" t="s">
        <v>64</v>
      </c>
      <c r="D13" s="35"/>
      <c r="E13" s="6">
        <v>0.33333333333333331</v>
      </c>
      <c r="F13" s="6">
        <v>0.875</v>
      </c>
      <c r="G13" s="6">
        <v>4.1666666666666664E-2</v>
      </c>
      <c r="H13" s="73" t="s">
        <v>65</v>
      </c>
      <c r="I13" s="6">
        <v>0.33333333333333331</v>
      </c>
      <c r="J13" s="7">
        <v>4</v>
      </c>
      <c r="K13" s="20" t="s">
        <v>22</v>
      </c>
      <c r="L13" s="20"/>
      <c r="P13" s="1">
        <v>18</v>
      </c>
      <c r="Q13" s="1">
        <v>6</v>
      </c>
    </row>
    <row r="14" spans="1:17" ht="15.75" x14ac:dyDescent="0.25">
      <c r="A14" s="4"/>
      <c r="B14" s="5">
        <v>45749</v>
      </c>
      <c r="C14" s="35" t="s">
        <v>64</v>
      </c>
      <c r="D14" s="35"/>
      <c r="E14" s="6">
        <v>0.33333333333333331</v>
      </c>
      <c r="F14" s="6">
        <v>0.83333333333333337</v>
      </c>
      <c r="G14" s="6">
        <v>4.1666666666666664E-2</v>
      </c>
      <c r="H14" s="73" t="s">
        <v>66</v>
      </c>
      <c r="I14" s="6">
        <v>0.33333333333333331</v>
      </c>
      <c r="J14" s="7">
        <v>3</v>
      </c>
      <c r="K14" s="20" t="s">
        <v>22</v>
      </c>
      <c r="L14" s="20"/>
      <c r="P14" s="1">
        <v>19</v>
      </c>
      <c r="Q14" s="1">
        <v>7</v>
      </c>
    </row>
    <row r="15" spans="1:17" ht="15.75" x14ac:dyDescent="0.25">
      <c r="A15" s="4"/>
      <c r="B15" s="5">
        <v>45750</v>
      </c>
      <c r="C15" s="35" t="s">
        <v>64</v>
      </c>
      <c r="D15" s="35"/>
      <c r="E15" s="6">
        <v>0.33333333333333331</v>
      </c>
      <c r="F15" s="6">
        <v>0.875</v>
      </c>
      <c r="G15" s="6">
        <v>4.1666666666666664E-2</v>
      </c>
      <c r="H15" s="73" t="s">
        <v>66</v>
      </c>
      <c r="I15" s="6">
        <v>0.33333333333333331</v>
      </c>
      <c r="J15" s="7">
        <v>3</v>
      </c>
      <c r="K15" s="20" t="s">
        <v>22</v>
      </c>
      <c r="L15" s="20"/>
      <c r="P15" s="1">
        <v>20</v>
      </c>
      <c r="Q15" s="1">
        <v>8</v>
      </c>
    </row>
    <row r="16" spans="1:17" ht="15.75" x14ac:dyDescent="0.25">
      <c r="A16" s="4"/>
      <c r="B16" s="5">
        <v>45751</v>
      </c>
      <c r="C16" s="35" t="s">
        <v>64</v>
      </c>
      <c r="D16" s="35"/>
      <c r="E16" s="6">
        <v>0.33333333333333331</v>
      </c>
      <c r="F16" s="6">
        <v>0.875</v>
      </c>
      <c r="G16" s="6">
        <v>4.1666666666666664E-2</v>
      </c>
      <c r="H16" s="73" t="s">
        <v>65</v>
      </c>
      <c r="I16" s="6">
        <v>0.33333333333333331</v>
      </c>
      <c r="J16" s="7">
        <v>4</v>
      </c>
      <c r="K16" s="20" t="s">
        <v>22</v>
      </c>
      <c r="L16" s="20"/>
      <c r="P16" s="1">
        <v>21</v>
      </c>
      <c r="Q16" s="1">
        <v>9</v>
      </c>
    </row>
    <row r="17" spans="1:18" ht="15.75" x14ac:dyDescent="0.25">
      <c r="A17" s="4">
        <v>5</v>
      </c>
      <c r="B17" s="68">
        <v>45752</v>
      </c>
      <c r="C17" s="69" t="s">
        <v>64</v>
      </c>
      <c r="D17" s="69"/>
      <c r="E17" s="70">
        <v>0.33333333333333331</v>
      </c>
      <c r="F17" s="70">
        <v>0.66666666666666663</v>
      </c>
      <c r="G17" s="6">
        <v>4.1666666666666664E-2</v>
      </c>
      <c r="H17" s="70">
        <f>(F17-E17-G17)</f>
        <v>0.29166666666666663</v>
      </c>
      <c r="I17" s="70">
        <v>0.33333333333333331</v>
      </c>
      <c r="J17" s="71">
        <v>4</v>
      </c>
      <c r="K17" s="72" t="s">
        <v>22</v>
      </c>
      <c r="L17" s="72"/>
      <c r="P17" s="1">
        <v>22</v>
      </c>
      <c r="Q17" s="1">
        <v>10</v>
      </c>
    </row>
    <row r="19" spans="1:18" x14ac:dyDescent="0.25">
      <c r="H19" s="74" t="s">
        <v>14</v>
      </c>
      <c r="I19" s="75"/>
      <c r="J19" s="8">
        <f>SUM(J8:J17)</f>
        <v>35</v>
      </c>
      <c r="R19" s="1">
        <f>97*2</f>
        <v>194</v>
      </c>
    </row>
    <row r="21" spans="1:18" ht="20.100000000000001" customHeight="1" x14ac:dyDescent="0.25">
      <c r="A21" s="25" t="s">
        <v>15</v>
      </c>
      <c r="B21" s="25"/>
      <c r="C21" s="29" t="s">
        <v>67</v>
      </c>
      <c r="D21" s="29"/>
      <c r="E21" s="29"/>
    </row>
    <row r="22" spans="1:18" ht="20.100000000000001" customHeight="1" x14ac:dyDescent="0.25">
      <c r="A22" s="25" t="s">
        <v>16</v>
      </c>
      <c r="B22" s="25"/>
      <c r="C22" s="27" t="s">
        <v>21</v>
      </c>
      <c r="D22" s="27"/>
      <c r="E22" s="27"/>
    </row>
    <row r="23" spans="1:18" ht="20.100000000000001" customHeight="1" x14ac:dyDescent="0.25">
      <c r="A23" s="25" t="s">
        <v>17</v>
      </c>
      <c r="B23" s="25"/>
      <c r="C23" s="25"/>
      <c r="D23" s="26">
        <v>45734</v>
      </c>
      <c r="E23" s="27"/>
    </row>
  </sheetData>
  <mergeCells count="42">
    <mergeCell ref="A22:B22"/>
    <mergeCell ref="C22:E22"/>
    <mergeCell ref="A23:C23"/>
    <mergeCell ref="D23:E23"/>
    <mergeCell ref="C16:D16"/>
    <mergeCell ref="K16:L16"/>
    <mergeCell ref="C17:D17"/>
    <mergeCell ref="K17:L17"/>
    <mergeCell ref="H19:I19"/>
    <mergeCell ref="A21:B21"/>
    <mergeCell ref="C21:E21"/>
    <mergeCell ref="C13:D13"/>
    <mergeCell ref="K13:L13"/>
    <mergeCell ref="C14:D14"/>
    <mergeCell ref="K14:L14"/>
    <mergeCell ref="C15:D15"/>
    <mergeCell ref="K15:L15"/>
    <mergeCell ref="C10:D10"/>
    <mergeCell ref="K10:L10"/>
    <mergeCell ref="C11:D11"/>
    <mergeCell ref="K11:L11"/>
    <mergeCell ref="C12:D12"/>
    <mergeCell ref="K12:L12"/>
    <mergeCell ref="C7:D7"/>
    <mergeCell ref="K7:L7"/>
    <mergeCell ref="C8:D8"/>
    <mergeCell ref="K8:L8"/>
    <mergeCell ref="C9:D9"/>
    <mergeCell ref="K9:L9"/>
    <mergeCell ref="A6:B6"/>
    <mergeCell ref="C6:D6"/>
    <mergeCell ref="E6:F6"/>
    <mergeCell ref="G6:H6"/>
    <mergeCell ref="I6:J6"/>
    <mergeCell ref="K6:L6"/>
    <mergeCell ref="A2:L4"/>
    <mergeCell ref="A5:B5"/>
    <mergeCell ref="C5:D5"/>
    <mergeCell ref="E5:F5"/>
    <mergeCell ref="G5:H5"/>
    <mergeCell ref="I5:J5"/>
    <mergeCell ref="K5:L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C0D9-74BD-47FD-827D-D51FD961D198}">
  <dimension ref="A1:N17"/>
  <sheetViews>
    <sheetView workbookViewId="0">
      <selection activeCell="E32" sqref="E32"/>
    </sheetView>
  </sheetViews>
  <sheetFormatPr baseColWidth="10" defaultRowHeight="15" x14ac:dyDescent="0.25"/>
  <cols>
    <col min="1" max="1" width="3.85546875" style="1" customWidth="1"/>
    <col min="2" max="2" width="14.85546875" style="1" customWidth="1"/>
    <col min="3" max="3" width="14.5703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9" width="13" style="1" customWidth="1"/>
    <col min="10" max="10" width="15.85546875" style="1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4" ht="7.5" customHeight="1" x14ac:dyDescent="0.25"/>
    <row r="2" spans="1:14" ht="24" customHeight="1" x14ac:dyDescent="0.25">
      <c r="A2" s="9" t="s">
        <v>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4" ht="17.25" customHeight="1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4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4" ht="15.75" x14ac:dyDescent="0.25">
      <c r="A5" s="10" t="s">
        <v>11</v>
      </c>
      <c r="B5" s="10"/>
      <c r="C5" s="11" t="s">
        <v>57</v>
      </c>
      <c r="D5" s="12"/>
      <c r="E5" s="13" t="s">
        <v>10</v>
      </c>
      <c r="F5" s="14"/>
      <c r="G5" s="15"/>
      <c r="H5" s="16"/>
      <c r="I5" s="13" t="s">
        <v>9</v>
      </c>
      <c r="J5" s="14"/>
      <c r="K5" s="16" t="s">
        <v>31</v>
      </c>
      <c r="L5" s="17"/>
      <c r="N5" s="37" t="s">
        <v>12</v>
      </c>
    </row>
    <row r="6" spans="1:14" ht="15.75" x14ac:dyDescent="0.25">
      <c r="A6" s="10" t="s">
        <v>19</v>
      </c>
      <c r="B6" s="10"/>
      <c r="C6" s="21" t="s">
        <v>18</v>
      </c>
      <c r="D6" s="22"/>
      <c r="E6" s="13" t="s">
        <v>20</v>
      </c>
      <c r="F6" s="14"/>
      <c r="G6" s="23">
        <v>45732</v>
      </c>
      <c r="H6" s="24"/>
      <c r="I6" s="38" t="s">
        <v>32</v>
      </c>
      <c r="J6" s="39"/>
      <c r="K6" s="23">
        <v>45762</v>
      </c>
      <c r="L6" s="12"/>
    </row>
    <row r="7" spans="1:14" ht="31.5" x14ac:dyDescent="0.25">
      <c r="A7" s="2" t="s">
        <v>0</v>
      </c>
      <c r="B7" s="2" t="s">
        <v>5</v>
      </c>
      <c r="C7" s="18" t="s">
        <v>6</v>
      </c>
      <c r="D7" s="18"/>
      <c r="E7" s="3" t="s">
        <v>1</v>
      </c>
      <c r="F7" s="3" t="s">
        <v>2</v>
      </c>
      <c r="G7" s="3" t="s">
        <v>12</v>
      </c>
      <c r="H7" s="3" t="s">
        <v>13</v>
      </c>
      <c r="I7" s="3" t="s">
        <v>3</v>
      </c>
      <c r="J7" s="3" t="s">
        <v>4</v>
      </c>
      <c r="K7" s="19" t="s">
        <v>7</v>
      </c>
      <c r="L7" s="19"/>
    </row>
    <row r="8" spans="1:14" ht="15.75" x14ac:dyDescent="0.25">
      <c r="A8" s="4">
        <v>2</v>
      </c>
      <c r="B8" s="5">
        <v>45717</v>
      </c>
      <c r="C8" s="35" t="s">
        <v>58</v>
      </c>
      <c r="D8" s="35"/>
      <c r="E8" s="6">
        <v>0.45833333333333331</v>
      </c>
      <c r="F8" s="6">
        <v>0.58333333333333337</v>
      </c>
      <c r="G8" s="6">
        <v>0</v>
      </c>
      <c r="H8" s="6">
        <f>(F8-E8-G8)</f>
        <v>0.12500000000000006</v>
      </c>
      <c r="I8" s="6">
        <v>0</v>
      </c>
      <c r="J8" s="7">
        <v>3</v>
      </c>
      <c r="K8" s="20" t="s">
        <v>22</v>
      </c>
      <c r="L8" s="20"/>
    </row>
    <row r="9" spans="1:14" ht="15.75" x14ac:dyDescent="0.25">
      <c r="A9" s="4">
        <v>3</v>
      </c>
      <c r="B9" s="5">
        <v>45722</v>
      </c>
      <c r="C9" s="35" t="s">
        <v>59</v>
      </c>
      <c r="D9" s="35"/>
      <c r="E9" s="6">
        <v>0.33333333333333331</v>
      </c>
      <c r="F9" s="6">
        <v>0.79166666666666663</v>
      </c>
      <c r="G9" s="6">
        <v>4.1666666666666664E-2</v>
      </c>
      <c r="H9" s="6">
        <f>(F9-E9-G9)</f>
        <v>0.41666666666666663</v>
      </c>
      <c r="I9" s="6">
        <v>0.33333333333333331</v>
      </c>
      <c r="J9" s="7">
        <v>2</v>
      </c>
      <c r="K9" s="20" t="s">
        <v>22</v>
      </c>
      <c r="L9" s="20"/>
    </row>
    <row r="10" spans="1:14" ht="15.75" x14ac:dyDescent="0.25">
      <c r="A10" s="4">
        <v>4</v>
      </c>
      <c r="B10" s="5">
        <v>45723</v>
      </c>
      <c r="C10" s="20" t="s">
        <v>60</v>
      </c>
      <c r="D10" s="20"/>
      <c r="E10" s="6">
        <v>0.33333333333333331</v>
      </c>
      <c r="F10" s="6">
        <v>0.83333333333333337</v>
      </c>
      <c r="G10" s="6">
        <v>4.1666666666666664E-2</v>
      </c>
      <c r="H10" s="6">
        <f>(F10-E10-G10)</f>
        <v>0.45833333333333331</v>
      </c>
      <c r="I10" s="6">
        <v>0.33333333333333331</v>
      </c>
      <c r="J10" s="7">
        <v>3</v>
      </c>
      <c r="K10" s="20" t="s">
        <v>22</v>
      </c>
      <c r="L10" s="20"/>
    </row>
    <row r="11" spans="1:14" ht="15.75" x14ac:dyDescent="0.25">
      <c r="A11" s="4">
        <v>5</v>
      </c>
      <c r="B11" s="5">
        <v>45726</v>
      </c>
      <c r="C11" s="35" t="s">
        <v>61</v>
      </c>
      <c r="D11" s="35"/>
      <c r="E11" s="6">
        <v>0.33333333333333331</v>
      </c>
      <c r="F11" s="6">
        <v>0.75</v>
      </c>
      <c r="G11" s="6">
        <v>4.1666666666666664E-2</v>
      </c>
      <c r="H11" s="6">
        <f>(F11-E11-G11)</f>
        <v>0.375</v>
      </c>
      <c r="I11" s="6">
        <v>0.33333333333333331</v>
      </c>
      <c r="J11" s="7">
        <v>1</v>
      </c>
      <c r="K11" s="20" t="s">
        <v>22</v>
      </c>
      <c r="L11" s="20"/>
    </row>
    <row r="13" spans="1:14" x14ac:dyDescent="0.25">
      <c r="H13" s="28" t="s">
        <v>14</v>
      </c>
      <c r="I13" s="28"/>
      <c r="J13" s="8">
        <f>SUM(J8:J11)</f>
        <v>9</v>
      </c>
    </row>
    <row r="15" spans="1:14" ht="20.100000000000001" customHeight="1" x14ac:dyDescent="0.25">
      <c r="A15" s="25" t="s">
        <v>15</v>
      </c>
      <c r="B15" s="25"/>
      <c r="C15" s="29" t="s">
        <v>57</v>
      </c>
      <c r="D15" s="29"/>
      <c r="E15" s="29"/>
    </row>
    <row r="16" spans="1:14" ht="20.100000000000001" customHeight="1" x14ac:dyDescent="0.25">
      <c r="A16" s="25" t="s">
        <v>16</v>
      </c>
      <c r="B16" s="25"/>
      <c r="C16" s="27" t="s">
        <v>21</v>
      </c>
      <c r="D16" s="27"/>
      <c r="E16" s="27"/>
    </row>
    <row r="17" spans="1:5" ht="20.100000000000001" customHeight="1" x14ac:dyDescent="0.25">
      <c r="A17" s="25" t="s">
        <v>17</v>
      </c>
      <c r="B17" s="25"/>
      <c r="C17" s="25"/>
      <c r="D17" s="26">
        <v>45734</v>
      </c>
      <c r="E17" s="27"/>
    </row>
  </sheetData>
  <mergeCells count="30">
    <mergeCell ref="A16:B16"/>
    <mergeCell ref="C16:E16"/>
    <mergeCell ref="A17:C17"/>
    <mergeCell ref="D17:E17"/>
    <mergeCell ref="C10:D10"/>
    <mergeCell ref="K10:L10"/>
    <mergeCell ref="C11:D11"/>
    <mergeCell ref="K11:L11"/>
    <mergeCell ref="H13:I13"/>
    <mergeCell ref="A15:B15"/>
    <mergeCell ref="C15:E15"/>
    <mergeCell ref="C7:D7"/>
    <mergeCell ref="K7:L7"/>
    <mergeCell ref="C8:D8"/>
    <mergeCell ref="K8:L8"/>
    <mergeCell ref="C9:D9"/>
    <mergeCell ref="K9:L9"/>
    <mergeCell ref="A6:B6"/>
    <mergeCell ref="C6:D6"/>
    <mergeCell ref="E6:F6"/>
    <mergeCell ref="G6:H6"/>
    <mergeCell ref="I6:J6"/>
    <mergeCell ref="K6:L6"/>
    <mergeCell ref="A2:L4"/>
    <mergeCell ref="A5:B5"/>
    <mergeCell ref="C5:D5"/>
    <mergeCell ref="E5:F5"/>
    <mergeCell ref="G5:H5"/>
    <mergeCell ref="I5:J5"/>
    <mergeCell ref="K5:L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9BDF8-179A-4943-B766-8A23E7ABD8C1}">
  <dimension ref="A1:N22"/>
  <sheetViews>
    <sheetView workbookViewId="0">
      <selection activeCell="F24" sqref="F24"/>
    </sheetView>
  </sheetViews>
  <sheetFormatPr baseColWidth="10" defaultRowHeight="15" x14ac:dyDescent="0.25"/>
  <cols>
    <col min="1" max="1" width="3.85546875" style="1" customWidth="1"/>
    <col min="2" max="2" width="14.85546875" style="1" customWidth="1"/>
    <col min="3" max="3" width="14.5703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9" width="13" style="1" customWidth="1"/>
    <col min="10" max="10" width="15.85546875" style="1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4" ht="7.5" customHeight="1" x14ac:dyDescent="0.25"/>
    <row r="2" spans="1:14" ht="24" customHeight="1" x14ac:dyDescent="0.25">
      <c r="A2" s="9" t="s">
        <v>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4" ht="17.25" customHeight="1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4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4" ht="15.75" x14ac:dyDescent="0.25">
      <c r="A5" s="10" t="s">
        <v>11</v>
      </c>
      <c r="B5" s="10"/>
      <c r="C5" s="11" t="s">
        <v>84</v>
      </c>
      <c r="D5" s="12"/>
      <c r="E5" s="13" t="s">
        <v>10</v>
      </c>
      <c r="F5" s="14"/>
      <c r="G5" s="15">
        <v>1143269882</v>
      </c>
      <c r="H5" s="16"/>
      <c r="I5" s="13" t="s">
        <v>9</v>
      </c>
      <c r="J5" s="14"/>
      <c r="K5" s="16" t="s">
        <v>85</v>
      </c>
      <c r="L5" s="17"/>
      <c r="N5" s="37" t="s">
        <v>12</v>
      </c>
    </row>
    <row r="6" spans="1:14" ht="15.75" x14ac:dyDescent="0.25">
      <c r="A6" s="10" t="s">
        <v>19</v>
      </c>
      <c r="B6" s="10"/>
      <c r="C6" s="21" t="s">
        <v>18</v>
      </c>
      <c r="D6" s="22"/>
      <c r="E6" s="13" t="s">
        <v>20</v>
      </c>
      <c r="F6" s="14"/>
      <c r="G6" s="23">
        <v>45734</v>
      </c>
      <c r="H6" s="24"/>
      <c r="I6" s="11" t="s">
        <v>86</v>
      </c>
      <c r="J6" s="12"/>
      <c r="K6" s="23">
        <v>45748</v>
      </c>
      <c r="L6" s="12"/>
    </row>
    <row r="7" spans="1:14" ht="31.5" x14ac:dyDescent="0.25">
      <c r="A7" s="2" t="s">
        <v>0</v>
      </c>
      <c r="B7" s="2" t="s">
        <v>5</v>
      </c>
      <c r="C7" s="18" t="s">
        <v>6</v>
      </c>
      <c r="D7" s="18"/>
      <c r="E7" s="3" t="s">
        <v>1</v>
      </c>
      <c r="F7" s="3" t="s">
        <v>2</v>
      </c>
      <c r="G7" s="3" t="s">
        <v>12</v>
      </c>
      <c r="H7" s="3" t="s">
        <v>13</v>
      </c>
      <c r="I7" s="3" t="s">
        <v>3</v>
      </c>
      <c r="J7" s="3" t="s">
        <v>4</v>
      </c>
      <c r="K7" s="19" t="s">
        <v>7</v>
      </c>
      <c r="L7" s="19"/>
    </row>
    <row r="8" spans="1:14" ht="15.75" x14ac:dyDescent="0.25">
      <c r="A8" s="4">
        <v>1</v>
      </c>
      <c r="B8" s="5">
        <v>45734</v>
      </c>
      <c r="C8" s="77" t="s">
        <v>87</v>
      </c>
      <c r="D8" s="78"/>
      <c r="E8" s="6">
        <v>0.33333333333333331</v>
      </c>
      <c r="F8" s="6">
        <v>0.875</v>
      </c>
      <c r="G8" s="6">
        <v>4.1666666666666664E-2</v>
      </c>
      <c r="H8" s="6">
        <f>(F8-E8-$G$8)</f>
        <v>0.50000000000000011</v>
      </c>
      <c r="I8" s="6">
        <v>0.33333333333333331</v>
      </c>
      <c r="J8" s="79">
        <v>4</v>
      </c>
      <c r="K8" s="80" t="s">
        <v>22</v>
      </c>
      <c r="L8" s="53"/>
    </row>
    <row r="9" spans="1:14" ht="15.75" x14ac:dyDescent="0.25">
      <c r="A9" s="4">
        <v>2</v>
      </c>
      <c r="B9" s="5">
        <v>45735</v>
      </c>
      <c r="C9" s="77" t="s">
        <v>87</v>
      </c>
      <c r="D9" s="78"/>
      <c r="E9" s="6">
        <v>0.33333333333333331</v>
      </c>
      <c r="F9" s="6">
        <v>0.91666666666666663</v>
      </c>
      <c r="G9" s="6">
        <v>4.1666666666666664E-2</v>
      </c>
      <c r="H9" s="6">
        <f t="shared" ref="H9:H12" si="0">(F9-E9-$G$8)</f>
        <v>0.54166666666666663</v>
      </c>
      <c r="I9" s="6">
        <v>0.33333333333333331</v>
      </c>
      <c r="J9" s="79">
        <v>5</v>
      </c>
      <c r="K9" s="80" t="s">
        <v>22</v>
      </c>
      <c r="L9" s="53"/>
    </row>
    <row r="10" spans="1:14" ht="15.75" x14ac:dyDescent="0.25">
      <c r="A10" s="4">
        <v>3</v>
      </c>
      <c r="B10" s="5">
        <v>45736</v>
      </c>
      <c r="C10" s="77" t="s">
        <v>87</v>
      </c>
      <c r="D10" s="78"/>
      <c r="E10" s="6">
        <v>0.33333333333333331</v>
      </c>
      <c r="F10" s="6">
        <v>0.875</v>
      </c>
      <c r="G10" s="6">
        <v>4.1666666666666664E-2</v>
      </c>
      <c r="H10" s="6">
        <f t="shared" si="0"/>
        <v>0.50000000000000011</v>
      </c>
      <c r="I10" s="6">
        <v>0.33333333333333331</v>
      </c>
      <c r="J10" s="79">
        <v>4</v>
      </c>
      <c r="K10" s="80" t="s">
        <v>22</v>
      </c>
      <c r="L10" s="53"/>
    </row>
    <row r="11" spans="1:14" ht="15.75" x14ac:dyDescent="0.25">
      <c r="A11" s="4">
        <v>4</v>
      </c>
      <c r="B11" s="5">
        <v>45737</v>
      </c>
      <c r="C11" s="77" t="s">
        <v>87</v>
      </c>
      <c r="D11" s="78"/>
      <c r="E11" s="6">
        <v>0.33333333333333331</v>
      </c>
      <c r="F11" s="6">
        <v>0.875</v>
      </c>
      <c r="G11" s="6">
        <v>4.1666666666666664E-2</v>
      </c>
      <c r="H11" s="6">
        <f t="shared" si="0"/>
        <v>0.50000000000000011</v>
      </c>
      <c r="I11" s="6">
        <v>0.33333333333333331</v>
      </c>
      <c r="J11" s="79">
        <v>4</v>
      </c>
      <c r="K11" s="80" t="s">
        <v>22</v>
      </c>
      <c r="L11" s="53"/>
    </row>
    <row r="12" spans="1:14" ht="15.75" x14ac:dyDescent="0.25">
      <c r="A12" s="4">
        <v>5</v>
      </c>
      <c r="B12" s="5">
        <v>45658</v>
      </c>
      <c r="C12" s="20" t="s">
        <v>88</v>
      </c>
      <c r="D12" s="20"/>
      <c r="E12" s="6">
        <v>0.33333333333333331</v>
      </c>
      <c r="F12" s="6">
        <v>0.875</v>
      </c>
      <c r="G12" s="6">
        <v>4.1666666666666664E-2</v>
      </c>
      <c r="H12" s="6">
        <f t="shared" si="0"/>
        <v>0.50000000000000011</v>
      </c>
      <c r="I12" s="6">
        <v>0.33333333333333331</v>
      </c>
      <c r="J12" s="79">
        <v>4</v>
      </c>
      <c r="K12" s="20" t="s">
        <v>22</v>
      </c>
      <c r="L12" s="20"/>
    </row>
    <row r="13" spans="1:14" ht="15.75" x14ac:dyDescent="0.25">
      <c r="A13" s="4">
        <v>6</v>
      </c>
      <c r="B13" s="5"/>
      <c r="C13" s="20"/>
      <c r="D13" s="20"/>
      <c r="E13" s="6"/>
      <c r="F13" s="6"/>
      <c r="G13" s="6"/>
      <c r="H13" s="6"/>
      <c r="I13" s="6"/>
      <c r="J13" s="79"/>
      <c r="K13" s="20"/>
      <c r="L13" s="20"/>
    </row>
    <row r="14" spans="1:14" ht="15.75" x14ac:dyDescent="0.25">
      <c r="A14" s="4">
        <v>7</v>
      </c>
      <c r="B14" s="5"/>
      <c r="C14" s="20"/>
      <c r="D14" s="20"/>
      <c r="E14" s="6"/>
      <c r="F14" s="6"/>
      <c r="G14" s="6"/>
      <c r="H14" s="6"/>
      <c r="I14" s="6"/>
      <c r="J14" s="79"/>
      <c r="K14" s="20"/>
      <c r="L14" s="20"/>
    </row>
    <row r="15" spans="1:14" ht="15.75" x14ac:dyDescent="0.25">
      <c r="A15" s="4">
        <v>8</v>
      </c>
      <c r="B15" s="5"/>
      <c r="C15" s="20"/>
      <c r="D15" s="20"/>
      <c r="E15" s="6"/>
      <c r="F15" s="6"/>
      <c r="G15" s="6"/>
      <c r="H15" s="6"/>
      <c r="I15" s="6"/>
      <c r="J15" s="79"/>
      <c r="K15" s="20"/>
      <c r="L15" s="20"/>
    </row>
    <row r="16" spans="1:14" ht="15.75" x14ac:dyDescent="0.25">
      <c r="A16" s="4">
        <v>9</v>
      </c>
      <c r="B16" s="5"/>
      <c r="C16" s="20"/>
      <c r="D16" s="20"/>
      <c r="E16" s="6"/>
      <c r="F16" s="6"/>
      <c r="G16" s="6"/>
      <c r="H16" s="6"/>
      <c r="I16" s="6"/>
      <c r="J16" s="79"/>
      <c r="K16" s="20"/>
      <c r="L16" s="20"/>
    </row>
    <row r="18" spans="1:10" x14ac:dyDescent="0.25">
      <c r="H18" s="28" t="s">
        <v>14</v>
      </c>
      <c r="I18" s="28"/>
      <c r="J18" s="44">
        <f>SUM(J8:J17)</f>
        <v>21</v>
      </c>
    </row>
    <row r="20" spans="1:10" ht="20.100000000000001" customHeight="1" x14ac:dyDescent="0.25">
      <c r="A20" s="25" t="s">
        <v>15</v>
      </c>
      <c r="B20" s="25"/>
      <c r="C20" s="29" t="s">
        <v>89</v>
      </c>
      <c r="D20" s="29"/>
      <c r="E20" s="29"/>
    </row>
    <row r="21" spans="1:10" ht="20.100000000000001" customHeight="1" x14ac:dyDescent="0.25">
      <c r="A21" s="25" t="s">
        <v>16</v>
      </c>
      <c r="B21" s="25"/>
      <c r="C21" s="27" t="s">
        <v>21</v>
      </c>
      <c r="D21" s="27"/>
      <c r="E21" s="27"/>
    </row>
    <row r="22" spans="1:10" ht="20.100000000000001" customHeight="1" x14ac:dyDescent="0.25">
      <c r="A22" s="25" t="s">
        <v>17</v>
      </c>
      <c r="B22" s="25"/>
      <c r="C22" s="25"/>
      <c r="D22" s="26">
        <v>45762</v>
      </c>
      <c r="E22" s="27"/>
      <c r="J22" s="81"/>
    </row>
  </sheetData>
  <mergeCells count="40">
    <mergeCell ref="A22:C22"/>
    <mergeCell ref="D22:E22"/>
    <mergeCell ref="C16:D16"/>
    <mergeCell ref="K16:L16"/>
    <mergeCell ref="H18:I18"/>
    <mergeCell ref="A20:B20"/>
    <mergeCell ref="C20:E20"/>
    <mergeCell ref="A21:B21"/>
    <mergeCell ref="C21:E21"/>
    <mergeCell ref="C13:D13"/>
    <mergeCell ref="K13:L13"/>
    <mergeCell ref="C14:D14"/>
    <mergeCell ref="K14:L14"/>
    <mergeCell ref="C15:D15"/>
    <mergeCell ref="K15:L15"/>
    <mergeCell ref="C10:D10"/>
    <mergeCell ref="K10:L10"/>
    <mergeCell ref="C11:D11"/>
    <mergeCell ref="K11:L11"/>
    <mergeCell ref="C12:D12"/>
    <mergeCell ref="K12:L12"/>
    <mergeCell ref="C7:D7"/>
    <mergeCell ref="K7:L7"/>
    <mergeCell ref="C8:D8"/>
    <mergeCell ref="K8:L8"/>
    <mergeCell ref="C9:D9"/>
    <mergeCell ref="K9:L9"/>
    <mergeCell ref="A6:B6"/>
    <mergeCell ref="C6:D6"/>
    <mergeCell ref="E6:F6"/>
    <mergeCell ref="G6:H6"/>
    <mergeCell ref="I6:J6"/>
    <mergeCell ref="K6:L6"/>
    <mergeCell ref="A2:L4"/>
    <mergeCell ref="A5:B5"/>
    <mergeCell ref="C5:D5"/>
    <mergeCell ref="E5:F5"/>
    <mergeCell ref="G5:H5"/>
    <mergeCell ref="I5:J5"/>
    <mergeCell ref="K5:L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CC74E-060D-4EED-8C47-AA00908435C1}">
  <dimension ref="A2:L17"/>
  <sheetViews>
    <sheetView workbookViewId="0">
      <selection activeCell="J25" sqref="J25"/>
    </sheetView>
  </sheetViews>
  <sheetFormatPr baseColWidth="10" defaultRowHeight="15" x14ac:dyDescent="0.25"/>
  <cols>
    <col min="2" max="2" width="15.28515625" customWidth="1"/>
    <col min="4" max="4" width="24.42578125" customWidth="1"/>
    <col min="6" max="6" width="15.5703125" customWidth="1"/>
  </cols>
  <sheetData>
    <row r="2" spans="1:12" x14ac:dyDescent="0.25">
      <c r="A2" s="9" t="s">
        <v>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ht="15.75" x14ac:dyDescent="0.25">
      <c r="A5" s="10" t="s">
        <v>11</v>
      </c>
      <c r="B5" s="10"/>
      <c r="C5" s="11" t="s">
        <v>80</v>
      </c>
      <c r="D5" s="12"/>
      <c r="E5" s="13" t="s">
        <v>10</v>
      </c>
      <c r="F5" s="14"/>
      <c r="G5" s="15">
        <v>1042355387</v>
      </c>
      <c r="H5" s="16"/>
      <c r="I5" s="13" t="s">
        <v>9</v>
      </c>
      <c r="J5" s="14"/>
      <c r="K5" s="16" t="s">
        <v>81</v>
      </c>
      <c r="L5" s="17"/>
    </row>
    <row r="6" spans="1:12" ht="15.75" x14ac:dyDescent="0.25">
      <c r="A6" s="10" t="s">
        <v>19</v>
      </c>
      <c r="B6" s="10"/>
      <c r="C6" s="21" t="s">
        <v>18</v>
      </c>
      <c r="D6" s="22"/>
      <c r="E6" s="13" t="s">
        <v>20</v>
      </c>
      <c r="F6" s="14"/>
      <c r="G6" s="23">
        <v>45731</v>
      </c>
      <c r="H6" s="24"/>
      <c r="I6" s="21" t="s">
        <v>25</v>
      </c>
      <c r="J6" s="22"/>
      <c r="K6" s="23">
        <v>45762</v>
      </c>
      <c r="L6" s="12"/>
    </row>
    <row r="7" spans="1:12" ht="47.25" x14ac:dyDescent="0.25">
      <c r="A7" s="2" t="s">
        <v>0</v>
      </c>
      <c r="B7" s="2" t="s">
        <v>5</v>
      </c>
      <c r="C7" s="18" t="s">
        <v>6</v>
      </c>
      <c r="D7" s="18"/>
      <c r="E7" s="3" t="s">
        <v>1</v>
      </c>
      <c r="F7" s="3" t="s">
        <v>2</v>
      </c>
      <c r="G7" s="3" t="s">
        <v>12</v>
      </c>
      <c r="H7" s="3" t="s">
        <v>13</v>
      </c>
      <c r="I7" s="3" t="s">
        <v>3</v>
      </c>
      <c r="J7" s="3" t="s">
        <v>4</v>
      </c>
      <c r="K7" s="19" t="s">
        <v>7</v>
      </c>
      <c r="L7" s="19"/>
    </row>
    <row r="8" spans="1:12" ht="15.75" x14ac:dyDescent="0.25">
      <c r="A8" s="4">
        <v>3</v>
      </c>
      <c r="B8" s="5">
        <v>45735</v>
      </c>
      <c r="C8" s="20" t="s">
        <v>27</v>
      </c>
      <c r="D8" s="20"/>
      <c r="E8" s="6">
        <v>0.33333333333333331</v>
      </c>
      <c r="F8" s="6">
        <v>0.83333333333333337</v>
      </c>
      <c r="G8" s="6">
        <v>4.1666666666666664E-2</v>
      </c>
      <c r="H8" s="6">
        <f>(F8-E8-G8)</f>
        <v>0.45833333333333331</v>
      </c>
      <c r="I8" s="6">
        <v>0.33333333333333331</v>
      </c>
      <c r="J8" s="7">
        <v>3</v>
      </c>
      <c r="K8" s="20" t="s">
        <v>22</v>
      </c>
      <c r="L8" s="20"/>
    </row>
    <row r="9" spans="1:12" ht="15.75" x14ac:dyDescent="0.25">
      <c r="A9" s="4">
        <v>4</v>
      </c>
      <c r="B9" s="5">
        <v>45737</v>
      </c>
      <c r="C9" s="20" t="s">
        <v>27</v>
      </c>
      <c r="D9" s="20"/>
      <c r="E9" s="6">
        <v>0.33333333333333331</v>
      </c>
      <c r="F9" s="6">
        <v>0.875</v>
      </c>
      <c r="G9" s="6">
        <v>4.1666666666666664E-2</v>
      </c>
      <c r="H9" s="6">
        <f t="shared" ref="H9:H12" si="0">(F9-E9-G9)</f>
        <v>0.50000000000000011</v>
      </c>
      <c r="I9" s="6">
        <v>0.33333333333333331</v>
      </c>
      <c r="J9" s="7">
        <v>4</v>
      </c>
      <c r="K9" s="20" t="s">
        <v>22</v>
      </c>
      <c r="L9" s="20"/>
    </row>
    <row r="10" spans="1:12" ht="15.75" x14ac:dyDescent="0.25">
      <c r="A10" s="4">
        <v>6</v>
      </c>
      <c r="B10" s="5">
        <v>45742</v>
      </c>
      <c r="C10" s="20" t="s">
        <v>82</v>
      </c>
      <c r="D10" s="20"/>
      <c r="E10" s="6">
        <v>0.33333333333333331</v>
      </c>
      <c r="F10" s="6">
        <v>0.875</v>
      </c>
      <c r="G10" s="6">
        <v>4.1666666666666664E-2</v>
      </c>
      <c r="H10" s="6">
        <f t="shared" si="0"/>
        <v>0.50000000000000011</v>
      </c>
      <c r="I10" s="6">
        <v>0.33333333333333331</v>
      </c>
      <c r="J10" s="7">
        <v>4</v>
      </c>
      <c r="K10" s="20" t="s">
        <v>22</v>
      </c>
      <c r="L10" s="20"/>
    </row>
    <row r="11" spans="1:12" ht="15.75" x14ac:dyDescent="0.25">
      <c r="A11" s="4">
        <v>7</v>
      </c>
      <c r="B11" s="5">
        <v>45749</v>
      </c>
      <c r="C11" s="20" t="s">
        <v>82</v>
      </c>
      <c r="D11" s="20"/>
      <c r="E11" s="6">
        <v>0.33333333333333331</v>
      </c>
      <c r="F11" s="6">
        <v>0.83333333333333337</v>
      </c>
      <c r="G11" s="6">
        <v>4.1666666666666664E-2</v>
      </c>
      <c r="H11" s="6">
        <f t="shared" si="0"/>
        <v>0.45833333333333331</v>
      </c>
      <c r="I11" s="6">
        <v>0.33333333333333331</v>
      </c>
      <c r="J11" s="7">
        <v>3</v>
      </c>
      <c r="K11" s="20" t="s">
        <v>22</v>
      </c>
      <c r="L11" s="20"/>
    </row>
    <row r="12" spans="1:12" ht="15.75" x14ac:dyDescent="0.25">
      <c r="A12" s="4">
        <v>8</v>
      </c>
      <c r="B12" s="5">
        <v>45750</v>
      </c>
      <c r="C12" s="20" t="s">
        <v>82</v>
      </c>
      <c r="D12" s="20"/>
      <c r="E12" s="6">
        <v>0.33333333333333331</v>
      </c>
      <c r="F12" s="6">
        <v>0.83333333333333337</v>
      </c>
      <c r="G12" s="6">
        <v>4.1666666666666664E-2</v>
      </c>
      <c r="H12" s="6">
        <f t="shared" si="0"/>
        <v>0.45833333333333331</v>
      </c>
      <c r="I12" s="6">
        <v>0.33333333333333331</v>
      </c>
      <c r="J12" s="7">
        <v>3</v>
      </c>
      <c r="K12" s="20" t="s">
        <v>22</v>
      </c>
      <c r="L12" s="20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28" t="s">
        <v>14</v>
      </c>
      <c r="I14" s="28"/>
      <c r="J14" s="8">
        <f>SUM(J8:J12)</f>
        <v>17</v>
      </c>
      <c r="K14" s="1"/>
      <c r="L14" s="1"/>
    </row>
    <row r="15" spans="1:12" x14ac:dyDescent="0.25">
      <c r="A15" s="25" t="s">
        <v>15</v>
      </c>
      <c r="B15" s="25"/>
      <c r="C15" s="29" t="s">
        <v>80</v>
      </c>
      <c r="D15" s="29"/>
      <c r="E15" s="29"/>
    </row>
    <row r="16" spans="1:12" x14ac:dyDescent="0.25">
      <c r="A16" s="25" t="s">
        <v>16</v>
      </c>
      <c r="B16" s="25"/>
      <c r="C16" s="27" t="s">
        <v>21</v>
      </c>
      <c r="D16" s="27"/>
      <c r="E16" s="27"/>
    </row>
    <row r="17" spans="1:5" x14ac:dyDescent="0.25">
      <c r="A17" s="25" t="s">
        <v>17</v>
      </c>
      <c r="B17" s="25"/>
      <c r="C17" s="25"/>
      <c r="D17" s="26">
        <v>45762</v>
      </c>
      <c r="E17" s="27"/>
    </row>
  </sheetData>
  <mergeCells count="32">
    <mergeCell ref="H14:I14"/>
    <mergeCell ref="A15:B15"/>
    <mergeCell ref="C15:E15"/>
    <mergeCell ref="A16:B16"/>
    <mergeCell ref="C16:E16"/>
    <mergeCell ref="A17:C17"/>
    <mergeCell ref="D17:E17"/>
    <mergeCell ref="C10:D10"/>
    <mergeCell ref="K10:L10"/>
    <mergeCell ref="C11:D11"/>
    <mergeCell ref="K11:L11"/>
    <mergeCell ref="C12:D12"/>
    <mergeCell ref="K12:L12"/>
    <mergeCell ref="C7:D7"/>
    <mergeCell ref="K7:L7"/>
    <mergeCell ref="C8:D8"/>
    <mergeCell ref="K8:L8"/>
    <mergeCell ref="C9:D9"/>
    <mergeCell ref="K9:L9"/>
    <mergeCell ref="A6:B6"/>
    <mergeCell ref="C6:D6"/>
    <mergeCell ref="E6:F6"/>
    <mergeCell ref="G6:H6"/>
    <mergeCell ref="I6:J6"/>
    <mergeCell ref="K6:L6"/>
    <mergeCell ref="A2:L4"/>
    <mergeCell ref="A5:B5"/>
    <mergeCell ref="C5:D5"/>
    <mergeCell ref="E5:F5"/>
    <mergeCell ref="G5:H5"/>
    <mergeCell ref="I5:J5"/>
    <mergeCell ref="K5:L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E37FD-A155-424B-92EA-7B46AF8C2410}">
  <dimension ref="A2:L23"/>
  <sheetViews>
    <sheetView tabSelected="1" workbookViewId="0">
      <selection activeCell="D35" sqref="D35"/>
    </sheetView>
  </sheetViews>
  <sheetFormatPr baseColWidth="10" defaultRowHeight="15" x14ac:dyDescent="0.25"/>
  <cols>
    <col min="2" max="2" width="16.28515625" customWidth="1"/>
    <col min="4" max="4" width="45.42578125" customWidth="1"/>
    <col min="6" max="6" width="15.5703125" customWidth="1"/>
    <col min="7" max="7" width="13" customWidth="1"/>
    <col min="8" max="8" width="12" bestFit="1" customWidth="1"/>
  </cols>
  <sheetData>
    <row r="2" spans="1:12" x14ac:dyDescent="0.25">
      <c r="A2" s="9" t="s">
        <v>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ht="15.75" x14ac:dyDescent="0.25">
      <c r="A5" s="10" t="s">
        <v>11</v>
      </c>
      <c r="B5" s="10"/>
      <c r="C5" s="11" t="s">
        <v>54</v>
      </c>
      <c r="D5" s="12"/>
      <c r="E5" s="13" t="s">
        <v>10</v>
      </c>
      <c r="F5" s="14"/>
      <c r="G5" s="15" t="s">
        <v>94</v>
      </c>
      <c r="H5" s="16"/>
      <c r="I5" s="13" t="s">
        <v>9</v>
      </c>
      <c r="J5" s="14"/>
      <c r="K5" s="16" t="s">
        <v>69</v>
      </c>
      <c r="L5" s="17"/>
    </row>
    <row r="6" spans="1:12" ht="15.75" x14ac:dyDescent="0.25">
      <c r="A6" s="10" t="s">
        <v>19</v>
      </c>
      <c r="B6" s="10"/>
      <c r="C6" s="21" t="s">
        <v>18</v>
      </c>
      <c r="D6" s="22"/>
      <c r="E6" s="13" t="s">
        <v>20</v>
      </c>
      <c r="F6" s="14"/>
      <c r="G6" s="23">
        <v>45732</v>
      </c>
      <c r="H6" s="24"/>
      <c r="I6" s="21" t="s">
        <v>25</v>
      </c>
      <c r="J6" s="22"/>
      <c r="K6" s="23">
        <v>45762</v>
      </c>
      <c r="L6" s="12"/>
    </row>
    <row r="7" spans="1:12" ht="31.5" x14ac:dyDescent="0.25">
      <c r="A7" s="2" t="s">
        <v>0</v>
      </c>
      <c r="B7" s="2" t="s">
        <v>5</v>
      </c>
      <c r="C7" s="18" t="s">
        <v>6</v>
      </c>
      <c r="D7" s="18"/>
      <c r="E7" s="3" t="s">
        <v>1</v>
      </c>
      <c r="F7" s="3" t="s">
        <v>2</v>
      </c>
      <c r="G7" s="3" t="s">
        <v>12</v>
      </c>
      <c r="H7" s="3" t="s">
        <v>13</v>
      </c>
      <c r="I7" s="3" t="s">
        <v>3</v>
      </c>
      <c r="J7" s="3" t="s">
        <v>4</v>
      </c>
      <c r="K7" s="19" t="s">
        <v>7</v>
      </c>
      <c r="L7" s="19"/>
    </row>
    <row r="8" spans="1:12" ht="15.75" x14ac:dyDescent="0.25">
      <c r="A8" s="4">
        <v>1</v>
      </c>
      <c r="B8" s="105">
        <v>45733</v>
      </c>
      <c r="C8" s="96" t="s">
        <v>95</v>
      </c>
      <c r="D8" s="96"/>
      <c r="E8" s="97">
        <v>0.33333333333333331</v>
      </c>
      <c r="F8" s="6">
        <v>0.79166666666666663</v>
      </c>
      <c r="G8" s="6">
        <v>4.1666666666666664E-2</v>
      </c>
      <c r="H8" s="6">
        <f>F8-E8-G8</f>
        <v>0.41666666666666663</v>
      </c>
      <c r="I8" s="6">
        <v>0.33333333333333331</v>
      </c>
      <c r="J8" s="7">
        <v>2</v>
      </c>
      <c r="K8" s="20" t="s">
        <v>22</v>
      </c>
      <c r="L8" s="20"/>
    </row>
    <row r="9" spans="1:12" ht="15.75" x14ac:dyDescent="0.25">
      <c r="A9" s="102">
        <v>2</v>
      </c>
      <c r="B9" s="106">
        <v>45734</v>
      </c>
      <c r="C9" s="107" t="s">
        <v>96</v>
      </c>
      <c r="D9" s="107"/>
      <c r="E9" s="99">
        <v>0.33333333333333331</v>
      </c>
      <c r="F9" s="101">
        <v>0.875</v>
      </c>
      <c r="G9" s="6">
        <v>4.1666666666666664E-2</v>
      </c>
      <c r="H9" s="6">
        <f t="shared" ref="H9:H17" si="0">F9-E9-G9</f>
        <v>0.50000000000000011</v>
      </c>
      <c r="I9" s="6">
        <v>0.33333333333333331</v>
      </c>
      <c r="J9" s="34">
        <v>4</v>
      </c>
      <c r="K9" s="20" t="s">
        <v>22</v>
      </c>
      <c r="L9" s="20"/>
    </row>
    <row r="10" spans="1:12" ht="15.75" x14ac:dyDescent="0.25">
      <c r="A10" s="102">
        <v>3</v>
      </c>
      <c r="B10" s="106">
        <v>45735</v>
      </c>
      <c r="C10" s="107" t="s">
        <v>97</v>
      </c>
      <c r="D10" s="107"/>
      <c r="E10" s="99">
        <v>0.33333333333333331</v>
      </c>
      <c r="F10" s="101">
        <v>0.91666666666666663</v>
      </c>
      <c r="G10" s="6">
        <v>4.1666666666666664E-2</v>
      </c>
      <c r="H10" s="6">
        <f t="shared" si="0"/>
        <v>0.54166666666666663</v>
      </c>
      <c r="I10" s="6">
        <v>0.33333333333333331</v>
      </c>
      <c r="J10" s="7">
        <v>5</v>
      </c>
      <c r="K10" s="20" t="s">
        <v>22</v>
      </c>
      <c r="L10" s="20"/>
    </row>
    <row r="11" spans="1:12" ht="15.75" x14ac:dyDescent="0.25">
      <c r="A11" s="102">
        <v>4</v>
      </c>
      <c r="B11" s="106">
        <v>45736</v>
      </c>
      <c r="C11" s="107" t="s">
        <v>98</v>
      </c>
      <c r="D11" s="107"/>
      <c r="E11" s="99">
        <v>0.33333333333333331</v>
      </c>
      <c r="F11" s="101">
        <v>0.875</v>
      </c>
      <c r="G11" s="6">
        <v>4.1666666666666664E-2</v>
      </c>
      <c r="H11" s="6">
        <f t="shared" si="0"/>
        <v>0.50000000000000011</v>
      </c>
      <c r="I11" s="6">
        <v>0.33333333333333331</v>
      </c>
      <c r="J11" s="7">
        <v>4</v>
      </c>
      <c r="K11" s="20" t="s">
        <v>22</v>
      </c>
      <c r="L11" s="20"/>
    </row>
    <row r="12" spans="1:12" ht="15.75" x14ac:dyDescent="0.25">
      <c r="A12" s="102">
        <v>5</v>
      </c>
      <c r="B12" s="106">
        <v>45737</v>
      </c>
      <c r="C12" s="107" t="s">
        <v>98</v>
      </c>
      <c r="D12" s="107"/>
      <c r="E12" s="99">
        <v>0.33333333333333331</v>
      </c>
      <c r="F12" s="103">
        <v>0.875</v>
      </c>
      <c r="G12" s="97">
        <v>4.1666666666666664E-2</v>
      </c>
      <c r="H12" s="6">
        <f t="shared" si="0"/>
        <v>0.50000000000000011</v>
      </c>
      <c r="I12" s="97">
        <v>0.33333333333333331</v>
      </c>
      <c r="J12" s="98">
        <v>4</v>
      </c>
      <c r="K12" s="96" t="s">
        <v>22</v>
      </c>
      <c r="L12" s="96"/>
    </row>
    <row r="13" spans="1:12" ht="15.75" x14ac:dyDescent="0.25">
      <c r="A13" s="102">
        <v>8</v>
      </c>
      <c r="B13" s="106">
        <v>45745</v>
      </c>
      <c r="C13" s="107" t="s">
        <v>98</v>
      </c>
      <c r="D13" s="107"/>
      <c r="E13" s="99">
        <v>0.33333333333333331</v>
      </c>
      <c r="F13" s="104">
        <v>0.66666666666666663</v>
      </c>
      <c r="G13" s="97">
        <v>4.1666666666666664E-2</v>
      </c>
      <c r="H13" s="6">
        <f t="shared" si="0"/>
        <v>0.29166666666666663</v>
      </c>
      <c r="I13" s="99">
        <v>0.16666666666666666</v>
      </c>
      <c r="J13" s="100">
        <v>3</v>
      </c>
      <c r="K13" s="96" t="s">
        <v>22</v>
      </c>
      <c r="L13" s="96"/>
    </row>
    <row r="14" spans="1:12" ht="15.75" x14ac:dyDescent="0.25">
      <c r="A14" s="102">
        <v>9</v>
      </c>
      <c r="B14" s="106">
        <v>45752</v>
      </c>
      <c r="C14" s="107" t="s">
        <v>98</v>
      </c>
      <c r="D14" s="107"/>
      <c r="E14" s="99">
        <v>0.33333333333333331</v>
      </c>
      <c r="F14" s="104">
        <v>0.625</v>
      </c>
      <c r="G14" s="97">
        <v>4.1666666666666664E-2</v>
      </c>
      <c r="H14" s="6">
        <f t="shared" si="0"/>
        <v>0.25</v>
      </c>
      <c r="I14" s="99">
        <v>0.16666666666666666</v>
      </c>
      <c r="J14" s="100">
        <v>2</v>
      </c>
      <c r="K14" s="96" t="s">
        <v>22</v>
      </c>
      <c r="L14" s="96"/>
    </row>
    <row r="15" spans="1:12" ht="15.75" x14ac:dyDescent="0.25">
      <c r="A15" s="102">
        <v>10</v>
      </c>
      <c r="B15" s="106">
        <v>45757</v>
      </c>
      <c r="C15" s="107" t="s">
        <v>98</v>
      </c>
      <c r="D15" s="107"/>
      <c r="E15" s="99">
        <v>0.33333333333333331</v>
      </c>
      <c r="F15" s="104">
        <v>0.83333333333333337</v>
      </c>
      <c r="G15" s="97">
        <v>4.1666666666666664E-2</v>
      </c>
      <c r="H15" s="6">
        <f t="shared" si="0"/>
        <v>0.45833333333333331</v>
      </c>
      <c r="I15" s="97">
        <v>0.33333333333333331</v>
      </c>
      <c r="J15" s="100">
        <v>3</v>
      </c>
      <c r="K15" s="96" t="s">
        <v>22</v>
      </c>
      <c r="L15" s="96"/>
    </row>
    <row r="16" spans="1:12" ht="15.75" x14ac:dyDescent="0.25">
      <c r="A16" s="102">
        <v>11</v>
      </c>
      <c r="B16" s="106">
        <v>45758</v>
      </c>
      <c r="C16" s="107" t="s">
        <v>98</v>
      </c>
      <c r="D16" s="107"/>
      <c r="E16" s="99">
        <v>0.33333333333333331</v>
      </c>
      <c r="F16" s="104">
        <v>0.79166666666666663</v>
      </c>
      <c r="G16" s="97">
        <v>4.1666666666666664E-2</v>
      </c>
      <c r="H16" s="6">
        <f t="shared" si="0"/>
        <v>0.41666666666666663</v>
      </c>
      <c r="I16" s="97">
        <v>0.33333333333333331</v>
      </c>
      <c r="J16" s="100">
        <v>2</v>
      </c>
      <c r="K16" s="96" t="s">
        <v>22</v>
      </c>
      <c r="L16" s="96"/>
    </row>
    <row r="17" spans="1:12" ht="15.75" x14ac:dyDescent="0.25">
      <c r="A17" s="102">
        <v>12</v>
      </c>
      <c r="B17" s="106">
        <v>45759</v>
      </c>
      <c r="C17" s="107" t="s">
        <v>98</v>
      </c>
      <c r="D17" s="107"/>
      <c r="E17" s="99">
        <v>0.33333333333333331</v>
      </c>
      <c r="F17" s="104">
        <v>0.66666666666666663</v>
      </c>
      <c r="G17" s="97">
        <v>4.1666666666666664E-2</v>
      </c>
      <c r="H17" s="6">
        <f t="shared" si="0"/>
        <v>0.29166666666666663</v>
      </c>
      <c r="I17" s="99">
        <v>0.16666666666666666</v>
      </c>
      <c r="J17" s="100">
        <v>3</v>
      </c>
      <c r="K17" s="96" t="s">
        <v>22</v>
      </c>
      <c r="L17" s="96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28" t="s">
        <v>14</v>
      </c>
      <c r="I19" s="28"/>
      <c r="J19" s="8">
        <f>SUM(J8:J18)</f>
        <v>32</v>
      </c>
      <c r="K19" s="1"/>
      <c r="L19" s="1"/>
    </row>
    <row r="20" spans="1:12" x14ac:dyDescent="0.25">
      <c r="A20" s="25" t="s">
        <v>15</v>
      </c>
      <c r="B20" s="25"/>
      <c r="C20" s="29" t="s">
        <v>54</v>
      </c>
      <c r="D20" s="29"/>
      <c r="E20" s="29"/>
    </row>
    <row r="21" spans="1:12" x14ac:dyDescent="0.25">
      <c r="A21" s="25" t="s">
        <v>16</v>
      </c>
      <c r="B21" s="25"/>
      <c r="C21" s="27" t="s">
        <v>21</v>
      </c>
      <c r="D21" s="27"/>
      <c r="E21" s="27"/>
    </row>
    <row r="22" spans="1:12" x14ac:dyDescent="0.25">
      <c r="A22" s="25" t="s">
        <v>17</v>
      </c>
      <c r="B22" s="25"/>
      <c r="C22" s="25"/>
      <c r="D22" s="26">
        <v>45768</v>
      </c>
      <c r="E22" s="27"/>
    </row>
    <row r="23" spans="1:12" x14ac:dyDescent="0.25">
      <c r="J23" s="76"/>
    </row>
  </sheetData>
  <mergeCells count="42">
    <mergeCell ref="A21:B21"/>
    <mergeCell ref="C21:E21"/>
    <mergeCell ref="A22:C22"/>
    <mergeCell ref="D22:E22"/>
    <mergeCell ref="C16:D16"/>
    <mergeCell ref="K16:L16"/>
    <mergeCell ref="C17:D17"/>
    <mergeCell ref="K17:L17"/>
    <mergeCell ref="H19:I19"/>
    <mergeCell ref="A20:B20"/>
    <mergeCell ref="C20:E20"/>
    <mergeCell ref="C13:D13"/>
    <mergeCell ref="K13:L13"/>
    <mergeCell ref="C14:D14"/>
    <mergeCell ref="K14:L14"/>
    <mergeCell ref="C15:D15"/>
    <mergeCell ref="K15:L15"/>
    <mergeCell ref="C10:D10"/>
    <mergeCell ref="K10:L10"/>
    <mergeCell ref="C11:D11"/>
    <mergeCell ref="K11:L11"/>
    <mergeCell ref="C12:D12"/>
    <mergeCell ref="K12:L12"/>
    <mergeCell ref="C7:D7"/>
    <mergeCell ref="K7:L7"/>
    <mergeCell ref="C8:D8"/>
    <mergeCell ref="K8:L8"/>
    <mergeCell ref="C9:D9"/>
    <mergeCell ref="K9:L9"/>
    <mergeCell ref="A6:B6"/>
    <mergeCell ref="C6:D6"/>
    <mergeCell ref="E6:F6"/>
    <mergeCell ref="G6:H6"/>
    <mergeCell ref="I6:J6"/>
    <mergeCell ref="K6:L6"/>
    <mergeCell ref="A2:L4"/>
    <mergeCell ref="A5:B5"/>
    <mergeCell ref="C5:D5"/>
    <mergeCell ref="E5:F5"/>
    <mergeCell ref="G5:H5"/>
    <mergeCell ref="I5:J5"/>
    <mergeCell ref="K5:L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35FE3-0004-4DDB-91C6-C2CA887F0EF9}">
  <dimension ref="A1:K25"/>
  <sheetViews>
    <sheetView workbookViewId="0">
      <selection activeCell="H24" sqref="H24"/>
    </sheetView>
  </sheetViews>
  <sheetFormatPr baseColWidth="10" defaultRowHeight="15" x14ac:dyDescent="0.25"/>
  <cols>
    <col min="1" max="1" width="6" customWidth="1"/>
    <col min="2" max="2" width="12" customWidth="1"/>
    <col min="3" max="3" width="11.140625" customWidth="1"/>
    <col min="4" max="4" width="6.140625" customWidth="1"/>
    <col min="6" max="6" width="15" customWidth="1"/>
    <col min="7" max="7" width="14.140625" customWidth="1"/>
    <col min="8" max="8" width="14" customWidth="1"/>
    <col min="9" max="9" width="13.28515625" bestFit="1" customWidth="1"/>
  </cols>
  <sheetData>
    <row r="1" spans="1:11" ht="9.75" customHeight="1" x14ac:dyDescent="0.25"/>
    <row r="2" spans="1:11" ht="23.25" customHeight="1" x14ac:dyDescent="0.25">
      <c r="A2" s="45" t="s">
        <v>41</v>
      </c>
      <c r="B2" s="45"/>
      <c r="C2" s="45"/>
      <c r="D2" s="45"/>
      <c r="E2" s="45"/>
      <c r="F2" s="45"/>
      <c r="G2" s="45"/>
      <c r="H2" s="45"/>
      <c r="I2" s="45"/>
      <c r="J2" s="45"/>
      <c r="K2" s="45"/>
    </row>
    <row r="3" spans="1:11" ht="18.75" customHeight="1" x14ac:dyDescent="0.25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</row>
    <row r="4" spans="1:11" ht="19.5" customHeight="1" x14ac:dyDescent="0.25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</row>
    <row r="5" spans="1:11" ht="15.75" x14ac:dyDescent="0.25">
      <c r="A5" s="10" t="s">
        <v>42</v>
      </c>
      <c r="B5" s="10"/>
      <c r="C5" s="46" t="s">
        <v>38</v>
      </c>
      <c r="D5" s="46"/>
      <c r="E5" s="46"/>
      <c r="F5" s="47" t="s">
        <v>9</v>
      </c>
      <c r="G5" s="48" t="s">
        <v>43</v>
      </c>
      <c r="H5" s="49"/>
      <c r="I5" s="47" t="s">
        <v>44</v>
      </c>
      <c r="J5" s="48" t="s">
        <v>45</v>
      </c>
      <c r="K5" s="50"/>
    </row>
    <row r="6" spans="1:11" ht="15.75" x14ac:dyDescent="0.25">
      <c r="A6" s="10" t="s">
        <v>46</v>
      </c>
      <c r="B6" s="10"/>
      <c r="C6" s="21" t="s">
        <v>99</v>
      </c>
      <c r="D6" s="51"/>
      <c r="E6" s="22"/>
      <c r="F6" s="13" t="s">
        <v>47</v>
      </c>
      <c r="G6" s="14"/>
      <c r="H6" s="52">
        <v>45717</v>
      </c>
      <c r="I6" s="53"/>
      <c r="J6" s="52">
        <v>45731</v>
      </c>
      <c r="K6" s="53"/>
    </row>
    <row r="7" spans="1:11" ht="47.25" x14ac:dyDescent="0.25">
      <c r="A7" s="2" t="s">
        <v>0</v>
      </c>
      <c r="B7" s="54" t="s">
        <v>48</v>
      </c>
      <c r="C7" s="55"/>
      <c r="D7" s="56"/>
      <c r="E7" s="57" t="s">
        <v>49</v>
      </c>
      <c r="F7" s="58"/>
      <c r="G7" s="3" t="s">
        <v>50</v>
      </c>
      <c r="H7" s="59" t="s">
        <v>51</v>
      </c>
      <c r="I7" s="59" t="s">
        <v>52</v>
      </c>
      <c r="J7" s="57" t="s">
        <v>53</v>
      </c>
      <c r="K7" s="58"/>
    </row>
    <row r="8" spans="1:11" ht="15.75" x14ac:dyDescent="0.25">
      <c r="A8" s="4">
        <v>1</v>
      </c>
      <c r="B8" s="23" t="s">
        <v>24</v>
      </c>
      <c r="C8" s="60"/>
      <c r="D8" s="61"/>
      <c r="E8" s="62" t="s">
        <v>56</v>
      </c>
      <c r="F8" s="63"/>
      <c r="G8" s="64">
        <v>19</v>
      </c>
      <c r="H8" s="65"/>
      <c r="I8" s="65">
        <f>H8*G8</f>
        <v>0</v>
      </c>
      <c r="J8" s="20"/>
      <c r="K8" s="20"/>
    </row>
    <row r="9" spans="1:11" ht="15.75" x14ac:dyDescent="0.25">
      <c r="A9" s="4">
        <v>2</v>
      </c>
      <c r="B9" s="23" t="s">
        <v>39</v>
      </c>
      <c r="C9" s="60"/>
      <c r="D9" s="61"/>
      <c r="E9" s="62" t="s">
        <v>31</v>
      </c>
      <c r="F9" s="63"/>
      <c r="G9" s="64">
        <v>38</v>
      </c>
      <c r="H9" s="65"/>
      <c r="I9" s="65">
        <f>H9*G9</f>
        <v>0</v>
      </c>
      <c r="J9" s="20"/>
      <c r="K9" s="20"/>
    </row>
    <row r="10" spans="1:11" ht="15.75" x14ac:dyDescent="0.25">
      <c r="A10" s="4">
        <v>3</v>
      </c>
      <c r="B10" s="23" t="s">
        <v>57</v>
      </c>
      <c r="C10" s="60"/>
      <c r="D10" s="61"/>
      <c r="E10" s="62" t="s">
        <v>31</v>
      </c>
      <c r="F10" s="63"/>
      <c r="G10" s="64">
        <v>9</v>
      </c>
      <c r="H10" s="65"/>
      <c r="I10" s="65">
        <f t="shared" ref="I10:I19" si="0">H10*G10</f>
        <v>0</v>
      </c>
      <c r="J10" s="20"/>
      <c r="K10" s="20"/>
    </row>
    <row r="11" spans="1:11" ht="15.75" x14ac:dyDescent="0.25">
      <c r="A11" s="4">
        <v>4</v>
      </c>
      <c r="B11" s="23" t="s">
        <v>62</v>
      </c>
      <c r="C11" s="60"/>
      <c r="D11" s="61"/>
      <c r="E11" s="62" t="s">
        <v>68</v>
      </c>
      <c r="F11" s="63"/>
      <c r="G11" s="64">
        <v>36</v>
      </c>
      <c r="H11" s="65"/>
      <c r="I11" s="65">
        <f t="shared" si="0"/>
        <v>0</v>
      </c>
      <c r="J11" s="20"/>
      <c r="K11" s="20"/>
    </row>
    <row r="12" spans="1:11" ht="15.75" x14ac:dyDescent="0.25">
      <c r="A12" s="4">
        <v>5</v>
      </c>
      <c r="B12" s="23" t="s">
        <v>78</v>
      </c>
      <c r="C12" s="60"/>
      <c r="D12" s="61"/>
      <c r="E12" s="62" t="s">
        <v>79</v>
      </c>
      <c r="F12" s="63"/>
      <c r="G12" s="64">
        <v>11</v>
      </c>
      <c r="H12" s="65"/>
      <c r="I12" s="65">
        <f t="shared" si="0"/>
        <v>0</v>
      </c>
      <c r="J12" s="20"/>
      <c r="K12" s="20"/>
    </row>
    <row r="13" spans="1:11" ht="15.75" x14ac:dyDescent="0.25">
      <c r="A13" s="4">
        <v>6</v>
      </c>
      <c r="B13" s="23" t="s">
        <v>83</v>
      </c>
      <c r="C13" s="60"/>
      <c r="D13" s="61"/>
      <c r="E13" s="62" t="s">
        <v>68</v>
      </c>
      <c r="F13" s="63"/>
      <c r="G13" s="64">
        <v>17</v>
      </c>
      <c r="H13" s="65"/>
      <c r="I13" s="65">
        <f t="shared" si="0"/>
        <v>0</v>
      </c>
      <c r="J13" s="20"/>
      <c r="K13" s="20"/>
    </row>
    <row r="14" spans="1:11" ht="15.75" x14ac:dyDescent="0.25">
      <c r="A14" s="4">
        <v>7</v>
      </c>
      <c r="B14" s="23" t="s">
        <v>91</v>
      </c>
      <c r="C14" s="60"/>
      <c r="D14" s="61"/>
      <c r="E14" s="62" t="s">
        <v>90</v>
      </c>
      <c r="F14" s="63"/>
      <c r="G14" s="64">
        <v>21</v>
      </c>
      <c r="H14" s="65"/>
      <c r="I14" s="65">
        <f>H14*G14</f>
        <v>0</v>
      </c>
      <c r="J14" s="20"/>
      <c r="K14" s="20"/>
    </row>
    <row r="15" spans="1:11" ht="15.75" x14ac:dyDescent="0.25">
      <c r="A15" s="4">
        <v>8</v>
      </c>
      <c r="B15" s="23" t="s">
        <v>92</v>
      </c>
      <c r="C15" s="60"/>
      <c r="D15" s="61"/>
      <c r="E15" s="62" t="s">
        <v>31</v>
      </c>
      <c r="F15" s="63"/>
      <c r="G15" s="64">
        <v>32</v>
      </c>
      <c r="H15" s="65"/>
      <c r="I15" s="65">
        <f t="shared" si="0"/>
        <v>0</v>
      </c>
      <c r="J15" s="20"/>
      <c r="K15" s="20"/>
    </row>
    <row r="16" spans="1:11" ht="15.75" x14ac:dyDescent="0.25">
      <c r="A16" s="4">
        <v>9</v>
      </c>
      <c r="B16" s="23"/>
      <c r="C16" s="60"/>
      <c r="D16" s="61"/>
      <c r="E16" s="66"/>
      <c r="F16" s="67"/>
      <c r="G16" s="64"/>
      <c r="H16" s="65"/>
      <c r="I16" s="65">
        <f t="shared" si="0"/>
        <v>0</v>
      </c>
      <c r="J16" s="20"/>
      <c r="K16" s="20"/>
    </row>
    <row r="17" spans="1:11" ht="15.75" x14ac:dyDescent="0.25">
      <c r="A17" s="4">
        <v>10</v>
      </c>
      <c r="B17" s="23"/>
      <c r="C17" s="60"/>
      <c r="D17" s="61"/>
      <c r="E17" s="66"/>
      <c r="F17" s="67"/>
      <c r="G17" s="64"/>
      <c r="H17" s="65"/>
      <c r="I17" s="65">
        <f t="shared" si="0"/>
        <v>0</v>
      </c>
      <c r="J17" s="20"/>
      <c r="K17" s="20"/>
    </row>
    <row r="18" spans="1:11" ht="15.75" x14ac:dyDescent="0.25">
      <c r="A18" s="83">
        <v>11</v>
      </c>
      <c r="B18" s="84"/>
      <c r="C18" s="85"/>
      <c r="D18" s="86"/>
      <c r="E18" s="87"/>
      <c r="F18" s="88"/>
      <c r="G18" s="89"/>
      <c r="H18" s="65"/>
      <c r="I18" s="65">
        <f t="shared" si="0"/>
        <v>0</v>
      </c>
      <c r="J18" s="20"/>
      <c r="K18" s="20"/>
    </row>
    <row r="19" spans="1:11" ht="15.75" x14ac:dyDescent="0.25">
      <c r="A19" s="90">
        <v>12</v>
      </c>
      <c r="B19" s="91"/>
      <c r="C19" s="91"/>
      <c r="D19" s="91"/>
      <c r="E19" s="92"/>
      <c r="F19" s="92"/>
      <c r="G19" s="93"/>
      <c r="H19" s="82"/>
      <c r="I19" s="65">
        <f t="shared" si="0"/>
        <v>0</v>
      </c>
      <c r="J19" s="20"/>
      <c r="K19" s="20"/>
    </row>
    <row r="20" spans="1:11" x14ac:dyDescent="0.25">
      <c r="A20" s="94" t="s">
        <v>93</v>
      </c>
      <c r="B20" s="94"/>
      <c r="C20" s="94"/>
      <c r="D20" s="94"/>
      <c r="E20" s="94"/>
      <c r="F20" s="94"/>
      <c r="G20" s="95">
        <f>SUM(G8:G19)</f>
        <v>183</v>
      </c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0.100000000000001" customHeight="1" x14ac:dyDescent="0.25">
      <c r="A23" s="25" t="s">
        <v>16</v>
      </c>
      <c r="B23" s="25"/>
      <c r="C23" s="29" t="s">
        <v>38</v>
      </c>
      <c r="D23" s="29"/>
      <c r="E23" s="29"/>
      <c r="F23" s="29"/>
      <c r="G23" s="29"/>
      <c r="H23" s="1"/>
      <c r="I23" s="1"/>
      <c r="J23" s="1"/>
      <c r="K23" s="1"/>
    </row>
    <row r="24" spans="1:11" ht="20.100000000000001" customHeight="1" x14ac:dyDescent="0.25">
      <c r="A24" s="25" t="s">
        <v>17</v>
      </c>
      <c r="B24" s="25"/>
      <c r="C24" s="25"/>
      <c r="D24" s="26">
        <v>45768</v>
      </c>
      <c r="E24" s="27"/>
      <c r="F24" s="27"/>
      <c r="G24" s="27"/>
      <c r="H24" s="1"/>
      <c r="I24" s="1"/>
      <c r="J24" s="1"/>
      <c r="K24" s="1"/>
    </row>
    <row r="25" spans="1:11" ht="20.100000000000001" customHeight="1" x14ac:dyDescent="0.25"/>
  </sheetData>
  <mergeCells count="54">
    <mergeCell ref="A24:C24"/>
    <mergeCell ref="D24:G24"/>
    <mergeCell ref="A20:F20"/>
    <mergeCell ref="B19:D19"/>
    <mergeCell ref="E19:F19"/>
    <mergeCell ref="J19:K19"/>
    <mergeCell ref="C23:G23"/>
    <mergeCell ref="A23:B23"/>
    <mergeCell ref="B17:D17"/>
    <mergeCell ref="E17:F17"/>
    <mergeCell ref="J17:K17"/>
    <mergeCell ref="B18:D18"/>
    <mergeCell ref="E18:F18"/>
    <mergeCell ref="J18:K18"/>
    <mergeCell ref="B15:D15"/>
    <mergeCell ref="E15:F15"/>
    <mergeCell ref="J15:K15"/>
    <mergeCell ref="B16:D16"/>
    <mergeCell ref="E16:F16"/>
    <mergeCell ref="J16:K16"/>
    <mergeCell ref="B13:D13"/>
    <mergeCell ref="E13:F13"/>
    <mergeCell ref="J13:K13"/>
    <mergeCell ref="B14:D14"/>
    <mergeCell ref="E14:F14"/>
    <mergeCell ref="J14:K14"/>
    <mergeCell ref="B11:D11"/>
    <mergeCell ref="E11:F11"/>
    <mergeCell ref="J11:K11"/>
    <mergeCell ref="B12:D12"/>
    <mergeCell ref="E12:F12"/>
    <mergeCell ref="J12:K12"/>
    <mergeCell ref="B9:D9"/>
    <mergeCell ref="E9:F9"/>
    <mergeCell ref="J9:K9"/>
    <mergeCell ref="B10:D10"/>
    <mergeCell ref="E10:F10"/>
    <mergeCell ref="J10:K10"/>
    <mergeCell ref="B7:D7"/>
    <mergeCell ref="E7:F7"/>
    <mergeCell ref="J7:K7"/>
    <mergeCell ref="B8:D8"/>
    <mergeCell ref="E8:F8"/>
    <mergeCell ref="J8:K8"/>
    <mergeCell ref="A2:K4"/>
    <mergeCell ref="A5:B5"/>
    <mergeCell ref="C5:E5"/>
    <mergeCell ref="G5:H5"/>
    <mergeCell ref="J5:K5"/>
    <mergeCell ref="A6:B6"/>
    <mergeCell ref="C6:E6"/>
    <mergeCell ref="F6:G6"/>
    <mergeCell ref="H6:I6"/>
    <mergeCell ref="J6:K6"/>
  </mergeCells>
  <pageMargins left="0.70866141732283472" right="0.70866141732283472" top="0.74803149606299213" bottom="0.74803149606299213" header="0.31496062992125984" footer="0.31496062992125984"/>
  <pageSetup scale="9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3" ma:contentTypeDescription="Crear nuevo documento." ma:contentTypeScope="" ma:versionID="9b0e5553133b2f4142f2e5705dd684d8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e41be3e45561d4e4b0e258d977097ec9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9AE7BB-0E8D-42D2-BFBF-CB8D6C019EC8}"/>
</file>

<file path=customXml/itemProps2.xml><?xml version="1.0" encoding="utf-8"?>
<ds:datastoreItem xmlns:ds="http://schemas.openxmlformats.org/officeDocument/2006/customXml" ds:itemID="{6203F577-ED79-4CC3-8717-DDB081ABE2C1}"/>
</file>

<file path=customXml/itemProps3.xml><?xml version="1.0" encoding="utf-8"?>
<ds:datastoreItem xmlns:ds="http://schemas.openxmlformats.org/officeDocument/2006/customXml" ds:itemID="{A48EC1EA-C6AC-469D-8968-93E19AE96C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EMA ROMERO</vt:lpstr>
      <vt:lpstr>MARIO OROZCO</vt:lpstr>
      <vt:lpstr>MOISES RINCON</vt:lpstr>
      <vt:lpstr>DAVID TORDECILLA</vt:lpstr>
      <vt:lpstr>JUSTIN ORTIZ</vt:lpstr>
      <vt:lpstr>KEISY ARRIETA</vt:lpstr>
      <vt:lpstr>STEFANY DE LA HOZ</vt:lpstr>
      <vt:lpstr>RONALD GRAJALES</vt:lpstr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GESTION HUMANA</dc:creator>
  <cp:lastModifiedBy>Silia Diaz</cp:lastModifiedBy>
  <cp:lastPrinted>2025-04-21T21:08:25Z</cp:lastPrinted>
  <dcterms:created xsi:type="dcterms:W3CDTF">2025-02-26T13:50:56Z</dcterms:created>
  <dcterms:modified xsi:type="dcterms:W3CDTF">2025-04-22T21:29:19Z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</Properties>
</file>