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6.xml" ContentType="application/vnd.openxmlformats-officedocument.drawing+xml"/>
  <Override PartName="/xl/drawings/drawing5.xml" ContentType="application/vnd.openxmlformats-officedocument.drawing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biosteeldecolombia-my.sharepoint.com/personal/almacen2_biosteeldecolombia_com/Documents/Escritorio/BIOSTEEL/"/>
    </mc:Choice>
  </mc:AlternateContent>
  <xr:revisionPtr revIDLastSave="185" documentId="8_{DF4A5870-D0FD-45BE-94F5-8DCCEE329506}" xr6:coauthVersionLast="47" xr6:coauthVersionMax="47" xr10:uidLastSave="{858AC0A0-B5B2-4AE0-9ECF-FF26BAC4D705}"/>
  <bookViews>
    <workbookView xWindow="-120" yWindow="-120" windowWidth="20730" windowHeight="11040" xr2:uid="{00000000-000D-0000-FFFF-FFFF00000000}"/>
  </bookViews>
  <sheets>
    <sheet name="GENERAL" sheetId="2" r:id="rId1"/>
    <sheet name="MOISES RINCON" sheetId="16" r:id="rId2"/>
    <sheet name="MARIO OROZCO" sheetId="1" r:id="rId3"/>
    <sheet name="JOSE HENAO" sheetId="18" r:id="rId4"/>
    <sheet name="KEISSY ARRIETA" sheetId="14" r:id="rId5"/>
    <sheet name="JUSTIN ORTIZ" sheetId="15" r:id="rId6"/>
  </sheets>
  <definedNames>
    <definedName name="_xlnm.Print_Area" localSheetId="3">'JOSE HENAO'!$A$1:$M$24</definedName>
    <definedName name="_xlnm.Print_Area" localSheetId="2">'MARIO OROZCO'!$A$1:$M$23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8" l="1"/>
  <c r="H8" i="18"/>
  <c r="H13" i="15"/>
  <c r="H12" i="15"/>
  <c r="H11" i="15"/>
  <c r="H10" i="15"/>
  <c r="H14" i="15"/>
  <c r="H15" i="15"/>
  <c r="H8" i="14"/>
  <c r="J17" i="1" l="1"/>
  <c r="J11" i="18"/>
  <c r="D15" i="18"/>
  <c r="J10" i="14"/>
  <c r="J17" i="15"/>
  <c r="G17" i="2" l="1"/>
  <c r="E16" i="1"/>
  <c r="J10" i="16" l="1"/>
  <c r="D22" i="2" l="1"/>
  <c r="I9" i="2" l="1"/>
  <c r="I10" i="2" l="1"/>
  <c r="I11" i="2"/>
  <c r="I12" i="2"/>
  <c r="I13" i="2"/>
  <c r="I14" i="2"/>
  <c r="I15" i="2"/>
  <c r="I16" i="2"/>
  <c r="I17" i="2"/>
</calcChain>
</file>

<file path=xl/sharedStrings.xml><?xml version="1.0" encoding="utf-8"?>
<sst xmlns="http://schemas.openxmlformats.org/spreadsheetml/2006/main" count="195" uniqueCount="70">
  <si>
    <t>N°</t>
  </si>
  <si>
    <t>HORA DE INICIO</t>
  </si>
  <si>
    <t>HORA DE FINALIZACIÓN</t>
  </si>
  <si>
    <t>HORARIO REGULAR</t>
  </si>
  <si>
    <t>HORAS EXTRAS</t>
  </si>
  <si>
    <t xml:space="preserve">FECHA </t>
  </si>
  <si>
    <t>MOTIVO DE SALIDA TARDE</t>
  </si>
  <si>
    <t xml:space="preserve">AUTORIZADO POR </t>
  </si>
  <si>
    <t>PLANILLA INDIVIDUAL REGISTRO DE HORAS EXTRAS</t>
  </si>
  <si>
    <t>CARGO:</t>
  </si>
  <si>
    <t>Auxiliar Logistico</t>
  </si>
  <si>
    <t>IDENTIFICACION:</t>
  </si>
  <si>
    <t>COLABORADOR:</t>
  </si>
  <si>
    <t>HORA DE ALMUERZO</t>
  </si>
  <si>
    <t>HORARIO LABORADO</t>
  </si>
  <si>
    <t>TOTAL DE HORAS:</t>
  </si>
  <si>
    <t xml:space="preserve">ELABORADO POR: </t>
  </si>
  <si>
    <t xml:space="preserve">REVISADO POR: </t>
  </si>
  <si>
    <t>FECHA DE ELABORACION:</t>
  </si>
  <si>
    <t xml:space="preserve">CARGO </t>
  </si>
  <si>
    <t>COORDINADOR LOGISTICO</t>
  </si>
  <si>
    <t>SILIA DIAZ</t>
  </si>
  <si>
    <t xml:space="preserve">PERIODO: </t>
  </si>
  <si>
    <t>NOMBRE DE COLABORADOR</t>
  </si>
  <si>
    <t>JUSTIN ORTIZ</t>
  </si>
  <si>
    <t>MARIO OROZCO</t>
  </si>
  <si>
    <t>AUX. LOGISTICO</t>
  </si>
  <si>
    <t>TOTAL DE HORAS EXTRAS</t>
  </si>
  <si>
    <t>REPORTE GENERAL DE HORAS EXTRAS</t>
  </si>
  <si>
    <t xml:space="preserve">VALOR UNITARIO </t>
  </si>
  <si>
    <t>TOTAL EN VALOR</t>
  </si>
  <si>
    <t>MES:</t>
  </si>
  <si>
    <t>PROCESO:</t>
  </si>
  <si>
    <t>ALMACEN</t>
  </si>
  <si>
    <t>FIRMA DEL COLABORADOR</t>
  </si>
  <si>
    <t xml:space="preserve">MES: </t>
  </si>
  <si>
    <t xml:space="preserve">PERIODO DE: </t>
  </si>
  <si>
    <t>Silia Diaz</t>
  </si>
  <si>
    <t xml:space="preserve">Silia Diaz </t>
  </si>
  <si>
    <t>SEPTIEMBRE</t>
  </si>
  <si>
    <t>KEISY ARRIETA</t>
  </si>
  <si>
    <t xml:space="preserve">JUSTIN ORTIZ RUIZ </t>
  </si>
  <si>
    <t>KEISSY ARRIETA</t>
  </si>
  <si>
    <t>AUXILIAR ADMONISTRATIVO</t>
  </si>
  <si>
    <t>RESPONSABLE:</t>
  </si>
  <si>
    <t xml:space="preserve">MOISES RINCON </t>
  </si>
  <si>
    <t>Mensajero</t>
  </si>
  <si>
    <t>MOISES RINCON</t>
  </si>
  <si>
    <t>MENSAJERO</t>
  </si>
  <si>
    <r>
      <rPr>
        <b/>
        <sz val="12"/>
        <color theme="1"/>
        <rFont val="Calibri"/>
        <family val="2"/>
        <scheme val="minor"/>
      </rPr>
      <t>A</t>
    </r>
    <r>
      <rPr>
        <sz val="12"/>
        <color theme="1"/>
        <rFont val="Calibri"/>
        <family val="2"/>
        <scheme val="minor"/>
      </rPr>
      <t>: OCTUBRE</t>
    </r>
  </si>
  <si>
    <t>Auxiliar Cotizaciones</t>
  </si>
  <si>
    <t>JOSE HENAO</t>
  </si>
  <si>
    <t>OCTUBRE/NOVIEMBRE</t>
  </si>
  <si>
    <t>EMA ROMERO</t>
  </si>
  <si>
    <t xml:space="preserve">DISPONIBILIDAD SABADO </t>
  </si>
  <si>
    <t>SALIDA TARDE REMISIONANDO MATERIAL DE SAMPEDRO Y BAJANDO A CAMPBELL</t>
  </si>
  <si>
    <t>SALIDA TARDE ESPERANDO ARTROSCOPIA DE ABUMAC Y BAJAR A CAMPBELL</t>
  </si>
  <si>
    <t xml:space="preserve">SALIDA TARDE POR INVENTARIO CAMPBELL </t>
  </si>
  <si>
    <t>ESPERANDO MATERIAL ABUMAC E INVENTARIO CAMPBELL</t>
  </si>
  <si>
    <t xml:space="preserve">SALIENDO ESPERANDO MATERIAL DE PROVEEDOR Y ENVIARLO A BARU </t>
  </si>
  <si>
    <t>MARZO</t>
  </si>
  <si>
    <r>
      <rPr>
        <b/>
        <sz val="12"/>
        <color theme="1"/>
        <rFont val="Calibri"/>
        <family val="2"/>
        <scheme val="minor"/>
      </rPr>
      <t>A</t>
    </r>
    <r>
      <rPr>
        <sz val="12"/>
        <color theme="1"/>
        <rFont val="Calibri"/>
        <family val="2"/>
        <scheme val="minor"/>
      </rPr>
      <t>:MARZO</t>
    </r>
  </si>
  <si>
    <t xml:space="preserve"> INVENTARIO CAMPBELL</t>
  </si>
  <si>
    <t>DISPONIBILIDAD SABADO 
VENIR A RECIBIR MATERIAL DE TOCAMEDIC Y ENVIARLO A BAHIA</t>
  </si>
  <si>
    <t>A:MARZO</t>
  </si>
  <si>
    <t>INVENTARIO CAMPBELL</t>
  </si>
  <si>
    <t>ESPERANDO MATERIAL DE TODO ORTOPEDICO Y ENVIANDOLO A CARTAGENA</t>
  </si>
  <si>
    <t>INVENTARIO DE CAMPBELL</t>
  </si>
  <si>
    <t>ESPERANDO MATERIAL DE TODO ORTOPEDICO Y ENVIANDOLO A SANTA MARTA</t>
  </si>
  <si>
    <t>RECOGER PEDIDO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</si>
</sst>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_-* #,##0_-;\-* #,##0_-;_-* &quot;-&quot;??_-;_-@_-"/>
    <numFmt numFmtId="169" formatCode="_-&quot;$&quot;\ * #,##0.00_-;\-&quot;$&quot;\ * #,##0.00_-;_-&quot;$&quot;\ * &quot;-&quot;??_-;_-@_-"/>
    <numFmt numFmtId="170" formatCode="_-* #,##0.00_-;\-* #,##0.0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 Light"/>
      <family val="2"/>
      <scheme val="maj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0" fontId="1" fillId="0" borderId="0" applyFont="0" applyFill="0" applyBorder="0" applyAlignment="0" applyProtection="0"/>
  </cellStyleXfs>
  <cellXfs count="121">
    <xf numFmtId="0" fontId="0" fillId="0" borderId="0" xfId="0"/>
    <xf numFmtId="0" fontId="5" fillId="0" borderId="0" xfId="0" applyFont="1"/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20" fontId="3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64" fontId="3" fillId="0" borderId="1" xfId="1" applyNumberFormat="1" applyFont="1" applyBorder="1" applyAlignment="1">
      <alignment vertical="center"/>
    </xf>
    <xf numFmtId="0" fontId="10" fillId="2" borderId="1" xfId="0" applyFont="1" applyFill="1" applyBorder="1" applyAlignment="1">
      <alignment horizontal="left"/>
    </xf>
    <xf numFmtId="0" fontId="8" fillId="0" borderId="1" xfId="0" applyFont="1" applyBorder="1"/>
    <xf numFmtId="165" fontId="6" fillId="0" borderId="1" xfId="2" applyNumberFormat="1" applyFont="1" applyBorder="1"/>
    <xf numFmtId="165" fontId="6" fillId="0" borderId="1" xfId="0" applyNumberFormat="1" applyFont="1" applyBorder="1"/>
    <xf numFmtId="20" fontId="3" fillId="0" borderId="2" xfId="0" applyNumberFormat="1" applyFont="1" applyBorder="1" applyAlignment="1">
      <alignment horizontal="center" vertical="center"/>
    </xf>
    <xf numFmtId="165" fontId="0" fillId="0" borderId="0" xfId="0" applyNumberFormat="1"/>
    <xf numFmtId="0" fontId="9" fillId="2" borderId="6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49" fontId="5" fillId="0" borderId="0" xfId="0" applyNumberFormat="1" applyFont="1"/>
    <xf numFmtId="0" fontId="9" fillId="2" borderId="6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20" fontId="3" fillId="0" borderId="7" xfId="0" applyNumberFormat="1" applyFont="1" applyBorder="1" applyAlignment="1">
      <alignment horizontal="center" vertical="center"/>
    </xf>
    <xf numFmtId="20" fontId="3" fillId="0" borderId="5" xfId="0" applyNumberFormat="1" applyFont="1" applyBorder="1" applyAlignment="1">
      <alignment horizontal="center" vertical="center"/>
    </xf>
    <xf numFmtId="165" fontId="3" fillId="0" borderId="7" xfId="2" applyNumberFormat="1" applyFont="1" applyBorder="1" applyAlignment="1">
      <alignment horizontal="center" vertical="center"/>
    </xf>
    <xf numFmtId="14" fontId="3" fillId="0" borderId="9" xfId="0" applyNumberFormat="1" applyFont="1" applyBorder="1" applyAlignment="1">
      <alignment horizontal="center" vertical="center"/>
    </xf>
    <xf numFmtId="20" fontId="3" fillId="0" borderId="10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165" fontId="6" fillId="0" borderId="0" xfId="2" applyNumberFormat="1" applyFont="1" applyBorder="1"/>
    <xf numFmtId="43" fontId="3" fillId="0" borderId="0" xfId="2" applyFont="1" applyBorder="1" applyAlignment="1">
      <alignment horizontal="center" vertical="center"/>
    </xf>
    <xf numFmtId="20" fontId="3" fillId="0" borderId="0" xfId="2" applyNumberFormat="1" applyFont="1" applyBorder="1" applyAlignment="1">
      <alignment horizontal="center" vertical="center"/>
    </xf>
    <xf numFmtId="20" fontId="3" fillId="0" borderId="6" xfId="0" applyNumberFormat="1" applyFont="1" applyBorder="1" applyAlignment="1">
      <alignment horizontal="center" vertical="center"/>
    </xf>
    <xf numFmtId="20" fontId="3" fillId="0" borderId="3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14" fontId="3" fillId="0" borderId="2" xfId="0" applyNumberFormat="1" applyFont="1" applyBorder="1" applyAlignment="1">
      <alignment horizontal="left"/>
    </xf>
    <xf numFmtId="14" fontId="3" fillId="0" borderId="4" xfId="0" applyNumberFormat="1" applyFont="1" applyBorder="1" applyAlignment="1">
      <alignment horizontal="left"/>
    </xf>
    <xf numFmtId="14" fontId="3" fillId="0" borderId="3" xfId="0" applyNumberFormat="1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20" fontId="3" fillId="0" borderId="2" xfId="0" applyNumberFormat="1" applyFont="1" applyBorder="1" applyAlignment="1">
      <alignment horizontal="left" vertical="center"/>
    </xf>
    <xf numFmtId="20" fontId="3" fillId="0" borderId="3" xfId="0" applyNumberFormat="1" applyFont="1" applyBorder="1" applyAlignment="1">
      <alignment horizontal="left" vertical="center"/>
    </xf>
    <xf numFmtId="14" fontId="3" fillId="0" borderId="2" xfId="0" applyNumberFormat="1" applyFont="1" applyBorder="1" applyAlignment="1">
      <alignment horizontal="left" vertical="center"/>
    </xf>
    <xf numFmtId="14" fontId="3" fillId="0" borderId="4" xfId="0" applyNumberFormat="1" applyFont="1" applyBorder="1" applyAlignment="1">
      <alignment horizontal="left" vertical="center"/>
    </xf>
    <xf numFmtId="14" fontId="3" fillId="0" borderId="3" xfId="0" applyNumberFormat="1" applyFont="1" applyBorder="1" applyAlignment="1">
      <alignment horizontal="left" vertical="center"/>
    </xf>
    <xf numFmtId="20" fontId="3" fillId="0" borderId="2" xfId="0" applyNumberFormat="1" applyFont="1" applyBorder="1" applyAlignment="1">
      <alignment horizontal="center" vertical="center"/>
    </xf>
    <xf numFmtId="20" fontId="3" fillId="0" borderId="3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5" fillId="0" borderId="4" xfId="0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14" fontId="5" fillId="0" borderId="4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/>
    </xf>
    <xf numFmtId="0" fontId="10" fillId="2" borderId="0" xfId="0" applyFont="1" applyFill="1" applyAlignment="1">
      <alignment horizontal="left"/>
    </xf>
    <xf numFmtId="0" fontId="9" fillId="2" borderId="6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3" borderId="11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14" fontId="3" fillId="0" borderId="6" xfId="0" applyNumberFormat="1" applyFont="1" applyFill="1" applyBorder="1" applyAlignment="1">
      <alignment horizontal="center" vertical="center"/>
    </xf>
    <xf numFmtId="14" fontId="3" fillId="0" borderId="7" xfId="0" applyNumberFormat="1" applyFont="1" applyFill="1" applyBorder="1" applyAlignment="1">
      <alignment horizontal="center" vertical="center"/>
    </xf>
    <xf numFmtId="20" fontId="3" fillId="0" borderId="7" xfId="0" applyNumberFormat="1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20" fontId="11" fillId="4" borderId="1" xfId="0" applyNumberFormat="1" applyFont="1" applyFill="1" applyBorder="1" applyAlignment="1">
      <alignment horizontal="center" vertical="center" wrapText="1"/>
    </xf>
    <xf numFmtId="20" fontId="11" fillId="4" borderId="2" xfId="0" applyNumberFormat="1" applyFont="1" applyFill="1" applyBorder="1" applyAlignment="1">
      <alignment horizontal="center" vertical="center" wrapText="1"/>
    </xf>
    <xf numFmtId="20" fontId="11" fillId="4" borderId="7" xfId="0" applyNumberFormat="1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center" wrapText="1"/>
    </xf>
    <xf numFmtId="0" fontId="11" fillId="4" borderId="13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14" fontId="3" fillId="0" borderId="6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14" fontId="3" fillId="0" borderId="15" xfId="0" applyNumberFormat="1" applyFont="1" applyFill="1" applyBorder="1" applyAlignment="1">
      <alignment horizontal="center" vertical="center"/>
    </xf>
    <xf numFmtId="20" fontId="3" fillId="0" borderId="15" xfId="0" applyNumberFormat="1" applyFont="1" applyFill="1" applyBorder="1" applyAlignment="1">
      <alignment horizontal="center" vertical="center"/>
    </xf>
    <xf numFmtId="14" fontId="3" fillId="0" borderId="7" xfId="0" applyNumberFormat="1" applyFont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14" fontId="11" fillId="0" borderId="1" xfId="0" applyNumberFormat="1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20" fontId="3" fillId="0" borderId="16" xfId="0" applyNumberFormat="1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/>
    </xf>
    <xf numFmtId="20" fontId="3" fillId="0" borderId="1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5" fillId="0" borderId="0" xfId="0" applyFont="1" applyBorder="1"/>
    <xf numFmtId="1" fontId="3" fillId="0" borderId="2" xfId="6" applyNumberFormat="1" applyFont="1" applyBorder="1" applyAlignment="1">
      <alignment horizontal="center" vertical="center"/>
    </xf>
  </cellXfs>
  <cellStyles count="7">
    <cellStyle name="Millares" xfId="2" builtinId="3"/>
    <cellStyle name="Millares 2" xfId="4" xr:uid="{6D9071CC-268F-4E5D-AD4A-7064E4DF6FA8}"/>
    <cellStyle name="Millares 3" xfId="6" xr:uid="{155B77A1-E7C6-451A-9382-C3DD591E1500}"/>
    <cellStyle name="Moneda" xfId="1" builtinId="4"/>
    <cellStyle name="Moneda 2" xfId="3" xr:uid="{DE384E4E-DC39-42FD-9BBD-E4E914639002}"/>
    <cellStyle name="Moneda 3" xfId="5" xr:uid="{40D57319-4955-4BAA-80D0-21D059C4556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34720</xdr:colOff>
      <xdr:row>1</xdr:row>
      <xdr:rowOff>90923</xdr:rowOff>
    </xdr:from>
    <xdr:to>
      <xdr:col>2</xdr:col>
      <xdr:colOff>24193</xdr:colOff>
      <xdr:row>3</xdr:row>
      <xdr:rowOff>161928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7329" y="-11186"/>
          <a:ext cx="604405" cy="11896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63294</xdr:colOff>
      <xdr:row>1</xdr:row>
      <xdr:rowOff>14723</xdr:rowOff>
    </xdr:from>
    <xdr:to>
      <xdr:col>1</xdr:col>
      <xdr:colOff>490917</xdr:colOff>
      <xdr:row>3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4F1F1A0-DBB1-4313-9687-CFDA183EE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98767" y="-130250"/>
          <a:ext cx="518677" cy="118962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34720</xdr:colOff>
      <xdr:row>1</xdr:row>
      <xdr:rowOff>52823</xdr:rowOff>
    </xdr:from>
    <xdr:ext cx="1189623" cy="604405"/>
    <xdr:pic>
      <xdr:nvPicPr>
        <xdr:cNvPr id="3" name="Imagen 2">
          <a:extLst>
            <a:ext uri="{FF2B5EF4-FFF2-40B4-BE49-F238E27FC236}">
              <a16:creationId xmlns:a16="http://schemas.microsoft.com/office/drawing/2014/main" id="{DF9AAED8-A575-4CDD-9F1E-ACBBA540F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7329" y="-144536"/>
          <a:ext cx="604405" cy="1189623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34720</xdr:colOff>
      <xdr:row>1</xdr:row>
      <xdr:rowOff>52823</xdr:rowOff>
    </xdr:from>
    <xdr:ext cx="1189623" cy="604405"/>
    <xdr:pic>
      <xdr:nvPicPr>
        <xdr:cNvPr id="2" name="Imagen 1">
          <a:extLst>
            <a:ext uri="{FF2B5EF4-FFF2-40B4-BE49-F238E27FC236}">
              <a16:creationId xmlns:a16="http://schemas.microsoft.com/office/drawing/2014/main" id="{498AC1AE-B684-4F98-B141-C01B5732B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7329" y="-144536"/>
          <a:ext cx="604405" cy="1189623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34720</xdr:colOff>
      <xdr:row>1</xdr:row>
      <xdr:rowOff>52823</xdr:rowOff>
    </xdr:from>
    <xdr:ext cx="1189623" cy="604405"/>
    <xdr:pic>
      <xdr:nvPicPr>
        <xdr:cNvPr id="2" name="Imagen 1">
          <a:extLst>
            <a:ext uri="{FF2B5EF4-FFF2-40B4-BE49-F238E27FC236}">
              <a16:creationId xmlns:a16="http://schemas.microsoft.com/office/drawing/2014/main" id="{40AA6141-0FDF-4BEB-80CC-8F1AE1178A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7329" y="-49286"/>
          <a:ext cx="604405" cy="1189623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157598</xdr:rowOff>
    </xdr:from>
    <xdr:ext cx="1189623" cy="604405"/>
    <xdr:pic>
      <xdr:nvPicPr>
        <xdr:cNvPr id="3" name="Imagen 2">
          <a:extLst>
            <a:ext uri="{FF2B5EF4-FFF2-40B4-BE49-F238E27FC236}">
              <a16:creationId xmlns:a16="http://schemas.microsoft.com/office/drawing/2014/main" id="{E2156569-63D1-40D6-9146-F773194D5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92609" y="-135011"/>
          <a:ext cx="604405" cy="118962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showGridLines="0" tabSelected="1" topLeftCell="A7" workbookViewId="0">
      <selection activeCell="M16" sqref="M16"/>
    </sheetView>
  </sheetViews>
  <sheetFormatPr baseColWidth="10" defaultRowHeight="15" x14ac:dyDescent="0.25"/>
  <cols>
    <col min="1" max="1" width="6" customWidth="1"/>
    <col min="2" max="2" width="12" customWidth="1"/>
    <col min="3" max="3" width="11.140625" customWidth="1"/>
    <col min="4" max="4" width="6.140625" customWidth="1"/>
    <col min="5" max="5" width="11.42578125" customWidth="1"/>
    <col min="6" max="6" width="17.85546875" customWidth="1"/>
    <col min="7" max="7" width="14.140625" customWidth="1"/>
    <col min="8" max="8" width="14" customWidth="1"/>
    <col min="9" max="9" width="13.28515625" bestFit="1" customWidth="1"/>
  </cols>
  <sheetData>
    <row r="1" spans="1:11" ht="9.75" customHeight="1" x14ac:dyDescent="0.25"/>
    <row r="2" spans="1:11" ht="23.25" customHeight="1" x14ac:dyDescent="0.25">
      <c r="A2" s="41" t="s">
        <v>28</v>
      </c>
      <c r="B2" s="41"/>
      <c r="C2" s="41"/>
      <c r="D2" s="41"/>
      <c r="E2" s="41"/>
      <c r="F2" s="41"/>
      <c r="G2" s="41"/>
      <c r="H2" s="41"/>
      <c r="I2" s="41"/>
      <c r="J2" s="41"/>
      <c r="K2" s="41"/>
    </row>
    <row r="3" spans="1:11" ht="18.75" customHeight="1" x14ac:dyDescent="0.25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</row>
    <row r="4" spans="1:11" ht="19.5" customHeight="1" x14ac:dyDescent="0.25">
      <c r="A4" s="41"/>
      <c r="B4" s="41"/>
      <c r="C4" s="41"/>
      <c r="D4" s="41"/>
      <c r="E4" s="41"/>
      <c r="F4" s="41"/>
      <c r="G4" s="41"/>
      <c r="H4" s="41"/>
      <c r="I4" s="41"/>
      <c r="J4" s="41"/>
      <c r="K4" s="41"/>
    </row>
    <row r="5" spans="1:11" ht="15.75" x14ac:dyDescent="0.25">
      <c r="A5" s="42" t="s">
        <v>44</v>
      </c>
      <c r="B5" s="42"/>
      <c r="C5" s="43" t="s">
        <v>21</v>
      </c>
      <c r="D5" s="43"/>
      <c r="E5" s="43"/>
      <c r="F5" s="11" t="s">
        <v>9</v>
      </c>
      <c r="G5" s="38" t="s">
        <v>20</v>
      </c>
      <c r="H5" s="39"/>
      <c r="I5" s="11" t="s">
        <v>32</v>
      </c>
      <c r="J5" s="38" t="s">
        <v>33</v>
      </c>
      <c r="K5" s="40"/>
    </row>
    <row r="6" spans="1:11" ht="15.75" x14ac:dyDescent="0.25">
      <c r="A6" s="42" t="s">
        <v>31</v>
      </c>
      <c r="B6" s="42"/>
      <c r="C6" s="44" t="s">
        <v>52</v>
      </c>
      <c r="D6" s="45"/>
      <c r="E6" s="46"/>
      <c r="F6" s="47" t="s">
        <v>22</v>
      </c>
      <c r="G6" s="48"/>
      <c r="H6" s="36">
        <v>45946</v>
      </c>
      <c r="I6" s="37"/>
      <c r="J6" s="36">
        <v>45976</v>
      </c>
      <c r="K6" s="37"/>
    </row>
    <row r="7" spans="1:11" ht="47.25" x14ac:dyDescent="0.25">
      <c r="A7" s="2" t="s">
        <v>0</v>
      </c>
      <c r="B7" s="61" t="s">
        <v>23</v>
      </c>
      <c r="C7" s="62"/>
      <c r="D7" s="63"/>
      <c r="E7" s="50" t="s">
        <v>19</v>
      </c>
      <c r="F7" s="51"/>
      <c r="G7" s="3" t="s">
        <v>27</v>
      </c>
      <c r="H7" s="8" t="s">
        <v>29</v>
      </c>
      <c r="I7" s="8" t="s">
        <v>30</v>
      </c>
      <c r="J7" s="50" t="s">
        <v>34</v>
      </c>
      <c r="K7" s="51"/>
    </row>
    <row r="8" spans="1:11" ht="15.75" x14ac:dyDescent="0.25">
      <c r="A8" s="4">
        <v>1</v>
      </c>
      <c r="B8" s="54" t="s">
        <v>25</v>
      </c>
      <c r="C8" s="55"/>
      <c r="D8" s="56"/>
      <c r="E8" s="52" t="s">
        <v>26</v>
      </c>
      <c r="F8" s="53"/>
      <c r="G8" s="7">
        <v>15</v>
      </c>
      <c r="H8" s="9"/>
      <c r="I8" s="9"/>
      <c r="J8" s="49"/>
      <c r="K8" s="49"/>
    </row>
    <row r="9" spans="1:11" ht="15.75" x14ac:dyDescent="0.25">
      <c r="A9" s="4">
        <v>2</v>
      </c>
      <c r="B9" s="54" t="s">
        <v>42</v>
      </c>
      <c r="C9" s="55"/>
      <c r="D9" s="56"/>
      <c r="E9" s="52" t="s">
        <v>43</v>
      </c>
      <c r="F9" s="53"/>
      <c r="G9" s="7">
        <v>3</v>
      </c>
      <c r="H9" s="9"/>
      <c r="I9" s="9">
        <f>H9*G9</f>
        <v>0</v>
      </c>
      <c r="J9" s="49"/>
      <c r="K9" s="49"/>
    </row>
    <row r="10" spans="1:11" ht="15.75" x14ac:dyDescent="0.25">
      <c r="A10" s="4">
        <v>3</v>
      </c>
      <c r="B10" s="54" t="s">
        <v>24</v>
      </c>
      <c r="C10" s="55"/>
      <c r="D10" s="56"/>
      <c r="E10" s="52" t="s">
        <v>26</v>
      </c>
      <c r="F10" s="53"/>
      <c r="G10" s="7">
        <v>14</v>
      </c>
      <c r="H10" s="9"/>
      <c r="I10" s="9">
        <f t="shared" ref="I10:I17" si="0">H10*G10</f>
        <v>0</v>
      </c>
      <c r="J10" s="49"/>
      <c r="K10" s="49"/>
    </row>
    <row r="11" spans="1:11" ht="15.75" x14ac:dyDescent="0.25">
      <c r="A11" s="4">
        <v>4</v>
      </c>
      <c r="B11" s="54" t="s">
        <v>47</v>
      </c>
      <c r="C11" s="55"/>
      <c r="D11" s="56"/>
      <c r="E11" s="52" t="s">
        <v>48</v>
      </c>
      <c r="F11" s="53"/>
      <c r="G11" s="7">
        <v>2</v>
      </c>
      <c r="H11" s="9"/>
      <c r="I11" s="9">
        <f t="shared" si="0"/>
        <v>0</v>
      </c>
      <c r="J11" s="49"/>
      <c r="K11" s="49"/>
    </row>
    <row r="12" spans="1:11" ht="15.75" x14ac:dyDescent="0.25">
      <c r="A12" s="4">
        <v>6</v>
      </c>
      <c r="B12" s="54" t="s">
        <v>51</v>
      </c>
      <c r="C12" s="55"/>
      <c r="D12" s="56"/>
      <c r="E12" s="52" t="s">
        <v>26</v>
      </c>
      <c r="F12" s="53"/>
      <c r="G12" s="7">
        <v>3</v>
      </c>
      <c r="H12" s="9"/>
      <c r="I12" s="9">
        <f t="shared" si="0"/>
        <v>0</v>
      </c>
      <c r="J12" s="49"/>
      <c r="K12" s="49"/>
    </row>
    <row r="13" spans="1:11" ht="15.75" x14ac:dyDescent="0.25">
      <c r="A13" s="4">
        <v>7</v>
      </c>
      <c r="B13" s="54"/>
      <c r="C13" s="55"/>
      <c r="D13" s="56"/>
      <c r="E13" s="52"/>
      <c r="F13" s="53"/>
      <c r="G13" s="7"/>
      <c r="H13" s="9"/>
      <c r="I13" s="9">
        <f t="shared" si="0"/>
        <v>0</v>
      </c>
      <c r="J13" s="49"/>
      <c r="K13" s="49"/>
    </row>
    <row r="14" spans="1:11" ht="15.75" x14ac:dyDescent="0.25">
      <c r="A14" s="4">
        <v>8</v>
      </c>
      <c r="B14" s="54"/>
      <c r="C14" s="55"/>
      <c r="D14" s="56"/>
      <c r="E14" s="57"/>
      <c r="F14" s="58"/>
      <c r="G14" s="7"/>
      <c r="H14" s="9"/>
      <c r="I14" s="9">
        <f t="shared" si="0"/>
        <v>0</v>
      </c>
      <c r="J14" s="49"/>
      <c r="K14" s="49"/>
    </row>
    <row r="15" spans="1:11" ht="15.75" x14ac:dyDescent="0.25">
      <c r="A15" s="4">
        <v>9</v>
      </c>
      <c r="B15" s="54"/>
      <c r="C15" s="55"/>
      <c r="D15" s="56"/>
      <c r="E15" s="57"/>
      <c r="F15" s="58"/>
      <c r="G15" s="7"/>
      <c r="H15" s="9"/>
      <c r="I15" s="9">
        <f t="shared" si="0"/>
        <v>0</v>
      </c>
      <c r="J15" s="49"/>
      <c r="K15" s="49"/>
    </row>
    <row r="16" spans="1:11" ht="15.75" x14ac:dyDescent="0.25">
      <c r="A16" s="4">
        <v>10</v>
      </c>
      <c r="B16" s="54"/>
      <c r="C16" s="55"/>
      <c r="D16" s="56"/>
      <c r="E16" s="57"/>
      <c r="F16" s="58"/>
      <c r="G16" s="7"/>
      <c r="H16" s="9"/>
      <c r="I16" s="9">
        <f t="shared" si="0"/>
        <v>0</v>
      </c>
      <c r="J16" s="49"/>
      <c r="K16" s="49"/>
    </row>
    <row r="17" spans="1:11" ht="15.75" x14ac:dyDescent="0.25">
      <c r="A17" s="4">
        <v>11</v>
      </c>
      <c r="B17" s="54"/>
      <c r="C17" s="55"/>
      <c r="D17" s="56"/>
      <c r="E17" s="57"/>
      <c r="F17" s="58"/>
      <c r="G17" s="7">
        <f>SUM(G8:G16)</f>
        <v>37</v>
      </c>
      <c r="H17" s="9"/>
      <c r="I17" s="9">
        <f t="shared" si="0"/>
        <v>0</v>
      </c>
      <c r="J17" s="49"/>
      <c r="K17" s="49"/>
    </row>
    <row r="18" spans="1:1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20.100000000000001" customHeight="1" x14ac:dyDescent="0.25">
      <c r="A20" s="59" t="s">
        <v>16</v>
      </c>
      <c r="B20" s="59"/>
      <c r="C20" s="65" t="s">
        <v>53</v>
      </c>
      <c r="D20" s="65"/>
      <c r="E20" s="65"/>
      <c r="F20" s="65"/>
      <c r="G20" s="65"/>
      <c r="H20" s="1"/>
      <c r="I20" s="1"/>
      <c r="J20" s="1"/>
      <c r="K20" s="1"/>
    </row>
    <row r="21" spans="1:11" ht="20.100000000000001" customHeight="1" x14ac:dyDescent="0.25">
      <c r="A21" s="59" t="s">
        <v>17</v>
      </c>
      <c r="B21" s="59"/>
      <c r="C21" s="60"/>
      <c r="D21" s="60"/>
      <c r="E21" s="60"/>
      <c r="F21" s="60"/>
      <c r="G21" s="60"/>
      <c r="H21" s="1"/>
      <c r="I21" s="1"/>
      <c r="J21" s="1"/>
      <c r="K21" s="1"/>
    </row>
    <row r="22" spans="1:11" ht="20.100000000000001" customHeight="1" x14ac:dyDescent="0.25">
      <c r="A22" s="59" t="s">
        <v>18</v>
      </c>
      <c r="B22" s="59"/>
      <c r="C22" s="59"/>
      <c r="D22" s="64">
        <f ca="1">TODAY()</f>
        <v>46128</v>
      </c>
      <c r="E22" s="60"/>
      <c r="F22" s="60"/>
      <c r="G22" s="60"/>
      <c r="H22" s="1"/>
      <c r="I22" s="1"/>
      <c r="J22" s="1"/>
      <c r="K22" s="1"/>
    </row>
    <row r="23" spans="1:11" ht="20.100000000000001" customHeight="1" x14ac:dyDescent="0.25"/>
  </sheetData>
  <mergeCells count="49">
    <mergeCell ref="B7:D7"/>
    <mergeCell ref="B8:D8"/>
    <mergeCell ref="A6:B6"/>
    <mergeCell ref="D22:G22"/>
    <mergeCell ref="C20:G20"/>
    <mergeCell ref="E11:F11"/>
    <mergeCell ref="E12:F12"/>
    <mergeCell ref="E13:F13"/>
    <mergeCell ref="E14:F14"/>
    <mergeCell ref="E15:F15"/>
    <mergeCell ref="A22:C22"/>
    <mergeCell ref="B9:D9"/>
    <mergeCell ref="B10:D10"/>
    <mergeCell ref="J17:K17"/>
    <mergeCell ref="A20:B20"/>
    <mergeCell ref="A21:B21"/>
    <mergeCell ref="B17:D17"/>
    <mergeCell ref="E17:F17"/>
    <mergeCell ref="C21:G21"/>
    <mergeCell ref="J14:K14"/>
    <mergeCell ref="J15:K15"/>
    <mergeCell ref="J16:K16"/>
    <mergeCell ref="B14:D14"/>
    <mergeCell ref="B15:D15"/>
    <mergeCell ref="B16:D16"/>
    <mergeCell ref="E16:F16"/>
    <mergeCell ref="J12:K12"/>
    <mergeCell ref="J13:K13"/>
    <mergeCell ref="B12:D12"/>
    <mergeCell ref="B13:D13"/>
    <mergeCell ref="J10:K10"/>
    <mergeCell ref="J11:K11"/>
    <mergeCell ref="B11:D11"/>
    <mergeCell ref="E10:F10"/>
    <mergeCell ref="J8:K8"/>
    <mergeCell ref="J9:K9"/>
    <mergeCell ref="E7:F7"/>
    <mergeCell ref="E8:F8"/>
    <mergeCell ref="E9:F9"/>
    <mergeCell ref="J7:K7"/>
    <mergeCell ref="J6:K6"/>
    <mergeCell ref="G5:H5"/>
    <mergeCell ref="J5:K5"/>
    <mergeCell ref="A2:K4"/>
    <mergeCell ref="A5:B5"/>
    <mergeCell ref="C5:E5"/>
    <mergeCell ref="C6:E6"/>
    <mergeCell ref="F6:G6"/>
    <mergeCell ref="H6:I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AF313-B596-44D9-8A7F-7AA533F99A2F}">
  <dimension ref="A2:L14"/>
  <sheetViews>
    <sheetView workbookViewId="0">
      <selection activeCell="F15" sqref="F15"/>
    </sheetView>
  </sheetViews>
  <sheetFormatPr baseColWidth="10" defaultRowHeight="15" x14ac:dyDescent="0.25"/>
  <cols>
    <col min="2" max="2" width="16.28515625" customWidth="1"/>
    <col min="4" max="4" width="45.42578125" customWidth="1"/>
    <col min="6" max="6" width="15.5703125" customWidth="1"/>
    <col min="7" max="7" width="13" customWidth="1"/>
    <col min="8" max="8" width="12" bestFit="1" customWidth="1"/>
  </cols>
  <sheetData>
    <row r="2" spans="1:12" x14ac:dyDescent="0.25">
      <c r="A2" s="67" t="s">
        <v>8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</row>
    <row r="3" spans="1:12" x14ac:dyDescent="0.25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</row>
    <row r="4" spans="1:12" ht="28.5" customHeight="1" x14ac:dyDescent="0.25">
      <c r="A4" s="67"/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</row>
    <row r="5" spans="1:12" ht="15.75" x14ac:dyDescent="0.25">
      <c r="A5" s="42" t="s">
        <v>12</v>
      </c>
      <c r="B5" s="42"/>
      <c r="C5" s="68" t="s">
        <v>45</v>
      </c>
      <c r="D5" s="66"/>
      <c r="E5" s="47" t="s">
        <v>11</v>
      </c>
      <c r="F5" s="48"/>
      <c r="G5" s="69">
        <v>72157200</v>
      </c>
      <c r="H5" s="70"/>
      <c r="I5" s="47" t="s">
        <v>9</v>
      </c>
      <c r="J5" s="48"/>
      <c r="K5" s="70" t="s">
        <v>46</v>
      </c>
      <c r="L5" s="71"/>
    </row>
    <row r="6" spans="1:12" ht="15.75" x14ac:dyDescent="0.25">
      <c r="A6" s="42" t="s">
        <v>35</v>
      </c>
      <c r="B6" s="42"/>
      <c r="C6" s="44" t="s">
        <v>39</v>
      </c>
      <c r="D6" s="46"/>
      <c r="E6" s="47" t="s">
        <v>36</v>
      </c>
      <c r="F6" s="48"/>
      <c r="G6" s="54">
        <v>45916</v>
      </c>
      <c r="H6" s="72"/>
      <c r="I6" s="44" t="s">
        <v>49</v>
      </c>
      <c r="J6" s="46"/>
      <c r="K6" s="54">
        <v>45945</v>
      </c>
      <c r="L6" s="66"/>
    </row>
    <row r="7" spans="1:12" ht="31.5" x14ac:dyDescent="0.25">
      <c r="A7" s="19" t="s">
        <v>0</v>
      </c>
      <c r="B7" s="19" t="s">
        <v>5</v>
      </c>
      <c r="C7" s="74" t="s">
        <v>6</v>
      </c>
      <c r="D7" s="74"/>
      <c r="E7" s="16" t="s">
        <v>1</v>
      </c>
      <c r="F7" s="16" t="s">
        <v>2</v>
      </c>
      <c r="G7" s="16" t="s">
        <v>13</v>
      </c>
      <c r="H7" s="16" t="s">
        <v>14</v>
      </c>
      <c r="I7" s="16" t="s">
        <v>3</v>
      </c>
      <c r="J7" s="16" t="s">
        <v>4</v>
      </c>
      <c r="K7" s="75" t="s">
        <v>7</v>
      </c>
      <c r="L7" s="75"/>
    </row>
    <row r="8" spans="1:12" ht="15.75" x14ac:dyDescent="0.25">
      <c r="A8" s="20">
        <v>1</v>
      </c>
      <c r="B8" s="24">
        <v>46109</v>
      </c>
      <c r="C8" s="77" t="s">
        <v>69</v>
      </c>
      <c r="D8" s="77"/>
      <c r="E8" s="21">
        <v>0.33333333333333331</v>
      </c>
      <c r="F8" s="21">
        <v>0.41666666666666669</v>
      </c>
      <c r="G8" s="22"/>
      <c r="H8" s="21">
        <v>0</v>
      </c>
      <c r="I8" s="22">
        <v>0</v>
      </c>
      <c r="J8" s="23">
        <v>2</v>
      </c>
      <c r="K8" s="77" t="s">
        <v>21</v>
      </c>
      <c r="L8" s="77"/>
    </row>
    <row r="9" spans="1:12" ht="15.75" x14ac:dyDescent="0.25">
      <c r="A9" s="1"/>
      <c r="B9" s="1"/>
      <c r="C9" s="1"/>
      <c r="D9" s="1"/>
      <c r="E9" s="1"/>
      <c r="F9" s="25"/>
      <c r="G9" s="1"/>
      <c r="H9" s="1"/>
      <c r="I9" s="1"/>
      <c r="J9" s="1"/>
      <c r="K9" s="1"/>
      <c r="L9" s="1"/>
    </row>
    <row r="10" spans="1:12" x14ac:dyDescent="0.25">
      <c r="A10" s="1"/>
      <c r="B10" s="1"/>
      <c r="C10" s="1"/>
      <c r="D10" s="1"/>
      <c r="E10" s="1"/>
      <c r="F10" s="1"/>
      <c r="G10" s="1"/>
      <c r="H10" s="73" t="s">
        <v>15</v>
      </c>
      <c r="I10" s="73"/>
      <c r="J10" s="13">
        <f>SUM(J8:J9)</f>
        <v>2</v>
      </c>
      <c r="K10" s="1"/>
      <c r="L10" s="1"/>
    </row>
    <row r="11" spans="1:12" x14ac:dyDescent="0.25">
      <c r="A11" s="59" t="s">
        <v>16</v>
      </c>
      <c r="B11" s="59"/>
      <c r="C11" s="65" t="s">
        <v>45</v>
      </c>
      <c r="D11" s="65"/>
      <c r="E11" s="65"/>
    </row>
    <row r="12" spans="1:12" x14ac:dyDescent="0.25">
      <c r="A12" s="59" t="s">
        <v>17</v>
      </c>
      <c r="B12" s="59"/>
      <c r="C12" s="60" t="s">
        <v>37</v>
      </c>
      <c r="D12" s="60"/>
      <c r="E12" s="60"/>
    </row>
    <row r="13" spans="1:12" x14ac:dyDescent="0.25">
      <c r="A13" s="59" t="s">
        <v>18</v>
      </c>
      <c r="B13" s="59"/>
      <c r="C13" s="59"/>
      <c r="D13" s="64">
        <v>45763</v>
      </c>
      <c r="E13" s="60"/>
    </row>
    <row r="14" spans="1:12" x14ac:dyDescent="0.25">
      <c r="J14" s="15"/>
    </row>
  </sheetData>
  <mergeCells count="24">
    <mergeCell ref="A6:B6"/>
    <mergeCell ref="C6:D6"/>
    <mergeCell ref="E6:F6"/>
    <mergeCell ref="G6:H6"/>
    <mergeCell ref="I6:J6"/>
    <mergeCell ref="A2:L4"/>
    <mergeCell ref="A5:B5"/>
    <mergeCell ref="C5:D5"/>
    <mergeCell ref="E5:F5"/>
    <mergeCell ref="G5:H5"/>
    <mergeCell ref="I5:J5"/>
    <mergeCell ref="K5:L5"/>
    <mergeCell ref="C7:D7"/>
    <mergeCell ref="K7:L7"/>
    <mergeCell ref="C8:D8"/>
    <mergeCell ref="K8:L8"/>
    <mergeCell ref="K6:L6"/>
    <mergeCell ref="A13:C13"/>
    <mergeCell ref="D13:E13"/>
    <mergeCell ref="H10:I10"/>
    <mergeCell ref="A11:B11"/>
    <mergeCell ref="C11:E11"/>
    <mergeCell ref="A12:B12"/>
    <mergeCell ref="C12:E1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27"/>
  <sheetViews>
    <sheetView showGridLines="0" showRuler="0" showWhiteSpace="0" topLeftCell="A3" zoomScaleNormal="100" workbookViewId="0">
      <selection activeCell="K9" sqref="K9:L9"/>
    </sheetView>
  </sheetViews>
  <sheetFormatPr baseColWidth="10" defaultRowHeight="15" x14ac:dyDescent="0.25"/>
  <cols>
    <col min="1" max="1" width="4.7109375" style="1" customWidth="1"/>
    <col min="2" max="2" width="14.85546875" style="1" customWidth="1"/>
    <col min="3" max="3" width="29.42578125" style="1" customWidth="1"/>
    <col min="4" max="4" width="36" style="1" customWidth="1"/>
    <col min="5" max="5" width="13.5703125" style="1" customWidth="1"/>
    <col min="6" max="6" width="16.28515625" style="1" customWidth="1"/>
    <col min="7" max="7" width="13.5703125" style="1" customWidth="1"/>
    <col min="8" max="8" width="12" style="1" bestFit="1" customWidth="1"/>
    <col min="9" max="9" width="13" style="1" customWidth="1"/>
    <col min="10" max="10" width="15.85546875" style="1" bestFit="1" customWidth="1"/>
    <col min="11" max="11" width="12.42578125" style="1" customWidth="1"/>
    <col min="12" max="12" width="11.42578125" style="1"/>
    <col min="13" max="13" width="3.5703125" style="1" customWidth="1"/>
    <col min="14" max="14" width="11.42578125" style="1" hidden="1" customWidth="1"/>
    <col min="15" max="16384" width="11.42578125" style="1"/>
  </cols>
  <sheetData>
    <row r="1" spans="1:15" ht="7.5" customHeight="1" x14ac:dyDescent="0.25"/>
    <row r="2" spans="1:15" ht="24" customHeight="1" x14ac:dyDescent="0.25">
      <c r="A2" s="67" t="s">
        <v>8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</row>
    <row r="3" spans="1:15" ht="17.25" customHeight="1" x14ac:dyDescent="0.25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</row>
    <row r="4" spans="1:15" ht="15" customHeight="1" x14ac:dyDescent="0.25">
      <c r="A4" s="67"/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</row>
    <row r="5" spans="1:15" ht="17.100000000000001" customHeight="1" x14ac:dyDescent="0.25">
      <c r="A5" s="42" t="s">
        <v>12</v>
      </c>
      <c r="B5" s="42"/>
      <c r="C5" s="68" t="s">
        <v>25</v>
      </c>
      <c r="D5" s="66"/>
      <c r="E5" s="47" t="s">
        <v>11</v>
      </c>
      <c r="F5" s="48"/>
      <c r="G5" s="69">
        <v>1143121183</v>
      </c>
      <c r="H5" s="70"/>
      <c r="I5" s="47" t="s">
        <v>9</v>
      </c>
      <c r="J5" s="48"/>
      <c r="K5" s="70" t="s">
        <v>10</v>
      </c>
      <c r="L5" s="71"/>
      <c r="N5" s="10" t="s">
        <v>13</v>
      </c>
    </row>
    <row r="6" spans="1:15" ht="17.100000000000001" customHeight="1" x14ac:dyDescent="0.25">
      <c r="A6" s="42" t="s">
        <v>35</v>
      </c>
      <c r="B6" s="42"/>
      <c r="C6" s="44" t="s">
        <v>60</v>
      </c>
      <c r="D6" s="46"/>
      <c r="E6" s="47" t="s">
        <v>36</v>
      </c>
      <c r="F6" s="48"/>
      <c r="G6" s="54">
        <v>46082</v>
      </c>
      <c r="H6" s="72"/>
      <c r="I6" s="84" t="s">
        <v>64</v>
      </c>
      <c r="J6" s="85"/>
      <c r="K6" s="54">
        <v>46111</v>
      </c>
      <c r="L6" s="66"/>
    </row>
    <row r="7" spans="1:15" ht="48" customHeight="1" x14ac:dyDescent="0.25">
      <c r="A7" s="2" t="s">
        <v>0</v>
      </c>
      <c r="B7" s="2" t="s">
        <v>5</v>
      </c>
      <c r="C7" s="80" t="s">
        <v>6</v>
      </c>
      <c r="D7" s="80"/>
      <c r="E7" s="3" t="s">
        <v>1</v>
      </c>
      <c r="F7" s="3" t="s">
        <v>2</v>
      </c>
      <c r="G7" s="3" t="s">
        <v>13</v>
      </c>
      <c r="H7" s="3" t="s">
        <v>14</v>
      </c>
      <c r="I7" s="3" t="s">
        <v>3</v>
      </c>
      <c r="J7" s="3" t="s">
        <v>4</v>
      </c>
      <c r="K7" s="75" t="s">
        <v>7</v>
      </c>
      <c r="L7" s="75"/>
    </row>
    <row r="8" spans="1:15" ht="31.5" customHeight="1" x14ac:dyDescent="0.25">
      <c r="A8" s="7">
        <v>1</v>
      </c>
      <c r="B8" s="116">
        <v>46086</v>
      </c>
      <c r="C8" s="76" t="s">
        <v>66</v>
      </c>
      <c r="D8" s="76"/>
      <c r="E8" s="117">
        <v>0.33333333333333331</v>
      </c>
      <c r="F8" s="117">
        <v>0.83333333333333337</v>
      </c>
      <c r="G8" s="117">
        <v>4.1666666666666664E-2</v>
      </c>
      <c r="H8" s="117">
        <v>0.45833333333333331</v>
      </c>
      <c r="I8" s="117">
        <v>0.375</v>
      </c>
      <c r="J8" s="120">
        <v>2</v>
      </c>
      <c r="K8" s="77" t="s">
        <v>38</v>
      </c>
      <c r="L8" s="77"/>
      <c r="M8" s="118"/>
      <c r="N8" s="118"/>
      <c r="O8" s="119"/>
    </row>
    <row r="9" spans="1:15" ht="15.75" customHeight="1" x14ac:dyDescent="0.25">
      <c r="A9" s="7">
        <v>2</v>
      </c>
      <c r="B9" s="116">
        <v>46094</v>
      </c>
      <c r="C9" s="76" t="s">
        <v>67</v>
      </c>
      <c r="D9" s="76"/>
      <c r="E9" s="117">
        <v>0.33333333333333331</v>
      </c>
      <c r="F9" s="117">
        <v>0.91666666666666663</v>
      </c>
      <c r="G9" s="117">
        <v>4.1666666666666664E-2</v>
      </c>
      <c r="H9" s="117">
        <v>0.54166666666666663</v>
      </c>
      <c r="I9" s="117">
        <v>0.375</v>
      </c>
      <c r="J9" s="120">
        <v>4</v>
      </c>
      <c r="K9" s="77" t="s">
        <v>38</v>
      </c>
      <c r="L9" s="77"/>
      <c r="M9" s="118"/>
      <c r="N9" s="118"/>
      <c r="O9" s="119"/>
    </row>
    <row r="10" spans="1:15" ht="15.75" customHeight="1" x14ac:dyDescent="0.25">
      <c r="A10" s="7">
        <v>3</v>
      </c>
      <c r="B10" s="116">
        <v>46095</v>
      </c>
      <c r="C10" s="76" t="s">
        <v>67</v>
      </c>
      <c r="D10" s="76"/>
      <c r="E10" s="117">
        <v>0.33333333333333331</v>
      </c>
      <c r="F10" s="117">
        <v>0.6875</v>
      </c>
      <c r="G10" s="117">
        <v>4.1666666666666664E-2</v>
      </c>
      <c r="H10" s="117">
        <v>0.35416666666666669</v>
      </c>
      <c r="I10" s="117">
        <v>0.33333333333333331</v>
      </c>
      <c r="J10" s="120">
        <v>8</v>
      </c>
      <c r="K10" s="77" t="s">
        <v>38</v>
      </c>
      <c r="L10" s="77"/>
      <c r="M10" s="118"/>
      <c r="N10" s="118"/>
      <c r="O10" s="119"/>
    </row>
    <row r="11" spans="1:15" ht="37.5" customHeight="1" x14ac:dyDescent="0.25">
      <c r="A11" s="7">
        <v>4</v>
      </c>
      <c r="B11" s="116">
        <v>46108</v>
      </c>
      <c r="C11" s="76" t="s">
        <v>68</v>
      </c>
      <c r="D11" s="76"/>
      <c r="E11" s="117">
        <v>0.33333333333333331</v>
      </c>
      <c r="F11" s="117">
        <v>0.80694444444444446</v>
      </c>
      <c r="G11" s="117">
        <v>4.1666666666666664E-2</v>
      </c>
      <c r="H11" s="117">
        <v>0.41666666666666669</v>
      </c>
      <c r="I11" s="117">
        <v>0.375</v>
      </c>
      <c r="J11" s="120">
        <v>1</v>
      </c>
      <c r="K11" s="77" t="s">
        <v>38</v>
      </c>
      <c r="L11" s="77"/>
      <c r="M11" s="118"/>
      <c r="N11" s="118"/>
      <c r="O11" s="119"/>
    </row>
    <row r="12" spans="1:15" ht="15.75" x14ac:dyDescent="0.25">
      <c r="H12" s="28"/>
    </row>
    <row r="14" spans="1:15" x14ac:dyDescent="0.25">
      <c r="B14" s="59" t="s">
        <v>16</v>
      </c>
      <c r="C14" s="59"/>
      <c r="D14" s="65" t="s">
        <v>25</v>
      </c>
      <c r="E14" s="65"/>
      <c r="F14" s="65"/>
    </row>
    <row r="15" spans="1:15" x14ac:dyDescent="0.25">
      <c r="B15" s="59" t="s">
        <v>17</v>
      </c>
      <c r="C15" s="59"/>
      <c r="D15" s="60" t="s">
        <v>21</v>
      </c>
      <c r="E15" s="60"/>
      <c r="F15" s="60"/>
    </row>
    <row r="16" spans="1:15" ht="15.75" x14ac:dyDescent="0.25">
      <c r="A16" s="26"/>
      <c r="B16" s="59" t="s">
        <v>18</v>
      </c>
      <c r="C16" s="59"/>
      <c r="D16" s="59"/>
      <c r="E16" s="64">
        <f ca="1">TODAY()</f>
        <v>46128</v>
      </c>
      <c r="F16" s="60"/>
      <c r="G16" s="28"/>
      <c r="H16" s="28"/>
      <c r="I16" s="28"/>
      <c r="J16" s="31"/>
      <c r="K16" s="87"/>
      <c r="L16" s="87"/>
    </row>
    <row r="17" spans="1:12" ht="15.75" x14ac:dyDescent="0.25">
      <c r="A17" s="26"/>
      <c r="G17" s="28"/>
      <c r="H17" s="73" t="s">
        <v>15</v>
      </c>
      <c r="I17" s="73"/>
      <c r="J17" s="12">
        <f>SUM(J8:J16)</f>
        <v>15</v>
      </c>
      <c r="K17" s="87"/>
      <c r="L17" s="87"/>
    </row>
    <row r="18" spans="1:12" ht="15.75" x14ac:dyDescent="0.25">
      <c r="A18" s="26"/>
      <c r="B18" s="27"/>
      <c r="C18" s="86"/>
      <c r="D18" s="86"/>
      <c r="E18" s="28"/>
      <c r="F18" s="28"/>
      <c r="G18" s="28"/>
      <c r="K18" s="87"/>
      <c r="L18" s="87"/>
    </row>
    <row r="19" spans="1:12" ht="15.75" x14ac:dyDescent="0.25">
      <c r="A19" s="26"/>
      <c r="B19" s="27"/>
      <c r="C19" s="86"/>
      <c r="D19" s="86"/>
      <c r="E19" s="28"/>
      <c r="F19" s="28"/>
      <c r="G19" s="28"/>
      <c r="H19" s="28"/>
      <c r="I19" s="28"/>
      <c r="J19" s="31"/>
      <c r="K19" s="87"/>
      <c r="L19" s="87"/>
    </row>
    <row r="20" spans="1:12" ht="15.75" x14ac:dyDescent="0.25">
      <c r="A20" s="26"/>
      <c r="B20" s="27"/>
      <c r="C20" s="86"/>
      <c r="D20" s="86"/>
      <c r="E20" s="28"/>
      <c r="F20" s="28"/>
      <c r="G20" s="28"/>
      <c r="H20" s="28"/>
      <c r="I20" s="28"/>
      <c r="J20" s="31"/>
      <c r="K20" s="87"/>
      <c r="L20" s="87"/>
    </row>
    <row r="21" spans="1:12" ht="20.100000000000001" customHeight="1" x14ac:dyDescent="0.25">
      <c r="A21" s="26"/>
      <c r="B21" s="27"/>
      <c r="C21" s="86"/>
      <c r="D21" s="86"/>
      <c r="E21" s="28"/>
      <c r="F21" s="28"/>
      <c r="G21" s="28"/>
      <c r="H21" s="28"/>
      <c r="I21" s="28"/>
      <c r="J21" s="30"/>
      <c r="K21" s="87"/>
      <c r="L21" s="87"/>
    </row>
    <row r="22" spans="1:12" ht="20.100000000000001" customHeight="1" x14ac:dyDescent="0.25"/>
    <row r="23" spans="1:12" ht="20.100000000000001" customHeight="1" x14ac:dyDescent="0.25">
      <c r="H23" s="82"/>
      <c r="I23" s="82"/>
      <c r="J23" s="29"/>
    </row>
    <row r="25" spans="1:12" x14ac:dyDescent="0.25">
      <c r="A25" s="59"/>
      <c r="B25" s="59"/>
      <c r="C25" s="83"/>
      <c r="D25" s="83"/>
      <c r="E25" s="83"/>
    </row>
    <row r="26" spans="1:12" x14ac:dyDescent="0.25">
      <c r="A26" s="59"/>
      <c r="B26" s="59"/>
      <c r="C26" s="83"/>
      <c r="D26" s="83"/>
      <c r="E26" s="83"/>
    </row>
    <row r="27" spans="1:12" ht="31.5" customHeight="1" x14ac:dyDescent="0.25">
      <c r="A27" s="59"/>
      <c r="B27" s="59"/>
      <c r="C27" s="59"/>
      <c r="D27" s="81"/>
      <c r="E27" s="81"/>
    </row>
  </sheetData>
  <mergeCells count="51">
    <mergeCell ref="M8:N8"/>
    <mergeCell ref="M9:N9"/>
    <mergeCell ref="M10:N10"/>
    <mergeCell ref="M11:N11"/>
    <mergeCell ref="K8:L8"/>
    <mergeCell ref="K9:L9"/>
    <mergeCell ref="K10:L10"/>
    <mergeCell ref="K11:L11"/>
    <mergeCell ref="C8:D8"/>
    <mergeCell ref="C9:D9"/>
    <mergeCell ref="C10:D10"/>
    <mergeCell ref="K21:L21"/>
    <mergeCell ref="K16:L16"/>
    <mergeCell ref="K17:L17"/>
    <mergeCell ref="C18:D18"/>
    <mergeCell ref="K18:L18"/>
    <mergeCell ref="C19:D19"/>
    <mergeCell ref="K19:L19"/>
    <mergeCell ref="C20:D20"/>
    <mergeCell ref="K20:L20"/>
    <mergeCell ref="H17:I17"/>
    <mergeCell ref="B14:C14"/>
    <mergeCell ref="D14:F14"/>
    <mergeCell ref="B15:C15"/>
    <mergeCell ref="D15:F15"/>
    <mergeCell ref="C5:D5"/>
    <mergeCell ref="E5:F5"/>
    <mergeCell ref="C21:D21"/>
    <mergeCell ref="B16:D16"/>
    <mergeCell ref="E16:F16"/>
    <mergeCell ref="C11:D11"/>
    <mergeCell ref="A27:C27"/>
    <mergeCell ref="D27:E27"/>
    <mergeCell ref="H23:I23"/>
    <mergeCell ref="A25:B25"/>
    <mergeCell ref="C25:E25"/>
    <mergeCell ref="A26:B26"/>
    <mergeCell ref="C26:E26"/>
    <mergeCell ref="A2:L4"/>
    <mergeCell ref="K7:L7"/>
    <mergeCell ref="C7:D7"/>
    <mergeCell ref="K5:L5"/>
    <mergeCell ref="E6:F6"/>
    <mergeCell ref="C6:D6"/>
    <mergeCell ref="K6:L6"/>
    <mergeCell ref="A5:B5"/>
    <mergeCell ref="A6:B6"/>
    <mergeCell ref="G5:H5"/>
    <mergeCell ref="G6:H6"/>
    <mergeCell ref="I5:J5"/>
    <mergeCell ref="I6:J6"/>
  </mergeCells>
  <pageMargins left="0.70866141732283472" right="0.70866141732283472" top="0.74803149606299213" bottom="0.74803149606299213" header="0.31496062992125984" footer="0.31496062992125984"/>
  <pageSetup scale="5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A6A1F-9536-400A-BDAA-C3DD911BE5E9}">
  <sheetPr>
    <pageSetUpPr fitToPage="1"/>
  </sheetPr>
  <dimension ref="A1:N28"/>
  <sheetViews>
    <sheetView showGridLines="0" showRuler="0" showWhiteSpace="0" zoomScaleNormal="100" workbookViewId="0">
      <selection activeCell="C9" sqref="C9:F9"/>
    </sheetView>
  </sheetViews>
  <sheetFormatPr baseColWidth="10" defaultRowHeight="15" x14ac:dyDescent="0.25"/>
  <cols>
    <col min="1" max="1" width="3.85546875" style="1" customWidth="1"/>
    <col min="2" max="2" width="14.85546875" style="1" customWidth="1"/>
    <col min="3" max="3" width="29.42578125" style="1" customWidth="1"/>
    <col min="4" max="4" width="32.42578125" style="1" customWidth="1"/>
    <col min="5" max="5" width="13.5703125" style="1" customWidth="1"/>
    <col min="6" max="6" width="16.28515625" style="1" customWidth="1"/>
    <col min="7" max="7" width="13.5703125" style="1" customWidth="1"/>
    <col min="8" max="8" width="12" style="1" bestFit="1" customWidth="1"/>
    <col min="9" max="9" width="13" style="1" customWidth="1"/>
    <col min="10" max="10" width="15.85546875" style="1" bestFit="1" customWidth="1"/>
    <col min="11" max="11" width="12.42578125" style="1" customWidth="1"/>
    <col min="12" max="12" width="11.42578125" style="1"/>
    <col min="13" max="13" width="3.5703125" style="1" customWidth="1"/>
    <col min="14" max="14" width="11.42578125" style="1" hidden="1" customWidth="1"/>
    <col min="15" max="16384" width="11.42578125" style="1"/>
  </cols>
  <sheetData>
    <row r="1" spans="1:14" ht="7.5" customHeight="1" x14ac:dyDescent="0.25"/>
    <row r="2" spans="1:14" ht="24" customHeight="1" x14ac:dyDescent="0.25">
      <c r="A2" s="67" t="s">
        <v>8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</row>
    <row r="3" spans="1:14" ht="17.25" customHeight="1" x14ac:dyDescent="0.25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</row>
    <row r="4" spans="1:14" ht="15" customHeight="1" x14ac:dyDescent="0.25">
      <c r="A4" s="67"/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</row>
    <row r="5" spans="1:14" ht="17.100000000000001" customHeight="1" x14ac:dyDescent="0.25">
      <c r="A5" s="42" t="s">
        <v>12</v>
      </c>
      <c r="B5" s="42"/>
      <c r="C5" s="68" t="s">
        <v>51</v>
      </c>
      <c r="D5" s="66"/>
      <c r="E5" s="47" t="s">
        <v>11</v>
      </c>
      <c r="F5" s="48"/>
      <c r="G5" s="69">
        <v>1051831886</v>
      </c>
      <c r="H5" s="70"/>
      <c r="I5" s="47" t="s">
        <v>9</v>
      </c>
      <c r="J5" s="48"/>
      <c r="K5" s="70" t="s">
        <v>10</v>
      </c>
      <c r="L5" s="71"/>
      <c r="N5" s="10" t="s">
        <v>13</v>
      </c>
    </row>
    <row r="6" spans="1:14" ht="17.100000000000001" customHeight="1" x14ac:dyDescent="0.25">
      <c r="A6" s="42" t="s">
        <v>35</v>
      </c>
      <c r="B6" s="42"/>
      <c r="C6" s="44" t="s">
        <v>60</v>
      </c>
      <c r="D6" s="46"/>
      <c r="E6" s="47" t="s">
        <v>36</v>
      </c>
      <c r="F6" s="48"/>
      <c r="G6" s="54">
        <v>45946</v>
      </c>
      <c r="H6" s="72"/>
      <c r="I6" s="44" t="s">
        <v>64</v>
      </c>
      <c r="J6" s="46"/>
      <c r="K6" s="54">
        <v>45976</v>
      </c>
      <c r="L6" s="66"/>
    </row>
    <row r="7" spans="1:14" ht="48" customHeight="1" x14ac:dyDescent="0.25">
      <c r="A7" s="2" t="s">
        <v>0</v>
      </c>
      <c r="B7" s="2" t="s">
        <v>5</v>
      </c>
      <c r="C7" s="80" t="s">
        <v>6</v>
      </c>
      <c r="D7" s="80"/>
      <c r="E7" s="3" t="s">
        <v>1</v>
      </c>
      <c r="F7" s="3" t="s">
        <v>2</v>
      </c>
      <c r="G7" s="3" t="s">
        <v>13</v>
      </c>
      <c r="H7" s="3" t="s">
        <v>14</v>
      </c>
      <c r="I7" s="3" t="s">
        <v>3</v>
      </c>
      <c r="J7" s="3" t="s">
        <v>4</v>
      </c>
      <c r="K7" s="78" t="s">
        <v>7</v>
      </c>
      <c r="L7" s="78"/>
    </row>
    <row r="8" spans="1:14" ht="15.75" customHeight="1" x14ac:dyDescent="0.25">
      <c r="A8" s="4">
        <v>1</v>
      </c>
      <c r="B8" s="101">
        <v>46097</v>
      </c>
      <c r="C8" s="102" t="s">
        <v>62</v>
      </c>
      <c r="D8" s="102"/>
      <c r="E8" s="32">
        <v>0.33333333333333298</v>
      </c>
      <c r="F8" s="32">
        <v>0.88124999999999998</v>
      </c>
      <c r="G8" s="32">
        <v>4.1666666666666664E-2</v>
      </c>
      <c r="H8" s="32">
        <f t="shared" ref="H8:H9" si="0">(F8-E8-G8)</f>
        <v>0.50625000000000042</v>
      </c>
      <c r="I8" s="111">
        <v>0.33333333333333331</v>
      </c>
      <c r="J8" s="112">
        <v>3</v>
      </c>
      <c r="K8" s="114" t="s">
        <v>38</v>
      </c>
      <c r="L8" s="79"/>
    </row>
    <row r="9" spans="1:14" ht="54.75" customHeight="1" x14ac:dyDescent="0.25">
      <c r="A9" s="113">
        <v>2</v>
      </c>
      <c r="B9" s="105">
        <v>46102</v>
      </c>
      <c r="C9" s="115" t="s">
        <v>63</v>
      </c>
      <c r="D9" s="115"/>
      <c r="E9" s="21">
        <v>0.33333333333333331</v>
      </c>
      <c r="F9" s="21">
        <v>0.50208333333333333</v>
      </c>
      <c r="G9" s="21">
        <v>0</v>
      </c>
      <c r="H9" s="21">
        <f t="shared" si="0"/>
        <v>0.16875000000000001</v>
      </c>
      <c r="I9" s="21">
        <v>0</v>
      </c>
      <c r="J9" s="17"/>
      <c r="K9" s="77" t="s">
        <v>38</v>
      </c>
      <c r="L9" s="77"/>
    </row>
    <row r="11" spans="1:14" x14ac:dyDescent="0.25">
      <c r="H11" s="73" t="s">
        <v>15</v>
      </c>
      <c r="I11" s="73"/>
      <c r="J11" s="12">
        <f>SUM(J8:J10)</f>
        <v>3</v>
      </c>
    </row>
    <row r="13" spans="1:14" x14ac:dyDescent="0.25">
      <c r="A13" s="59" t="s">
        <v>16</v>
      </c>
      <c r="B13" s="59"/>
      <c r="C13" s="65" t="s">
        <v>51</v>
      </c>
      <c r="D13" s="65"/>
      <c r="E13" s="65"/>
    </row>
    <row r="14" spans="1:14" x14ac:dyDescent="0.25">
      <c r="A14" s="59" t="s">
        <v>17</v>
      </c>
      <c r="B14" s="59"/>
      <c r="C14" s="60" t="s">
        <v>21</v>
      </c>
      <c r="D14" s="60"/>
      <c r="E14" s="60"/>
    </row>
    <row r="15" spans="1:14" x14ac:dyDescent="0.25">
      <c r="A15" s="59" t="s">
        <v>18</v>
      </c>
      <c r="B15" s="59"/>
      <c r="C15" s="59"/>
      <c r="D15" s="64">
        <f ca="1">TODAY()</f>
        <v>46128</v>
      </c>
      <c r="E15" s="60"/>
    </row>
    <row r="16" spans="1:14" ht="31.5" customHeight="1" x14ac:dyDescent="0.25"/>
    <row r="17" spans="1:12" ht="30" customHeight="1" x14ac:dyDescent="0.25">
      <c r="A17" s="26"/>
      <c r="B17" s="27"/>
      <c r="C17" s="86"/>
      <c r="D17" s="86"/>
      <c r="E17" s="28"/>
      <c r="F17" s="28"/>
      <c r="G17" s="28"/>
      <c r="H17" s="28"/>
      <c r="I17" s="28"/>
      <c r="J17" s="31"/>
      <c r="K17" s="87"/>
      <c r="L17" s="87"/>
    </row>
    <row r="18" spans="1:12" ht="30.75" customHeight="1" x14ac:dyDescent="0.25">
      <c r="A18" s="26"/>
      <c r="B18" s="27"/>
      <c r="C18" s="86"/>
      <c r="D18" s="86"/>
      <c r="E18" s="28"/>
      <c r="F18" s="28"/>
      <c r="G18" s="28"/>
      <c r="H18" s="28"/>
      <c r="I18" s="28"/>
      <c r="J18" s="31"/>
      <c r="K18" s="87"/>
      <c r="L18" s="87"/>
    </row>
    <row r="19" spans="1:12" ht="15.75" x14ac:dyDescent="0.25">
      <c r="A19" s="26"/>
      <c r="B19" s="27"/>
      <c r="C19" s="86"/>
      <c r="D19" s="86"/>
      <c r="E19" s="28"/>
      <c r="F19" s="28"/>
      <c r="G19" s="28"/>
      <c r="H19" s="28"/>
      <c r="I19" s="28"/>
      <c r="J19" s="31"/>
      <c r="K19" s="87"/>
      <c r="L19" s="87"/>
    </row>
    <row r="20" spans="1:12" ht="15.75" x14ac:dyDescent="0.25">
      <c r="A20" s="26"/>
      <c r="B20" s="27"/>
      <c r="C20" s="86"/>
      <c r="D20" s="86"/>
      <c r="E20" s="28"/>
      <c r="F20" s="28"/>
      <c r="G20" s="28"/>
      <c r="H20" s="28"/>
      <c r="I20" s="28"/>
      <c r="J20" s="31"/>
      <c r="K20" s="87"/>
      <c r="L20" s="87"/>
    </row>
    <row r="21" spans="1:12" ht="15.75" x14ac:dyDescent="0.25">
      <c r="A21" s="26"/>
      <c r="B21" s="27"/>
      <c r="C21" s="86"/>
      <c r="D21" s="86"/>
      <c r="E21" s="28"/>
      <c r="F21" s="28"/>
      <c r="G21" s="28"/>
      <c r="H21" s="28"/>
      <c r="I21" s="28"/>
      <c r="J21" s="31"/>
      <c r="K21" s="87"/>
      <c r="L21" s="87"/>
    </row>
    <row r="22" spans="1:12" ht="15.75" x14ac:dyDescent="0.25">
      <c r="A22" s="26"/>
      <c r="B22" s="27"/>
      <c r="C22" s="86"/>
      <c r="D22" s="86"/>
      <c r="E22" s="28"/>
      <c r="F22" s="28"/>
      <c r="G22" s="28"/>
      <c r="H22" s="28"/>
      <c r="I22" s="28"/>
      <c r="J22" s="30"/>
      <c r="K22" s="87"/>
      <c r="L22" s="87"/>
    </row>
    <row r="24" spans="1:12" x14ac:dyDescent="0.25">
      <c r="H24" s="82"/>
      <c r="I24" s="82"/>
      <c r="J24" s="29"/>
    </row>
    <row r="26" spans="1:12" ht="20.100000000000001" customHeight="1" x14ac:dyDescent="0.25">
      <c r="A26" s="59"/>
      <c r="B26" s="59"/>
      <c r="C26" s="83"/>
      <c r="D26" s="83"/>
      <c r="E26" s="83"/>
    </row>
    <row r="27" spans="1:12" ht="20.100000000000001" customHeight="1" x14ac:dyDescent="0.25">
      <c r="A27" s="59"/>
      <c r="B27" s="59"/>
      <c r="C27" s="83"/>
      <c r="D27" s="83"/>
      <c r="E27" s="83"/>
    </row>
    <row r="28" spans="1:12" ht="20.100000000000001" customHeight="1" x14ac:dyDescent="0.25">
      <c r="A28" s="59"/>
      <c r="B28" s="59"/>
      <c r="C28" s="59"/>
      <c r="D28" s="81"/>
      <c r="E28" s="81"/>
    </row>
  </sheetData>
  <mergeCells count="45">
    <mergeCell ref="K6:L6"/>
    <mergeCell ref="A2:L4"/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  <mergeCell ref="C7:D7"/>
    <mergeCell ref="K7:L7"/>
    <mergeCell ref="K8:L8"/>
    <mergeCell ref="C9:D9"/>
    <mergeCell ref="C8:D8"/>
    <mergeCell ref="K9:L9"/>
    <mergeCell ref="H11:I11"/>
    <mergeCell ref="A13:B13"/>
    <mergeCell ref="C13:E13"/>
    <mergeCell ref="A14:B14"/>
    <mergeCell ref="C14:E14"/>
    <mergeCell ref="A15:C15"/>
    <mergeCell ref="D15:E15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A28:C28"/>
    <mergeCell ref="D28:E28"/>
    <mergeCell ref="C22:D22"/>
    <mergeCell ref="K22:L22"/>
    <mergeCell ref="H24:I24"/>
    <mergeCell ref="A26:B26"/>
    <mergeCell ref="C26:E26"/>
    <mergeCell ref="A27:B27"/>
    <mergeCell ref="C27:E27"/>
  </mergeCells>
  <pageMargins left="0.70866141732283472" right="0.70866141732283472" top="0.74803149606299213" bottom="0.74803149606299213" header="0.31496062992125984" footer="0.31496062992125984"/>
  <pageSetup scale="5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22AD6-AE76-41AA-B2C9-A1B30E9FD939}">
  <dimension ref="A2:L14"/>
  <sheetViews>
    <sheetView workbookViewId="0">
      <selection activeCell="H16" sqref="H16"/>
    </sheetView>
  </sheetViews>
  <sheetFormatPr baseColWidth="10" defaultRowHeight="15" x14ac:dyDescent="0.25"/>
  <cols>
    <col min="1" max="1" width="11.42578125" style="1"/>
    <col min="2" max="2" width="17" style="1" customWidth="1"/>
    <col min="3" max="3" width="23.7109375" style="1" customWidth="1"/>
    <col min="4" max="4" width="22.85546875" style="1" customWidth="1"/>
    <col min="5" max="5" width="15.28515625" style="1" bestFit="1" customWidth="1"/>
    <col min="6" max="6" width="18.7109375" style="1" customWidth="1"/>
    <col min="7" max="7" width="16.140625" style="1" customWidth="1"/>
    <col min="8" max="8" width="14.42578125" style="1" customWidth="1"/>
    <col min="9" max="16384" width="11.42578125" style="1"/>
  </cols>
  <sheetData>
    <row r="2" spans="1:12" x14ac:dyDescent="0.25">
      <c r="A2" s="67" t="s">
        <v>8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</row>
    <row r="3" spans="1:12" x14ac:dyDescent="0.25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</row>
    <row r="4" spans="1:12" x14ac:dyDescent="0.25">
      <c r="A4" s="67"/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</row>
    <row r="5" spans="1:12" ht="15.75" x14ac:dyDescent="0.25">
      <c r="A5" s="42" t="s">
        <v>12</v>
      </c>
      <c r="B5" s="42"/>
      <c r="C5" s="68" t="s">
        <v>40</v>
      </c>
      <c r="D5" s="66"/>
      <c r="E5" s="47" t="s">
        <v>11</v>
      </c>
      <c r="F5" s="48"/>
      <c r="G5" s="69">
        <v>1143121183</v>
      </c>
      <c r="H5" s="70"/>
      <c r="I5" s="47" t="s">
        <v>9</v>
      </c>
      <c r="J5" s="48"/>
      <c r="K5" s="70" t="s">
        <v>50</v>
      </c>
      <c r="L5" s="71"/>
    </row>
    <row r="6" spans="1:12" ht="15.75" x14ac:dyDescent="0.25">
      <c r="A6" s="42" t="s">
        <v>35</v>
      </c>
      <c r="B6" s="42"/>
      <c r="C6" s="44" t="s">
        <v>60</v>
      </c>
      <c r="D6" s="46"/>
      <c r="E6" s="47" t="s">
        <v>36</v>
      </c>
      <c r="F6" s="48"/>
      <c r="G6" s="54">
        <v>46082</v>
      </c>
      <c r="H6" s="72"/>
      <c r="I6" s="44" t="s">
        <v>61</v>
      </c>
      <c r="J6" s="46"/>
      <c r="K6" s="54">
        <v>46112</v>
      </c>
      <c r="L6" s="66"/>
    </row>
    <row r="7" spans="1:12" ht="31.5" x14ac:dyDescent="0.25">
      <c r="A7" s="2" t="s">
        <v>0</v>
      </c>
      <c r="B7" s="2" t="s">
        <v>5</v>
      </c>
      <c r="C7" s="80" t="s">
        <v>6</v>
      </c>
      <c r="D7" s="80"/>
      <c r="E7" s="3" t="s">
        <v>1</v>
      </c>
      <c r="F7" s="3" t="s">
        <v>2</v>
      </c>
      <c r="G7" s="3" t="s">
        <v>13</v>
      </c>
      <c r="H7" s="3" t="s">
        <v>14</v>
      </c>
      <c r="I7" s="3" t="s">
        <v>3</v>
      </c>
      <c r="J7" s="16" t="s">
        <v>4</v>
      </c>
      <c r="K7" s="78" t="s">
        <v>7</v>
      </c>
      <c r="L7" s="78"/>
    </row>
    <row r="8" spans="1:12" ht="15.75" x14ac:dyDescent="0.25">
      <c r="A8" s="4">
        <v>1</v>
      </c>
      <c r="B8" s="5">
        <v>46097</v>
      </c>
      <c r="C8" s="76" t="s">
        <v>65</v>
      </c>
      <c r="D8" s="76"/>
      <c r="E8" s="6">
        <v>0.33333333333333331</v>
      </c>
      <c r="F8" s="6">
        <v>0.88263888888888886</v>
      </c>
      <c r="G8" s="6">
        <v>4.1666666666666664E-2</v>
      </c>
      <c r="H8" s="6">
        <f>(F8-E8-G8)</f>
        <v>0.50763888888888886</v>
      </c>
      <c r="I8" s="14">
        <v>0.375</v>
      </c>
      <c r="J8" s="17">
        <v>3</v>
      </c>
      <c r="K8" s="37" t="s">
        <v>38</v>
      </c>
      <c r="L8" s="49"/>
    </row>
    <row r="10" spans="1:12" x14ac:dyDescent="0.25">
      <c r="H10" s="73" t="s">
        <v>15</v>
      </c>
      <c r="I10" s="73"/>
      <c r="J10" s="12">
        <f>SUM(J8:J8)</f>
        <v>3</v>
      </c>
      <c r="K10" s="18"/>
    </row>
    <row r="12" spans="1:12" x14ac:dyDescent="0.25">
      <c r="A12" s="59" t="s">
        <v>16</v>
      </c>
      <c r="B12" s="59"/>
      <c r="C12" s="65" t="s">
        <v>40</v>
      </c>
      <c r="D12" s="65"/>
      <c r="E12" s="65"/>
    </row>
    <row r="13" spans="1:12" x14ac:dyDescent="0.25">
      <c r="A13" s="59" t="s">
        <v>17</v>
      </c>
      <c r="B13" s="59"/>
      <c r="C13" s="60" t="s">
        <v>21</v>
      </c>
      <c r="D13" s="60"/>
      <c r="E13" s="60"/>
    </row>
    <row r="14" spans="1:12" x14ac:dyDescent="0.25">
      <c r="A14" s="59" t="s">
        <v>18</v>
      </c>
      <c r="B14" s="59"/>
      <c r="C14" s="59"/>
      <c r="D14" s="64">
        <v>46007</v>
      </c>
      <c r="E14" s="60"/>
    </row>
  </sheetData>
  <mergeCells count="24">
    <mergeCell ref="C13:E13"/>
    <mergeCell ref="A14:C14"/>
    <mergeCell ref="D14:E14"/>
    <mergeCell ref="A12:B12"/>
    <mergeCell ref="C12:E12"/>
    <mergeCell ref="A13:B13"/>
    <mergeCell ref="H10:I10"/>
    <mergeCell ref="C7:D7"/>
    <mergeCell ref="K7:L7"/>
    <mergeCell ref="C8:D8"/>
    <mergeCell ref="K8:L8"/>
    <mergeCell ref="K6:L6"/>
    <mergeCell ref="A2:L4"/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70E5F-F8E9-4BCF-8F52-D6D47A2F45C0}">
  <dimension ref="A2:L21"/>
  <sheetViews>
    <sheetView topLeftCell="A6" workbookViewId="0">
      <selection activeCell="I13" sqref="I13"/>
    </sheetView>
  </sheetViews>
  <sheetFormatPr baseColWidth="10" defaultRowHeight="15" x14ac:dyDescent="0.25"/>
  <cols>
    <col min="1" max="1" width="11.42578125" style="1"/>
    <col min="2" max="2" width="11.85546875" style="1" bestFit="1" customWidth="1"/>
    <col min="3" max="3" width="20" style="1" customWidth="1"/>
    <col min="4" max="4" width="19.7109375" style="1" customWidth="1"/>
    <col min="5" max="5" width="11.42578125" style="1"/>
    <col min="6" max="6" width="16.85546875" style="1" customWidth="1"/>
    <col min="7" max="7" width="19.85546875" style="1" customWidth="1"/>
    <col min="8" max="8" width="13.7109375" style="1" customWidth="1"/>
    <col min="9" max="16384" width="11.42578125" style="1"/>
  </cols>
  <sheetData>
    <row r="2" spans="1:12" x14ac:dyDescent="0.25">
      <c r="A2" s="67" t="s">
        <v>8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</row>
    <row r="3" spans="1:12" x14ac:dyDescent="0.25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</row>
    <row r="4" spans="1:12" x14ac:dyDescent="0.25">
      <c r="A4" s="67"/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</row>
    <row r="5" spans="1:12" ht="15.75" x14ac:dyDescent="0.25">
      <c r="A5" s="42" t="s">
        <v>12</v>
      </c>
      <c r="B5" s="42"/>
      <c r="C5" s="68" t="s">
        <v>41</v>
      </c>
      <c r="D5" s="66"/>
      <c r="E5" s="47" t="s">
        <v>11</v>
      </c>
      <c r="F5" s="48"/>
      <c r="G5" s="69">
        <v>1002035293</v>
      </c>
      <c r="H5" s="70"/>
      <c r="I5" s="47" t="s">
        <v>9</v>
      </c>
      <c r="J5" s="48"/>
      <c r="K5" s="70" t="s">
        <v>10</v>
      </c>
      <c r="L5" s="71"/>
    </row>
    <row r="6" spans="1:12" ht="15.75" x14ac:dyDescent="0.25">
      <c r="A6" s="42" t="s">
        <v>35</v>
      </c>
      <c r="B6" s="42"/>
      <c r="C6" s="44" t="s">
        <v>60</v>
      </c>
      <c r="D6" s="46"/>
      <c r="E6" s="47" t="s">
        <v>36</v>
      </c>
      <c r="F6" s="48"/>
      <c r="G6" s="54">
        <v>46082</v>
      </c>
      <c r="H6" s="72"/>
      <c r="I6" s="44" t="s">
        <v>61</v>
      </c>
      <c r="J6" s="46"/>
      <c r="K6" s="54">
        <v>46112</v>
      </c>
      <c r="L6" s="66"/>
    </row>
    <row r="7" spans="1:12" ht="31.5" x14ac:dyDescent="0.25">
      <c r="A7" s="2" t="s">
        <v>0</v>
      </c>
      <c r="B7" s="2" t="s">
        <v>5</v>
      </c>
      <c r="C7" s="80" t="s">
        <v>6</v>
      </c>
      <c r="D7" s="80"/>
      <c r="E7" s="3" t="s">
        <v>1</v>
      </c>
      <c r="F7" s="3" t="s">
        <v>2</v>
      </c>
      <c r="G7" s="3" t="s">
        <v>13</v>
      </c>
      <c r="H7" s="3" t="s">
        <v>14</v>
      </c>
      <c r="I7" s="3" t="s">
        <v>3</v>
      </c>
      <c r="J7" s="16" t="s">
        <v>4</v>
      </c>
      <c r="K7" s="78" t="s">
        <v>7</v>
      </c>
      <c r="L7" s="78"/>
    </row>
    <row r="8" spans="1:12" ht="46.5" customHeight="1" x14ac:dyDescent="0.25">
      <c r="A8" s="4">
        <v>1</v>
      </c>
      <c r="B8" s="108">
        <v>46083</v>
      </c>
      <c r="C8" s="93" t="s">
        <v>55</v>
      </c>
      <c r="D8" s="94"/>
      <c r="E8" s="95">
        <v>0.33333333333333331</v>
      </c>
      <c r="F8" s="95">
        <v>0.79999999999999993</v>
      </c>
      <c r="G8" s="95">
        <v>4.1666666666666664E-2</v>
      </c>
      <c r="H8" s="96">
        <v>0.42499999999999999</v>
      </c>
      <c r="I8" s="97">
        <v>0.375</v>
      </c>
      <c r="J8" s="98">
        <v>1</v>
      </c>
      <c r="K8" s="99" t="s">
        <v>37</v>
      </c>
      <c r="L8" s="94"/>
    </row>
    <row r="9" spans="1:12" ht="15.75" customHeight="1" x14ac:dyDescent="0.25">
      <c r="A9" s="4">
        <v>2</v>
      </c>
      <c r="B9" s="108">
        <v>46084</v>
      </c>
      <c r="C9" s="93" t="s">
        <v>56</v>
      </c>
      <c r="D9" s="94"/>
      <c r="E9" s="95">
        <v>0.33333333333333331</v>
      </c>
      <c r="F9" s="95">
        <v>0.81319444444444444</v>
      </c>
      <c r="G9" s="95">
        <v>4.1666666666666664E-2</v>
      </c>
      <c r="H9" s="96">
        <v>0.4381944444444445</v>
      </c>
      <c r="I9" s="97">
        <v>0.375</v>
      </c>
      <c r="J9" s="98">
        <v>1</v>
      </c>
      <c r="K9" s="99" t="s">
        <v>37</v>
      </c>
      <c r="L9" s="94"/>
    </row>
    <row r="10" spans="1:12" ht="15.75" customHeight="1" x14ac:dyDescent="0.25">
      <c r="A10" s="4">
        <v>3</v>
      </c>
      <c r="B10" s="109">
        <v>46093</v>
      </c>
      <c r="C10" s="76" t="s">
        <v>57</v>
      </c>
      <c r="D10" s="76"/>
      <c r="E10" s="6">
        <v>0.33333333333333331</v>
      </c>
      <c r="F10" s="6">
        <v>0.8833333333333333</v>
      </c>
      <c r="G10" s="6">
        <v>4.1666666666666664E-2</v>
      </c>
      <c r="H10" s="6">
        <f>(F10-E10-G10)</f>
        <v>0.50833333333333341</v>
      </c>
      <c r="I10" s="97">
        <v>0.375</v>
      </c>
      <c r="J10" s="100">
        <v>3</v>
      </c>
      <c r="K10" s="37" t="s">
        <v>38</v>
      </c>
      <c r="L10" s="49"/>
    </row>
    <row r="11" spans="1:12" ht="15.75" customHeight="1" x14ac:dyDescent="0.25">
      <c r="A11" s="4">
        <v>4</v>
      </c>
      <c r="B11" s="109">
        <v>46094</v>
      </c>
      <c r="C11" s="76" t="s">
        <v>57</v>
      </c>
      <c r="D11" s="76"/>
      <c r="E11" s="6">
        <v>0.33333333333333331</v>
      </c>
      <c r="F11" s="6">
        <v>0.92291666666666661</v>
      </c>
      <c r="G11" s="6">
        <v>4.1666666666666664E-2</v>
      </c>
      <c r="H11" s="6">
        <f t="shared" ref="H11:H13" si="0">(F11-E11-G11)</f>
        <v>0.54791666666666672</v>
      </c>
      <c r="I11" s="97">
        <v>0.375</v>
      </c>
      <c r="J11" s="17">
        <v>5</v>
      </c>
      <c r="K11" s="37" t="s">
        <v>38</v>
      </c>
      <c r="L11" s="49"/>
    </row>
    <row r="12" spans="1:12" ht="33" customHeight="1" x14ac:dyDescent="0.25">
      <c r="A12" s="35">
        <v>5</v>
      </c>
      <c r="B12" s="90">
        <v>46097</v>
      </c>
      <c r="C12" s="102" t="s">
        <v>58</v>
      </c>
      <c r="D12" s="102"/>
      <c r="E12" s="32">
        <v>0.33333333333333298</v>
      </c>
      <c r="F12" s="32">
        <v>0.88263888888888886</v>
      </c>
      <c r="G12" s="6">
        <v>4.1666666666666664E-2</v>
      </c>
      <c r="H12" s="6">
        <f t="shared" si="0"/>
        <v>0.50763888888888931</v>
      </c>
      <c r="I12" s="97">
        <v>0.375</v>
      </c>
      <c r="J12" s="17">
        <v>3</v>
      </c>
      <c r="K12" s="37" t="s">
        <v>38</v>
      </c>
      <c r="L12" s="49"/>
    </row>
    <row r="13" spans="1:12" ht="48.75" customHeight="1" x14ac:dyDescent="0.25">
      <c r="A13" s="34">
        <v>6</v>
      </c>
      <c r="B13" s="91">
        <v>46101</v>
      </c>
      <c r="C13" s="107" t="s">
        <v>59</v>
      </c>
      <c r="D13" s="107"/>
      <c r="E13" s="21">
        <v>0.33333333333333298</v>
      </c>
      <c r="F13" s="21">
        <v>0.75694444444444442</v>
      </c>
      <c r="G13" s="33">
        <v>4.1666666666666664E-2</v>
      </c>
      <c r="H13" s="6">
        <f t="shared" si="0"/>
        <v>0.38194444444444475</v>
      </c>
      <c r="I13" s="97">
        <v>0.33333333333333331</v>
      </c>
      <c r="J13" s="17">
        <v>1</v>
      </c>
      <c r="K13" s="37" t="s">
        <v>38</v>
      </c>
      <c r="L13" s="49"/>
    </row>
    <row r="14" spans="1:12" ht="15.75" x14ac:dyDescent="0.25">
      <c r="A14" s="20">
        <v>7</v>
      </c>
      <c r="B14" s="103">
        <v>46088</v>
      </c>
      <c r="C14" s="106" t="s">
        <v>54</v>
      </c>
      <c r="D14" s="106"/>
      <c r="E14" s="104">
        <v>0.33333333333333331</v>
      </c>
      <c r="F14" s="104">
        <v>0.47430555555555554</v>
      </c>
      <c r="G14" s="6"/>
      <c r="H14" s="6">
        <f t="shared" ref="H14:H15" si="1">(F14-E14-G14)</f>
        <v>0.14097222222222222</v>
      </c>
      <c r="I14" s="14">
        <v>0</v>
      </c>
      <c r="J14" s="110"/>
      <c r="K14" s="37" t="s">
        <v>38</v>
      </c>
      <c r="L14" s="49"/>
    </row>
    <row r="15" spans="1:12" ht="25.5" customHeight="1" x14ac:dyDescent="0.25">
      <c r="A15" s="4">
        <v>8</v>
      </c>
      <c r="B15" s="91">
        <v>46109</v>
      </c>
      <c r="C15" s="88" t="s">
        <v>54</v>
      </c>
      <c r="D15" s="89"/>
      <c r="E15" s="92">
        <v>0.33333333333333331</v>
      </c>
      <c r="F15" s="92">
        <v>0.63194444444444442</v>
      </c>
      <c r="G15" s="6"/>
      <c r="H15" s="6">
        <f t="shared" si="1"/>
        <v>0.2986111111111111</v>
      </c>
      <c r="I15" s="14">
        <v>0</v>
      </c>
      <c r="J15" s="110"/>
      <c r="K15" s="37" t="s">
        <v>38</v>
      </c>
      <c r="L15" s="49"/>
    </row>
    <row r="17" spans="1:11" x14ac:dyDescent="0.25">
      <c r="H17" s="73" t="s">
        <v>15</v>
      </c>
      <c r="I17" s="73"/>
      <c r="J17" s="12">
        <f>SUM(J8:J16)</f>
        <v>14</v>
      </c>
      <c r="K17" s="18"/>
    </row>
    <row r="19" spans="1:11" x14ac:dyDescent="0.25">
      <c r="A19" s="59" t="s">
        <v>16</v>
      </c>
      <c r="B19" s="59"/>
      <c r="C19" s="65" t="s">
        <v>24</v>
      </c>
      <c r="D19" s="65"/>
      <c r="E19" s="65"/>
    </row>
    <row r="20" spans="1:11" x14ac:dyDescent="0.25">
      <c r="A20" s="59" t="s">
        <v>17</v>
      </c>
      <c r="B20" s="59"/>
      <c r="C20" s="60" t="s">
        <v>21</v>
      </c>
      <c r="D20" s="60"/>
      <c r="E20" s="60"/>
    </row>
    <row r="21" spans="1:11" x14ac:dyDescent="0.25">
      <c r="A21" s="59" t="s">
        <v>18</v>
      </c>
      <c r="B21" s="59"/>
      <c r="C21" s="59"/>
      <c r="D21" s="64">
        <v>46128</v>
      </c>
      <c r="E21" s="60"/>
    </row>
  </sheetData>
  <mergeCells count="38">
    <mergeCell ref="C15:D15"/>
    <mergeCell ref="K14:L14"/>
    <mergeCell ref="K15:L15"/>
    <mergeCell ref="C10:D10"/>
    <mergeCell ref="K10:L10"/>
    <mergeCell ref="C11:D11"/>
    <mergeCell ref="K11:L11"/>
    <mergeCell ref="A2:L4"/>
    <mergeCell ref="K7:L7"/>
    <mergeCell ref="K8:L8"/>
    <mergeCell ref="C7:D7"/>
    <mergeCell ref="C8:D8"/>
    <mergeCell ref="A5:B5"/>
    <mergeCell ref="A6:B6"/>
    <mergeCell ref="G5:H5"/>
    <mergeCell ref="G6:H6"/>
    <mergeCell ref="I5:J5"/>
    <mergeCell ref="I6:J6"/>
    <mergeCell ref="C5:D5"/>
    <mergeCell ref="E5:F5"/>
    <mergeCell ref="K5:L5"/>
    <mergeCell ref="E6:F6"/>
    <mergeCell ref="K6:L6"/>
    <mergeCell ref="C6:D6"/>
    <mergeCell ref="K9:L9"/>
    <mergeCell ref="K12:L12"/>
    <mergeCell ref="A21:C21"/>
    <mergeCell ref="D21:E21"/>
    <mergeCell ref="H17:I17"/>
    <mergeCell ref="A19:B19"/>
    <mergeCell ref="C19:E19"/>
    <mergeCell ref="A20:B20"/>
    <mergeCell ref="C20:E20"/>
    <mergeCell ref="K13:L13"/>
    <mergeCell ref="C13:D13"/>
    <mergeCell ref="C9:D9"/>
    <mergeCell ref="C12:D12"/>
    <mergeCell ref="C14:D1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7021CD53DF5D4C82D999B0A9258347" ma:contentTypeVersion="3" ma:contentTypeDescription="Crear nuevo documento." ma:contentTypeScope="" ma:versionID="9b0e5553133b2f4142f2e5705dd684d8">
  <xsd:schema xmlns:xsd="http://www.w3.org/2001/XMLSchema" xmlns:xs="http://www.w3.org/2001/XMLSchema" xmlns:p="http://schemas.microsoft.com/office/2006/metadata/properties" xmlns:ns2="6d25fb09-3c3f-4221-b7db-31ec8f4c6990" targetNamespace="http://schemas.microsoft.com/office/2006/metadata/properties" ma:root="true" ma:fieldsID="e41be3e45561d4e4b0e258d977097ec9" ns2:_="">
    <xsd:import namespace="6d25fb09-3c3f-4221-b7db-31ec8f4c69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25fb09-3c3f-4221-b7db-31ec8f4c69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A20D74A-D7F6-44C2-9ADE-13FCBED83E34}"/>
</file>

<file path=customXml/itemProps2.xml><?xml version="1.0" encoding="utf-8"?>
<ds:datastoreItem xmlns:ds="http://schemas.openxmlformats.org/officeDocument/2006/customXml" ds:itemID="{FF43C179-6383-4528-9B49-D4D1415F3D02}"/>
</file>

<file path=customXml/itemProps3.xml><?xml version="1.0" encoding="utf-8"?>
<ds:datastoreItem xmlns:ds="http://schemas.openxmlformats.org/officeDocument/2006/customXml" ds:itemID="{C75344EB-0BD6-4FF7-9108-06C001E3EF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2</vt:i4>
      </vt:variant>
    </vt:vector>
  </HeadingPairs>
  <TitlesOfParts>
    <vt:vector size="8" baseType="lpstr">
      <vt:lpstr>GENERAL</vt:lpstr>
      <vt:lpstr>MOISES RINCON</vt:lpstr>
      <vt:lpstr>MARIO OROZCO</vt:lpstr>
      <vt:lpstr>JOSE HENAO</vt:lpstr>
      <vt:lpstr>KEISSY ARRIETA</vt:lpstr>
      <vt:lpstr>JUSTIN ORTIZ</vt:lpstr>
      <vt:lpstr>'JOSE HENAO'!Área_de_impresión</vt:lpstr>
      <vt:lpstr>'MARIO OROZCO'!Área_de_impresión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GESTION HUMANA</dc:creator>
  <cp:lastModifiedBy>Silia Diaz</cp:lastModifiedBy>
  <cp:lastPrinted>2025-02-26T14:41:28Z</cp:lastPrinted>
  <dcterms:created xsi:type="dcterms:W3CDTF">2025-02-26T13:50:56Z</dcterms:created>
  <dcterms:modified xsi:type="dcterms:W3CDTF">2026-04-17T01:27:11Z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0x010100457021CD53DF5D4C82D999B0A9258347</vt:lpwstr>
  </property>
</Properties>
</file>