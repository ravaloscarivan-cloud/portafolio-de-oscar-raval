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\\10.10.50.91\almacen biosteel\HORAS EXTRAS\"/>
    </mc:Choice>
  </mc:AlternateContent>
  <xr:revisionPtr revIDLastSave="0" documentId="13_ncr:1_{1B9B8077-8FF2-40FC-BA50-E033EEAEB3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2" r:id="rId1"/>
    <sheet name="MARIO OROZCO" sheetId="1" r:id="rId2"/>
    <sheet name="JUSTIN ORTIZ" sheetId="4" r:id="rId3"/>
    <sheet name="DAVID TORDECILLA" sheetId="6" r:id="rId4"/>
    <sheet name="MOISÉS RINCÓN" sheetId="11" r:id="rId5"/>
    <sheet name="RONALD GRAJALES" sheetId="8" r:id="rId6"/>
    <sheet name="ADRIANA DE LA CRUZ" sheetId="12" r:id="rId7"/>
  </sheets>
  <definedNames>
    <definedName name="_xlnm.Print_Area" localSheetId="3">'DAVID TORDECILLA'!$A$1:$M$13</definedName>
    <definedName name="_xlnm.Print_Area" localSheetId="2">'JUSTIN ORTIZ'!$A$1:$M$13</definedName>
    <definedName name="_xlnm.Print_Area" localSheetId="1">'MARIO OROZCO'!$A$1:$M$18</definedName>
    <definedName name="_xlnm.Print_Area" localSheetId="4">'MOISÉS RINCÓN'!$A$1:$M$11</definedName>
    <definedName name="_xlnm.Print_Area" localSheetId="5">'RONALD GRAJALES'!$A$1:$M$14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2" l="1"/>
  <c r="J10" i="12"/>
  <c r="H8" i="11"/>
  <c r="J11" i="11"/>
  <c r="H9" i="11"/>
  <c r="H11" i="8"/>
  <c r="J14" i="8"/>
  <c r="H12" i="8"/>
  <c r="R14" i="8"/>
  <c r="H10" i="8"/>
  <c r="H9" i="8"/>
  <c r="H8" i="8"/>
  <c r="J13" i="6"/>
  <c r="H11" i="6"/>
  <c r="H8" i="6"/>
  <c r="H9" i="6"/>
  <c r="H10" i="6"/>
  <c r="R13" i="6"/>
  <c r="J13" i="4"/>
  <c r="H8" i="4"/>
  <c r="R13" i="4"/>
  <c r="H11" i="4"/>
  <c r="H10" i="4"/>
  <c r="H9" i="4"/>
  <c r="I8" i="2"/>
  <c r="J18" i="1"/>
  <c r="H13" i="1"/>
  <c r="H9" i="1"/>
  <c r="H10" i="1"/>
  <c r="H11" i="1"/>
  <c r="H12" i="1"/>
  <c r="H14" i="1"/>
  <c r="H15" i="1"/>
  <c r="H16" i="1"/>
  <c r="H8" i="1"/>
  <c r="I9" i="2" l="1"/>
  <c r="I10" i="2"/>
  <c r="I11" i="2"/>
  <c r="I12" i="2"/>
  <c r="I13" i="2"/>
  <c r="I14" i="2"/>
  <c r="I15" i="2"/>
  <c r="I16" i="2"/>
  <c r="I17" i="2"/>
  <c r="I18" i="2"/>
</calcChain>
</file>

<file path=xl/sharedStrings.xml><?xml version="1.0" encoding="utf-8"?>
<sst xmlns="http://schemas.openxmlformats.org/spreadsheetml/2006/main" count="245" uniqueCount="73">
  <si>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</si>
  <si>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</si>
  <si>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</si>
  <si>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</si>
  <si>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</si>
  <si>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</si>
  <si>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</si>
  <si>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</si>
  <si>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</si>
  <si>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</si>
  <si>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Auxiliar Logistico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</si>
  <si>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</si>
  <si>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</si>
  <si>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</si>
  <si>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</si>
  <si>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</si>
  <si>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</si>
  <si>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</si>
  <si>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</si>
  <si>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 xml:space="preserve">CARGO </t>
  </si>
  <si>
    <t>COORDINADOR LOGISTICO</t>
  </si>
  <si>
    <t>SILIA DIAZ</t>
  </si>
  <si>
    <t>RSPONSABLE:</t>
  </si>
  <si>
    <t xml:space="preserve">PERIODO: </t>
  </si>
  <si>
    <t>NOMBRE DE COLABORADOR</t>
  </si>
  <si>
    <t>JUSTIN ORTIZ</t>
  </si>
  <si>
    <t>MARIO OROZCO</t>
  </si>
  <si>
    <t>AUX. LOGISTICO</t>
  </si>
  <si>
    <t>TOTAL DE HORAS EXTRAS</t>
  </si>
  <si>
    <t>REPORTE GENERAL DE HORAS EXTRAS</t>
  </si>
  <si>
    <t xml:space="preserve">VALOR UNITARIO </t>
  </si>
  <si>
    <t>TOTAL EN VALOR</t>
  </si>
  <si>
    <t>MES:</t>
  </si>
  <si>
    <t>MARZO</t>
  </si>
  <si>
    <t>PROCESO:</t>
  </si>
  <si>
    <t>ALMACEN</t>
  </si>
  <si>
    <t>FIRMA DEL COLABORADOR</t>
  </si>
  <si>
    <t>Marzo</t>
  </si>
  <si>
    <t xml:space="preserve">MES: </t>
  </si>
  <si>
    <t xml:space="preserve">PERIODO DE: </t>
  </si>
  <si>
    <t xml:space="preserve">A: </t>
  </si>
  <si>
    <t>Silia Diaz</t>
  </si>
  <si>
    <t xml:space="preserve">Silia Diaz </t>
  </si>
  <si>
    <t>Justin Ortiz</t>
  </si>
  <si>
    <t xml:space="preserve">Esperar femur proximal y reposición de clavicula para ips campbell </t>
  </si>
  <si>
    <t>Esperar material de proveedor</t>
  </si>
  <si>
    <t>llevar material  aberlinas por servicio express por cirugia en clinica bahia el 11 de marzo</t>
  </si>
  <si>
    <t>Disponibilidad en carnavales para reposicion de material d clinica bahia y clinica campbell</t>
  </si>
  <si>
    <t>Revisión e ingreso de facturas</t>
  </si>
  <si>
    <t>DAVIS TORDECILLA</t>
  </si>
  <si>
    <t>AUXILIAR DE COMPRAS</t>
  </si>
  <si>
    <t>RONALD GRAJALES</t>
  </si>
  <si>
    <t>Ronald Grajales</t>
  </si>
  <si>
    <t>Disponibilidad en carnavales para buscar encomienda de servilogistica en el aerpuerto, realizar reposicion de fijadores para ips campbell, bahia y baru</t>
  </si>
  <si>
    <t>Inventario bodega 200 en fundacion campbell</t>
  </si>
  <si>
    <t>Preparación de material (claviculas de imeq) para clinica baru</t>
  </si>
  <si>
    <t>Preparación de material (claviculas en S y gancho de abumac) para clinica baru</t>
  </si>
  <si>
    <t>Reponer material a baru  (brocas, pines de bodega maria reina )</t>
  </si>
  <si>
    <t>Esperar placas de tocamedic para enviar a baru</t>
  </si>
  <si>
    <t>reposiciones pendiente fundacion campbell</t>
  </si>
  <si>
    <t>Envio tornillos largos bloqueados y corticales de tocamedic a baru</t>
  </si>
  <si>
    <t>Entrega de reemplazo de cadera en clinica del caribe paciente Myriam Contreras.</t>
  </si>
  <si>
    <t>Moises Rincón</t>
  </si>
  <si>
    <t>Consignación en Bancolombia y consignacion de caja menor de santa marta, cali  y cartagena</t>
  </si>
  <si>
    <t>72,157,200</t>
  </si>
  <si>
    <t>Mensajero</t>
  </si>
  <si>
    <t>Moisés Rincon</t>
  </si>
  <si>
    <t>MOISES RINCON</t>
  </si>
  <si>
    <t>MENSAJERO</t>
  </si>
  <si>
    <t>Adriana de la Cruz</t>
  </si>
  <si>
    <t>Realizar entradas por compras para pedido de selsalud para posterior facturacion a simalink</t>
  </si>
  <si>
    <t>ADRIANA DE LA CRUZ</t>
  </si>
  <si>
    <t>AUX.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</si>
</sst>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43" fontId="3" fillId="0" borderId="1" xfId="2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166" fontId="6" fillId="0" borderId="1" xfId="2" applyNumberFormat="1" applyFont="1" applyBorder="1"/>
    <xf numFmtId="166" fontId="6" fillId="0" borderId="1" xfId="0" applyNumberFormat="1" applyFont="1" applyBorder="1"/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0" fillId="2" borderId="0" xfId="0" applyFont="1" applyFill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03064E-5808-4F42-B909-1ED86B484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08301D-8757-4CF0-8557-6A14F60A9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388027-FC47-44BE-B0EC-C61CE4FC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C419D2-3EDC-46D6-8B71-96664DEFD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80828D-D540-4B9A-BED0-633E332A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showGridLines="0" tabSelected="1" workbookViewId="0">
      <selection activeCell="C6" sqref="C6:E6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21" t="s">
        <v>29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8.7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19.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15.75" x14ac:dyDescent="0.25">
      <c r="A5" s="22" t="s">
        <v>22</v>
      </c>
      <c r="B5" s="22"/>
      <c r="C5" s="23" t="s">
        <v>21</v>
      </c>
      <c r="D5" s="23"/>
      <c r="E5" s="23"/>
      <c r="F5" s="11" t="s">
        <v>9</v>
      </c>
      <c r="G5" s="18" t="s">
        <v>20</v>
      </c>
      <c r="H5" s="19"/>
      <c r="I5" s="11" t="s">
        <v>34</v>
      </c>
      <c r="J5" s="18" t="s">
        <v>35</v>
      </c>
      <c r="K5" s="20"/>
    </row>
    <row r="6" spans="1:11" ht="15.75" x14ac:dyDescent="0.25">
      <c r="A6" s="22" t="s">
        <v>32</v>
      </c>
      <c r="B6" s="22"/>
      <c r="C6" s="24" t="s">
        <v>33</v>
      </c>
      <c r="D6" s="25"/>
      <c r="E6" s="26"/>
      <c r="F6" s="27" t="s">
        <v>23</v>
      </c>
      <c r="G6" s="28"/>
      <c r="H6" s="16">
        <v>45717</v>
      </c>
      <c r="I6" s="17"/>
      <c r="J6" s="16">
        <v>45731</v>
      </c>
      <c r="K6" s="17"/>
    </row>
    <row r="7" spans="1:11" ht="47.25" x14ac:dyDescent="0.25">
      <c r="A7" s="2" t="s">
        <v>0</v>
      </c>
      <c r="B7" s="41" t="s">
        <v>24</v>
      </c>
      <c r="C7" s="42"/>
      <c r="D7" s="43"/>
      <c r="E7" s="30" t="s">
        <v>19</v>
      </c>
      <c r="F7" s="31"/>
      <c r="G7" s="3" t="s">
        <v>28</v>
      </c>
      <c r="H7" s="8" t="s">
        <v>30</v>
      </c>
      <c r="I7" s="8" t="s">
        <v>31</v>
      </c>
      <c r="J7" s="30" t="s">
        <v>36</v>
      </c>
      <c r="K7" s="31"/>
    </row>
    <row r="8" spans="1:11" ht="15.75" x14ac:dyDescent="0.25">
      <c r="A8" s="4">
        <v>1</v>
      </c>
      <c r="B8" s="34" t="s">
        <v>26</v>
      </c>
      <c r="C8" s="35"/>
      <c r="D8" s="36"/>
      <c r="E8" s="32" t="s">
        <v>27</v>
      </c>
      <c r="F8" s="33"/>
      <c r="G8" s="7">
        <v>37</v>
      </c>
      <c r="H8" s="9"/>
      <c r="I8" s="9">
        <f>H8*G8</f>
        <v>0</v>
      </c>
      <c r="J8" s="29"/>
      <c r="K8" s="29"/>
    </row>
    <row r="9" spans="1:11" ht="15.75" x14ac:dyDescent="0.25">
      <c r="A9" s="4">
        <v>3</v>
      </c>
      <c r="B9" s="34" t="s">
        <v>25</v>
      </c>
      <c r="C9" s="35"/>
      <c r="D9" s="36"/>
      <c r="E9" s="32" t="s">
        <v>27</v>
      </c>
      <c r="F9" s="33"/>
      <c r="G9" s="7">
        <v>11</v>
      </c>
      <c r="H9" s="9"/>
      <c r="I9" s="9">
        <f t="shared" ref="I9:I18" si="0">H9*G9</f>
        <v>0</v>
      </c>
      <c r="J9" s="29"/>
      <c r="K9" s="29"/>
    </row>
    <row r="10" spans="1:11" ht="15.75" x14ac:dyDescent="0.25">
      <c r="A10" s="4">
        <v>4</v>
      </c>
      <c r="B10" s="34" t="s">
        <v>49</v>
      </c>
      <c r="C10" s="35"/>
      <c r="D10" s="36"/>
      <c r="E10" s="32" t="s">
        <v>50</v>
      </c>
      <c r="F10" s="33"/>
      <c r="G10" s="7">
        <v>9</v>
      </c>
      <c r="H10" s="9"/>
      <c r="I10" s="9">
        <f t="shared" si="0"/>
        <v>0</v>
      </c>
      <c r="J10" s="29"/>
      <c r="K10" s="29"/>
    </row>
    <row r="11" spans="1:11" ht="15.75" x14ac:dyDescent="0.25">
      <c r="A11" s="4">
        <v>5</v>
      </c>
      <c r="B11" s="34" t="s">
        <v>51</v>
      </c>
      <c r="C11" s="35"/>
      <c r="D11" s="36"/>
      <c r="E11" s="32" t="s">
        <v>27</v>
      </c>
      <c r="F11" s="33"/>
      <c r="G11" s="7">
        <v>13</v>
      </c>
      <c r="H11" s="9"/>
      <c r="I11" s="9">
        <f t="shared" si="0"/>
        <v>0</v>
      </c>
      <c r="J11" s="29"/>
      <c r="K11" s="29"/>
    </row>
    <row r="12" spans="1:11" ht="15.75" x14ac:dyDescent="0.25">
      <c r="A12" s="4">
        <v>6</v>
      </c>
      <c r="B12" s="34" t="s">
        <v>67</v>
      </c>
      <c r="C12" s="35"/>
      <c r="D12" s="36"/>
      <c r="E12" s="32" t="s">
        <v>68</v>
      </c>
      <c r="F12" s="33"/>
      <c r="G12" s="7">
        <v>3</v>
      </c>
      <c r="H12" s="9"/>
      <c r="I12" s="9">
        <f t="shared" si="0"/>
        <v>0</v>
      </c>
      <c r="J12" s="29"/>
      <c r="K12" s="29"/>
    </row>
    <row r="13" spans="1:11" ht="15.75" x14ac:dyDescent="0.25">
      <c r="A13" s="4">
        <v>7</v>
      </c>
      <c r="B13" s="34" t="s">
        <v>71</v>
      </c>
      <c r="C13" s="35"/>
      <c r="D13" s="36"/>
      <c r="E13" s="32" t="s">
        <v>72</v>
      </c>
      <c r="F13" s="33"/>
      <c r="G13" s="7">
        <v>3</v>
      </c>
      <c r="H13" s="9"/>
      <c r="I13" s="9">
        <f t="shared" si="0"/>
        <v>0</v>
      </c>
      <c r="J13" s="29"/>
      <c r="K13" s="29"/>
    </row>
    <row r="14" spans="1:11" ht="15.75" x14ac:dyDescent="0.25">
      <c r="A14" s="4">
        <v>8</v>
      </c>
      <c r="B14" s="34"/>
      <c r="C14" s="35"/>
      <c r="D14" s="36"/>
      <c r="E14" s="37"/>
      <c r="F14" s="38"/>
      <c r="G14" s="7"/>
      <c r="H14" s="9"/>
      <c r="I14" s="9">
        <f t="shared" si="0"/>
        <v>0</v>
      </c>
      <c r="J14" s="29"/>
      <c r="K14" s="29"/>
    </row>
    <row r="15" spans="1:11" ht="15.75" x14ac:dyDescent="0.25">
      <c r="A15" s="4">
        <v>9</v>
      </c>
      <c r="B15" s="34"/>
      <c r="C15" s="35"/>
      <c r="D15" s="36"/>
      <c r="E15" s="37"/>
      <c r="F15" s="38"/>
      <c r="G15" s="7"/>
      <c r="H15" s="9"/>
      <c r="I15" s="9">
        <f t="shared" si="0"/>
        <v>0</v>
      </c>
      <c r="J15" s="29"/>
      <c r="K15" s="29"/>
    </row>
    <row r="16" spans="1:11" ht="15.75" x14ac:dyDescent="0.25">
      <c r="A16" s="4">
        <v>10</v>
      </c>
      <c r="B16" s="34"/>
      <c r="C16" s="35"/>
      <c r="D16" s="36"/>
      <c r="E16" s="37"/>
      <c r="F16" s="38"/>
      <c r="G16" s="7"/>
      <c r="H16" s="9"/>
      <c r="I16" s="9">
        <f t="shared" si="0"/>
        <v>0</v>
      </c>
      <c r="J16" s="29"/>
      <c r="K16" s="29"/>
    </row>
    <row r="17" spans="1:11" ht="15.75" x14ac:dyDescent="0.25">
      <c r="A17" s="4">
        <v>11</v>
      </c>
      <c r="B17" s="34"/>
      <c r="C17" s="35"/>
      <c r="D17" s="36"/>
      <c r="E17" s="37"/>
      <c r="F17" s="38"/>
      <c r="G17" s="7"/>
      <c r="H17" s="9"/>
      <c r="I17" s="9">
        <f t="shared" si="0"/>
        <v>0</v>
      </c>
      <c r="J17" s="29"/>
      <c r="K17" s="29"/>
    </row>
    <row r="18" spans="1:11" ht="15.75" x14ac:dyDescent="0.25">
      <c r="A18" s="4">
        <v>12</v>
      </c>
      <c r="B18" s="34"/>
      <c r="C18" s="35"/>
      <c r="D18" s="36"/>
      <c r="E18" s="37"/>
      <c r="F18" s="38"/>
      <c r="G18" s="7"/>
      <c r="H18" s="9"/>
      <c r="I18" s="9">
        <f t="shared" si="0"/>
        <v>0</v>
      </c>
      <c r="J18" s="29"/>
      <c r="K18" s="29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0.100000000000001" customHeight="1" x14ac:dyDescent="0.25">
      <c r="A21" s="39" t="s">
        <v>16</v>
      </c>
      <c r="B21" s="39"/>
      <c r="C21" s="45" t="s">
        <v>21</v>
      </c>
      <c r="D21" s="45"/>
      <c r="E21" s="45"/>
      <c r="F21" s="45"/>
      <c r="G21" s="45"/>
      <c r="H21" s="1"/>
      <c r="I21" s="1"/>
      <c r="J21" s="1"/>
      <c r="K21" s="1"/>
    </row>
    <row r="22" spans="1:11" ht="20.100000000000001" customHeight="1" x14ac:dyDescent="0.25">
      <c r="A22" s="39" t="s">
        <v>17</v>
      </c>
      <c r="B22" s="39"/>
      <c r="C22" s="40"/>
      <c r="D22" s="40"/>
      <c r="E22" s="40"/>
      <c r="F22" s="40"/>
      <c r="G22" s="40"/>
      <c r="H22" s="1"/>
      <c r="I22" s="1"/>
      <c r="J22" s="1"/>
      <c r="K22" s="1"/>
    </row>
    <row r="23" spans="1:11" ht="20.100000000000001" customHeight="1" x14ac:dyDescent="0.25">
      <c r="A23" s="39" t="s">
        <v>18</v>
      </c>
      <c r="B23" s="39"/>
      <c r="C23" s="39"/>
      <c r="D23" s="44">
        <v>45734</v>
      </c>
      <c r="E23" s="40"/>
      <c r="F23" s="40"/>
      <c r="G23" s="40"/>
      <c r="H23" s="1"/>
      <c r="I23" s="1"/>
      <c r="J23" s="1"/>
      <c r="K23" s="1"/>
    </row>
    <row r="24" spans="1:11" ht="20.100000000000001" customHeight="1" x14ac:dyDescent="0.25"/>
  </sheetData>
  <mergeCells count="52">
    <mergeCell ref="B7:D7"/>
    <mergeCell ref="B8:D8"/>
    <mergeCell ref="A6:B6"/>
    <mergeCell ref="D23:G23"/>
    <mergeCell ref="C21:G21"/>
    <mergeCell ref="E11:F11"/>
    <mergeCell ref="E12:F12"/>
    <mergeCell ref="E13:F13"/>
    <mergeCell ref="E14:F14"/>
    <mergeCell ref="E15:F15"/>
    <mergeCell ref="E16:F16"/>
    <mergeCell ref="A23:C23"/>
    <mergeCell ref="B9:D9"/>
    <mergeCell ref="J18:K18"/>
    <mergeCell ref="A21:B21"/>
    <mergeCell ref="A22:B22"/>
    <mergeCell ref="B18:D18"/>
    <mergeCell ref="E18:F18"/>
    <mergeCell ref="C22:G22"/>
    <mergeCell ref="J15:K15"/>
    <mergeCell ref="J16:K16"/>
    <mergeCell ref="J17:K17"/>
    <mergeCell ref="B15:D15"/>
    <mergeCell ref="B16:D16"/>
    <mergeCell ref="B17:D17"/>
    <mergeCell ref="E17:F17"/>
    <mergeCell ref="J12:K12"/>
    <mergeCell ref="J13:K13"/>
    <mergeCell ref="J14:K14"/>
    <mergeCell ref="B12:D12"/>
    <mergeCell ref="B13:D13"/>
    <mergeCell ref="B14:D14"/>
    <mergeCell ref="J9:K9"/>
    <mergeCell ref="J10:K10"/>
    <mergeCell ref="J11:K11"/>
    <mergeCell ref="B10:D10"/>
    <mergeCell ref="B11:D11"/>
    <mergeCell ref="E9:F9"/>
    <mergeCell ref="E10:F10"/>
    <mergeCell ref="J8:K8"/>
    <mergeCell ref="E7:F7"/>
    <mergeCell ref="E8:F8"/>
    <mergeCell ref="J7:K7"/>
    <mergeCell ref="J6:K6"/>
    <mergeCell ref="G5:H5"/>
    <mergeCell ref="J5:K5"/>
    <mergeCell ref="A2:K4"/>
    <mergeCell ref="A5:B5"/>
    <mergeCell ref="C5:E5"/>
    <mergeCell ref="C6:E6"/>
    <mergeCell ref="F6:G6"/>
    <mergeCell ref="H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2"/>
  <sheetViews>
    <sheetView showGridLines="0" showRuler="0" showWhiteSpace="0" zoomScaleNormal="100" workbookViewId="0">
      <selection activeCell="G25" sqref="G25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46" t="s">
        <v>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4" ht="17.2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4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4" ht="17.100000000000001" customHeight="1" x14ac:dyDescent="0.25">
      <c r="A5" s="22" t="s">
        <v>12</v>
      </c>
      <c r="B5" s="22"/>
      <c r="C5" s="50" t="s">
        <v>41</v>
      </c>
      <c r="D5" s="51"/>
      <c r="E5" s="27" t="s">
        <v>11</v>
      </c>
      <c r="F5" s="28"/>
      <c r="G5" s="55">
        <v>1143121183</v>
      </c>
      <c r="H5" s="52"/>
      <c r="I5" s="27" t="s">
        <v>9</v>
      </c>
      <c r="J5" s="28"/>
      <c r="K5" s="52" t="s">
        <v>10</v>
      </c>
      <c r="L5" s="53"/>
      <c r="N5" s="10" t="s">
        <v>13</v>
      </c>
    </row>
    <row r="6" spans="1:14" ht="17.100000000000001" customHeight="1" x14ac:dyDescent="0.25">
      <c r="A6" s="22" t="s">
        <v>38</v>
      </c>
      <c r="B6" s="22"/>
      <c r="C6" s="24" t="s">
        <v>37</v>
      </c>
      <c r="D6" s="26"/>
      <c r="E6" s="27" t="s">
        <v>39</v>
      </c>
      <c r="F6" s="28"/>
      <c r="G6" s="34">
        <v>45717</v>
      </c>
      <c r="H6" s="56"/>
      <c r="I6" s="57" t="s">
        <v>40</v>
      </c>
      <c r="J6" s="58"/>
      <c r="K6" s="34">
        <v>45731</v>
      </c>
      <c r="L6" s="51"/>
    </row>
    <row r="7" spans="1:14" ht="36" customHeight="1" x14ac:dyDescent="0.25">
      <c r="A7" s="2" t="s">
        <v>0</v>
      </c>
      <c r="B7" s="2" t="s">
        <v>5</v>
      </c>
      <c r="C7" s="48" t="s">
        <v>6</v>
      </c>
      <c r="D7" s="48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47" t="s">
        <v>7</v>
      </c>
      <c r="L7" s="47"/>
    </row>
    <row r="8" spans="1:14" ht="48" customHeight="1" x14ac:dyDescent="0.25">
      <c r="A8" s="4">
        <v>1</v>
      </c>
      <c r="B8" s="5">
        <v>45719</v>
      </c>
      <c r="C8" s="49" t="s">
        <v>53</v>
      </c>
      <c r="D8" s="49"/>
      <c r="E8" s="6">
        <v>0.45833333333333331</v>
      </c>
      <c r="F8" s="6">
        <v>0.70833333333333337</v>
      </c>
      <c r="G8" s="6">
        <v>4.1666666666666664E-2</v>
      </c>
      <c r="H8" s="6">
        <f>(F8-E8-$G$8)</f>
        <v>0.2083333333333334</v>
      </c>
      <c r="I8" s="6">
        <v>0</v>
      </c>
      <c r="J8" s="12">
        <v>5</v>
      </c>
      <c r="K8" s="29" t="s">
        <v>42</v>
      </c>
      <c r="L8" s="29"/>
    </row>
    <row r="9" spans="1:14" ht="15.95" customHeight="1" x14ac:dyDescent="0.25">
      <c r="A9" s="4">
        <v>2</v>
      </c>
      <c r="B9" s="5">
        <v>45721</v>
      </c>
      <c r="C9" s="29" t="s">
        <v>59</v>
      </c>
      <c r="D9" s="29"/>
      <c r="E9" s="6">
        <v>0.33333333333333331</v>
      </c>
      <c r="F9" s="6">
        <v>0.75</v>
      </c>
      <c r="G9" s="6">
        <v>4.1666666666666664E-2</v>
      </c>
      <c r="H9" s="6">
        <f t="shared" ref="H9:H16" si="0">(F9-E9-$G$8)</f>
        <v>0.375</v>
      </c>
      <c r="I9" s="6">
        <v>0.33333333333333331</v>
      </c>
      <c r="J9" s="12">
        <v>1</v>
      </c>
      <c r="K9" s="29" t="s">
        <v>42</v>
      </c>
      <c r="L9" s="29"/>
    </row>
    <row r="10" spans="1:14" ht="15.95" customHeight="1" x14ac:dyDescent="0.25">
      <c r="A10" s="4">
        <v>3</v>
      </c>
      <c r="B10" s="5">
        <v>45724</v>
      </c>
      <c r="C10" s="49" t="s">
        <v>61</v>
      </c>
      <c r="D10" s="49"/>
      <c r="E10" s="6">
        <v>0.33333333333333331</v>
      </c>
      <c r="F10" s="6">
        <v>0.79166666666666663</v>
      </c>
      <c r="G10" s="6">
        <v>4.1666666666666664E-2</v>
      </c>
      <c r="H10" s="6">
        <f t="shared" si="0"/>
        <v>0.41666666666666663</v>
      </c>
      <c r="I10" s="6">
        <v>0.16666666666666666</v>
      </c>
      <c r="J10" s="12">
        <v>6</v>
      </c>
      <c r="K10" s="29" t="s">
        <v>42</v>
      </c>
      <c r="L10" s="29"/>
    </row>
    <row r="11" spans="1:14" ht="15.95" customHeight="1" x14ac:dyDescent="0.25">
      <c r="A11" s="4">
        <v>4</v>
      </c>
      <c r="B11" s="5">
        <v>45726</v>
      </c>
      <c r="C11" s="29" t="s">
        <v>54</v>
      </c>
      <c r="D11" s="29"/>
      <c r="E11" s="6">
        <v>0.33333333333333331</v>
      </c>
      <c r="F11" s="6">
        <v>0.875</v>
      </c>
      <c r="G11" s="6">
        <v>4.1666666666666664E-2</v>
      </c>
      <c r="H11" s="6">
        <f t="shared" si="0"/>
        <v>0.50000000000000011</v>
      </c>
      <c r="I11" s="6">
        <v>0.33333333333333331</v>
      </c>
      <c r="J11" s="12">
        <v>4</v>
      </c>
      <c r="K11" s="29" t="s">
        <v>42</v>
      </c>
      <c r="L11" s="29"/>
    </row>
    <row r="12" spans="1:14" ht="15.95" customHeight="1" x14ac:dyDescent="0.25">
      <c r="A12" s="4">
        <v>5</v>
      </c>
      <c r="B12" s="5">
        <v>45727</v>
      </c>
      <c r="C12" s="29" t="s">
        <v>54</v>
      </c>
      <c r="D12" s="29"/>
      <c r="E12" s="6">
        <v>0.33333333333333331</v>
      </c>
      <c r="F12" s="6">
        <v>0.91666666666666663</v>
      </c>
      <c r="G12" s="6">
        <v>4.1666666666666664E-2</v>
      </c>
      <c r="H12" s="6">
        <f t="shared" si="0"/>
        <v>0.54166666666666663</v>
      </c>
      <c r="I12" s="6">
        <v>0.33333333333333331</v>
      </c>
      <c r="J12" s="12">
        <v>5</v>
      </c>
      <c r="K12" s="29" t="s">
        <v>42</v>
      </c>
      <c r="L12" s="29"/>
    </row>
    <row r="13" spans="1:14" ht="15.95" customHeight="1" x14ac:dyDescent="0.25">
      <c r="A13" s="4">
        <v>6</v>
      </c>
      <c r="B13" s="5">
        <v>45728</v>
      </c>
      <c r="C13" s="29" t="s">
        <v>54</v>
      </c>
      <c r="D13" s="29"/>
      <c r="E13" s="6">
        <v>0.33333333333333331</v>
      </c>
      <c r="F13" s="6">
        <v>0.83333333333333337</v>
      </c>
      <c r="G13" s="6">
        <v>4.1666666666666664E-2</v>
      </c>
      <c r="H13" s="6">
        <f t="shared" si="0"/>
        <v>0.45833333333333331</v>
      </c>
      <c r="I13" s="6">
        <v>0.33333333333333331</v>
      </c>
      <c r="J13" s="12">
        <v>3</v>
      </c>
      <c r="K13" s="29" t="s">
        <v>42</v>
      </c>
      <c r="L13" s="29"/>
    </row>
    <row r="14" spans="1:14" ht="15.75" x14ac:dyDescent="0.25">
      <c r="A14" s="4">
        <v>7</v>
      </c>
      <c r="B14" s="5">
        <v>45729</v>
      </c>
      <c r="C14" s="29" t="s">
        <v>54</v>
      </c>
      <c r="D14" s="29"/>
      <c r="E14" s="6">
        <v>0.33333333333333331</v>
      </c>
      <c r="F14" s="6">
        <v>0.91666666666666663</v>
      </c>
      <c r="G14" s="6">
        <v>4.1666666666666664E-2</v>
      </c>
      <c r="H14" s="6">
        <f t="shared" si="0"/>
        <v>0.54166666666666663</v>
      </c>
      <c r="I14" s="6">
        <v>0.33333333333333331</v>
      </c>
      <c r="J14" s="12">
        <v>5</v>
      </c>
      <c r="K14" s="29" t="s">
        <v>42</v>
      </c>
      <c r="L14" s="29"/>
    </row>
    <row r="15" spans="1:14" ht="15.75" x14ac:dyDescent="0.25">
      <c r="A15" s="4">
        <v>8</v>
      </c>
      <c r="B15" s="5">
        <v>45730</v>
      </c>
      <c r="C15" s="29" t="s">
        <v>54</v>
      </c>
      <c r="D15" s="29"/>
      <c r="E15" s="6">
        <v>0.33333333333333331</v>
      </c>
      <c r="F15" s="6">
        <v>0.875</v>
      </c>
      <c r="G15" s="6">
        <v>4.1666666666666664E-2</v>
      </c>
      <c r="H15" s="6">
        <f t="shared" si="0"/>
        <v>0.50000000000000011</v>
      </c>
      <c r="I15" s="6">
        <v>0.33333333333333331</v>
      </c>
      <c r="J15" s="12">
        <v>4</v>
      </c>
      <c r="K15" s="29" t="s">
        <v>42</v>
      </c>
      <c r="L15" s="29"/>
    </row>
    <row r="16" spans="1:14" ht="15.75" x14ac:dyDescent="0.25">
      <c r="A16" s="4">
        <v>9</v>
      </c>
      <c r="B16" s="5">
        <v>45731</v>
      </c>
      <c r="C16" s="29" t="s">
        <v>54</v>
      </c>
      <c r="D16" s="29"/>
      <c r="E16" s="6">
        <v>0.33333333333333331</v>
      </c>
      <c r="F16" s="6">
        <v>0.70833333333333337</v>
      </c>
      <c r="G16" s="6">
        <v>4.1666666666666664E-2</v>
      </c>
      <c r="H16" s="6">
        <f t="shared" si="0"/>
        <v>0.33333333333333337</v>
      </c>
      <c r="I16" s="6">
        <v>0.16666666666666666</v>
      </c>
      <c r="J16" s="12">
        <v>4</v>
      </c>
      <c r="K16" s="29" t="s">
        <v>42</v>
      </c>
      <c r="L16" s="29"/>
    </row>
    <row r="18" spans="1:10" x14ac:dyDescent="0.25">
      <c r="H18" s="54" t="s">
        <v>15</v>
      </c>
      <c r="I18" s="54"/>
      <c r="J18" s="14">
        <f>SUM(J8:J17)</f>
        <v>37</v>
      </c>
    </row>
    <row r="20" spans="1:10" ht="20.100000000000001" customHeight="1" x14ac:dyDescent="0.25">
      <c r="A20" s="39" t="s">
        <v>16</v>
      </c>
      <c r="B20" s="39"/>
      <c r="C20" s="45" t="s">
        <v>21</v>
      </c>
      <c r="D20" s="45"/>
      <c r="E20" s="45"/>
    </row>
    <row r="21" spans="1:10" ht="20.100000000000001" customHeight="1" x14ac:dyDescent="0.25">
      <c r="A21" s="39" t="s">
        <v>17</v>
      </c>
      <c r="B21" s="39"/>
      <c r="C21" s="40"/>
      <c r="D21" s="40"/>
      <c r="E21" s="40"/>
    </row>
    <row r="22" spans="1:10" ht="20.100000000000001" customHeight="1" x14ac:dyDescent="0.25">
      <c r="A22" s="39" t="s">
        <v>18</v>
      </c>
      <c r="B22" s="39"/>
      <c r="C22" s="39"/>
      <c r="D22" s="44">
        <v>45734</v>
      </c>
      <c r="E22" s="40"/>
    </row>
  </sheetData>
  <mergeCells count="40">
    <mergeCell ref="C16:D16"/>
    <mergeCell ref="K16:L16"/>
    <mergeCell ref="C10:D10"/>
    <mergeCell ref="A5:B5"/>
    <mergeCell ref="A6:B6"/>
    <mergeCell ref="G5:H5"/>
    <mergeCell ref="G6:H6"/>
    <mergeCell ref="I5:J5"/>
    <mergeCell ref="I6:J6"/>
    <mergeCell ref="A22:C22"/>
    <mergeCell ref="D22:E22"/>
    <mergeCell ref="H18:I18"/>
    <mergeCell ref="A20:B20"/>
    <mergeCell ref="C20:E20"/>
    <mergeCell ref="A21:B21"/>
    <mergeCell ref="C21:E21"/>
    <mergeCell ref="C12:D12"/>
    <mergeCell ref="C5:D5"/>
    <mergeCell ref="E5:F5"/>
    <mergeCell ref="K5:L5"/>
    <mergeCell ref="E6:F6"/>
    <mergeCell ref="C6:D6"/>
    <mergeCell ref="K6:L6"/>
    <mergeCell ref="C9:D9"/>
    <mergeCell ref="A2:L4"/>
    <mergeCell ref="C14:D14"/>
    <mergeCell ref="K14:L14"/>
    <mergeCell ref="C15:D15"/>
    <mergeCell ref="K15:L15"/>
    <mergeCell ref="C13:D13"/>
    <mergeCell ref="K7:L7"/>
    <mergeCell ref="K8:L8"/>
    <mergeCell ref="K9:L9"/>
    <mergeCell ref="K10:L10"/>
    <mergeCell ref="K11:L11"/>
    <mergeCell ref="K12:L12"/>
    <mergeCell ref="K13:L13"/>
    <mergeCell ref="C7:D7"/>
    <mergeCell ref="C8:D8"/>
    <mergeCell ref="C11:D11"/>
  </mergeCells>
  <pageMargins left="0.70866141732283472" right="0.70866141732283472" top="0.74803149606299213" bottom="0.74803149606299213" header="0.31496062992125984" footer="0.31496062992125984"/>
  <pageSetup scale="5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8368-08C8-4A1B-9E46-9368DB1DB312}">
  <sheetPr>
    <pageSetUpPr fitToPage="1"/>
  </sheetPr>
  <dimension ref="A1:R17"/>
  <sheetViews>
    <sheetView showGridLines="0" showRuler="0" showWhiteSpace="0" zoomScaleNormal="100" workbookViewId="0">
      <selection activeCell="G5" sqref="G5:H5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8" ht="7.5" customHeight="1" x14ac:dyDescent="0.25"/>
    <row r="2" spans="1:18" ht="24" customHeight="1" x14ac:dyDescent="0.25">
      <c r="A2" s="46" t="s">
        <v>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8" ht="17.2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8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8" ht="17.100000000000001" customHeight="1" x14ac:dyDescent="0.25">
      <c r="A5" s="22" t="s">
        <v>12</v>
      </c>
      <c r="B5" s="22"/>
      <c r="C5" s="50" t="s">
        <v>43</v>
      </c>
      <c r="D5" s="51"/>
      <c r="E5" s="27" t="s">
        <v>11</v>
      </c>
      <c r="F5" s="28"/>
      <c r="G5" s="55"/>
      <c r="H5" s="52"/>
      <c r="I5" s="27" t="s">
        <v>9</v>
      </c>
      <c r="J5" s="28"/>
      <c r="K5" s="52" t="s">
        <v>10</v>
      </c>
      <c r="L5" s="53"/>
      <c r="N5" s="10" t="s">
        <v>13</v>
      </c>
    </row>
    <row r="6" spans="1:18" ht="17.100000000000001" customHeight="1" x14ac:dyDescent="0.25">
      <c r="A6" s="22" t="s">
        <v>38</v>
      </c>
      <c r="B6" s="22"/>
      <c r="C6" s="24" t="s">
        <v>37</v>
      </c>
      <c r="D6" s="26"/>
      <c r="E6" s="27" t="s">
        <v>39</v>
      </c>
      <c r="F6" s="28"/>
      <c r="G6" s="34">
        <v>45717</v>
      </c>
      <c r="H6" s="56"/>
      <c r="I6" s="57" t="s">
        <v>40</v>
      </c>
      <c r="J6" s="58"/>
      <c r="K6" s="34">
        <v>45731</v>
      </c>
      <c r="L6" s="51"/>
    </row>
    <row r="7" spans="1:18" ht="36" customHeight="1" x14ac:dyDescent="0.25">
      <c r="A7" s="2" t="s">
        <v>0</v>
      </c>
      <c r="B7" s="2" t="s">
        <v>5</v>
      </c>
      <c r="C7" s="48" t="s">
        <v>6</v>
      </c>
      <c r="D7" s="48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47" t="s">
        <v>7</v>
      </c>
      <c r="L7" s="47"/>
    </row>
    <row r="8" spans="1:18" ht="40.5" customHeight="1" x14ac:dyDescent="0.25">
      <c r="A8" s="4">
        <v>2</v>
      </c>
      <c r="B8" s="5">
        <v>45717</v>
      </c>
      <c r="C8" s="49" t="s">
        <v>47</v>
      </c>
      <c r="D8" s="49"/>
      <c r="E8" s="6">
        <v>0.45833333333333331</v>
      </c>
      <c r="F8" s="6">
        <v>0.58333333333333337</v>
      </c>
      <c r="G8" s="6">
        <v>0</v>
      </c>
      <c r="H8" s="6">
        <f>(F8-E8-G2)</f>
        <v>0.12500000000000006</v>
      </c>
      <c r="I8" s="6">
        <v>0</v>
      </c>
      <c r="J8" s="13">
        <v>3</v>
      </c>
      <c r="K8" s="29" t="s">
        <v>42</v>
      </c>
      <c r="L8" s="29"/>
    </row>
    <row r="9" spans="1:18" ht="66" customHeight="1" x14ac:dyDescent="0.25">
      <c r="A9" s="4">
        <v>3</v>
      </c>
      <c r="B9" s="5">
        <v>45722</v>
      </c>
      <c r="C9" s="49" t="s">
        <v>44</v>
      </c>
      <c r="D9" s="49"/>
      <c r="E9" s="6">
        <v>0.33333333333333331</v>
      </c>
      <c r="F9" s="6">
        <v>0.79166666666666663</v>
      </c>
      <c r="G9" s="6">
        <v>4.1666666666666664E-2</v>
      </c>
      <c r="H9" s="6">
        <f t="shared" ref="H9" si="0">(F9-E9-G3)</f>
        <v>0.45833333333333331</v>
      </c>
      <c r="I9" s="6">
        <v>0.33333333333333331</v>
      </c>
      <c r="J9" s="13">
        <v>3</v>
      </c>
      <c r="K9" s="29" t="s">
        <v>42</v>
      </c>
      <c r="L9" s="29"/>
    </row>
    <row r="10" spans="1:18" ht="15.95" customHeight="1" x14ac:dyDescent="0.25">
      <c r="A10" s="4">
        <v>4</v>
      </c>
      <c r="B10" s="5">
        <v>45723</v>
      </c>
      <c r="C10" s="29" t="s">
        <v>45</v>
      </c>
      <c r="D10" s="29"/>
      <c r="E10" s="6">
        <v>0.33333333333333331</v>
      </c>
      <c r="F10" s="6">
        <v>0.83333333333333337</v>
      </c>
      <c r="G10" s="6">
        <v>4.1666666666666664E-2</v>
      </c>
      <c r="H10" s="6">
        <f>(F10-E10-G4)</f>
        <v>0.5</v>
      </c>
      <c r="I10" s="6">
        <v>0.33333333333333331</v>
      </c>
      <c r="J10" s="13">
        <v>4</v>
      </c>
      <c r="K10" s="29" t="s">
        <v>42</v>
      </c>
      <c r="L10" s="29"/>
    </row>
    <row r="11" spans="1:18" ht="33" customHeight="1" x14ac:dyDescent="0.25">
      <c r="A11" s="4">
        <v>5</v>
      </c>
      <c r="B11" s="5">
        <v>45726</v>
      </c>
      <c r="C11" s="49" t="s">
        <v>46</v>
      </c>
      <c r="D11" s="49"/>
      <c r="E11" s="6">
        <v>0.33333333333333331</v>
      </c>
      <c r="F11" s="6">
        <v>0.75</v>
      </c>
      <c r="G11" s="6">
        <v>4.1666666666666664E-2</v>
      </c>
      <c r="H11" s="6">
        <f>(F11-E11-G11)</f>
        <v>0.375</v>
      </c>
      <c r="I11" s="6">
        <v>0.33333333333333331</v>
      </c>
      <c r="J11" s="13">
        <v>1</v>
      </c>
      <c r="K11" s="29" t="s">
        <v>42</v>
      </c>
      <c r="L11" s="29"/>
    </row>
    <row r="13" spans="1:18" x14ac:dyDescent="0.25">
      <c r="H13" s="54" t="s">
        <v>15</v>
      </c>
      <c r="I13" s="54"/>
      <c r="J13" s="15">
        <f>SUM(J8:J11)</f>
        <v>11</v>
      </c>
      <c r="R13" s="1">
        <f>97*2</f>
        <v>194</v>
      </c>
    </row>
    <row r="15" spans="1:18" ht="20.100000000000001" customHeight="1" x14ac:dyDescent="0.25">
      <c r="A15" s="39" t="s">
        <v>16</v>
      </c>
      <c r="B15" s="39"/>
      <c r="C15" s="45" t="s">
        <v>43</v>
      </c>
      <c r="D15" s="45"/>
      <c r="E15" s="45"/>
    </row>
    <row r="16" spans="1:18" ht="20.100000000000001" customHeight="1" x14ac:dyDescent="0.25">
      <c r="A16" s="39" t="s">
        <v>17</v>
      </c>
      <c r="B16" s="39"/>
      <c r="C16" s="40" t="s">
        <v>41</v>
      </c>
      <c r="D16" s="40"/>
      <c r="E16" s="40"/>
    </row>
    <row r="17" spans="1:5" ht="20.100000000000001" customHeight="1" x14ac:dyDescent="0.25">
      <c r="A17" s="39" t="s">
        <v>18</v>
      </c>
      <c r="B17" s="39"/>
      <c r="C17" s="39"/>
      <c r="D17" s="44">
        <v>45734</v>
      </c>
      <c r="E17" s="40"/>
    </row>
  </sheetData>
  <mergeCells count="30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7:D7"/>
    <mergeCell ref="K7:L7"/>
    <mergeCell ref="C8:D8"/>
    <mergeCell ref="K8:L8"/>
    <mergeCell ref="C9:D9"/>
    <mergeCell ref="K9:L9"/>
    <mergeCell ref="A17:C17"/>
    <mergeCell ref="D17:E17"/>
    <mergeCell ref="C10:D10"/>
    <mergeCell ref="K10:L10"/>
    <mergeCell ref="C11:D11"/>
    <mergeCell ref="K11:L11"/>
    <mergeCell ref="H13:I13"/>
    <mergeCell ref="A15:B15"/>
    <mergeCell ref="C15:E15"/>
    <mergeCell ref="A16:B16"/>
    <mergeCell ref="C16:E16"/>
  </mergeCells>
  <pageMargins left="0.70866141732283472" right="0.70866141732283472" top="0.74803149606299213" bottom="0.74803149606299213" header="0.31496062992125984" footer="0.31496062992125984"/>
  <pageSetup scale="5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F83A-5E64-4459-8198-ABBDBE9A213D}">
  <sheetPr>
    <pageSetUpPr fitToPage="1"/>
  </sheetPr>
  <dimension ref="A1:R17"/>
  <sheetViews>
    <sheetView showGridLines="0" showRuler="0" showWhiteSpace="0" zoomScaleNormal="100" workbookViewId="0">
      <selection activeCell="J9" sqref="J9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8" ht="7.5" customHeight="1" x14ac:dyDescent="0.25"/>
    <row r="2" spans="1:18" ht="24" customHeight="1" x14ac:dyDescent="0.25">
      <c r="A2" s="46" t="s">
        <v>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8" ht="17.2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8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8" ht="17.100000000000001" customHeight="1" x14ac:dyDescent="0.25">
      <c r="A5" s="22" t="s">
        <v>12</v>
      </c>
      <c r="B5" s="22"/>
      <c r="C5" s="50" t="s">
        <v>43</v>
      </c>
      <c r="D5" s="51"/>
      <c r="E5" s="27" t="s">
        <v>11</v>
      </c>
      <c r="F5" s="28"/>
      <c r="G5" s="55">
        <v>1042451951</v>
      </c>
      <c r="H5" s="52"/>
      <c r="I5" s="27" t="s">
        <v>9</v>
      </c>
      <c r="J5" s="28"/>
      <c r="K5" s="52" t="s">
        <v>10</v>
      </c>
      <c r="L5" s="53"/>
      <c r="N5" s="10" t="s">
        <v>13</v>
      </c>
    </row>
    <row r="6" spans="1:18" ht="17.100000000000001" customHeight="1" x14ac:dyDescent="0.25">
      <c r="A6" s="22" t="s">
        <v>38</v>
      </c>
      <c r="B6" s="22"/>
      <c r="C6" s="24" t="s">
        <v>37</v>
      </c>
      <c r="D6" s="26"/>
      <c r="E6" s="27" t="s">
        <v>39</v>
      </c>
      <c r="F6" s="28"/>
      <c r="G6" s="34">
        <v>45717</v>
      </c>
      <c r="H6" s="56"/>
      <c r="I6" s="57" t="s">
        <v>40</v>
      </c>
      <c r="J6" s="58"/>
      <c r="K6" s="34">
        <v>45731</v>
      </c>
      <c r="L6" s="51"/>
    </row>
    <row r="7" spans="1:18" ht="36" customHeight="1" x14ac:dyDescent="0.25">
      <c r="A7" s="2" t="s">
        <v>0</v>
      </c>
      <c r="B7" s="2" t="s">
        <v>5</v>
      </c>
      <c r="C7" s="48" t="s">
        <v>6</v>
      </c>
      <c r="D7" s="48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47" t="s">
        <v>7</v>
      </c>
      <c r="L7" s="47"/>
    </row>
    <row r="8" spans="1:18" ht="40.5" customHeight="1" x14ac:dyDescent="0.25">
      <c r="A8" s="4">
        <v>2</v>
      </c>
      <c r="B8" s="5">
        <v>45713</v>
      </c>
      <c r="C8" s="49" t="s">
        <v>48</v>
      </c>
      <c r="D8" s="49"/>
      <c r="E8" s="6">
        <v>0.33333333333333331</v>
      </c>
      <c r="F8" s="6">
        <v>0.83333333333333337</v>
      </c>
      <c r="G8" s="6">
        <v>4.1666666666666664E-2</v>
      </c>
      <c r="H8" s="6">
        <f>(F8-E8-G8)</f>
        <v>0.45833333333333331</v>
      </c>
      <c r="I8" s="6">
        <v>0.33333333333333331</v>
      </c>
      <c r="J8" s="13">
        <v>3</v>
      </c>
      <c r="K8" s="29" t="s">
        <v>42</v>
      </c>
      <c r="L8" s="29"/>
    </row>
    <row r="9" spans="1:18" ht="66" customHeight="1" x14ac:dyDescent="0.25">
      <c r="A9" s="4">
        <v>3</v>
      </c>
      <c r="B9" s="5">
        <v>45714</v>
      </c>
      <c r="C9" s="49" t="s">
        <v>48</v>
      </c>
      <c r="D9" s="49"/>
      <c r="E9" s="6">
        <v>0.33333333333333331</v>
      </c>
      <c r="F9" s="6">
        <v>0.79166666666666663</v>
      </c>
      <c r="G9" s="6">
        <v>4.1666666666666664E-2</v>
      </c>
      <c r="H9" s="6">
        <f>(F9-E9-G9)</f>
        <v>0.41666666666666663</v>
      </c>
      <c r="I9" s="6">
        <v>0.33333333333333331</v>
      </c>
      <c r="J9" s="13">
        <v>2</v>
      </c>
      <c r="K9" s="29" t="s">
        <v>42</v>
      </c>
      <c r="L9" s="29"/>
    </row>
    <row r="10" spans="1:18" ht="15.95" customHeight="1" x14ac:dyDescent="0.25">
      <c r="A10" s="4">
        <v>4</v>
      </c>
      <c r="B10" s="5">
        <v>45723</v>
      </c>
      <c r="C10" s="49" t="s">
        <v>48</v>
      </c>
      <c r="D10" s="49"/>
      <c r="E10" s="6">
        <v>0.33333333333333331</v>
      </c>
      <c r="F10" s="6">
        <v>0.83333333333333337</v>
      </c>
      <c r="G10" s="6">
        <v>4.1666666666666664E-2</v>
      </c>
      <c r="H10" s="6">
        <f>(F10-E10-G10)</f>
        <v>0.45833333333333331</v>
      </c>
      <c r="I10" s="6">
        <v>0.33333333333333331</v>
      </c>
      <c r="J10" s="13">
        <v>3</v>
      </c>
      <c r="K10" s="29" t="s">
        <v>42</v>
      </c>
      <c r="L10" s="29"/>
    </row>
    <row r="11" spans="1:18" ht="33" customHeight="1" x14ac:dyDescent="0.25">
      <c r="A11" s="4">
        <v>5</v>
      </c>
      <c r="B11" s="5">
        <v>45726</v>
      </c>
      <c r="C11" s="49" t="s">
        <v>48</v>
      </c>
      <c r="D11" s="49"/>
      <c r="E11" s="6">
        <v>0.33333333333333331</v>
      </c>
      <c r="F11" s="6">
        <v>0.75</v>
      </c>
      <c r="G11" s="6">
        <v>4.1666666666666664E-2</v>
      </c>
      <c r="H11" s="6">
        <f>(F11-E11-G11)</f>
        <v>0.375</v>
      </c>
      <c r="I11" s="6">
        <v>0.33333333333333331</v>
      </c>
      <c r="J11" s="13">
        <v>1</v>
      </c>
      <c r="K11" s="29" t="s">
        <v>42</v>
      </c>
      <c r="L11" s="29"/>
    </row>
    <row r="13" spans="1:18" x14ac:dyDescent="0.25">
      <c r="H13" s="54" t="s">
        <v>15</v>
      </c>
      <c r="I13" s="54"/>
      <c r="J13" s="15">
        <f>SUM(J8:J11)</f>
        <v>9</v>
      </c>
      <c r="R13" s="1">
        <f>97*2</f>
        <v>194</v>
      </c>
    </row>
    <row r="15" spans="1:18" ht="20.100000000000001" customHeight="1" x14ac:dyDescent="0.25">
      <c r="A15" s="39" t="s">
        <v>16</v>
      </c>
      <c r="B15" s="39"/>
      <c r="C15" s="45" t="s">
        <v>43</v>
      </c>
      <c r="D15" s="45"/>
      <c r="E15" s="45"/>
    </row>
    <row r="16" spans="1:18" ht="20.100000000000001" customHeight="1" x14ac:dyDescent="0.25">
      <c r="A16" s="39" t="s">
        <v>17</v>
      </c>
      <c r="B16" s="39"/>
      <c r="C16" s="40" t="s">
        <v>41</v>
      </c>
      <c r="D16" s="40"/>
      <c r="E16" s="40"/>
    </row>
    <row r="17" spans="1:5" ht="20.100000000000001" customHeight="1" x14ac:dyDescent="0.25">
      <c r="A17" s="39" t="s">
        <v>18</v>
      </c>
      <c r="B17" s="39"/>
      <c r="C17" s="39"/>
      <c r="D17" s="44">
        <v>45734</v>
      </c>
      <c r="E17" s="40"/>
    </row>
  </sheetData>
  <mergeCells count="30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7:D7"/>
    <mergeCell ref="K7:L7"/>
    <mergeCell ref="C8:D8"/>
    <mergeCell ref="K8:L8"/>
    <mergeCell ref="C9:D9"/>
    <mergeCell ref="K9:L9"/>
    <mergeCell ref="K10:L10"/>
    <mergeCell ref="C11:D11"/>
    <mergeCell ref="K11:L11"/>
    <mergeCell ref="H13:I13"/>
    <mergeCell ref="A15:B15"/>
    <mergeCell ref="C15:E15"/>
    <mergeCell ref="A16:B16"/>
    <mergeCell ref="C16:E16"/>
    <mergeCell ref="A17:C17"/>
    <mergeCell ref="D17:E17"/>
    <mergeCell ref="C10:D10"/>
  </mergeCells>
  <pageMargins left="0.70866141732283472" right="0.70866141732283472" top="0.74803149606299213" bottom="0.74803149606299213" header="0.31496062992125984" footer="0.31496062992125984"/>
  <pageSetup scale="5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4A99-4D29-4969-A300-E60FB6BEFC58}">
  <sheetPr>
    <pageSetUpPr fitToPage="1"/>
  </sheetPr>
  <dimension ref="A1:N15"/>
  <sheetViews>
    <sheetView showGridLines="0" showRuler="0" showWhiteSpace="0" zoomScaleNormal="100" workbookViewId="0">
      <selection activeCell="H19" sqref="H19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4" style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46" t="s">
        <v>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4" ht="17.2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4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4" ht="17.100000000000001" customHeight="1" x14ac:dyDescent="0.25">
      <c r="A5" s="22" t="s">
        <v>12</v>
      </c>
      <c r="B5" s="22"/>
      <c r="C5" s="50" t="s">
        <v>62</v>
      </c>
      <c r="D5" s="51"/>
      <c r="E5" s="27" t="s">
        <v>11</v>
      </c>
      <c r="F5" s="28"/>
      <c r="G5" s="55" t="s">
        <v>64</v>
      </c>
      <c r="H5" s="52"/>
      <c r="I5" s="27" t="s">
        <v>9</v>
      </c>
      <c r="J5" s="28"/>
      <c r="K5" s="52" t="s">
        <v>65</v>
      </c>
      <c r="L5" s="53"/>
      <c r="N5" s="10" t="s">
        <v>13</v>
      </c>
    </row>
    <row r="6" spans="1:14" ht="17.100000000000001" customHeight="1" x14ac:dyDescent="0.25">
      <c r="A6" s="22" t="s">
        <v>38</v>
      </c>
      <c r="B6" s="22"/>
      <c r="C6" s="24" t="s">
        <v>37</v>
      </c>
      <c r="D6" s="26"/>
      <c r="E6" s="27" t="s">
        <v>39</v>
      </c>
      <c r="F6" s="28"/>
      <c r="G6" s="34">
        <v>45717</v>
      </c>
      <c r="H6" s="56"/>
      <c r="I6" s="57" t="s">
        <v>40</v>
      </c>
      <c r="J6" s="58"/>
      <c r="K6" s="34">
        <v>45731</v>
      </c>
      <c r="L6" s="51"/>
    </row>
    <row r="7" spans="1:14" ht="36" customHeight="1" x14ac:dyDescent="0.25">
      <c r="A7" s="2" t="s">
        <v>0</v>
      </c>
      <c r="B7" s="2" t="s">
        <v>5</v>
      </c>
      <c r="C7" s="48" t="s">
        <v>6</v>
      </c>
      <c r="D7" s="48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47" t="s">
        <v>7</v>
      </c>
      <c r="L7" s="47"/>
    </row>
    <row r="8" spans="1:14" ht="40.5" customHeight="1" x14ac:dyDescent="0.25">
      <c r="A8" s="4">
        <v>2</v>
      </c>
      <c r="B8" s="5">
        <v>45724</v>
      </c>
      <c r="C8" s="49" t="s">
        <v>63</v>
      </c>
      <c r="D8" s="49"/>
      <c r="E8" s="6">
        <v>0.33333333333333331</v>
      </c>
      <c r="F8" s="6">
        <v>0.58333333333333337</v>
      </c>
      <c r="G8" s="6">
        <v>0</v>
      </c>
      <c r="H8" s="6">
        <f>(F8-E8-G8)</f>
        <v>0.25000000000000006</v>
      </c>
      <c r="I8" s="6">
        <v>0.16666666666666666</v>
      </c>
      <c r="J8" s="13">
        <v>2</v>
      </c>
      <c r="K8" s="29" t="s">
        <v>42</v>
      </c>
      <c r="L8" s="29"/>
    </row>
    <row r="9" spans="1:14" ht="66" customHeight="1" x14ac:dyDescent="0.25">
      <c r="A9" s="4">
        <v>3</v>
      </c>
      <c r="B9" s="5">
        <v>45721</v>
      </c>
      <c r="C9" s="49" t="s">
        <v>55</v>
      </c>
      <c r="D9" s="49"/>
      <c r="E9" s="6">
        <v>0.33333333333333331</v>
      </c>
      <c r="F9" s="6">
        <v>0.75</v>
      </c>
      <c r="G9" s="6">
        <v>4.1666666666666664E-2</v>
      </c>
      <c r="H9" s="6">
        <f>(F9-E9-G9)</f>
        <v>0.375</v>
      </c>
      <c r="I9" s="6">
        <v>0.33333333333333331</v>
      </c>
      <c r="J9" s="13">
        <v>1</v>
      </c>
      <c r="K9" s="29" t="s">
        <v>42</v>
      </c>
      <c r="L9" s="29"/>
    </row>
    <row r="11" spans="1:14" x14ac:dyDescent="0.25">
      <c r="H11" s="54" t="s">
        <v>15</v>
      </c>
      <c r="I11" s="54"/>
      <c r="J11" s="15">
        <f>SUM(J8:J9)</f>
        <v>3</v>
      </c>
    </row>
    <row r="13" spans="1:14" ht="20.100000000000001" customHeight="1" x14ac:dyDescent="0.25">
      <c r="A13" s="39" t="s">
        <v>16</v>
      </c>
      <c r="B13" s="39"/>
      <c r="C13" s="45" t="s">
        <v>66</v>
      </c>
      <c r="D13" s="45"/>
      <c r="E13" s="45"/>
    </row>
    <row r="14" spans="1:14" ht="20.100000000000001" customHeight="1" x14ac:dyDescent="0.25">
      <c r="A14" s="39" t="s">
        <v>17</v>
      </c>
      <c r="B14" s="39"/>
      <c r="C14" s="40" t="s">
        <v>41</v>
      </c>
      <c r="D14" s="40"/>
      <c r="E14" s="40"/>
    </row>
    <row r="15" spans="1:14" ht="20.100000000000001" customHeight="1" x14ac:dyDescent="0.25">
      <c r="A15" s="39" t="s">
        <v>18</v>
      </c>
      <c r="B15" s="39"/>
      <c r="C15" s="39"/>
      <c r="D15" s="44">
        <v>45734</v>
      </c>
      <c r="E15" s="40"/>
    </row>
  </sheetData>
  <mergeCells count="26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A15:C15"/>
    <mergeCell ref="D15:E15"/>
    <mergeCell ref="C7:D7"/>
    <mergeCell ref="K7:L7"/>
    <mergeCell ref="C8:D8"/>
    <mergeCell ref="K8:L8"/>
    <mergeCell ref="C9:D9"/>
    <mergeCell ref="K9:L9"/>
    <mergeCell ref="H11:I11"/>
    <mergeCell ref="A13:B13"/>
    <mergeCell ref="C13:E13"/>
    <mergeCell ref="A14:B14"/>
    <mergeCell ref="C14:E14"/>
  </mergeCells>
  <pageMargins left="0.70866141732283472" right="0.70866141732283472" top="0.74803149606299213" bottom="0.74803149606299213" header="0.31496062992125984" footer="0.31496062992125984"/>
  <pageSetup scale="5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F2E5-E034-425D-BE3E-6FE421D3AD6A}">
  <sheetPr>
    <pageSetUpPr fitToPage="1"/>
  </sheetPr>
  <dimension ref="A1:R18"/>
  <sheetViews>
    <sheetView showGridLines="0" showRuler="0" showWhiteSpace="0" zoomScaleNormal="100" workbookViewId="0">
      <selection sqref="A1:XFD1048576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8" ht="7.5" customHeight="1" x14ac:dyDescent="0.25"/>
    <row r="2" spans="1:18" ht="24" customHeight="1" x14ac:dyDescent="0.25">
      <c r="A2" s="46" t="s">
        <v>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8" ht="17.2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8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8" ht="17.100000000000001" customHeight="1" x14ac:dyDescent="0.25">
      <c r="A5" s="22" t="s">
        <v>12</v>
      </c>
      <c r="B5" s="22"/>
      <c r="C5" s="50" t="s">
        <v>52</v>
      </c>
      <c r="D5" s="51"/>
      <c r="E5" s="27" t="s">
        <v>11</v>
      </c>
      <c r="F5" s="28"/>
      <c r="G5" s="55">
        <v>1140861417</v>
      </c>
      <c r="H5" s="52"/>
      <c r="I5" s="27" t="s">
        <v>9</v>
      </c>
      <c r="J5" s="28"/>
      <c r="K5" s="52" t="s">
        <v>10</v>
      </c>
      <c r="L5" s="53"/>
      <c r="N5" s="10" t="s">
        <v>13</v>
      </c>
    </row>
    <row r="6" spans="1:18" ht="17.100000000000001" customHeight="1" x14ac:dyDescent="0.25">
      <c r="A6" s="22" t="s">
        <v>38</v>
      </c>
      <c r="B6" s="22"/>
      <c r="C6" s="24" t="s">
        <v>37</v>
      </c>
      <c r="D6" s="26"/>
      <c r="E6" s="27" t="s">
        <v>39</v>
      </c>
      <c r="F6" s="28"/>
      <c r="G6" s="34">
        <v>45717</v>
      </c>
      <c r="H6" s="56"/>
      <c r="I6" s="57" t="s">
        <v>40</v>
      </c>
      <c r="J6" s="58"/>
      <c r="K6" s="34">
        <v>45731</v>
      </c>
      <c r="L6" s="51"/>
    </row>
    <row r="7" spans="1:18" ht="36" customHeight="1" x14ac:dyDescent="0.25">
      <c r="A7" s="2" t="s">
        <v>0</v>
      </c>
      <c r="B7" s="2" t="s">
        <v>5</v>
      </c>
      <c r="C7" s="48" t="s">
        <v>6</v>
      </c>
      <c r="D7" s="48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47" t="s">
        <v>7</v>
      </c>
      <c r="L7" s="47"/>
    </row>
    <row r="8" spans="1:18" ht="40.5" customHeight="1" x14ac:dyDescent="0.25">
      <c r="A8" s="4">
        <v>2</v>
      </c>
      <c r="B8" s="5">
        <v>45716</v>
      </c>
      <c r="C8" s="49" t="s">
        <v>56</v>
      </c>
      <c r="D8" s="49"/>
      <c r="E8" s="6">
        <v>0.33333333333333331</v>
      </c>
      <c r="F8" s="6">
        <v>0.83333333333333337</v>
      </c>
      <c r="G8" s="6">
        <v>4.1666666666666664E-2</v>
      </c>
      <c r="H8" s="6">
        <f>(F8-E8-G8)</f>
        <v>0.45833333333333331</v>
      </c>
      <c r="I8" s="6">
        <v>0.33333333333333331</v>
      </c>
      <c r="J8" s="13">
        <v>3</v>
      </c>
      <c r="K8" s="29" t="s">
        <v>42</v>
      </c>
      <c r="L8" s="29"/>
    </row>
    <row r="9" spans="1:18" ht="66" customHeight="1" x14ac:dyDescent="0.25">
      <c r="A9" s="4">
        <v>3</v>
      </c>
      <c r="B9" s="5">
        <v>45721</v>
      </c>
      <c r="C9" s="49" t="s">
        <v>55</v>
      </c>
      <c r="D9" s="49"/>
      <c r="E9" s="6">
        <v>0.33333333333333331</v>
      </c>
      <c r="F9" s="6">
        <v>0.79166666666666663</v>
      </c>
      <c r="G9" s="6">
        <v>4.1666666666666664E-2</v>
      </c>
      <c r="H9" s="6">
        <f>(F9-E9-G9)</f>
        <v>0.41666666666666663</v>
      </c>
      <c r="I9" s="6">
        <v>0.33333333333333331</v>
      </c>
      <c r="J9" s="13">
        <v>2</v>
      </c>
      <c r="K9" s="29" t="s">
        <v>42</v>
      </c>
      <c r="L9" s="29"/>
    </row>
    <row r="10" spans="1:18" ht="30" customHeight="1" x14ac:dyDescent="0.25">
      <c r="A10" s="4">
        <v>4</v>
      </c>
      <c r="B10" s="5">
        <v>45724</v>
      </c>
      <c r="C10" s="49" t="s">
        <v>57</v>
      </c>
      <c r="D10" s="49"/>
      <c r="E10" s="6">
        <v>0.33333333333333331</v>
      </c>
      <c r="F10" s="6">
        <v>0.70833333333333337</v>
      </c>
      <c r="G10" s="6">
        <v>4.1666666666666664E-2</v>
      </c>
      <c r="H10" s="6">
        <f>(F10-E10-G10)</f>
        <v>0.33333333333333337</v>
      </c>
      <c r="I10" s="6">
        <v>0.16666666666666666</v>
      </c>
      <c r="J10" s="13">
        <v>4</v>
      </c>
      <c r="K10" s="29" t="s">
        <v>42</v>
      </c>
      <c r="L10" s="29"/>
    </row>
    <row r="11" spans="1:18" ht="33" customHeight="1" x14ac:dyDescent="0.25">
      <c r="A11" s="4">
        <v>5</v>
      </c>
      <c r="B11" s="5">
        <v>45730</v>
      </c>
      <c r="C11" s="49" t="s">
        <v>58</v>
      </c>
      <c r="D11" s="49"/>
      <c r="E11" s="6">
        <v>0.33333333333333331</v>
      </c>
      <c r="F11" s="6">
        <v>0.83333333333333337</v>
      </c>
      <c r="G11" s="6">
        <v>4.1666666666666664E-2</v>
      </c>
      <c r="H11" s="6">
        <f>(F11-E11-G11)</f>
        <v>0.45833333333333331</v>
      </c>
      <c r="I11" s="6">
        <v>0.33333333333333331</v>
      </c>
      <c r="J11" s="13">
        <v>3</v>
      </c>
      <c r="K11" s="29" t="s">
        <v>42</v>
      </c>
      <c r="L11" s="29"/>
    </row>
    <row r="12" spans="1:18" ht="33" customHeight="1" x14ac:dyDescent="0.25">
      <c r="A12" s="4">
        <v>5</v>
      </c>
      <c r="B12" s="5">
        <v>45731</v>
      </c>
      <c r="C12" s="49" t="s">
        <v>60</v>
      </c>
      <c r="D12" s="49"/>
      <c r="E12" s="6">
        <v>0.33333333333333331</v>
      </c>
      <c r="F12" s="6">
        <v>0.58333333333333337</v>
      </c>
      <c r="G12" s="6">
        <v>4.1666666666666664E-2</v>
      </c>
      <c r="H12" s="6">
        <f>(F12-E12-G12)</f>
        <v>0.2083333333333334</v>
      </c>
      <c r="I12" s="6">
        <v>0.16666666666666666</v>
      </c>
      <c r="J12" s="13">
        <v>1</v>
      </c>
      <c r="K12" s="29" t="s">
        <v>42</v>
      </c>
      <c r="L12" s="29"/>
    </row>
    <row r="14" spans="1:18" x14ac:dyDescent="0.25">
      <c r="H14" s="54" t="s">
        <v>15</v>
      </c>
      <c r="I14" s="54"/>
      <c r="J14" s="15">
        <f>SUM(J8:J12)</f>
        <v>13</v>
      </c>
      <c r="R14" s="1">
        <f>97*2</f>
        <v>194</v>
      </c>
    </row>
    <row r="16" spans="1:18" ht="20.100000000000001" customHeight="1" x14ac:dyDescent="0.25">
      <c r="A16" s="39" t="s">
        <v>16</v>
      </c>
      <c r="B16" s="39"/>
      <c r="C16" s="45" t="s">
        <v>52</v>
      </c>
      <c r="D16" s="45"/>
      <c r="E16" s="45"/>
    </row>
    <row r="17" spans="1:5" ht="20.100000000000001" customHeight="1" x14ac:dyDescent="0.25">
      <c r="A17" s="39" t="s">
        <v>17</v>
      </c>
      <c r="B17" s="39"/>
      <c r="C17" s="40" t="s">
        <v>41</v>
      </c>
      <c r="D17" s="40"/>
      <c r="E17" s="40"/>
    </row>
    <row r="18" spans="1:5" ht="20.100000000000001" customHeight="1" x14ac:dyDescent="0.25">
      <c r="A18" s="39" t="s">
        <v>18</v>
      </c>
      <c r="B18" s="39"/>
      <c r="C18" s="39"/>
      <c r="D18" s="44">
        <v>45734</v>
      </c>
      <c r="E18" s="40"/>
    </row>
  </sheetData>
  <mergeCells count="32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H14:I14"/>
    <mergeCell ref="A16:B16"/>
    <mergeCell ref="C16:E16"/>
    <mergeCell ref="C7:D7"/>
    <mergeCell ref="K7:L7"/>
    <mergeCell ref="C8:D8"/>
    <mergeCell ref="K8:L8"/>
    <mergeCell ref="C9:D9"/>
    <mergeCell ref="K9:L9"/>
    <mergeCell ref="K11:L11"/>
    <mergeCell ref="C10:D10"/>
    <mergeCell ref="K10:L10"/>
    <mergeCell ref="C12:D12"/>
    <mergeCell ref="K12:L12"/>
    <mergeCell ref="A17:B17"/>
    <mergeCell ref="C17:E17"/>
    <mergeCell ref="A18:C18"/>
    <mergeCell ref="D18:E18"/>
    <mergeCell ref="C11:D11"/>
  </mergeCells>
  <pageMargins left="0.70866141732283472" right="0.70866141732283472" top="0.74803149606299213" bottom="0.74803149606299213" header="0.31496062992125984" footer="0.31496062992125984"/>
  <pageSetup scale="5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D506-D59F-4DD8-832A-F0C58007D067}">
  <dimension ref="A1:N14"/>
  <sheetViews>
    <sheetView workbookViewId="0">
      <selection activeCell="R21" sqref="R21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46" t="s">
        <v>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4" ht="17.2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4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4" ht="17.100000000000001" customHeight="1" x14ac:dyDescent="0.25">
      <c r="A5" s="22" t="s">
        <v>12</v>
      </c>
      <c r="B5" s="22"/>
      <c r="C5" s="50" t="s">
        <v>69</v>
      </c>
      <c r="D5" s="51"/>
      <c r="E5" s="27" t="s">
        <v>11</v>
      </c>
      <c r="F5" s="28"/>
      <c r="G5" s="55"/>
      <c r="H5" s="52"/>
      <c r="I5" s="27" t="s">
        <v>9</v>
      </c>
      <c r="J5" s="28"/>
      <c r="K5" s="52" t="s">
        <v>10</v>
      </c>
      <c r="L5" s="53"/>
      <c r="N5" s="10" t="s">
        <v>13</v>
      </c>
    </row>
    <row r="6" spans="1:14" ht="17.100000000000001" customHeight="1" x14ac:dyDescent="0.25">
      <c r="A6" s="22" t="s">
        <v>38</v>
      </c>
      <c r="B6" s="22"/>
      <c r="C6" s="24" t="s">
        <v>37</v>
      </c>
      <c r="D6" s="26"/>
      <c r="E6" s="27" t="s">
        <v>39</v>
      </c>
      <c r="F6" s="28"/>
      <c r="G6" s="34">
        <v>45717</v>
      </c>
      <c r="H6" s="56"/>
      <c r="I6" s="57" t="s">
        <v>40</v>
      </c>
      <c r="J6" s="58"/>
      <c r="K6" s="34">
        <v>45731</v>
      </c>
      <c r="L6" s="51"/>
    </row>
    <row r="7" spans="1:14" ht="36" customHeight="1" x14ac:dyDescent="0.25">
      <c r="A7" s="2" t="s">
        <v>0</v>
      </c>
      <c r="B7" s="2" t="s">
        <v>5</v>
      </c>
      <c r="C7" s="48" t="s">
        <v>6</v>
      </c>
      <c r="D7" s="48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47" t="s">
        <v>7</v>
      </c>
      <c r="L7" s="47"/>
    </row>
    <row r="8" spans="1:14" ht="40.5" customHeight="1" x14ac:dyDescent="0.25">
      <c r="A8" s="4">
        <v>2</v>
      </c>
      <c r="B8" s="5">
        <v>45716</v>
      </c>
      <c r="C8" s="49" t="s">
        <v>70</v>
      </c>
      <c r="D8" s="49"/>
      <c r="E8" s="6">
        <v>0.33333333333333331</v>
      </c>
      <c r="F8" s="6">
        <v>0.83333333333333337</v>
      </c>
      <c r="G8" s="6">
        <v>4.1666666666666664E-2</v>
      </c>
      <c r="H8" s="6">
        <f>(F8-E8-G8)</f>
        <v>0.45833333333333331</v>
      </c>
      <c r="I8" s="6">
        <v>0.33333333333333331</v>
      </c>
      <c r="J8" s="13">
        <v>3</v>
      </c>
      <c r="K8" s="29" t="s">
        <v>42</v>
      </c>
      <c r="L8" s="29"/>
    </row>
    <row r="10" spans="1:14" x14ac:dyDescent="0.25">
      <c r="H10" s="54" t="s">
        <v>15</v>
      </c>
      <c r="I10" s="54"/>
      <c r="J10" s="15">
        <f>SUM(J8:J8)</f>
        <v>3</v>
      </c>
    </row>
    <row r="12" spans="1:14" ht="20.100000000000001" customHeight="1" x14ac:dyDescent="0.25">
      <c r="A12" s="39" t="s">
        <v>16</v>
      </c>
      <c r="B12" s="39"/>
      <c r="C12" s="45" t="s">
        <v>69</v>
      </c>
      <c r="D12" s="45"/>
      <c r="E12" s="45"/>
    </row>
    <row r="13" spans="1:14" ht="20.100000000000001" customHeight="1" x14ac:dyDescent="0.25">
      <c r="A13" s="39" t="s">
        <v>17</v>
      </c>
      <c r="B13" s="39"/>
      <c r="C13" s="40" t="s">
        <v>41</v>
      </c>
      <c r="D13" s="40"/>
      <c r="E13" s="40"/>
    </row>
    <row r="14" spans="1:14" ht="20.100000000000001" customHeight="1" x14ac:dyDescent="0.25">
      <c r="A14" s="39" t="s">
        <v>18</v>
      </c>
      <c r="B14" s="39"/>
      <c r="C14" s="39"/>
      <c r="D14" s="44">
        <v>45734</v>
      </c>
      <c r="E14" s="40"/>
    </row>
  </sheetData>
  <mergeCells count="24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A14:C14"/>
    <mergeCell ref="D14:E14"/>
    <mergeCell ref="C7:D7"/>
    <mergeCell ref="K7:L7"/>
    <mergeCell ref="C8:D8"/>
    <mergeCell ref="K8:L8"/>
    <mergeCell ref="H10:I10"/>
    <mergeCell ref="A12:B12"/>
    <mergeCell ref="C12:E12"/>
    <mergeCell ref="A13:B13"/>
    <mergeCell ref="C13:E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396F7A-7131-468F-8253-3D15F4958963}"/>
</file>

<file path=customXml/itemProps2.xml><?xml version="1.0" encoding="utf-8"?>
<ds:datastoreItem xmlns:ds="http://schemas.openxmlformats.org/officeDocument/2006/customXml" ds:itemID="{07DCDC24-D503-4E0A-BC65-BE3A3F604509}"/>
</file>

<file path=customXml/itemProps3.xml><?xml version="1.0" encoding="utf-8"?>
<ds:datastoreItem xmlns:ds="http://schemas.openxmlformats.org/officeDocument/2006/customXml" ds:itemID="{8D5C5EBA-80E9-4EBB-9B75-F768AE57D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GENERAL</vt:lpstr>
      <vt:lpstr>MARIO OROZCO</vt:lpstr>
      <vt:lpstr>JUSTIN ORTIZ</vt:lpstr>
      <vt:lpstr>DAVID TORDECILLA</vt:lpstr>
      <vt:lpstr>MOISÉS RINCÓN</vt:lpstr>
      <vt:lpstr>RONALD GRAJALES</vt:lpstr>
      <vt:lpstr>ADRIANA DE LA CRUZ</vt:lpstr>
      <vt:lpstr>'DAVID TORDECILLA'!Área_de_impresión</vt:lpstr>
      <vt:lpstr>'JUSTIN ORTIZ'!Área_de_impresión</vt:lpstr>
      <vt:lpstr>'MARIO OROZCO'!Área_de_impresión</vt:lpstr>
      <vt:lpstr>'MOISÉS RINCÓN'!Área_de_impresión</vt:lpstr>
      <vt:lpstr>'RONALD GRAJALES'!Área_de_impresión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Silia Diaz</cp:lastModifiedBy>
  <cp:lastPrinted>2025-02-26T14:41:28Z</cp:lastPrinted>
  <dcterms:created xsi:type="dcterms:W3CDTF">2025-02-26T13:50:56Z</dcterms:created>
  <dcterms:modified xsi:type="dcterms:W3CDTF">2025-10-20T15:52:36Z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