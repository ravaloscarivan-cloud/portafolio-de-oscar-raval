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\\10.10.50.91\almacen biosteel\HORAS EXTRAS\"/>
    </mc:Choice>
  </mc:AlternateContent>
  <xr:revisionPtr revIDLastSave="0" documentId="8_{87B64F22-8C8C-4449-83FF-AF3ADBBF6B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2" r:id="rId1"/>
    <sheet name="MOISES RINCON" sheetId="16" r:id="rId2"/>
    <sheet name="MARIO OROZCO" sheetId="1" r:id="rId3"/>
    <sheet name="KEISSY ARRIETA" sheetId="14" r:id="rId4"/>
    <sheet name="JUSTIN ORTIZ" sheetId="15" r:id="rId5"/>
    <sheet name="RONAD GRAJALES" sheetId="13" r:id="rId6"/>
    <sheet name="STEFANY DE LA HOZ" sheetId="17" r:id="rId7"/>
  </sheets>
  <definedNames>
    <definedName name="_xlnm.Print_Area" localSheetId="2">'MARIO OROZCO'!$A$1:$M$25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7" l="1"/>
  <c r="J18" i="13"/>
  <c r="H16" i="13"/>
  <c r="H9" i="13"/>
  <c r="H10" i="13"/>
  <c r="H11" i="13"/>
  <c r="H12" i="13"/>
  <c r="H13" i="13"/>
  <c r="H14" i="13"/>
  <c r="H15" i="13"/>
  <c r="H8" i="13"/>
  <c r="J11" i="15"/>
  <c r="H9" i="15"/>
  <c r="H8" i="15"/>
  <c r="J11" i="14"/>
  <c r="H9" i="14"/>
  <c r="H8" i="14"/>
  <c r="J11" i="16"/>
  <c r="H9" i="16"/>
  <c r="H8" i="16"/>
  <c r="J12" i="1"/>
  <c r="H9" i="1"/>
  <c r="H10" i="1"/>
  <c r="H8" i="1"/>
  <c r="G19" i="2"/>
  <c r="D16" i="1"/>
  <c r="J10" i="17" l="1"/>
  <c r="D24" i="2" l="1"/>
  <c r="I9" i="2" l="1"/>
  <c r="I10" i="2" l="1"/>
  <c r="I11" i="2"/>
  <c r="I12" i="2"/>
  <c r="I13" i="2"/>
  <c r="I14" i="2"/>
  <c r="I15" i="2"/>
  <c r="I16" i="2"/>
  <c r="I17" i="2"/>
  <c r="I18" i="2"/>
  <c r="I19" i="2"/>
</calcChain>
</file>

<file path=xl/sharedStrings.xml><?xml version="1.0" encoding="utf-8"?>
<sst xmlns="http://schemas.openxmlformats.org/spreadsheetml/2006/main" count="229" uniqueCount="77">
  <si>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</si>
  <si>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</si>
  <si>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</si>
  <si>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</si>
  <si>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</si>
  <si>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</si>
  <si>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</si>
  <si>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</si>
  <si>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</si>
  <si>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</si>
  <si>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</si>
  <si>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</si>
  <si>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</si>
  <si>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</si>
  <si>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</si>
  <si>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</si>
  <si>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</si>
  <si>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</si>
  <si>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</si>
  <si>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</si>
  <si>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</si>
  <si>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</si>
  <si>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</si>
  <si>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</si>
  <si>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</si>
  <si>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</si>
  <si>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</si>
  <si>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</si>
  <si>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</si>
  <si>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</si>
  <si>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</si>
  <si>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</si>
  <si>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</si>
  <si>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</si>
  <si>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</si>
  <si>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</si>
  <si>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</si>
  <si>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</si>
  <si>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</si>
  <si>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RONALD GRAJALES</t>
  </si>
  <si>
    <t>ESPERAR MATERIALES DE PROVEEDOR Y ENTREGAR</t>
  </si>
  <si>
    <t>Aux  Logistico</t>
  </si>
  <si>
    <t>SEPTIEMBRE</t>
  </si>
  <si>
    <t>KEISY ARRIETA</t>
  </si>
  <si>
    <t xml:space="preserve">JUSTIN ORTIZ RUIZ </t>
  </si>
  <si>
    <t>KEISSY ARRIETA</t>
  </si>
  <si>
    <t>AUXILIAR ADMONISTRATIVO</t>
  </si>
  <si>
    <t>RESPONSABLE:</t>
  </si>
  <si>
    <t xml:space="preserve">MOISES RINCON </t>
  </si>
  <si>
    <t>Mensajero</t>
  </si>
  <si>
    <t>llevar material a rp dental</t>
  </si>
  <si>
    <t>recogiendo material a rp dental - imeq</t>
  </si>
  <si>
    <t>MOISES RINCON</t>
  </si>
  <si>
    <t>MENSAJERO</t>
  </si>
  <si>
    <t>SEPTIEMBRE/OCTUBRE</t>
  </si>
  <si>
    <t>STEFANY DE L AHOZ</t>
  </si>
  <si>
    <t>Aux  Compras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</si>
  <si>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</si>
  <si>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>INVENTARIO SUPLEMEDICOS</t>
  </si>
  <si>
    <t xml:space="preserve">STEFANY DE LA HOZ </t>
  </si>
  <si>
    <t>10/15/2025</t>
  </si>
  <si>
    <t>ENVIANDO MATERIALES DE ABUM., TO., SERVILO. A LAS TRES CLINICAS</t>
  </si>
  <si>
    <t>INVENTARIO TODO ORTOPEDICO</t>
  </si>
  <si>
    <t>INVENTARIO SUPLEMEDICO</t>
  </si>
  <si>
    <t>ESPERANDO A TOCAMEDIC PARA ENVIAR MATERIAL A BARU</t>
  </si>
  <si>
    <t>ENTREGANDO CUPULA A BAHIA</t>
  </si>
  <si>
    <t>ENVIANDO LIGAMENTO DE ABUMAC A BAHIA</t>
  </si>
  <si>
    <t>ENVIANDO TIBIA DE TOCAMEDIC A BARU</t>
  </si>
  <si>
    <t>APOYANDO A JUSTIN</t>
  </si>
  <si>
    <t xml:space="preserve">INVENTARIO DE TODO ORTOPEDICO 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</si>
  <si>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:OCTUBRE</t>
    </r>
  </si>
  <si>
    <t xml:space="preserve"> SEPTIEMPRE</t>
  </si>
  <si>
    <r>
      <t>A:</t>
    </r>
    <r>
      <rPr>
        <sz val="12"/>
        <color theme="1"/>
        <rFont val="Calibri"/>
        <family val="2"/>
        <scheme val="minor"/>
      </rPr>
      <t xml:space="preserve"> OCTUBRE</t>
    </r>
  </si>
  <si>
    <t>Auxiliar Cotizaciones</t>
  </si>
  <si>
    <t>STEFANY DE LA HOZ</t>
  </si>
  <si>
    <t>AUX. COMPRAS</t>
  </si>
  <si>
    <t>EMALINE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</si>
</sst>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6" fontId="3" fillId="0" borderId="1" xfId="2" applyNumberFormat="1" applyFont="1" applyBorder="1" applyAlignment="1">
      <alignment horizontal="center" vertical="center"/>
    </xf>
    <xf numFmtId="166" fontId="6" fillId="0" borderId="1" xfId="2" applyNumberFormat="1" applyFont="1" applyBorder="1"/>
    <xf numFmtId="166" fontId="6" fillId="0" borderId="1" xfId="0" applyNumberFormat="1" applyFont="1" applyBorder="1"/>
    <xf numFmtId="20" fontId="3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0" fontId="9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166" fontId="3" fillId="0" borderId="10" xfId="2" applyNumberFormat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6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166" fontId="6" fillId="0" borderId="1" xfId="2" applyNumberFormat="1" applyFont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0AA6141-0FDF-4BEB-80CC-8F1AE1178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4928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5199</xdr:rowOff>
    </xdr:from>
    <xdr:ext cx="1155905" cy="547254"/>
    <xdr:pic>
      <xdr:nvPicPr>
        <xdr:cNvPr id="3" name="Imagen 2">
          <a:extLst>
            <a:ext uri="{FF2B5EF4-FFF2-40B4-BE49-F238E27FC236}">
              <a16:creationId xmlns:a16="http://schemas.microsoft.com/office/drawing/2014/main" id="{17A880DF-F615-4AE1-8D53-BE88745B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9046" y="-108627"/>
          <a:ext cx="547254" cy="11559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tabSelected="1" workbookViewId="0">
      <selection activeCell="G13" sqref="G13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58" t="s">
        <v>28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8.75" customHeight="1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ht="19.5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11" ht="15.75" x14ac:dyDescent="0.25">
      <c r="A5" s="41" t="s">
        <v>47</v>
      </c>
      <c r="B5" s="41"/>
      <c r="C5" s="59" t="s">
        <v>21</v>
      </c>
      <c r="D5" s="59"/>
      <c r="E5" s="59"/>
      <c r="F5" s="11" t="s">
        <v>9</v>
      </c>
      <c r="G5" s="55" t="s">
        <v>20</v>
      </c>
      <c r="H5" s="56"/>
      <c r="I5" s="11" t="s">
        <v>32</v>
      </c>
      <c r="J5" s="55" t="s">
        <v>33</v>
      </c>
      <c r="K5" s="57"/>
    </row>
    <row r="6" spans="1:11" ht="15.75" x14ac:dyDescent="0.25">
      <c r="A6" s="41" t="s">
        <v>31</v>
      </c>
      <c r="B6" s="41"/>
      <c r="C6" s="60" t="s">
        <v>54</v>
      </c>
      <c r="D6" s="61"/>
      <c r="E6" s="62"/>
      <c r="F6" s="63" t="s">
        <v>22</v>
      </c>
      <c r="G6" s="64"/>
      <c r="H6" s="53">
        <v>45916</v>
      </c>
      <c r="I6" s="54"/>
      <c r="J6" s="53">
        <v>45945</v>
      </c>
      <c r="K6" s="54"/>
    </row>
    <row r="7" spans="1:11" ht="47.25" x14ac:dyDescent="0.25">
      <c r="A7" s="2" t="s">
        <v>0</v>
      </c>
      <c r="B7" s="35" t="s">
        <v>23</v>
      </c>
      <c r="C7" s="36"/>
      <c r="D7" s="37"/>
      <c r="E7" s="51" t="s">
        <v>19</v>
      </c>
      <c r="F7" s="52"/>
      <c r="G7" s="3" t="s">
        <v>27</v>
      </c>
      <c r="H7" s="8" t="s">
        <v>29</v>
      </c>
      <c r="I7" s="8" t="s">
        <v>30</v>
      </c>
      <c r="J7" s="51" t="s">
        <v>34</v>
      </c>
      <c r="K7" s="52"/>
    </row>
    <row r="8" spans="1:11" ht="15.75" x14ac:dyDescent="0.25">
      <c r="A8" s="4">
        <v>1</v>
      </c>
      <c r="B8" s="38" t="s">
        <v>25</v>
      </c>
      <c r="C8" s="39"/>
      <c r="D8" s="40"/>
      <c r="E8" s="45" t="s">
        <v>26</v>
      </c>
      <c r="F8" s="46"/>
      <c r="G8" s="7">
        <v>6</v>
      </c>
      <c r="H8" s="9"/>
      <c r="I8" s="9"/>
      <c r="J8" s="50"/>
      <c r="K8" s="50"/>
    </row>
    <row r="9" spans="1:11" ht="15.75" x14ac:dyDescent="0.25">
      <c r="A9" s="4">
        <v>2</v>
      </c>
      <c r="B9" s="38" t="s">
        <v>45</v>
      </c>
      <c r="C9" s="39"/>
      <c r="D9" s="40"/>
      <c r="E9" s="45" t="s">
        <v>46</v>
      </c>
      <c r="F9" s="46"/>
      <c r="G9" s="7">
        <v>5</v>
      </c>
      <c r="H9" s="9"/>
      <c r="I9" s="9">
        <f>H9*G9</f>
        <v>0</v>
      </c>
      <c r="J9" s="50"/>
      <c r="K9" s="50"/>
    </row>
    <row r="10" spans="1:11" ht="15.75" x14ac:dyDescent="0.25">
      <c r="A10" s="4">
        <v>3</v>
      </c>
      <c r="B10" s="38" t="s">
        <v>24</v>
      </c>
      <c r="C10" s="39"/>
      <c r="D10" s="40"/>
      <c r="E10" s="45" t="s">
        <v>26</v>
      </c>
      <c r="F10" s="46"/>
      <c r="G10" s="7">
        <v>6</v>
      </c>
      <c r="H10" s="9"/>
      <c r="I10" s="9">
        <f t="shared" ref="I10:I19" si="0">H10*G10</f>
        <v>0</v>
      </c>
      <c r="J10" s="50"/>
      <c r="K10" s="50"/>
    </row>
    <row r="11" spans="1:11" ht="15.75" x14ac:dyDescent="0.25">
      <c r="A11" s="4">
        <v>4</v>
      </c>
      <c r="B11" s="38" t="s">
        <v>39</v>
      </c>
      <c r="C11" s="39"/>
      <c r="D11" s="40"/>
      <c r="E11" s="45" t="s">
        <v>26</v>
      </c>
      <c r="F11" s="46"/>
      <c r="G11" s="7">
        <v>21</v>
      </c>
      <c r="H11" s="9"/>
      <c r="I11" s="9">
        <f t="shared" si="0"/>
        <v>0</v>
      </c>
      <c r="J11" s="50"/>
      <c r="K11" s="50"/>
    </row>
    <row r="12" spans="1:11" ht="15.75" x14ac:dyDescent="0.25">
      <c r="A12" s="4">
        <v>5</v>
      </c>
      <c r="B12" s="38" t="s">
        <v>52</v>
      </c>
      <c r="C12" s="39"/>
      <c r="D12" s="40"/>
      <c r="E12" s="45" t="s">
        <v>53</v>
      </c>
      <c r="F12" s="46"/>
      <c r="G12" s="7">
        <v>8</v>
      </c>
      <c r="H12" s="9"/>
      <c r="I12" s="9">
        <f t="shared" si="0"/>
        <v>0</v>
      </c>
      <c r="J12" s="50"/>
      <c r="K12" s="50"/>
    </row>
    <row r="13" spans="1:11" ht="15.75" x14ac:dyDescent="0.25">
      <c r="A13" s="4">
        <v>6</v>
      </c>
      <c r="B13" s="38" t="s">
        <v>74</v>
      </c>
      <c r="C13" s="39"/>
      <c r="D13" s="40"/>
      <c r="E13" s="45" t="s">
        <v>75</v>
      </c>
      <c r="F13" s="46"/>
      <c r="G13" s="7">
        <v>2</v>
      </c>
      <c r="H13" s="9"/>
      <c r="I13" s="9">
        <f t="shared" si="0"/>
        <v>0</v>
      </c>
      <c r="J13" s="50"/>
      <c r="K13" s="50"/>
    </row>
    <row r="14" spans="1:11" ht="15.75" x14ac:dyDescent="0.25">
      <c r="A14" s="4">
        <v>7</v>
      </c>
      <c r="B14" s="38"/>
      <c r="C14" s="39"/>
      <c r="D14" s="40"/>
      <c r="E14" s="45"/>
      <c r="F14" s="46"/>
      <c r="G14" s="7"/>
      <c r="H14" s="9"/>
      <c r="I14" s="9">
        <f t="shared" si="0"/>
        <v>0</v>
      </c>
      <c r="J14" s="50"/>
      <c r="K14" s="50"/>
    </row>
    <row r="15" spans="1:11" ht="15.75" x14ac:dyDescent="0.25">
      <c r="A15" s="4">
        <v>8</v>
      </c>
      <c r="B15" s="38"/>
      <c r="C15" s="39"/>
      <c r="D15" s="40"/>
      <c r="E15" s="47"/>
      <c r="F15" s="48"/>
      <c r="G15" s="7"/>
      <c r="H15" s="9"/>
      <c r="I15" s="9">
        <f t="shared" si="0"/>
        <v>0</v>
      </c>
      <c r="J15" s="50"/>
      <c r="K15" s="50"/>
    </row>
    <row r="16" spans="1:11" ht="15.75" x14ac:dyDescent="0.25">
      <c r="A16" s="4">
        <v>9</v>
      </c>
      <c r="B16" s="38"/>
      <c r="C16" s="39"/>
      <c r="D16" s="40"/>
      <c r="E16" s="47"/>
      <c r="F16" s="48"/>
      <c r="G16" s="7"/>
      <c r="H16" s="9"/>
      <c r="I16" s="9">
        <f t="shared" si="0"/>
        <v>0</v>
      </c>
      <c r="J16" s="50"/>
      <c r="K16" s="50"/>
    </row>
    <row r="17" spans="1:11" ht="15.75" x14ac:dyDescent="0.25">
      <c r="A17" s="4">
        <v>10</v>
      </c>
      <c r="B17" s="38"/>
      <c r="C17" s="39"/>
      <c r="D17" s="40"/>
      <c r="E17" s="47"/>
      <c r="F17" s="48"/>
      <c r="G17" s="7"/>
      <c r="H17" s="9"/>
      <c r="I17" s="9">
        <f t="shared" si="0"/>
        <v>0</v>
      </c>
      <c r="J17" s="50"/>
      <c r="K17" s="50"/>
    </row>
    <row r="18" spans="1:11" ht="15.75" x14ac:dyDescent="0.25">
      <c r="A18" s="4">
        <v>11</v>
      </c>
      <c r="B18" s="38"/>
      <c r="C18" s="39"/>
      <c r="D18" s="40"/>
      <c r="E18" s="47"/>
      <c r="F18" s="48"/>
      <c r="G18" s="7"/>
      <c r="H18" s="9"/>
      <c r="I18" s="9">
        <f t="shared" si="0"/>
        <v>0</v>
      </c>
      <c r="J18" s="50"/>
      <c r="K18" s="50"/>
    </row>
    <row r="19" spans="1:11" ht="15.75" x14ac:dyDescent="0.25">
      <c r="A19" s="4">
        <v>12</v>
      </c>
      <c r="B19" s="38"/>
      <c r="C19" s="39"/>
      <c r="D19" s="40"/>
      <c r="E19" s="47"/>
      <c r="F19" s="48"/>
      <c r="G19" s="7">
        <f>SUM(G8:G18)</f>
        <v>48</v>
      </c>
      <c r="H19" s="9"/>
      <c r="I19" s="9">
        <f t="shared" si="0"/>
        <v>0</v>
      </c>
      <c r="J19" s="50"/>
      <c r="K19" s="50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100000000000001" customHeight="1" x14ac:dyDescent="0.25">
      <c r="A22" s="49" t="s">
        <v>16</v>
      </c>
      <c r="B22" s="49"/>
      <c r="C22" s="44" t="s">
        <v>76</v>
      </c>
      <c r="D22" s="44"/>
      <c r="E22" s="44"/>
      <c r="F22" s="44"/>
      <c r="G22" s="44"/>
      <c r="H22" s="1"/>
      <c r="I22" s="1"/>
      <c r="J22" s="1"/>
      <c r="K22" s="1"/>
    </row>
    <row r="23" spans="1:11" ht="20.100000000000001" customHeight="1" x14ac:dyDescent="0.25">
      <c r="A23" s="49" t="s">
        <v>17</v>
      </c>
      <c r="B23" s="49"/>
      <c r="C23" s="43"/>
      <c r="D23" s="43"/>
      <c r="E23" s="43"/>
      <c r="F23" s="43"/>
      <c r="G23" s="43"/>
      <c r="H23" s="1"/>
      <c r="I23" s="1"/>
      <c r="J23" s="1"/>
      <c r="K23" s="1"/>
    </row>
    <row r="24" spans="1:11" ht="20.100000000000001" customHeight="1" x14ac:dyDescent="0.25">
      <c r="A24" s="49" t="s">
        <v>18</v>
      </c>
      <c r="B24" s="49"/>
      <c r="C24" s="49"/>
      <c r="D24" s="42">
        <f ca="1">TODAY()</f>
        <v>45950</v>
      </c>
      <c r="E24" s="43"/>
      <c r="F24" s="43"/>
      <c r="G24" s="43"/>
      <c r="H24" s="1"/>
      <c r="I24" s="1"/>
      <c r="J24" s="1"/>
      <c r="K24" s="1"/>
    </row>
    <row r="25" spans="1:11" ht="20.100000000000001" customHeight="1" x14ac:dyDescent="0.25"/>
  </sheetData>
  <mergeCells count="55">
    <mergeCell ref="J6:K6"/>
    <mergeCell ref="G5:H5"/>
    <mergeCell ref="J5:K5"/>
    <mergeCell ref="A2:K4"/>
    <mergeCell ref="A5:B5"/>
    <mergeCell ref="C5:E5"/>
    <mergeCell ref="C6:E6"/>
    <mergeCell ref="F6:G6"/>
    <mergeCell ref="H6:I6"/>
    <mergeCell ref="J8:K8"/>
    <mergeCell ref="J9:K9"/>
    <mergeCell ref="E7:F7"/>
    <mergeCell ref="E8:F8"/>
    <mergeCell ref="E9:F9"/>
    <mergeCell ref="J7:K7"/>
    <mergeCell ref="J10:K10"/>
    <mergeCell ref="J11:K11"/>
    <mergeCell ref="J12:K12"/>
    <mergeCell ref="B11:D11"/>
    <mergeCell ref="B12:D12"/>
    <mergeCell ref="E10:F10"/>
    <mergeCell ref="E11:F11"/>
    <mergeCell ref="J13:K13"/>
    <mergeCell ref="J14:K14"/>
    <mergeCell ref="J15:K15"/>
    <mergeCell ref="B13:D13"/>
    <mergeCell ref="B14:D14"/>
    <mergeCell ref="B15:D15"/>
    <mergeCell ref="J16:K16"/>
    <mergeCell ref="J17:K17"/>
    <mergeCell ref="J18:K18"/>
    <mergeCell ref="B16:D16"/>
    <mergeCell ref="B17:D17"/>
    <mergeCell ref="B18:D18"/>
    <mergeCell ref="E18:F18"/>
    <mergeCell ref="J19:K19"/>
    <mergeCell ref="A22:B22"/>
    <mergeCell ref="A23:B23"/>
    <mergeCell ref="B19:D19"/>
    <mergeCell ref="E19:F19"/>
    <mergeCell ref="C23:G23"/>
    <mergeCell ref="B7:D7"/>
    <mergeCell ref="B8:D8"/>
    <mergeCell ref="A6:B6"/>
    <mergeCell ref="D24:G24"/>
    <mergeCell ref="C22:G22"/>
    <mergeCell ref="E12:F12"/>
    <mergeCell ref="E13:F13"/>
    <mergeCell ref="E14:F14"/>
    <mergeCell ref="E15:F15"/>
    <mergeCell ref="E16:F16"/>
    <mergeCell ref="E17:F17"/>
    <mergeCell ref="A24:C24"/>
    <mergeCell ref="B9:D9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L15"/>
  <sheetViews>
    <sheetView workbookViewId="0">
      <selection activeCell="J12" sqref="J12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66" t="s">
        <v>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ht="28.5" customHeight="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ht="15.75" x14ac:dyDescent="0.25">
      <c r="A5" s="41" t="s">
        <v>12</v>
      </c>
      <c r="B5" s="41"/>
      <c r="C5" s="67" t="s">
        <v>48</v>
      </c>
      <c r="D5" s="65"/>
      <c r="E5" s="63" t="s">
        <v>11</v>
      </c>
      <c r="F5" s="64"/>
      <c r="G5" s="68">
        <v>72157200</v>
      </c>
      <c r="H5" s="69"/>
      <c r="I5" s="63" t="s">
        <v>9</v>
      </c>
      <c r="J5" s="64"/>
      <c r="K5" s="69" t="s">
        <v>49</v>
      </c>
      <c r="L5" s="70"/>
    </row>
    <row r="6" spans="1:12" ht="15.75" x14ac:dyDescent="0.25">
      <c r="A6" s="41" t="s">
        <v>35</v>
      </c>
      <c r="B6" s="41"/>
      <c r="C6" s="60" t="s">
        <v>42</v>
      </c>
      <c r="D6" s="62"/>
      <c r="E6" s="63" t="s">
        <v>36</v>
      </c>
      <c r="F6" s="64"/>
      <c r="G6" s="38">
        <v>45916</v>
      </c>
      <c r="H6" s="71"/>
      <c r="I6" s="60" t="s">
        <v>57</v>
      </c>
      <c r="J6" s="62"/>
      <c r="K6" s="38">
        <v>45945</v>
      </c>
      <c r="L6" s="65"/>
    </row>
    <row r="7" spans="1:12" ht="31.5" x14ac:dyDescent="0.25">
      <c r="A7" s="20" t="s">
        <v>0</v>
      </c>
      <c r="B7" s="20" t="s">
        <v>5</v>
      </c>
      <c r="C7" s="72" t="s">
        <v>6</v>
      </c>
      <c r="D7" s="72"/>
      <c r="E7" s="17" t="s">
        <v>1</v>
      </c>
      <c r="F7" s="17" t="s">
        <v>2</v>
      </c>
      <c r="G7" s="17" t="s">
        <v>13</v>
      </c>
      <c r="H7" s="17" t="s">
        <v>14</v>
      </c>
      <c r="I7" s="17" t="s">
        <v>3</v>
      </c>
      <c r="J7" s="17" t="s">
        <v>4</v>
      </c>
      <c r="K7" s="73" t="s">
        <v>7</v>
      </c>
      <c r="L7" s="73"/>
    </row>
    <row r="8" spans="1:12" ht="15.75" x14ac:dyDescent="0.25">
      <c r="A8" s="21">
        <v>1</v>
      </c>
      <c r="B8" s="22">
        <v>45934</v>
      </c>
      <c r="C8" s="74" t="s">
        <v>50</v>
      </c>
      <c r="D8" s="75"/>
      <c r="E8" s="23">
        <v>0.33333333333333331</v>
      </c>
      <c r="F8" s="23">
        <v>0.5</v>
      </c>
      <c r="G8" s="24">
        <v>4.1666666666666664E-2</v>
      </c>
      <c r="H8" s="23">
        <f>(F8-E8)</f>
        <v>0.16666666666666669</v>
      </c>
      <c r="I8" s="24">
        <v>0</v>
      </c>
      <c r="J8" s="25">
        <v>4</v>
      </c>
      <c r="K8" s="76" t="s">
        <v>38</v>
      </c>
      <c r="L8" s="74"/>
    </row>
    <row r="9" spans="1:12" ht="15.75" x14ac:dyDescent="0.25">
      <c r="A9" s="21">
        <v>2</v>
      </c>
      <c r="B9" s="26">
        <v>45941</v>
      </c>
      <c r="C9" s="77" t="s">
        <v>51</v>
      </c>
      <c r="D9" s="78"/>
      <c r="E9" s="23">
        <v>0.33333333333333331</v>
      </c>
      <c r="F9" s="23">
        <v>0.5</v>
      </c>
      <c r="G9" s="24">
        <v>4.1666666666666664E-2</v>
      </c>
      <c r="H9" s="23">
        <f>(F9-E9)</f>
        <v>0.16666666666666669</v>
      </c>
      <c r="I9" s="24">
        <v>0</v>
      </c>
      <c r="J9" s="25">
        <v>4</v>
      </c>
      <c r="K9" s="77" t="s">
        <v>38</v>
      </c>
      <c r="L9" s="77"/>
    </row>
    <row r="10" spans="1:12" ht="15.75" x14ac:dyDescent="0.25">
      <c r="A10" s="1"/>
      <c r="B10" s="1"/>
      <c r="C10" s="1"/>
      <c r="D10" s="1"/>
      <c r="E10" s="1"/>
      <c r="F10" s="27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79" t="s">
        <v>15</v>
      </c>
      <c r="I11" s="79"/>
      <c r="J11" s="14">
        <f>SUM(J8:J10)</f>
        <v>8</v>
      </c>
      <c r="K11" s="1"/>
      <c r="L11" s="1"/>
    </row>
    <row r="12" spans="1:12" x14ac:dyDescent="0.25">
      <c r="A12" s="49" t="s">
        <v>16</v>
      </c>
      <c r="B12" s="49"/>
      <c r="C12" s="44" t="s">
        <v>48</v>
      </c>
      <c r="D12" s="44"/>
      <c r="E12" s="44"/>
    </row>
    <row r="13" spans="1:12" x14ac:dyDescent="0.25">
      <c r="A13" s="49" t="s">
        <v>17</v>
      </c>
      <c r="B13" s="49"/>
      <c r="C13" s="43" t="s">
        <v>37</v>
      </c>
      <c r="D13" s="43"/>
      <c r="E13" s="43"/>
    </row>
    <row r="14" spans="1:12" x14ac:dyDescent="0.25">
      <c r="A14" s="49" t="s">
        <v>18</v>
      </c>
      <c r="B14" s="49"/>
      <c r="C14" s="49"/>
      <c r="D14" s="42">
        <v>45950</v>
      </c>
      <c r="E14" s="43"/>
    </row>
    <row r="15" spans="1:12" x14ac:dyDescent="0.25">
      <c r="J15" s="16"/>
    </row>
  </sheetData>
  <mergeCells count="26">
    <mergeCell ref="A14:C14"/>
    <mergeCell ref="D14:E14"/>
    <mergeCell ref="H11:I11"/>
    <mergeCell ref="A12:B12"/>
    <mergeCell ref="C12:E12"/>
    <mergeCell ref="A13:B13"/>
    <mergeCell ref="C13:E13"/>
    <mergeCell ref="C7:D7"/>
    <mergeCell ref="K7:L7"/>
    <mergeCell ref="C8:D8"/>
    <mergeCell ref="K8:L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9"/>
  <sheetViews>
    <sheetView showGridLines="0" showRuler="0" showWhiteSpace="0" zoomScaleNormal="100" workbookViewId="0">
      <selection activeCell="K17" sqref="K17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66" t="s">
        <v>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4" ht="17.25" customHeight="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4" ht="15" customHeight="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4" ht="17.100000000000001" customHeight="1" x14ac:dyDescent="0.25">
      <c r="A5" s="41" t="s">
        <v>12</v>
      </c>
      <c r="B5" s="41"/>
      <c r="C5" s="67" t="s">
        <v>25</v>
      </c>
      <c r="D5" s="65"/>
      <c r="E5" s="63" t="s">
        <v>11</v>
      </c>
      <c r="F5" s="64"/>
      <c r="G5" s="68">
        <v>1143121183</v>
      </c>
      <c r="H5" s="69"/>
      <c r="I5" s="63" t="s">
        <v>9</v>
      </c>
      <c r="J5" s="64"/>
      <c r="K5" s="69" t="s">
        <v>10</v>
      </c>
      <c r="L5" s="70"/>
      <c r="N5" s="10" t="s">
        <v>13</v>
      </c>
    </row>
    <row r="6" spans="1:14" ht="17.100000000000001" customHeight="1" x14ac:dyDescent="0.25">
      <c r="A6" s="41" t="s">
        <v>35</v>
      </c>
      <c r="B6" s="41"/>
      <c r="C6" s="60" t="s">
        <v>42</v>
      </c>
      <c r="D6" s="62"/>
      <c r="E6" s="63" t="s">
        <v>36</v>
      </c>
      <c r="F6" s="64"/>
      <c r="G6" s="38">
        <v>45916</v>
      </c>
      <c r="H6" s="71"/>
      <c r="I6" s="83" t="s">
        <v>72</v>
      </c>
      <c r="J6" s="84"/>
      <c r="K6" s="38">
        <v>45945</v>
      </c>
      <c r="L6" s="65"/>
    </row>
    <row r="7" spans="1:14" ht="48" customHeight="1" x14ac:dyDescent="0.25">
      <c r="A7" s="2" t="s">
        <v>0</v>
      </c>
      <c r="B7" s="2" t="s">
        <v>5</v>
      </c>
      <c r="C7" s="89" t="s">
        <v>6</v>
      </c>
      <c r="D7" s="89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88" t="s">
        <v>7</v>
      </c>
      <c r="L7" s="88"/>
    </row>
    <row r="8" spans="1:14" ht="15.75" x14ac:dyDescent="0.25">
      <c r="A8" s="4">
        <v>1</v>
      </c>
      <c r="B8" s="5">
        <v>45917</v>
      </c>
      <c r="C8" s="82" t="s">
        <v>40</v>
      </c>
      <c r="D8" s="82"/>
      <c r="E8" s="6">
        <v>0.34791666666666665</v>
      </c>
      <c r="F8" s="6">
        <v>0.77708333333333335</v>
      </c>
      <c r="G8" s="6">
        <v>4.1666666666666664E-2</v>
      </c>
      <c r="H8" s="6">
        <f>(F8-E8-G8)</f>
        <v>0.38750000000000001</v>
      </c>
      <c r="I8" s="6">
        <v>0.33333333333333331</v>
      </c>
      <c r="J8" s="34">
        <v>1</v>
      </c>
      <c r="K8" s="50" t="s">
        <v>38</v>
      </c>
      <c r="L8" s="50"/>
    </row>
    <row r="9" spans="1:14" ht="15.75" x14ac:dyDescent="0.25">
      <c r="A9" s="4">
        <v>2</v>
      </c>
      <c r="B9" s="5">
        <v>45918</v>
      </c>
      <c r="C9" s="82" t="s">
        <v>40</v>
      </c>
      <c r="D9" s="82"/>
      <c r="E9" s="6">
        <v>0.34236111111111112</v>
      </c>
      <c r="F9" s="6">
        <v>0.79166666666666663</v>
      </c>
      <c r="G9" s="6">
        <v>4.1666666666666664E-2</v>
      </c>
      <c r="H9" s="6">
        <f t="shared" ref="H9:H10" si="0">(F9-E9-G9)</f>
        <v>0.40763888888888883</v>
      </c>
      <c r="I9" s="6">
        <v>0.33333333333333331</v>
      </c>
      <c r="J9" s="34">
        <v>2</v>
      </c>
      <c r="K9" s="50" t="s">
        <v>38</v>
      </c>
      <c r="L9" s="50"/>
    </row>
    <row r="10" spans="1:14" ht="15.75" x14ac:dyDescent="0.25">
      <c r="A10" s="4">
        <v>3</v>
      </c>
      <c r="B10" s="5">
        <v>45923</v>
      </c>
      <c r="C10" s="82" t="s">
        <v>62</v>
      </c>
      <c r="D10" s="82"/>
      <c r="E10" s="6">
        <v>0.34375</v>
      </c>
      <c r="F10" s="6">
        <v>0.85624999999999996</v>
      </c>
      <c r="G10" s="6">
        <v>4.1666666666666664E-2</v>
      </c>
      <c r="H10" s="6">
        <f t="shared" si="0"/>
        <v>0.47083333333333327</v>
      </c>
      <c r="I10" s="6">
        <v>0.33333333333333331</v>
      </c>
      <c r="J10" s="34">
        <v>3</v>
      </c>
      <c r="K10" s="50" t="s">
        <v>38</v>
      </c>
      <c r="L10" s="50"/>
    </row>
    <row r="12" spans="1:14" x14ac:dyDescent="0.25">
      <c r="H12" s="79" t="s">
        <v>15</v>
      </c>
      <c r="I12" s="79"/>
      <c r="J12" s="13">
        <f>SUM(J8:J11)</f>
        <v>6</v>
      </c>
    </row>
    <row r="14" spans="1:14" x14ac:dyDescent="0.25">
      <c r="A14" s="49" t="s">
        <v>16</v>
      </c>
      <c r="B14" s="49"/>
      <c r="C14" s="44" t="s">
        <v>25</v>
      </c>
      <c r="D14" s="44"/>
      <c r="E14" s="44"/>
    </row>
    <row r="15" spans="1:14" x14ac:dyDescent="0.25">
      <c r="A15" s="49" t="s">
        <v>17</v>
      </c>
      <c r="B15" s="49"/>
      <c r="C15" s="43" t="s">
        <v>21</v>
      </c>
      <c r="D15" s="43"/>
      <c r="E15" s="43"/>
    </row>
    <row r="16" spans="1:14" x14ac:dyDescent="0.25">
      <c r="A16" s="49" t="s">
        <v>18</v>
      </c>
      <c r="B16" s="49"/>
      <c r="C16" s="49"/>
      <c r="D16" s="42">
        <f ca="1">TODAY()</f>
        <v>45950</v>
      </c>
      <c r="E16" s="43"/>
    </row>
    <row r="17" spans="1:12" ht="31.5" customHeight="1" x14ac:dyDescent="0.25"/>
    <row r="18" spans="1:12" ht="30" customHeight="1" x14ac:dyDescent="0.25">
      <c r="A18" s="28"/>
      <c r="B18" s="29"/>
      <c r="C18" s="81"/>
      <c r="D18" s="81"/>
      <c r="E18" s="30"/>
      <c r="F18" s="30"/>
      <c r="G18" s="30"/>
      <c r="H18" s="30"/>
      <c r="I18" s="30"/>
      <c r="J18" s="33"/>
      <c r="K18" s="80"/>
      <c r="L18" s="80"/>
    </row>
    <row r="19" spans="1:12" ht="30.75" customHeight="1" x14ac:dyDescent="0.25">
      <c r="A19" s="28"/>
      <c r="B19" s="29"/>
      <c r="C19" s="81"/>
      <c r="D19" s="81"/>
      <c r="E19" s="30"/>
      <c r="F19" s="30"/>
      <c r="G19" s="30"/>
      <c r="H19" s="30"/>
      <c r="I19" s="30"/>
      <c r="J19" s="33"/>
      <c r="K19" s="80"/>
      <c r="L19" s="80"/>
    </row>
    <row r="20" spans="1:12" ht="15.75" x14ac:dyDescent="0.25">
      <c r="A20" s="28"/>
      <c r="B20" s="29"/>
      <c r="C20" s="81"/>
      <c r="D20" s="81"/>
      <c r="E20" s="30"/>
      <c r="F20" s="30"/>
      <c r="G20" s="30"/>
      <c r="H20" s="30"/>
      <c r="I20" s="30"/>
      <c r="J20" s="33"/>
      <c r="K20" s="80"/>
      <c r="L20" s="80"/>
    </row>
    <row r="21" spans="1:12" ht="15.75" x14ac:dyDescent="0.25">
      <c r="A21" s="28"/>
      <c r="B21" s="29"/>
      <c r="C21" s="81"/>
      <c r="D21" s="81"/>
      <c r="E21" s="30"/>
      <c r="F21" s="30"/>
      <c r="G21" s="30"/>
      <c r="H21" s="30"/>
      <c r="I21" s="30"/>
      <c r="J21" s="33"/>
      <c r="K21" s="80"/>
      <c r="L21" s="80"/>
    </row>
    <row r="22" spans="1:12" ht="15.75" x14ac:dyDescent="0.25">
      <c r="A22" s="28"/>
      <c r="B22" s="29"/>
      <c r="C22" s="81"/>
      <c r="D22" s="81"/>
      <c r="E22" s="30"/>
      <c r="F22" s="30"/>
      <c r="G22" s="30"/>
      <c r="H22" s="30"/>
      <c r="I22" s="30"/>
      <c r="J22" s="33"/>
      <c r="K22" s="80"/>
      <c r="L22" s="80"/>
    </row>
    <row r="23" spans="1:12" ht="15.75" x14ac:dyDescent="0.25">
      <c r="A23" s="28"/>
      <c r="B23" s="29"/>
      <c r="C23" s="81"/>
      <c r="D23" s="81"/>
      <c r="E23" s="30"/>
      <c r="F23" s="30"/>
      <c r="G23" s="30"/>
      <c r="H23" s="30"/>
      <c r="I23" s="30"/>
      <c r="J23" s="32"/>
      <c r="K23" s="80"/>
      <c r="L23" s="80"/>
    </row>
    <row r="25" spans="1:12" x14ac:dyDescent="0.25">
      <c r="H25" s="86"/>
      <c r="I25" s="86"/>
      <c r="J25" s="31"/>
    </row>
    <row r="27" spans="1:12" ht="20.100000000000001" customHeight="1" x14ac:dyDescent="0.25">
      <c r="A27" s="49"/>
      <c r="B27" s="49"/>
      <c r="C27" s="87"/>
      <c r="D27" s="87"/>
      <c r="E27" s="87"/>
    </row>
    <row r="28" spans="1:12" ht="20.100000000000001" customHeight="1" x14ac:dyDescent="0.25">
      <c r="A28" s="49"/>
      <c r="B28" s="49"/>
      <c r="C28" s="87"/>
      <c r="D28" s="87"/>
      <c r="E28" s="87"/>
    </row>
    <row r="29" spans="1:12" ht="20.100000000000001" customHeight="1" x14ac:dyDescent="0.25">
      <c r="A29" s="49"/>
      <c r="B29" s="49"/>
      <c r="C29" s="49"/>
      <c r="D29" s="85"/>
      <c r="E29" s="85"/>
    </row>
  </sheetData>
  <mergeCells count="47">
    <mergeCell ref="A2:L4"/>
    <mergeCell ref="K7:L7"/>
    <mergeCell ref="K8:L8"/>
    <mergeCell ref="K9:L9"/>
    <mergeCell ref="K10:L10"/>
    <mergeCell ref="C7:D7"/>
    <mergeCell ref="C10:D10"/>
    <mergeCell ref="K5:L5"/>
    <mergeCell ref="E6:F6"/>
    <mergeCell ref="C6:D6"/>
    <mergeCell ref="K6:L6"/>
    <mergeCell ref="C8:D8"/>
    <mergeCell ref="A29:C29"/>
    <mergeCell ref="D29:E29"/>
    <mergeCell ref="H25:I25"/>
    <mergeCell ref="A27:B27"/>
    <mergeCell ref="C27:E27"/>
    <mergeCell ref="A28:B28"/>
    <mergeCell ref="C28:E28"/>
    <mergeCell ref="A5:B5"/>
    <mergeCell ref="A6:B6"/>
    <mergeCell ref="G5:H5"/>
    <mergeCell ref="G6:H6"/>
    <mergeCell ref="I5:J5"/>
    <mergeCell ref="I6:J6"/>
    <mergeCell ref="C5:D5"/>
    <mergeCell ref="E5:F5"/>
    <mergeCell ref="C23:D23"/>
    <mergeCell ref="K23:L23"/>
    <mergeCell ref="C9:D9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A16:C16"/>
    <mergeCell ref="D16:E16"/>
    <mergeCell ref="H12:I12"/>
    <mergeCell ref="A14:B14"/>
    <mergeCell ref="C14:E14"/>
    <mergeCell ref="A15:B15"/>
    <mergeCell ref="C15:E15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2AD6-AE76-41AA-B2C9-A1B30E9FD939}">
  <dimension ref="A2:L15"/>
  <sheetViews>
    <sheetView workbookViewId="0">
      <selection activeCell="K21" sqref="K21"/>
    </sheetView>
  </sheetViews>
  <sheetFormatPr baseColWidth="10" defaultRowHeight="15" x14ac:dyDescent="0.25"/>
  <cols>
    <col min="1" max="1" width="11.42578125" style="1"/>
    <col min="2" max="2" width="17" style="1" customWidth="1"/>
    <col min="3" max="3" width="23.7109375" style="1" customWidth="1"/>
    <col min="4" max="4" width="22.85546875" style="1" customWidth="1"/>
    <col min="5" max="5" width="11.42578125" style="1"/>
    <col min="6" max="6" width="18.7109375" style="1" customWidth="1"/>
    <col min="7" max="7" width="16.140625" style="1" customWidth="1"/>
    <col min="8" max="8" width="14.42578125" style="1" customWidth="1"/>
    <col min="9" max="16384" width="11.42578125" style="1"/>
  </cols>
  <sheetData>
    <row r="2" spans="1:12" x14ac:dyDescent="0.25">
      <c r="A2" s="66" t="s">
        <v>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ht="15.75" x14ac:dyDescent="0.25">
      <c r="A5" s="41" t="s">
        <v>12</v>
      </c>
      <c r="B5" s="41"/>
      <c r="C5" s="67" t="s">
        <v>43</v>
      </c>
      <c r="D5" s="65"/>
      <c r="E5" s="63" t="s">
        <v>11</v>
      </c>
      <c r="F5" s="64"/>
      <c r="G5" s="68"/>
      <c r="H5" s="69"/>
      <c r="I5" s="63" t="s">
        <v>9</v>
      </c>
      <c r="J5" s="64"/>
      <c r="K5" s="69" t="s">
        <v>73</v>
      </c>
      <c r="L5" s="70"/>
    </row>
    <row r="6" spans="1:12" ht="15.75" x14ac:dyDescent="0.25">
      <c r="A6" s="41" t="s">
        <v>35</v>
      </c>
      <c r="B6" s="41"/>
      <c r="C6" s="60" t="s">
        <v>71</v>
      </c>
      <c r="D6" s="62"/>
      <c r="E6" s="63" t="s">
        <v>36</v>
      </c>
      <c r="F6" s="64"/>
      <c r="G6" s="38">
        <v>45916</v>
      </c>
      <c r="H6" s="71"/>
      <c r="I6" s="60" t="s">
        <v>70</v>
      </c>
      <c r="J6" s="62"/>
      <c r="K6" s="38">
        <v>45945</v>
      </c>
      <c r="L6" s="65"/>
    </row>
    <row r="7" spans="1:12" ht="31.5" x14ac:dyDescent="0.25">
      <c r="A7" s="2" t="s">
        <v>0</v>
      </c>
      <c r="B7" s="2" t="s">
        <v>5</v>
      </c>
      <c r="C7" s="89" t="s">
        <v>6</v>
      </c>
      <c r="D7" s="89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7" t="s">
        <v>4</v>
      </c>
      <c r="K7" s="88" t="s">
        <v>7</v>
      </c>
      <c r="L7" s="88"/>
    </row>
    <row r="8" spans="1:12" ht="15.75" x14ac:dyDescent="0.25">
      <c r="A8" s="4">
        <v>1</v>
      </c>
      <c r="B8" s="5">
        <v>45923</v>
      </c>
      <c r="C8" s="82" t="s">
        <v>69</v>
      </c>
      <c r="D8" s="82"/>
      <c r="E8" s="6">
        <v>0.33333333333333331</v>
      </c>
      <c r="F8" s="6">
        <v>0.78194444444444444</v>
      </c>
      <c r="G8" s="6">
        <v>4.1666666666666664E-2</v>
      </c>
      <c r="H8" s="6">
        <f>(F8-E8-G8)</f>
        <v>0.40694444444444444</v>
      </c>
      <c r="I8" s="15">
        <v>0.33333333333333331</v>
      </c>
      <c r="J8" s="18">
        <v>2</v>
      </c>
      <c r="K8" s="54" t="s">
        <v>38</v>
      </c>
      <c r="L8" s="50"/>
    </row>
    <row r="9" spans="1:12" ht="15.75" x14ac:dyDescent="0.25">
      <c r="A9" s="4">
        <v>2</v>
      </c>
      <c r="B9" s="5">
        <v>45930</v>
      </c>
      <c r="C9" s="82" t="s">
        <v>69</v>
      </c>
      <c r="D9" s="82"/>
      <c r="E9" s="6">
        <v>0.33333333333333331</v>
      </c>
      <c r="F9" s="6">
        <v>0.83611111111111114</v>
      </c>
      <c r="G9" s="6">
        <v>4.1666666666666664E-2</v>
      </c>
      <c r="H9" s="6">
        <f>(F9-E9-G9)</f>
        <v>0.46111111111111108</v>
      </c>
      <c r="I9" s="15">
        <v>0.33333333333333331</v>
      </c>
      <c r="J9" s="18">
        <v>3</v>
      </c>
      <c r="K9" s="54" t="s">
        <v>38</v>
      </c>
      <c r="L9" s="50"/>
    </row>
    <row r="11" spans="1:12" x14ac:dyDescent="0.25">
      <c r="H11" s="79" t="s">
        <v>15</v>
      </c>
      <c r="I11" s="79"/>
      <c r="J11" s="13">
        <f>SUM(J8:J10)</f>
        <v>5</v>
      </c>
      <c r="K11" s="19"/>
    </row>
    <row r="13" spans="1:12" x14ac:dyDescent="0.25">
      <c r="A13" s="49" t="s">
        <v>16</v>
      </c>
      <c r="B13" s="49"/>
      <c r="C13" s="44" t="s">
        <v>43</v>
      </c>
      <c r="D13" s="44"/>
      <c r="E13" s="44"/>
    </row>
    <row r="14" spans="1:12" x14ac:dyDescent="0.25">
      <c r="A14" s="49" t="s">
        <v>17</v>
      </c>
      <c r="B14" s="49"/>
      <c r="C14" s="43" t="s">
        <v>21</v>
      </c>
      <c r="D14" s="43"/>
      <c r="E14" s="43"/>
    </row>
    <row r="15" spans="1:12" x14ac:dyDescent="0.25">
      <c r="A15" s="49" t="s">
        <v>18</v>
      </c>
      <c r="B15" s="49"/>
      <c r="C15" s="49"/>
      <c r="D15" s="42">
        <v>45947</v>
      </c>
      <c r="E15" s="43"/>
    </row>
  </sheetData>
  <mergeCells count="26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H11:I11"/>
    <mergeCell ref="C7:D7"/>
    <mergeCell ref="K7:L7"/>
    <mergeCell ref="C8:D8"/>
    <mergeCell ref="K8:L8"/>
    <mergeCell ref="C9:D9"/>
    <mergeCell ref="K9:L9"/>
    <mergeCell ref="C14:E14"/>
    <mergeCell ref="A15:C15"/>
    <mergeCell ref="D15:E15"/>
    <mergeCell ref="A13:B13"/>
    <mergeCell ref="C13:E13"/>
    <mergeCell ref="A14:B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L15"/>
  <sheetViews>
    <sheetView workbookViewId="0">
      <selection activeCell="L20" sqref="L20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20" style="1" customWidth="1"/>
    <col min="4" max="4" width="19.7109375" style="1" customWidth="1"/>
    <col min="5" max="5" width="11.42578125" style="1"/>
    <col min="6" max="6" width="16.85546875" style="1" customWidth="1"/>
    <col min="7" max="7" width="19.85546875" style="1" customWidth="1"/>
    <col min="8" max="8" width="13.7109375" style="1" customWidth="1"/>
    <col min="9" max="16384" width="11.42578125" style="1"/>
  </cols>
  <sheetData>
    <row r="2" spans="1:12" x14ac:dyDescent="0.25">
      <c r="A2" s="66" t="s">
        <v>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ht="15.75" x14ac:dyDescent="0.25">
      <c r="A5" s="41" t="s">
        <v>12</v>
      </c>
      <c r="B5" s="41"/>
      <c r="C5" s="67" t="s">
        <v>44</v>
      </c>
      <c r="D5" s="65"/>
      <c r="E5" s="63" t="s">
        <v>11</v>
      </c>
      <c r="F5" s="64"/>
      <c r="G5" s="68">
        <v>1002035293</v>
      </c>
      <c r="H5" s="69"/>
      <c r="I5" s="63" t="s">
        <v>9</v>
      </c>
      <c r="J5" s="64"/>
      <c r="K5" s="69" t="s">
        <v>10</v>
      </c>
      <c r="L5" s="70"/>
    </row>
    <row r="6" spans="1:12" ht="15.75" x14ac:dyDescent="0.25">
      <c r="A6" s="41" t="s">
        <v>35</v>
      </c>
      <c r="B6" s="41"/>
      <c r="C6" s="60" t="s">
        <v>71</v>
      </c>
      <c r="D6" s="62"/>
      <c r="E6" s="63" t="s">
        <v>36</v>
      </c>
      <c r="F6" s="64"/>
      <c r="G6" s="38">
        <v>45916</v>
      </c>
      <c r="H6" s="71"/>
      <c r="I6" s="60" t="s">
        <v>70</v>
      </c>
      <c r="J6" s="62"/>
      <c r="K6" s="38">
        <v>45945</v>
      </c>
      <c r="L6" s="65"/>
    </row>
    <row r="7" spans="1:12" ht="31.5" x14ac:dyDescent="0.25">
      <c r="A7" s="2" t="s">
        <v>0</v>
      </c>
      <c r="B7" s="2" t="s">
        <v>5</v>
      </c>
      <c r="C7" s="89" t="s">
        <v>6</v>
      </c>
      <c r="D7" s="89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17" t="s">
        <v>4</v>
      </c>
      <c r="K7" s="88" t="s">
        <v>7</v>
      </c>
      <c r="L7" s="88"/>
    </row>
    <row r="8" spans="1:12" ht="15.75" x14ac:dyDescent="0.25">
      <c r="A8" s="4">
        <v>1</v>
      </c>
      <c r="B8" s="5">
        <v>45916</v>
      </c>
      <c r="C8" s="82" t="s">
        <v>69</v>
      </c>
      <c r="D8" s="82"/>
      <c r="E8" s="6">
        <v>0.33333333333333331</v>
      </c>
      <c r="F8" s="6">
        <v>0.81180555555555556</v>
      </c>
      <c r="G8" s="6">
        <v>4.1666666666666664E-2</v>
      </c>
      <c r="H8" s="6">
        <f>(F8-E8-G8)</f>
        <v>0.43680555555555556</v>
      </c>
      <c r="I8" s="15">
        <v>0.33333333333333331</v>
      </c>
      <c r="J8" s="18">
        <v>2</v>
      </c>
      <c r="K8" s="54" t="s">
        <v>38</v>
      </c>
      <c r="L8" s="50"/>
    </row>
    <row r="9" spans="1:12" ht="15.75" x14ac:dyDescent="0.25">
      <c r="A9" s="4">
        <v>2</v>
      </c>
      <c r="B9" s="5">
        <v>45923</v>
      </c>
      <c r="C9" s="82" t="s">
        <v>69</v>
      </c>
      <c r="D9" s="82"/>
      <c r="E9" s="6">
        <v>0.33333333333333331</v>
      </c>
      <c r="F9" s="6">
        <v>0.87291666666666667</v>
      </c>
      <c r="G9" s="6">
        <v>4.1666666666666664E-2</v>
      </c>
      <c r="H9" s="6">
        <f>(F9-E9-G9)</f>
        <v>0.49791666666666662</v>
      </c>
      <c r="I9" s="15">
        <v>0.33333333333333331</v>
      </c>
      <c r="J9" s="18">
        <v>4</v>
      </c>
      <c r="K9" s="54" t="s">
        <v>38</v>
      </c>
      <c r="L9" s="50"/>
    </row>
    <row r="11" spans="1:12" x14ac:dyDescent="0.25">
      <c r="H11" s="79" t="s">
        <v>15</v>
      </c>
      <c r="I11" s="79"/>
      <c r="J11" s="13">
        <f>SUM(J8:J10)</f>
        <v>6</v>
      </c>
      <c r="K11" s="19"/>
    </row>
    <row r="13" spans="1:12" x14ac:dyDescent="0.25">
      <c r="A13" s="49" t="s">
        <v>16</v>
      </c>
      <c r="B13" s="49"/>
      <c r="C13" s="44" t="s">
        <v>24</v>
      </c>
      <c r="D13" s="44"/>
      <c r="E13" s="44"/>
    </row>
    <row r="14" spans="1:12" x14ac:dyDescent="0.25">
      <c r="A14" s="49" t="s">
        <v>17</v>
      </c>
      <c r="B14" s="49"/>
      <c r="C14" s="43" t="s">
        <v>21</v>
      </c>
      <c r="D14" s="43"/>
      <c r="E14" s="43"/>
    </row>
    <row r="15" spans="1:12" x14ac:dyDescent="0.25">
      <c r="A15" s="49" t="s">
        <v>18</v>
      </c>
      <c r="B15" s="49"/>
      <c r="C15" s="49"/>
      <c r="D15" s="42">
        <v>45947</v>
      </c>
      <c r="E15" s="43"/>
    </row>
  </sheetData>
  <mergeCells count="26">
    <mergeCell ref="K6:L6"/>
    <mergeCell ref="C9:D9"/>
    <mergeCell ref="C6:D6"/>
    <mergeCell ref="A15:C15"/>
    <mergeCell ref="D15:E15"/>
    <mergeCell ref="H11:I11"/>
    <mergeCell ref="A13:B13"/>
    <mergeCell ref="C13:E13"/>
    <mergeCell ref="A14:B14"/>
    <mergeCell ref="C14:E14"/>
    <mergeCell ref="A2:L4"/>
    <mergeCell ref="K7:L7"/>
    <mergeCell ref="K8:L8"/>
    <mergeCell ref="K9:L9"/>
    <mergeCell ref="C7:D7"/>
    <mergeCell ref="C8:D8"/>
    <mergeCell ref="A5:B5"/>
    <mergeCell ref="A6:B6"/>
    <mergeCell ref="G5:H5"/>
    <mergeCell ref="G6:H6"/>
    <mergeCell ref="I5:J5"/>
    <mergeCell ref="I6:J6"/>
    <mergeCell ref="C5:D5"/>
    <mergeCell ref="E5:F5"/>
    <mergeCell ref="K5:L5"/>
    <mergeCell ref="E6:F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A66B-AD32-47B6-949C-6F405B4FB220}">
  <dimension ref="A2:L22"/>
  <sheetViews>
    <sheetView workbookViewId="0">
      <selection activeCell="L23" sqref="L23"/>
    </sheetView>
  </sheetViews>
  <sheetFormatPr baseColWidth="10" defaultRowHeight="15" x14ac:dyDescent="0.25"/>
  <cols>
    <col min="1" max="1" width="10.5703125" customWidth="1"/>
    <col min="2" max="2" width="11.85546875" bestFit="1" customWidth="1"/>
    <col min="3" max="3" width="13.140625" customWidth="1"/>
    <col min="4" max="4" width="54.710937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66" t="s">
        <v>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ht="15.75" x14ac:dyDescent="0.25">
      <c r="A5" s="41" t="s">
        <v>12</v>
      </c>
      <c r="B5" s="41"/>
      <c r="C5" s="67" t="s">
        <v>39</v>
      </c>
      <c r="D5" s="65"/>
      <c r="E5" s="63" t="s">
        <v>11</v>
      </c>
      <c r="F5" s="64"/>
      <c r="G5" s="68">
        <v>1140861417</v>
      </c>
      <c r="H5" s="69"/>
      <c r="I5" s="63" t="s">
        <v>9</v>
      </c>
      <c r="J5" s="64"/>
      <c r="K5" s="69" t="s">
        <v>41</v>
      </c>
      <c r="L5" s="70"/>
    </row>
    <row r="6" spans="1:12" ht="15.75" x14ac:dyDescent="0.25">
      <c r="A6" s="41" t="s">
        <v>35</v>
      </c>
      <c r="B6" s="41"/>
      <c r="C6" s="60" t="s">
        <v>42</v>
      </c>
      <c r="D6" s="62"/>
      <c r="E6" s="63" t="s">
        <v>36</v>
      </c>
      <c r="F6" s="64"/>
      <c r="G6" s="38">
        <v>45916</v>
      </c>
      <c r="H6" s="71"/>
      <c r="I6" s="60" t="s">
        <v>70</v>
      </c>
      <c r="J6" s="62"/>
      <c r="K6" s="38">
        <v>45945</v>
      </c>
      <c r="L6" s="65"/>
    </row>
    <row r="7" spans="1:12" ht="31.5" x14ac:dyDescent="0.25">
      <c r="A7" s="2" t="s">
        <v>0</v>
      </c>
      <c r="B7" s="2" t="s">
        <v>5</v>
      </c>
      <c r="C7" s="89" t="s">
        <v>6</v>
      </c>
      <c r="D7" s="89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88" t="s">
        <v>7</v>
      </c>
      <c r="L7" s="88"/>
    </row>
    <row r="8" spans="1:12" ht="15.75" x14ac:dyDescent="0.25">
      <c r="A8" s="4">
        <v>1</v>
      </c>
      <c r="B8" s="5">
        <v>45916</v>
      </c>
      <c r="C8" s="96" t="s">
        <v>68</v>
      </c>
      <c r="D8" s="96"/>
      <c r="E8" s="6">
        <v>0.34375</v>
      </c>
      <c r="F8" s="6">
        <v>0.8125</v>
      </c>
      <c r="G8" s="6">
        <v>4.1666666666666664E-2</v>
      </c>
      <c r="H8" s="6">
        <f>(F8-E8-G8)</f>
        <v>0.42708333333333331</v>
      </c>
      <c r="I8" s="6">
        <v>0.33333333333333331</v>
      </c>
      <c r="J8" s="12">
        <v>2</v>
      </c>
      <c r="K8" s="50" t="s">
        <v>38</v>
      </c>
      <c r="L8" s="50"/>
    </row>
    <row r="9" spans="1:12" ht="15.75" x14ac:dyDescent="0.25">
      <c r="A9" s="4">
        <v>2</v>
      </c>
      <c r="B9" s="5">
        <v>45918</v>
      </c>
      <c r="C9" s="96" t="s">
        <v>67</v>
      </c>
      <c r="D9" s="96"/>
      <c r="E9" s="6">
        <v>0.34375</v>
      </c>
      <c r="F9" s="6">
        <v>0.82986111111111116</v>
      </c>
      <c r="G9" s="6">
        <v>4.1666666666666664E-2</v>
      </c>
      <c r="H9" s="6">
        <f t="shared" ref="H9:H16" si="0">(F9-E9-G9)</f>
        <v>0.44444444444444448</v>
      </c>
      <c r="I9" s="6">
        <v>0.33333333333333331</v>
      </c>
      <c r="J9" s="12">
        <v>2</v>
      </c>
      <c r="K9" s="50" t="s">
        <v>38</v>
      </c>
      <c r="L9" s="50"/>
    </row>
    <row r="10" spans="1:12" ht="15.75" x14ac:dyDescent="0.25">
      <c r="A10" s="4">
        <v>3</v>
      </c>
      <c r="B10" s="5">
        <v>45923</v>
      </c>
      <c r="C10" s="93" t="s">
        <v>62</v>
      </c>
      <c r="D10" s="93"/>
      <c r="E10" s="6">
        <v>0.34513888888888888</v>
      </c>
      <c r="F10" s="6">
        <v>0.85625000000000007</v>
      </c>
      <c r="G10" s="6">
        <v>4.1666666666666664E-2</v>
      </c>
      <c r="H10" s="6">
        <f t="shared" si="0"/>
        <v>0.4694444444444445</v>
      </c>
      <c r="I10" s="6">
        <v>0.33333333333333331</v>
      </c>
      <c r="J10" s="12">
        <v>3</v>
      </c>
      <c r="K10" s="50" t="s">
        <v>38</v>
      </c>
      <c r="L10" s="50"/>
    </row>
    <row r="11" spans="1:12" ht="15.75" x14ac:dyDescent="0.25">
      <c r="A11" s="4">
        <v>4</v>
      </c>
      <c r="B11" s="5">
        <v>45924</v>
      </c>
      <c r="C11" s="93" t="s">
        <v>66</v>
      </c>
      <c r="D11" s="93"/>
      <c r="E11" s="6">
        <v>0.34236111111111112</v>
      </c>
      <c r="F11" s="6">
        <v>0.79722222222222217</v>
      </c>
      <c r="G11" s="6">
        <v>4.1666666666666664E-2</v>
      </c>
      <c r="H11" s="6">
        <f t="shared" si="0"/>
        <v>0.41319444444444436</v>
      </c>
      <c r="I11" s="6">
        <v>0.33333333333333331</v>
      </c>
      <c r="J11" s="12">
        <v>2</v>
      </c>
      <c r="K11" s="50" t="s">
        <v>38</v>
      </c>
      <c r="L11" s="50"/>
    </row>
    <row r="12" spans="1:12" ht="15.75" x14ac:dyDescent="0.25">
      <c r="A12" s="4">
        <v>5</v>
      </c>
      <c r="B12" s="5">
        <v>45925</v>
      </c>
      <c r="C12" s="90" t="s">
        <v>65</v>
      </c>
      <c r="D12" s="91"/>
      <c r="E12" s="6">
        <v>0.34236111111111112</v>
      </c>
      <c r="F12" s="6">
        <v>0.81736111111111109</v>
      </c>
      <c r="G12" s="6">
        <v>4.1666666666666664E-2</v>
      </c>
      <c r="H12" s="6">
        <f t="shared" si="0"/>
        <v>0.43333333333333329</v>
      </c>
      <c r="I12" s="6">
        <v>0.33333333333333331</v>
      </c>
      <c r="J12" s="12">
        <v>3</v>
      </c>
      <c r="K12" s="50" t="s">
        <v>38</v>
      </c>
      <c r="L12" s="50"/>
    </row>
    <row r="13" spans="1:12" ht="15.75" x14ac:dyDescent="0.25">
      <c r="A13" s="4">
        <v>6</v>
      </c>
      <c r="B13" s="5">
        <v>45927</v>
      </c>
      <c r="C13" s="90" t="s">
        <v>64</v>
      </c>
      <c r="D13" s="91"/>
      <c r="E13" s="6">
        <v>0.34375</v>
      </c>
      <c r="F13" s="6">
        <v>0.61249999999999993</v>
      </c>
      <c r="G13" s="6">
        <v>4.1666666666666664E-2</v>
      </c>
      <c r="H13" s="6">
        <f t="shared" si="0"/>
        <v>0.22708333333333328</v>
      </c>
      <c r="I13" s="6">
        <v>0.16666666666666666</v>
      </c>
      <c r="J13" s="12">
        <v>1</v>
      </c>
      <c r="K13" s="50" t="s">
        <v>38</v>
      </c>
      <c r="L13" s="50"/>
    </row>
    <row r="14" spans="1:12" ht="15.75" x14ac:dyDescent="0.25">
      <c r="A14" s="4">
        <v>7</v>
      </c>
      <c r="B14" s="5">
        <v>45930</v>
      </c>
      <c r="C14" s="90" t="s">
        <v>63</v>
      </c>
      <c r="D14" s="91"/>
      <c r="E14" s="6">
        <v>0.34375</v>
      </c>
      <c r="F14" s="6">
        <v>0.78611111111111109</v>
      </c>
      <c r="G14" s="6">
        <v>4.1666666666666664E-2</v>
      </c>
      <c r="H14" s="6">
        <f t="shared" si="0"/>
        <v>0.40069444444444441</v>
      </c>
      <c r="I14" s="6">
        <v>0.33333333333333331</v>
      </c>
      <c r="J14" s="12">
        <v>2</v>
      </c>
      <c r="K14" s="50" t="s">
        <v>38</v>
      </c>
      <c r="L14" s="50"/>
    </row>
    <row r="15" spans="1:12" ht="15.75" x14ac:dyDescent="0.25">
      <c r="A15" s="4">
        <v>8</v>
      </c>
      <c r="B15" s="5">
        <v>45938</v>
      </c>
      <c r="C15" s="90" t="s">
        <v>62</v>
      </c>
      <c r="D15" s="91"/>
      <c r="E15" s="6">
        <v>0.34861111111111109</v>
      </c>
      <c r="F15" s="6">
        <v>0.84097222222222223</v>
      </c>
      <c r="G15" s="6">
        <v>4.1666666666666664E-2</v>
      </c>
      <c r="H15" s="6">
        <f t="shared" si="0"/>
        <v>0.45069444444444445</v>
      </c>
      <c r="I15" s="6">
        <v>0.33333333333333331</v>
      </c>
      <c r="J15" s="12">
        <v>2</v>
      </c>
      <c r="K15" s="50" t="s">
        <v>38</v>
      </c>
      <c r="L15" s="50"/>
    </row>
    <row r="16" spans="1:12" ht="15.75" x14ac:dyDescent="0.25">
      <c r="A16" s="4">
        <v>9</v>
      </c>
      <c r="B16" s="5">
        <v>45941</v>
      </c>
      <c r="C16" s="94" t="s">
        <v>61</v>
      </c>
      <c r="D16" s="95"/>
      <c r="E16" s="6">
        <v>0.33680555555555558</v>
      </c>
      <c r="F16" s="6">
        <v>0.69305555555555554</v>
      </c>
      <c r="G16" s="6">
        <v>4.1666666666666664E-2</v>
      </c>
      <c r="H16" s="6">
        <f>(F16-E16-G16)</f>
        <v>0.31458333333333327</v>
      </c>
      <c r="I16" s="6">
        <v>0.16666666666666666</v>
      </c>
      <c r="J16" s="12">
        <v>4</v>
      </c>
      <c r="K16" s="50" t="s">
        <v>38</v>
      </c>
      <c r="L16" s="50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79" t="s">
        <v>15</v>
      </c>
      <c r="I18" s="79"/>
      <c r="J18" s="14">
        <f>SUM(J8:J16)</f>
        <v>21</v>
      </c>
      <c r="K18" s="1"/>
      <c r="L18" s="1"/>
    </row>
    <row r="19" spans="1:12" x14ac:dyDescent="0.25">
      <c r="A19" s="49" t="s">
        <v>16</v>
      </c>
      <c r="B19" s="49"/>
      <c r="C19" s="44" t="s">
        <v>39</v>
      </c>
      <c r="D19" s="44"/>
      <c r="E19" s="44"/>
    </row>
    <row r="20" spans="1:12" ht="15.75" x14ac:dyDescent="0.25">
      <c r="A20" s="49" t="s">
        <v>17</v>
      </c>
      <c r="B20" s="49"/>
      <c r="C20" s="92" t="s">
        <v>37</v>
      </c>
      <c r="D20" s="92"/>
      <c r="E20" s="92"/>
    </row>
    <row r="21" spans="1:12" x14ac:dyDescent="0.25">
      <c r="A21" s="49" t="s">
        <v>18</v>
      </c>
      <c r="B21" s="49"/>
      <c r="C21" s="49"/>
      <c r="D21" s="42">
        <v>45950</v>
      </c>
      <c r="E21" s="43"/>
    </row>
    <row r="22" spans="1:12" x14ac:dyDescent="0.25">
      <c r="J22" s="16"/>
    </row>
  </sheetData>
  <mergeCells count="40">
    <mergeCell ref="A2:L4"/>
    <mergeCell ref="K5:L5"/>
    <mergeCell ref="C6:D6"/>
    <mergeCell ref="K6:L6"/>
    <mergeCell ref="C7:D7"/>
    <mergeCell ref="K7:L7"/>
    <mergeCell ref="C16:D16"/>
    <mergeCell ref="K16:L16"/>
    <mergeCell ref="C8:D8"/>
    <mergeCell ref="K8:L8"/>
    <mergeCell ref="C9:D9"/>
    <mergeCell ref="K9:L9"/>
    <mergeCell ref="C10:D10"/>
    <mergeCell ref="K10:L10"/>
    <mergeCell ref="K11:L11"/>
    <mergeCell ref="C15:D15"/>
    <mergeCell ref="K12:L12"/>
    <mergeCell ref="K13:L13"/>
    <mergeCell ref="K14:L14"/>
    <mergeCell ref="K15:L15"/>
    <mergeCell ref="A21:C21"/>
    <mergeCell ref="D21:E21"/>
    <mergeCell ref="H18:I18"/>
    <mergeCell ref="A19:B19"/>
    <mergeCell ref="C19:E19"/>
    <mergeCell ref="A20:B20"/>
    <mergeCell ref="C20:E20"/>
    <mergeCell ref="G6:H6"/>
    <mergeCell ref="I6:J6"/>
    <mergeCell ref="A5:B5"/>
    <mergeCell ref="E5:F5"/>
    <mergeCell ref="G5:H5"/>
    <mergeCell ref="I5:J5"/>
    <mergeCell ref="C5:D5"/>
    <mergeCell ref="C12:D12"/>
    <mergeCell ref="C13:D13"/>
    <mergeCell ref="C14:D14"/>
    <mergeCell ref="A6:B6"/>
    <mergeCell ref="E6:F6"/>
    <mergeCell ref="C11:D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93AC-6E8B-4985-9EF5-7F8380AD48AC}">
  <dimension ref="A2:L13"/>
  <sheetViews>
    <sheetView workbookViewId="0">
      <selection activeCell="J8" sqref="J8"/>
    </sheetView>
  </sheetViews>
  <sheetFormatPr baseColWidth="10" defaultRowHeight="15" x14ac:dyDescent="0.25"/>
  <cols>
    <col min="2" max="2" width="11.85546875" bestFit="1" customWidth="1"/>
    <col min="4" max="4" width="19.7109375" customWidth="1"/>
  </cols>
  <sheetData>
    <row r="2" spans="1:12" x14ac:dyDescent="0.25">
      <c r="A2" s="66" t="s">
        <v>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ht="15.75" x14ac:dyDescent="0.25">
      <c r="A5" s="41" t="s">
        <v>12</v>
      </c>
      <c r="B5" s="41"/>
      <c r="C5" s="67" t="s">
        <v>55</v>
      </c>
      <c r="D5" s="65"/>
      <c r="E5" s="63" t="s">
        <v>11</v>
      </c>
      <c r="F5" s="64"/>
      <c r="G5" s="68">
        <v>1042355387</v>
      </c>
      <c r="H5" s="69"/>
      <c r="I5" s="63" t="s">
        <v>9</v>
      </c>
      <c r="J5" s="64"/>
      <c r="K5" s="69" t="s">
        <v>56</v>
      </c>
      <c r="L5" s="70"/>
    </row>
    <row r="6" spans="1:12" ht="15.75" x14ac:dyDescent="0.25">
      <c r="A6" s="41" t="s">
        <v>35</v>
      </c>
      <c r="B6" s="41"/>
      <c r="C6" s="60" t="s">
        <v>42</v>
      </c>
      <c r="D6" s="62"/>
      <c r="E6" s="63" t="s">
        <v>36</v>
      </c>
      <c r="F6" s="64"/>
      <c r="G6" s="38">
        <v>45916</v>
      </c>
      <c r="H6" s="71"/>
      <c r="I6" s="60" t="s">
        <v>57</v>
      </c>
      <c r="J6" s="62"/>
      <c r="K6" s="38">
        <v>45945</v>
      </c>
      <c r="L6" s="65"/>
    </row>
    <row r="7" spans="1:12" ht="47.25" x14ac:dyDescent="0.25">
      <c r="A7" s="2" t="s">
        <v>0</v>
      </c>
      <c r="B7" s="2" t="s">
        <v>5</v>
      </c>
      <c r="C7" s="89" t="s">
        <v>6</v>
      </c>
      <c r="D7" s="89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88" t="s">
        <v>7</v>
      </c>
      <c r="L7" s="88"/>
    </row>
    <row r="8" spans="1:12" ht="15.75" x14ac:dyDescent="0.25">
      <c r="A8" s="4">
        <v>1</v>
      </c>
      <c r="B8" s="5">
        <v>45930</v>
      </c>
      <c r="C8" s="50" t="s">
        <v>58</v>
      </c>
      <c r="D8" s="50"/>
      <c r="E8" s="6">
        <v>0.33333333333333331</v>
      </c>
      <c r="F8" s="6">
        <v>0.78333333333333333</v>
      </c>
      <c r="G8" s="6">
        <v>4.1666666666666664E-2</v>
      </c>
      <c r="H8" s="6">
        <f>(F8-E8-G8)</f>
        <v>0.40833333333333333</v>
      </c>
      <c r="I8" s="6">
        <v>0.33333333333333331</v>
      </c>
      <c r="J8" s="12">
        <v>2</v>
      </c>
      <c r="K8" s="50" t="s">
        <v>38</v>
      </c>
      <c r="L8" s="50"/>
    </row>
    <row r="9" spans="1:12" ht="15.75" x14ac:dyDescent="0.25">
      <c r="A9" s="1"/>
      <c r="B9" s="1"/>
      <c r="C9" s="1"/>
      <c r="D9" s="1"/>
      <c r="E9" s="1"/>
      <c r="F9" s="27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79" t="s">
        <v>15</v>
      </c>
      <c r="I10" s="79"/>
      <c r="J10" s="14">
        <f>SUM(J8:J9)</f>
        <v>2</v>
      </c>
      <c r="K10" s="1"/>
      <c r="L10" s="1"/>
    </row>
    <row r="11" spans="1:12" x14ac:dyDescent="0.25">
      <c r="A11" s="49" t="s">
        <v>16</v>
      </c>
      <c r="B11" s="49"/>
      <c r="C11" s="44" t="s">
        <v>59</v>
      </c>
      <c r="D11" s="44"/>
      <c r="E11" s="44"/>
    </row>
    <row r="12" spans="1:12" x14ac:dyDescent="0.25">
      <c r="A12" s="49" t="s">
        <v>17</v>
      </c>
      <c r="B12" s="49"/>
      <c r="C12" s="43" t="s">
        <v>37</v>
      </c>
      <c r="D12" s="43"/>
      <c r="E12" s="43"/>
    </row>
    <row r="13" spans="1:12" x14ac:dyDescent="0.25">
      <c r="A13" s="49" t="s">
        <v>18</v>
      </c>
      <c r="B13" s="49"/>
      <c r="C13" s="49"/>
      <c r="D13" s="42" t="s">
        <v>60</v>
      </c>
      <c r="E13" s="43"/>
    </row>
  </sheetData>
  <mergeCells count="24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7:L7"/>
    <mergeCell ref="C8:D8"/>
    <mergeCell ref="K8:L8"/>
    <mergeCell ref="H10:I10"/>
    <mergeCell ref="A11:B11"/>
    <mergeCell ref="C11:E11"/>
    <mergeCell ref="A12:B12"/>
    <mergeCell ref="C12:E12"/>
    <mergeCell ref="A13:C13"/>
    <mergeCell ref="D13:E13"/>
    <mergeCell ref="C7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CDE60-3238-4803-BAE8-7AB089B52136}"/>
</file>

<file path=customXml/itemProps2.xml><?xml version="1.0" encoding="utf-8"?>
<ds:datastoreItem xmlns:ds="http://schemas.openxmlformats.org/officeDocument/2006/customXml" ds:itemID="{0BCA849C-3380-4E2C-83AD-CA7F54945FF5}"/>
</file>

<file path=customXml/itemProps3.xml><?xml version="1.0" encoding="utf-8"?>
<ds:datastoreItem xmlns:ds="http://schemas.openxmlformats.org/officeDocument/2006/customXml" ds:itemID="{2B1452A4-A898-42AC-B2DF-FC02402AD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GENERAL</vt:lpstr>
      <vt:lpstr>MOISES RINCON</vt:lpstr>
      <vt:lpstr>MARIO OROZCO</vt:lpstr>
      <vt:lpstr>KEISSY ARRIETA</vt:lpstr>
      <vt:lpstr>JUSTIN ORTIZ</vt:lpstr>
      <vt:lpstr>RONAD GRAJALES</vt:lpstr>
      <vt:lpstr>STEFANY DE LA HOZ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2025-02-26T14:41:28Z</cp:lastPrinted>
  <dcterms:created xsi:type="dcterms:W3CDTF">2025-02-26T13:50:56Z</dcterms:created>
  <dcterms:modified xsi:type="dcterms:W3CDTF">2025-10-20T23:12:42Z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