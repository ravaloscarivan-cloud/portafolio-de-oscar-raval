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iosteeldecolombia-my.sharepoint.com/personal/almacen2_biosteeldecolombia_com/Documents/Escritorio/"/>
    </mc:Choice>
  </mc:AlternateContent>
  <xr:revisionPtr revIDLastSave="0" documentId="14_{7BA0ADC4-8065-4FAC-9B79-1CE742BE759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GENERAL" sheetId="2" r:id="rId1"/>
    <sheet name="MARIO OROZCO" sheetId="1" r:id="rId2"/>
    <sheet name="JOSE HENAO" sheetId="18" r:id="rId3"/>
    <sheet name="JUSTIN ORTIZ" sheetId="15" r:id="rId4"/>
  </sheets>
  <definedNames>
    <definedName name="_xlnm.Print_Area" localSheetId="2">'JOSE HENAO'!$A$1:$M$26</definedName>
    <definedName name="_xlnm.Print_Area" localSheetId="1">'MARIO OROZCO'!$A$1:$M$21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D17" i="18"/>
  <c r="H8" i="15" l="1"/>
  <c r="J11" i="15" l="1"/>
  <c r="G14" i="2" l="1"/>
  <c r="D19" i="2" l="1"/>
  <c r="I9" i="2" l="1"/>
  <c r="I10" i="2"/>
  <c r="I11" i="2"/>
  <c r="I12" i="2"/>
  <c r="I13" i="2"/>
  <c r="I14" i="2"/>
</calcChain>
</file>

<file path=xl/sharedStrings.xml><?xml version="1.0" encoding="utf-8"?>
<sst xmlns="http://schemas.openxmlformats.org/spreadsheetml/2006/main" count="111" uniqueCount="51">
  <si>
    <t>N°</t>
  </si>
  <si>
    <t>HORA DE INICIO</t>
  </si>
  <si>
    <t>HORA DE FINALIZACIÓN</t>
  </si>
  <si>
    <t>HORARIO REGULAR</t>
  </si>
  <si>
    <t>HORAS EXTRAS</t>
  </si>
  <si>
    <t xml:space="preserve">FECHA </t>
  </si>
  <si>
    <t>MOTIVO DE SALIDA TARDE</t>
  </si>
  <si>
    <t xml:space="preserve">AUTORIZADO POR </t>
  </si>
  <si>
    <t>PLANILLA INDIVIDUAL REGISTRO DE HORAS EXTRAS</t>
  </si>
  <si>
    <t>CARGO:</t>
  </si>
  <si>
    <t>Auxiliar Logistico</t>
  </si>
  <si>
    <t>IDENTIFICACION:</t>
  </si>
  <si>
    <t>COLABORADOR:</t>
  </si>
  <si>
    <t>HORA DE ALMUERZO</t>
  </si>
  <si>
    <t>HORARIO LABORADO</t>
  </si>
  <si>
    <t>TOTAL DE HORAS:</t>
  </si>
  <si>
    <t xml:space="preserve">ELABORADO POR: </t>
  </si>
  <si>
    <t xml:space="preserve">REVISADO POR: </t>
  </si>
  <si>
    <t>FECHA DE ELABORACION:</t>
  </si>
  <si>
    <t xml:space="preserve">CARGO </t>
  </si>
  <si>
    <t>COORDINADOR LOGISTICO</t>
  </si>
  <si>
    <t>SILIA DIAZ</t>
  </si>
  <si>
    <t xml:space="preserve">PERIODO: </t>
  </si>
  <si>
    <t>NOMBRE DE COLABORADOR</t>
  </si>
  <si>
    <t>JUSTIN ORTIZ</t>
  </si>
  <si>
    <t>MARIO OROZCO</t>
  </si>
  <si>
    <t>AUX. LOGISTICO</t>
  </si>
  <si>
    <t>TOTAL DE HORAS EXTRAS</t>
  </si>
  <si>
    <t>REPORTE GENERAL DE HORAS EXTRAS</t>
  </si>
  <si>
    <t xml:space="preserve">VALOR UNITARIO </t>
  </si>
  <si>
    <t>TOTAL EN VALOR</t>
  </si>
  <si>
    <t>MES:</t>
  </si>
  <si>
    <t>PROCESO:</t>
  </si>
  <si>
    <t>ALMACEN</t>
  </si>
  <si>
    <t>FIRMA DEL COLABORADOR</t>
  </si>
  <si>
    <t xml:space="preserve">MES: </t>
  </si>
  <si>
    <t xml:space="preserve">PERIODO DE: </t>
  </si>
  <si>
    <t xml:space="preserve">Silia Diaz </t>
  </si>
  <si>
    <t xml:space="preserve">JUSTIN ORTIZ RUIZ </t>
  </si>
  <si>
    <t>RESPONSABLE:</t>
  </si>
  <si>
    <t>JOSE HENAO</t>
  </si>
  <si>
    <t>EMA ROMERO</t>
  </si>
  <si>
    <t>RECIBIR MATERIAL DE RP Y BAJARLO A CAMPBELL</t>
  </si>
  <si>
    <t>DICIEMBRE</t>
  </si>
  <si>
    <t>A: ENERO</t>
  </si>
  <si>
    <t>ESPERANDO MATERIALES DE TODOORTOPEDICO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</si>
  <si>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:ENERO</t>
    </r>
  </si>
  <si>
    <t>DICIEMBRE/ENERO</t>
  </si>
  <si>
    <t>FEBRERO</t>
  </si>
  <si>
    <t>A:FEBRERO</t>
  </si>
  <si>
    <t>2026-02-28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</si>
</sst>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5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0" fontId="8" fillId="0" borderId="1" xfId="0" applyFont="1" applyBorder="1"/>
    <xf numFmtId="165" fontId="6" fillId="0" borderId="1" xfId="2" applyNumberFormat="1" applyFont="1" applyBorder="1"/>
    <xf numFmtId="20" fontId="3" fillId="0" borderId="2" xfId="0" applyNumberFormat="1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49" fontId="5" fillId="0" borderId="0" xfId="0" applyNumberFormat="1" applyFont="1"/>
    <xf numFmtId="20" fontId="3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65" fontId="6" fillId="0" borderId="0" xfId="2" applyNumberFormat="1" applyFont="1" applyBorder="1"/>
    <xf numFmtId="43" fontId="3" fillId="0" borderId="0" xfId="2" applyFont="1" applyBorder="1" applyAlignment="1">
      <alignment horizontal="center" vertical="center"/>
    </xf>
    <xf numFmtId="20" fontId="3" fillId="0" borderId="0" xfId="2" applyNumberFormat="1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165" fontId="6" fillId="0" borderId="6" xfId="2" applyNumberFormat="1" applyFont="1" applyBorder="1" applyAlignment="1">
      <alignment horizontal="left" vertical="center"/>
    </xf>
    <xf numFmtId="165" fontId="6" fillId="0" borderId="7" xfId="2" applyNumberFormat="1" applyFont="1" applyBorder="1" applyAlignment="1">
      <alignment horizontal="left" vertical="center"/>
    </xf>
    <xf numFmtId="20" fontId="3" fillId="0" borderId="9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20" fontId="3" fillId="0" borderId="11" xfId="0" applyNumberFormat="1" applyFont="1" applyBorder="1" applyAlignment="1">
      <alignment horizontal="center" vertical="center"/>
    </xf>
    <xf numFmtId="20" fontId="3" fillId="0" borderId="12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left" vertical="center"/>
    </xf>
    <xf numFmtId="20" fontId="3" fillId="0" borderId="3" xfId="0" applyNumberFormat="1" applyFont="1" applyBorder="1" applyAlignment="1">
      <alignment horizontal="left" vertical="center"/>
    </xf>
    <xf numFmtId="20" fontId="3" fillId="0" borderId="2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/>
    </xf>
    <xf numFmtId="14" fontId="3" fillId="0" borderId="4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 wrapText="1" shrinkToFit="1"/>
    </xf>
  </cellXfs>
  <cellStyles count="5">
    <cellStyle name="Millares" xfId="2" builtinId="3"/>
    <cellStyle name="Millares 2" xfId="4" xr:uid="{6D9071CC-268F-4E5D-AD4A-7064E4DF6FA8}"/>
    <cellStyle name="Moneda" xfId="1" builtinId="4"/>
    <cellStyle name="Moneda 2" xfId="3" xr:uid="{DE384E4E-DC39-42FD-9BBD-E4E91463900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90923</xdr:rowOff>
    </xdr:from>
    <xdr:to>
      <xdr:col>2</xdr:col>
      <xdr:colOff>24193</xdr:colOff>
      <xdr:row>3</xdr:row>
      <xdr:rowOff>161928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1186"/>
          <a:ext cx="604405" cy="1189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DF9AAED8-A575-4CDD-9F1E-ACBBA540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498AC1AE-B684-4F98-B141-C01B5732B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34719</xdr:colOff>
      <xdr:row>1</xdr:row>
      <xdr:rowOff>52824</xdr:rowOff>
    </xdr:from>
    <xdr:ext cx="1058387" cy="537729"/>
    <xdr:pic>
      <xdr:nvPicPr>
        <xdr:cNvPr id="3" name="Imagen 2">
          <a:extLst>
            <a:ext uri="{FF2B5EF4-FFF2-40B4-BE49-F238E27FC236}">
              <a16:creationId xmlns:a16="http://schemas.microsoft.com/office/drawing/2014/main" id="{E2156569-63D1-40D6-9146-F773194D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5048" y="-17005"/>
          <a:ext cx="537729" cy="10583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showGridLines="0" topLeftCell="A7" workbookViewId="0">
      <selection activeCell="A9" sqref="A9:A14"/>
    </sheetView>
  </sheetViews>
  <sheetFormatPr baseColWidth="10" defaultRowHeight="15" x14ac:dyDescent="0.25"/>
  <cols>
    <col min="1" max="1" width="6" customWidth="1"/>
    <col min="2" max="2" width="12" customWidth="1"/>
    <col min="3" max="3" width="11.140625" customWidth="1"/>
    <col min="4" max="4" width="6.140625" customWidth="1"/>
    <col min="5" max="5" width="11.42578125" customWidth="1"/>
    <col min="6" max="6" width="17.85546875" customWidth="1"/>
    <col min="7" max="7" width="14.140625" customWidth="1"/>
    <col min="8" max="8" width="14" customWidth="1"/>
    <col min="9" max="9" width="13.28515625" bestFit="1" customWidth="1"/>
  </cols>
  <sheetData>
    <row r="1" spans="1:11" ht="9.75" customHeight="1" x14ac:dyDescent="0.25"/>
    <row r="2" spans="1:11" ht="23.25" customHeight="1" x14ac:dyDescent="0.25">
      <c r="A2" s="54" t="s">
        <v>28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1" ht="18.7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</row>
    <row r="4" spans="1:11" ht="19.5" customHeight="1" x14ac:dyDescent="0.25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</row>
    <row r="5" spans="1:11" ht="15.75" x14ac:dyDescent="0.25">
      <c r="A5" s="37" t="s">
        <v>39</v>
      </c>
      <c r="B5" s="37"/>
      <c r="C5" s="55" t="s">
        <v>21</v>
      </c>
      <c r="D5" s="55"/>
      <c r="E5" s="55"/>
      <c r="F5" s="11" t="s">
        <v>9</v>
      </c>
      <c r="G5" s="51" t="s">
        <v>20</v>
      </c>
      <c r="H5" s="52"/>
      <c r="I5" s="11" t="s">
        <v>32</v>
      </c>
      <c r="J5" s="51" t="s">
        <v>33</v>
      </c>
      <c r="K5" s="53"/>
    </row>
    <row r="6" spans="1:11" ht="15.75" x14ac:dyDescent="0.25">
      <c r="A6" s="37" t="s">
        <v>31</v>
      </c>
      <c r="B6" s="37"/>
      <c r="C6" s="56" t="s">
        <v>47</v>
      </c>
      <c r="D6" s="57"/>
      <c r="E6" s="58"/>
      <c r="F6" s="59" t="s">
        <v>22</v>
      </c>
      <c r="G6" s="60"/>
      <c r="H6" s="49">
        <v>46007</v>
      </c>
      <c r="I6" s="50"/>
      <c r="J6" s="49">
        <v>46023</v>
      </c>
      <c r="K6" s="50"/>
    </row>
    <row r="7" spans="1:11" ht="47.25" x14ac:dyDescent="0.25">
      <c r="A7" s="2" t="s">
        <v>0</v>
      </c>
      <c r="B7" s="31" t="s">
        <v>23</v>
      </c>
      <c r="C7" s="32"/>
      <c r="D7" s="33"/>
      <c r="E7" s="47" t="s">
        <v>19</v>
      </c>
      <c r="F7" s="48"/>
      <c r="G7" s="3" t="s">
        <v>27</v>
      </c>
      <c r="H7" s="8" t="s">
        <v>29</v>
      </c>
      <c r="I7" s="8" t="s">
        <v>30</v>
      </c>
      <c r="J7" s="47" t="s">
        <v>34</v>
      </c>
      <c r="K7" s="48"/>
    </row>
    <row r="8" spans="1:11" ht="15.75" x14ac:dyDescent="0.25">
      <c r="A8" s="4">
        <v>1</v>
      </c>
      <c r="B8" s="34" t="s">
        <v>25</v>
      </c>
      <c r="C8" s="35"/>
      <c r="D8" s="36"/>
      <c r="E8" s="41" t="s">
        <v>26</v>
      </c>
      <c r="F8" s="42"/>
      <c r="G8" s="7">
        <v>3</v>
      </c>
      <c r="H8" s="9"/>
      <c r="I8" s="9"/>
      <c r="J8" s="46"/>
      <c r="K8" s="46"/>
    </row>
    <row r="9" spans="1:11" ht="15.75" x14ac:dyDescent="0.25">
      <c r="A9" s="4">
        <v>2</v>
      </c>
      <c r="B9" s="34" t="s">
        <v>24</v>
      </c>
      <c r="C9" s="35"/>
      <c r="D9" s="36"/>
      <c r="E9" s="41" t="s">
        <v>26</v>
      </c>
      <c r="F9" s="42"/>
      <c r="G9" s="7">
        <v>3</v>
      </c>
      <c r="H9" s="9"/>
      <c r="I9" s="9">
        <f t="shared" ref="I9:I14" si="0">H9*G9</f>
        <v>0</v>
      </c>
      <c r="J9" s="46"/>
      <c r="K9" s="46"/>
    </row>
    <row r="10" spans="1:11" ht="15.75" x14ac:dyDescent="0.25">
      <c r="A10" s="4">
        <v>3</v>
      </c>
      <c r="B10" s="34" t="s">
        <v>40</v>
      </c>
      <c r="C10" s="35"/>
      <c r="D10" s="36"/>
      <c r="E10" s="41" t="s">
        <v>26</v>
      </c>
      <c r="F10" s="42"/>
      <c r="G10" s="7">
        <v>16</v>
      </c>
      <c r="H10" s="9"/>
      <c r="I10" s="9">
        <f t="shared" si="0"/>
        <v>0</v>
      </c>
      <c r="J10" s="46"/>
      <c r="K10" s="46"/>
    </row>
    <row r="11" spans="1:11" ht="15.75" x14ac:dyDescent="0.25">
      <c r="A11" s="4">
        <v>4</v>
      </c>
      <c r="B11" s="34"/>
      <c r="C11" s="35"/>
      <c r="D11" s="36"/>
      <c r="E11" s="43"/>
      <c r="F11" s="44"/>
      <c r="G11" s="7"/>
      <c r="H11" s="9"/>
      <c r="I11" s="9">
        <f t="shared" si="0"/>
        <v>0</v>
      </c>
      <c r="J11" s="46"/>
      <c r="K11" s="46"/>
    </row>
    <row r="12" spans="1:11" ht="15.75" x14ac:dyDescent="0.25">
      <c r="A12" s="4">
        <v>5</v>
      </c>
      <c r="B12" s="34"/>
      <c r="C12" s="35"/>
      <c r="D12" s="36"/>
      <c r="E12" s="43"/>
      <c r="F12" s="44"/>
      <c r="G12" s="7"/>
      <c r="H12" s="9"/>
      <c r="I12" s="9">
        <f t="shared" si="0"/>
        <v>0</v>
      </c>
      <c r="J12" s="46"/>
      <c r="K12" s="46"/>
    </row>
    <row r="13" spans="1:11" ht="15.75" x14ac:dyDescent="0.25">
      <c r="A13" s="4">
        <v>6</v>
      </c>
      <c r="B13" s="34"/>
      <c r="C13" s="35"/>
      <c r="D13" s="36"/>
      <c r="E13" s="43"/>
      <c r="F13" s="44"/>
      <c r="G13" s="7"/>
      <c r="H13" s="9"/>
      <c r="I13" s="9">
        <f t="shared" si="0"/>
        <v>0</v>
      </c>
      <c r="J13" s="46"/>
      <c r="K13" s="46"/>
    </row>
    <row r="14" spans="1:11" ht="15.75" x14ac:dyDescent="0.25">
      <c r="A14" s="4">
        <v>7</v>
      </c>
      <c r="B14" s="34"/>
      <c r="C14" s="35"/>
      <c r="D14" s="36"/>
      <c r="E14" s="43"/>
      <c r="F14" s="44"/>
      <c r="G14" s="7">
        <f>SUM(G8:G13)</f>
        <v>22</v>
      </c>
      <c r="H14" s="9"/>
      <c r="I14" s="9">
        <f t="shared" si="0"/>
        <v>0</v>
      </c>
      <c r="J14" s="46"/>
      <c r="K14" s="46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0.100000000000001" customHeight="1" x14ac:dyDescent="0.25">
      <c r="A17" s="45" t="s">
        <v>16</v>
      </c>
      <c r="B17" s="45"/>
      <c r="C17" s="40" t="s">
        <v>41</v>
      </c>
      <c r="D17" s="40"/>
      <c r="E17" s="40"/>
      <c r="F17" s="40"/>
      <c r="G17" s="40"/>
      <c r="H17" s="1"/>
      <c r="I17" s="1"/>
      <c r="J17" s="1"/>
      <c r="K17" s="1"/>
    </row>
    <row r="18" spans="1:11" ht="20.100000000000001" customHeight="1" x14ac:dyDescent="0.25">
      <c r="A18" s="45" t="s">
        <v>17</v>
      </c>
      <c r="B18" s="45"/>
      <c r="C18" s="39"/>
      <c r="D18" s="39"/>
      <c r="E18" s="39"/>
      <c r="F18" s="39"/>
      <c r="G18" s="39"/>
      <c r="H18" s="1"/>
      <c r="I18" s="1"/>
      <c r="J18" s="1"/>
      <c r="K18" s="1"/>
    </row>
    <row r="19" spans="1:11" ht="20.100000000000001" customHeight="1" x14ac:dyDescent="0.25">
      <c r="A19" s="45" t="s">
        <v>18</v>
      </c>
      <c r="B19" s="45"/>
      <c r="C19" s="45"/>
      <c r="D19" s="38">
        <f ca="1">TODAY()</f>
        <v>46101</v>
      </c>
      <c r="E19" s="39"/>
      <c r="F19" s="39"/>
      <c r="G19" s="39"/>
      <c r="H19" s="1"/>
      <c r="I19" s="1"/>
      <c r="J19" s="1"/>
      <c r="K19" s="1"/>
    </row>
    <row r="20" spans="1:11" ht="20.100000000000001" customHeight="1" x14ac:dyDescent="0.25"/>
  </sheetData>
  <mergeCells count="40">
    <mergeCell ref="J6:K6"/>
    <mergeCell ref="G5:H5"/>
    <mergeCell ref="J5:K5"/>
    <mergeCell ref="A2:K4"/>
    <mergeCell ref="A5:B5"/>
    <mergeCell ref="C5:E5"/>
    <mergeCell ref="C6:E6"/>
    <mergeCell ref="F6:G6"/>
    <mergeCell ref="H6:I6"/>
    <mergeCell ref="J8:K8"/>
    <mergeCell ref="E7:F7"/>
    <mergeCell ref="E8:F8"/>
    <mergeCell ref="J7:K7"/>
    <mergeCell ref="J9:K9"/>
    <mergeCell ref="E9:F9"/>
    <mergeCell ref="J10:K10"/>
    <mergeCell ref="B10:D10"/>
    <mergeCell ref="J11:K11"/>
    <mergeCell ref="J12:K12"/>
    <mergeCell ref="J13:K13"/>
    <mergeCell ref="B11:D11"/>
    <mergeCell ref="B12:D12"/>
    <mergeCell ref="B13:D13"/>
    <mergeCell ref="E13:F13"/>
    <mergeCell ref="J14:K14"/>
    <mergeCell ref="A17:B17"/>
    <mergeCell ref="A18:B18"/>
    <mergeCell ref="B14:D14"/>
    <mergeCell ref="E14:F14"/>
    <mergeCell ref="C18:G18"/>
    <mergeCell ref="B7:D7"/>
    <mergeCell ref="B8:D8"/>
    <mergeCell ref="A6:B6"/>
    <mergeCell ref="D19:G19"/>
    <mergeCell ref="C17:G17"/>
    <mergeCell ref="E10:F10"/>
    <mergeCell ref="E11:F11"/>
    <mergeCell ref="E12:F12"/>
    <mergeCell ref="A19:C19"/>
    <mergeCell ref="B9:D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9"/>
  <sheetViews>
    <sheetView showGridLines="0" showRuler="0" showWhiteSpace="0" zoomScaleNormal="100" workbookViewId="0">
      <selection activeCell="E14" sqref="E14:F14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29.42578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2" style="1" bestFit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64" t="s">
        <v>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4" ht="17.25" customHeight="1" x14ac:dyDescent="0.2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4" ht="15" customHeight="1" x14ac:dyDescent="0.2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4" ht="17.100000000000001" customHeight="1" x14ac:dyDescent="0.25">
      <c r="A5" s="37" t="s">
        <v>12</v>
      </c>
      <c r="B5" s="37"/>
      <c r="C5" s="65" t="s">
        <v>25</v>
      </c>
      <c r="D5" s="63"/>
      <c r="E5" s="59" t="s">
        <v>11</v>
      </c>
      <c r="F5" s="60"/>
      <c r="G5" s="66">
        <v>1143121183</v>
      </c>
      <c r="H5" s="67"/>
      <c r="I5" s="59" t="s">
        <v>9</v>
      </c>
      <c r="J5" s="60"/>
      <c r="K5" s="67" t="s">
        <v>10</v>
      </c>
      <c r="L5" s="68"/>
      <c r="N5" s="10" t="s">
        <v>13</v>
      </c>
    </row>
    <row r="6" spans="1:14" ht="17.100000000000001" customHeight="1" x14ac:dyDescent="0.25">
      <c r="A6" s="37" t="s">
        <v>35</v>
      </c>
      <c r="B6" s="37"/>
      <c r="C6" s="56"/>
      <c r="D6" s="58"/>
      <c r="E6" s="59" t="s">
        <v>36</v>
      </c>
      <c r="F6" s="60"/>
      <c r="G6" s="34"/>
      <c r="H6" s="69"/>
      <c r="I6" s="79" t="s">
        <v>44</v>
      </c>
      <c r="J6" s="80"/>
      <c r="K6" s="34"/>
      <c r="L6" s="63"/>
    </row>
    <row r="7" spans="1:14" ht="48" customHeight="1" x14ac:dyDescent="0.25">
      <c r="A7" s="2" t="s">
        <v>0</v>
      </c>
      <c r="B7" s="2" t="s">
        <v>5</v>
      </c>
      <c r="C7" s="77" t="s">
        <v>6</v>
      </c>
      <c r="D7" s="77"/>
      <c r="E7" s="3" t="s">
        <v>1</v>
      </c>
      <c r="F7" s="3" t="s">
        <v>2</v>
      </c>
      <c r="G7" s="3" t="s">
        <v>13</v>
      </c>
      <c r="H7" s="14" t="s">
        <v>14</v>
      </c>
      <c r="I7" s="3" t="s">
        <v>3</v>
      </c>
      <c r="J7" s="3" t="s">
        <v>4</v>
      </c>
      <c r="K7" s="76" t="s">
        <v>7</v>
      </c>
      <c r="L7" s="76"/>
    </row>
    <row r="8" spans="1:14" ht="28.5" customHeight="1" x14ac:dyDescent="0.25">
      <c r="A8" s="4">
        <v>1</v>
      </c>
      <c r="B8" s="5"/>
      <c r="C8" s="61"/>
      <c r="D8" s="61"/>
      <c r="E8" s="6"/>
      <c r="F8" s="24"/>
      <c r="G8" s="27"/>
      <c r="H8" s="17"/>
      <c r="I8" s="28"/>
      <c r="J8" s="25"/>
      <c r="K8" s="78"/>
      <c r="L8" s="78"/>
    </row>
    <row r="9" spans="1:14" ht="15.75" customHeight="1" x14ac:dyDescent="0.25">
      <c r="A9" s="4">
        <v>3</v>
      </c>
      <c r="B9" s="5"/>
      <c r="C9" s="61"/>
      <c r="D9" s="61"/>
      <c r="E9" s="13"/>
      <c r="F9" s="17"/>
      <c r="G9" s="29"/>
      <c r="H9" s="17"/>
      <c r="I9" s="30"/>
      <c r="J9" s="26"/>
      <c r="K9" s="70"/>
      <c r="L9" s="70"/>
    </row>
    <row r="10" spans="1:14" ht="15.75" x14ac:dyDescent="0.25">
      <c r="H10" s="20"/>
    </row>
    <row r="12" spans="1:14" x14ac:dyDescent="0.25">
      <c r="B12" s="45" t="s">
        <v>16</v>
      </c>
      <c r="C12" s="45"/>
      <c r="D12" s="40" t="s">
        <v>25</v>
      </c>
      <c r="E12" s="40"/>
      <c r="F12" s="40"/>
    </row>
    <row r="13" spans="1:14" x14ac:dyDescent="0.25">
      <c r="B13" s="45" t="s">
        <v>17</v>
      </c>
      <c r="C13" s="45"/>
      <c r="D13" s="39" t="s">
        <v>21</v>
      </c>
      <c r="E13" s="39"/>
      <c r="F13" s="39"/>
    </row>
    <row r="14" spans="1:14" ht="15.75" x14ac:dyDescent="0.25">
      <c r="A14" s="18"/>
      <c r="B14" s="45" t="s">
        <v>18</v>
      </c>
      <c r="C14" s="45"/>
      <c r="D14" s="45"/>
      <c r="E14" s="38"/>
      <c r="F14" s="39"/>
      <c r="G14" s="20"/>
      <c r="H14" s="20"/>
      <c r="I14" s="20"/>
      <c r="J14" s="23"/>
      <c r="K14" s="71"/>
      <c r="L14" s="71"/>
    </row>
    <row r="15" spans="1:14" ht="15.75" x14ac:dyDescent="0.25">
      <c r="A15" s="18"/>
      <c r="G15" s="20"/>
      <c r="H15" s="62" t="s">
        <v>15</v>
      </c>
      <c r="I15" s="62"/>
      <c r="J15" s="12">
        <f>SUM(J8:J14)</f>
        <v>0</v>
      </c>
      <c r="K15" s="71"/>
      <c r="L15" s="71"/>
    </row>
    <row r="16" spans="1:14" ht="15.75" x14ac:dyDescent="0.25">
      <c r="A16" s="18"/>
      <c r="B16" s="19"/>
      <c r="C16" s="72"/>
      <c r="D16" s="72"/>
      <c r="E16" s="20"/>
      <c r="F16" s="20"/>
      <c r="G16" s="20"/>
      <c r="K16" s="71"/>
      <c r="L16" s="71"/>
    </row>
    <row r="17" spans="1:12" ht="15.75" x14ac:dyDescent="0.25">
      <c r="A17" s="18"/>
      <c r="B17" s="19"/>
      <c r="C17" s="72"/>
      <c r="D17" s="72"/>
      <c r="E17" s="20"/>
      <c r="F17" s="20"/>
      <c r="G17" s="20"/>
      <c r="H17" s="20"/>
      <c r="I17" s="20"/>
      <c r="J17" s="23"/>
      <c r="K17" s="71"/>
      <c r="L17" s="71"/>
    </row>
    <row r="18" spans="1:12" ht="15.75" x14ac:dyDescent="0.25">
      <c r="A18" s="18"/>
      <c r="B18" s="19"/>
      <c r="C18" s="72"/>
      <c r="D18" s="72"/>
      <c r="E18" s="20"/>
      <c r="F18" s="20"/>
      <c r="G18" s="20"/>
      <c r="H18" s="20"/>
      <c r="I18" s="20"/>
      <c r="J18" s="23"/>
      <c r="K18" s="71"/>
      <c r="L18" s="71"/>
    </row>
    <row r="19" spans="1:12" ht="15.75" x14ac:dyDescent="0.25">
      <c r="A19" s="18"/>
      <c r="B19" s="19"/>
      <c r="C19" s="72"/>
      <c r="D19" s="72"/>
      <c r="E19" s="20"/>
      <c r="F19" s="20"/>
      <c r="G19" s="20"/>
      <c r="H19" s="20"/>
      <c r="I19" s="20"/>
      <c r="J19" s="22"/>
      <c r="K19" s="71"/>
      <c r="L19" s="71"/>
    </row>
    <row r="21" spans="1:12" x14ac:dyDescent="0.25">
      <c r="H21" s="74"/>
      <c r="I21" s="74"/>
      <c r="J21" s="21"/>
    </row>
    <row r="23" spans="1:12" ht="20.100000000000001" customHeight="1" x14ac:dyDescent="0.25">
      <c r="A23" s="45"/>
      <c r="B23" s="45"/>
      <c r="C23" s="75"/>
      <c r="D23" s="75"/>
      <c r="E23" s="75"/>
    </row>
    <row r="24" spans="1:12" ht="20.100000000000001" customHeight="1" x14ac:dyDescent="0.25">
      <c r="A24" s="45"/>
      <c r="B24" s="45"/>
      <c r="C24" s="75"/>
      <c r="D24" s="75"/>
      <c r="E24" s="75"/>
    </row>
    <row r="25" spans="1:12" ht="20.100000000000001" customHeight="1" x14ac:dyDescent="0.25">
      <c r="A25" s="45"/>
      <c r="B25" s="45"/>
      <c r="C25" s="45"/>
      <c r="D25" s="73"/>
      <c r="E25" s="73"/>
    </row>
    <row r="29" spans="1:12" ht="31.5" customHeight="1" x14ac:dyDescent="0.25"/>
  </sheetData>
  <mergeCells count="43">
    <mergeCell ref="A2:L4"/>
    <mergeCell ref="K7:L7"/>
    <mergeCell ref="K9:L9"/>
    <mergeCell ref="C7:D7"/>
    <mergeCell ref="K5:L5"/>
    <mergeCell ref="E6:F6"/>
    <mergeCell ref="C6:D6"/>
    <mergeCell ref="K6:L6"/>
    <mergeCell ref="A5:B5"/>
    <mergeCell ref="A6:B6"/>
    <mergeCell ref="G5:H5"/>
    <mergeCell ref="G6:H6"/>
    <mergeCell ref="C8:D8"/>
    <mergeCell ref="K8:L8"/>
    <mergeCell ref="I5:J5"/>
    <mergeCell ref="I6:J6"/>
    <mergeCell ref="A25:C25"/>
    <mergeCell ref="D25:E25"/>
    <mergeCell ref="H21:I21"/>
    <mergeCell ref="A23:B23"/>
    <mergeCell ref="C23:E23"/>
    <mergeCell ref="A24:B24"/>
    <mergeCell ref="C24:E24"/>
    <mergeCell ref="C5:D5"/>
    <mergeCell ref="E5:F5"/>
    <mergeCell ref="C19:D19"/>
    <mergeCell ref="B14:D14"/>
    <mergeCell ref="E14:F14"/>
    <mergeCell ref="K19:L19"/>
    <mergeCell ref="C9:D9"/>
    <mergeCell ref="K14:L14"/>
    <mergeCell ref="K15:L15"/>
    <mergeCell ref="C16:D16"/>
    <mergeCell ref="K16:L16"/>
    <mergeCell ref="C17:D17"/>
    <mergeCell ref="K17:L17"/>
    <mergeCell ref="C18:D18"/>
    <mergeCell ref="K18:L18"/>
    <mergeCell ref="H15:I15"/>
    <mergeCell ref="B12:C12"/>
    <mergeCell ref="D12:F12"/>
    <mergeCell ref="B13:C13"/>
    <mergeCell ref="D13:F13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6A1F-9536-400A-BDAA-C3DD911BE5E9}">
  <sheetPr>
    <pageSetUpPr fitToPage="1"/>
  </sheetPr>
  <dimension ref="A1:N30"/>
  <sheetViews>
    <sheetView showGridLines="0" showRuler="0" showWhiteSpace="0" topLeftCell="A3" zoomScaleNormal="100" workbookViewId="0">
      <selection activeCell="J17" sqref="J17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29.42578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2" style="1" bestFit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64" t="s">
        <v>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4" ht="17.25" customHeight="1" x14ac:dyDescent="0.2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4" ht="15" customHeight="1" x14ac:dyDescent="0.2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4" ht="17.100000000000001" customHeight="1" x14ac:dyDescent="0.25">
      <c r="A5" s="37" t="s">
        <v>12</v>
      </c>
      <c r="B5" s="37"/>
      <c r="C5" s="65" t="s">
        <v>40</v>
      </c>
      <c r="D5" s="63"/>
      <c r="E5" s="59" t="s">
        <v>11</v>
      </c>
      <c r="F5" s="60"/>
      <c r="G5" s="66">
        <v>1051831886</v>
      </c>
      <c r="H5" s="67"/>
      <c r="I5" s="59" t="s">
        <v>9</v>
      </c>
      <c r="J5" s="60"/>
      <c r="K5" s="67" t="s">
        <v>10</v>
      </c>
      <c r="L5" s="68"/>
      <c r="N5" s="10" t="s">
        <v>13</v>
      </c>
    </row>
    <row r="6" spans="1:14" ht="17.100000000000001" customHeight="1" x14ac:dyDescent="0.25">
      <c r="A6" s="37" t="s">
        <v>35</v>
      </c>
      <c r="B6" s="37"/>
      <c r="C6" s="56" t="s">
        <v>48</v>
      </c>
      <c r="D6" s="58"/>
      <c r="E6" s="59" t="s">
        <v>36</v>
      </c>
      <c r="F6" s="60"/>
      <c r="G6" s="34">
        <v>46054</v>
      </c>
      <c r="H6" s="69"/>
      <c r="I6" s="56" t="s">
        <v>49</v>
      </c>
      <c r="J6" s="58"/>
      <c r="K6" s="34">
        <v>46081</v>
      </c>
      <c r="L6" s="63"/>
    </row>
    <row r="7" spans="1:14" ht="48" customHeight="1" x14ac:dyDescent="0.25">
      <c r="A7" s="2" t="s">
        <v>0</v>
      </c>
      <c r="B7" s="2" t="s">
        <v>5</v>
      </c>
      <c r="C7" s="77" t="s">
        <v>6</v>
      </c>
      <c r="D7" s="77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76" t="s">
        <v>7</v>
      </c>
      <c r="L7" s="76"/>
    </row>
    <row r="8" spans="1:14" ht="15.75" customHeight="1" x14ac:dyDescent="0.25">
      <c r="A8" s="4">
        <v>1</v>
      </c>
      <c r="B8" s="82" t="s">
        <v>50</v>
      </c>
      <c r="C8" s="61" t="s">
        <v>42</v>
      </c>
      <c r="D8" s="61"/>
      <c r="E8" s="6">
        <v>0.41666666666666669</v>
      </c>
      <c r="F8" s="6">
        <v>0.57430555555555551</v>
      </c>
      <c r="G8" s="6">
        <v>0</v>
      </c>
      <c r="H8" s="13">
        <v>0.15763888888888888</v>
      </c>
      <c r="I8" s="13">
        <v>0</v>
      </c>
      <c r="J8" s="6">
        <v>0.16666666666666666</v>
      </c>
      <c r="K8" s="81" t="s">
        <v>37</v>
      </c>
      <c r="L8" s="50"/>
    </row>
    <row r="9" spans="1:14" ht="15.75" customHeight="1" x14ac:dyDescent="0.25">
      <c r="A9" s="4">
        <v>2</v>
      </c>
      <c r="B9" s="5"/>
      <c r="C9" s="61"/>
      <c r="D9" s="61"/>
      <c r="E9" s="6"/>
      <c r="F9" s="6"/>
      <c r="G9" s="6"/>
      <c r="H9" s="6"/>
      <c r="I9" s="13"/>
      <c r="J9" s="6"/>
      <c r="K9" s="81"/>
      <c r="L9" s="50"/>
    </row>
    <row r="10" spans="1:14" ht="15.75" customHeight="1" x14ac:dyDescent="0.25">
      <c r="A10" s="4">
        <v>3</v>
      </c>
      <c r="B10" s="5"/>
      <c r="C10" s="61"/>
      <c r="D10" s="61"/>
      <c r="E10" s="6"/>
      <c r="F10" s="6"/>
      <c r="G10" s="6"/>
      <c r="H10" s="6"/>
      <c r="I10" s="13"/>
      <c r="J10" s="6"/>
      <c r="K10" s="81"/>
      <c r="L10" s="50"/>
    </row>
    <row r="11" spans="1:14" ht="15.75" customHeight="1" x14ac:dyDescent="0.25">
      <c r="A11" s="4">
        <v>4</v>
      </c>
      <c r="B11" s="5"/>
      <c r="C11" s="61"/>
      <c r="D11" s="61"/>
      <c r="E11" s="6"/>
      <c r="F11" s="6"/>
      <c r="G11" s="6"/>
      <c r="H11" s="6"/>
      <c r="I11" s="13"/>
      <c r="J11" s="6"/>
      <c r="K11" s="81"/>
      <c r="L11" s="50"/>
    </row>
    <row r="13" spans="1:14" ht="15.75" x14ac:dyDescent="0.25">
      <c r="H13" s="62" t="s">
        <v>15</v>
      </c>
      <c r="I13" s="62"/>
      <c r="J13" s="6">
        <v>0.16666666666666666</v>
      </c>
    </row>
    <row r="15" spans="1:14" x14ac:dyDescent="0.25">
      <c r="A15" s="45" t="s">
        <v>16</v>
      </c>
      <c r="B15" s="45"/>
      <c r="C15" s="40" t="s">
        <v>40</v>
      </c>
      <c r="D15" s="40"/>
      <c r="E15" s="40"/>
    </row>
    <row r="16" spans="1:14" x14ac:dyDescent="0.25">
      <c r="A16" s="45" t="s">
        <v>17</v>
      </c>
      <c r="B16" s="45"/>
      <c r="C16" s="39" t="s">
        <v>21</v>
      </c>
      <c r="D16" s="39"/>
      <c r="E16" s="39"/>
    </row>
    <row r="17" spans="1:12" x14ac:dyDescent="0.25">
      <c r="A17" s="45" t="s">
        <v>18</v>
      </c>
      <c r="B17" s="45"/>
      <c r="C17" s="45"/>
      <c r="D17" s="38">
        <f ca="1">TODAY()</f>
        <v>46101</v>
      </c>
      <c r="E17" s="39"/>
    </row>
    <row r="18" spans="1:12" ht="31.5" customHeight="1" x14ac:dyDescent="0.25"/>
    <row r="19" spans="1:12" ht="30" customHeight="1" x14ac:dyDescent="0.25">
      <c r="A19" s="18"/>
      <c r="B19" s="19"/>
      <c r="C19" s="72"/>
      <c r="D19" s="72"/>
      <c r="E19" s="20"/>
      <c r="F19" s="20"/>
      <c r="G19" s="20"/>
      <c r="H19" s="20"/>
      <c r="I19" s="20"/>
      <c r="J19" s="23"/>
      <c r="K19" s="71"/>
      <c r="L19" s="71"/>
    </row>
    <row r="20" spans="1:12" ht="30.75" customHeight="1" x14ac:dyDescent="0.25">
      <c r="A20" s="18"/>
      <c r="B20" s="19"/>
      <c r="C20" s="72"/>
      <c r="D20" s="72"/>
      <c r="E20" s="20"/>
      <c r="F20" s="20"/>
      <c r="G20" s="20"/>
      <c r="H20" s="20"/>
      <c r="I20" s="20"/>
      <c r="J20" s="23"/>
      <c r="K20" s="71"/>
      <c r="L20" s="71"/>
    </row>
    <row r="21" spans="1:12" ht="15.75" x14ac:dyDescent="0.25">
      <c r="A21" s="18"/>
      <c r="B21" s="19"/>
      <c r="C21" s="72"/>
      <c r="D21" s="72"/>
      <c r="E21" s="20"/>
      <c r="F21" s="20"/>
      <c r="G21" s="20"/>
      <c r="H21" s="20"/>
      <c r="I21" s="20"/>
      <c r="J21" s="23"/>
      <c r="K21" s="71"/>
      <c r="L21" s="71"/>
    </row>
    <row r="22" spans="1:12" ht="15.75" x14ac:dyDescent="0.25">
      <c r="A22" s="18"/>
      <c r="B22" s="19"/>
      <c r="C22" s="72"/>
      <c r="D22" s="72"/>
      <c r="E22" s="20"/>
      <c r="F22" s="20"/>
      <c r="G22" s="20"/>
      <c r="H22" s="20"/>
      <c r="I22" s="20"/>
      <c r="J22" s="23"/>
      <c r="K22" s="71"/>
      <c r="L22" s="71"/>
    </row>
    <row r="23" spans="1:12" ht="15.75" x14ac:dyDescent="0.25">
      <c r="A23" s="18"/>
      <c r="B23" s="19"/>
      <c r="C23" s="72"/>
      <c r="D23" s="72"/>
      <c r="E23" s="20"/>
      <c r="F23" s="20"/>
      <c r="G23" s="20"/>
      <c r="H23" s="20"/>
      <c r="I23" s="20"/>
      <c r="J23" s="23"/>
      <c r="K23" s="71"/>
      <c r="L23" s="71"/>
    </row>
    <row r="24" spans="1:12" ht="15.75" x14ac:dyDescent="0.25">
      <c r="A24" s="18"/>
      <c r="B24" s="19"/>
      <c r="C24" s="72"/>
      <c r="D24" s="72"/>
      <c r="E24" s="20"/>
      <c r="F24" s="20"/>
      <c r="G24" s="20"/>
      <c r="H24" s="20"/>
      <c r="I24" s="20"/>
      <c r="J24" s="22"/>
      <c r="K24" s="71"/>
      <c r="L24" s="71"/>
    </row>
    <row r="26" spans="1:12" x14ac:dyDescent="0.25">
      <c r="H26" s="74"/>
      <c r="I26" s="74"/>
      <c r="J26" s="21"/>
    </row>
    <row r="28" spans="1:12" ht="20.100000000000001" customHeight="1" x14ac:dyDescent="0.25">
      <c r="A28" s="45"/>
      <c r="B28" s="45"/>
      <c r="C28" s="75"/>
      <c r="D28" s="75"/>
      <c r="E28" s="75"/>
    </row>
    <row r="29" spans="1:12" ht="20.100000000000001" customHeight="1" x14ac:dyDescent="0.25">
      <c r="A29" s="45"/>
      <c r="B29" s="45"/>
      <c r="C29" s="75"/>
      <c r="D29" s="75"/>
      <c r="E29" s="75"/>
    </row>
    <row r="30" spans="1:12" ht="20.100000000000001" customHeight="1" x14ac:dyDescent="0.25">
      <c r="A30" s="45"/>
      <c r="B30" s="45"/>
      <c r="C30" s="45"/>
      <c r="D30" s="73"/>
      <c r="E30" s="73"/>
    </row>
  </sheetData>
  <mergeCells count="49">
    <mergeCell ref="A30:C30"/>
    <mergeCell ref="D30:E30"/>
    <mergeCell ref="C24:D24"/>
    <mergeCell ref="K24:L24"/>
    <mergeCell ref="H26:I26"/>
    <mergeCell ref="A28:B28"/>
    <mergeCell ref="C28:E28"/>
    <mergeCell ref="A29:B29"/>
    <mergeCell ref="C29:E29"/>
    <mergeCell ref="C21:D21"/>
    <mergeCell ref="K21:L21"/>
    <mergeCell ref="C22:D22"/>
    <mergeCell ref="K22:L22"/>
    <mergeCell ref="C23:D23"/>
    <mergeCell ref="K23:L23"/>
    <mergeCell ref="A17:C17"/>
    <mergeCell ref="D17:E17"/>
    <mergeCell ref="C19:D19"/>
    <mergeCell ref="K19:L19"/>
    <mergeCell ref="C20:D20"/>
    <mergeCell ref="K20:L20"/>
    <mergeCell ref="H13:I13"/>
    <mergeCell ref="A15:B15"/>
    <mergeCell ref="C15:E15"/>
    <mergeCell ref="A16:B16"/>
    <mergeCell ref="C16:E16"/>
    <mergeCell ref="C7:D7"/>
    <mergeCell ref="K7:L7"/>
    <mergeCell ref="K8:L8"/>
    <mergeCell ref="K11:L11"/>
    <mergeCell ref="C9:D9"/>
    <mergeCell ref="C10:D10"/>
    <mergeCell ref="C8:D8"/>
    <mergeCell ref="C11:D11"/>
    <mergeCell ref="K9:L9"/>
    <mergeCell ref="K10:L10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0E5F-F8E9-4BCF-8F52-D6D47A2F45C0}">
  <dimension ref="A2:L15"/>
  <sheetViews>
    <sheetView tabSelected="1" topLeftCell="A3" workbookViewId="0">
      <selection activeCell="G13" sqref="G13"/>
    </sheetView>
  </sheetViews>
  <sheetFormatPr baseColWidth="10" defaultRowHeight="15" x14ac:dyDescent="0.25"/>
  <cols>
    <col min="1" max="1" width="11.42578125" style="1"/>
    <col min="2" max="2" width="11.85546875" style="1" bestFit="1" customWidth="1"/>
    <col min="3" max="3" width="20" style="1" customWidth="1"/>
    <col min="4" max="4" width="19.7109375" style="1" customWidth="1"/>
    <col min="5" max="5" width="11.42578125" style="1"/>
    <col min="6" max="6" width="16.85546875" style="1" customWidth="1"/>
    <col min="7" max="7" width="19.85546875" style="1" customWidth="1"/>
    <col min="8" max="8" width="13.7109375" style="1" customWidth="1"/>
    <col min="9" max="16384" width="11.42578125" style="1"/>
  </cols>
  <sheetData>
    <row r="2" spans="1:12" x14ac:dyDescent="0.25">
      <c r="A2" s="64" t="s">
        <v>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x14ac:dyDescent="0.2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 x14ac:dyDescent="0.2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 ht="15.75" x14ac:dyDescent="0.25">
      <c r="A5" s="37" t="s">
        <v>12</v>
      </c>
      <c r="B5" s="37"/>
      <c r="C5" s="65" t="s">
        <v>38</v>
      </c>
      <c r="D5" s="63"/>
      <c r="E5" s="59" t="s">
        <v>11</v>
      </c>
      <c r="F5" s="60"/>
      <c r="G5" s="66">
        <v>1002035293</v>
      </c>
      <c r="H5" s="67"/>
      <c r="I5" s="59" t="s">
        <v>9</v>
      </c>
      <c r="J5" s="60"/>
      <c r="K5" s="67" t="s">
        <v>10</v>
      </c>
      <c r="L5" s="68"/>
    </row>
    <row r="6" spans="1:12" ht="15.75" x14ac:dyDescent="0.25">
      <c r="A6" s="37" t="s">
        <v>35</v>
      </c>
      <c r="B6" s="37"/>
      <c r="C6" s="56" t="s">
        <v>43</v>
      </c>
      <c r="D6" s="58"/>
      <c r="E6" s="59" t="s">
        <v>36</v>
      </c>
      <c r="F6" s="60"/>
      <c r="G6" s="34">
        <v>46054</v>
      </c>
      <c r="H6" s="69"/>
      <c r="I6" s="56" t="s">
        <v>46</v>
      </c>
      <c r="J6" s="58"/>
      <c r="K6" s="34">
        <v>46081</v>
      </c>
      <c r="L6" s="63"/>
    </row>
    <row r="7" spans="1:12" ht="31.5" x14ac:dyDescent="0.25">
      <c r="A7" s="2" t="s">
        <v>0</v>
      </c>
      <c r="B7" s="2" t="s">
        <v>5</v>
      </c>
      <c r="C7" s="77" t="s">
        <v>6</v>
      </c>
      <c r="D7" s="77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14" t="s">
        <v>4</v>
      </c>
      <c r="K7" s="76" t="s">
        <v>7</v>
      </c>
      <c r="L7" s="76"/>
    </row>
    <row r="8" spans="1:12" ht="35.25" customHeight="1" x14ac:dyDescent="0.25">
      <c r="A8" s="4">
        <v>1</v>
      </c>
      <c r="B8" s="5">
        <v>46074</v>
      </c>
      <c r="C8" s="61" t="s">
        <v>45</v>
      </c>
      <c r="D8" s="61"/>
      <c r="E8" s="6">
        <v>0.35902777777777778</v>
      </c>
      <c r="F8" s="6">
        <v>0.39791666666666664</v>
      </c>
      <c r="G8" s="6">
        <v>0</v>
      </c>
      <c r="H8" s="6">
        <f>(F8-E8-G8)</f>
        <v>3.8888888888888862E-2</v>
      </c>
      <c r="I8" s="13">
        <v>0</v>
      </c>
      <c r="J8" s="15">
        <v>1</v>
      </c>
      <c r="K8" s="50" t="s">
        <v>37</v>
      </c>
      <c r="L8" s="46"/>
    </row>
    <row r="9" spans="1:12" ht="29.25" customHeight="1" x14ac:dyDescent="0.25">
      <c r="A9" s="4"/>
      <c r="B9" s="5"/>
      <c r="C9" s="61"/>
      <c r="D9" s="61"/>
      <c r="E9" s="6"/>
      <c r="F9" s="6"/>
      <c r="G9" s="6"/>
      <c r="H9" s="6"/>
      <c r="I9" s="13"/>
      <c r="J9" s="15"/>
      <c r="K9" s="50"/>
      <c r="L9" s="46"/>
    </row>
    <row r="11" spans="1:12" x14ac:dyDescent="0.25">
      <c r="H11" s="62" t="s">
        <v>15</v>
      </c>
      <c r="I11" s="62"/>
      <c r="J11" s="12">
        <f>SUM(J8:J10)</f>
        <v>1</v>
      </c>
      <c r="K11" s="16"/>
    </row>
    <row r="13" spans="1:12" x14ac:dyDescent="0.25">
      <c r="A13" s="45" t="s">
        <v>16</v>
      </c>
      <c r="B13" s="45"/>
      <c r="C13" s="40" t="s">
        <v>24</v>
      </c>
      <c r="D13" s="40"/>
      <c r="E13" s="40"/>
    </row>
    <row r="14" spans="1:12" x14ac:dyDescent="0.25">
      <c r="A14" s="45" t="s">
        <v>17</v>
      </c>
      <c r="B14" s="45"/>
      <c r="C14" s="39" t="s">
        <v>21</v>
      </c>
      <c r="D14" s="39"/>
      <c r="E14" s="39"/>
    </row>
    <row r="15" spans="1:12" x14ac:dyDescent="0.25">
      <c r="A15" s="45" t="s">
        <v>18</v>
      </c>
      <c r="B15" s="45"/>
      <c r="C15" s="45"/>
      <c r="D15" s="38">
        <v>46101</v>
      </c>
      <c r="E15" s="39"/>
    </row>
  </sheetData>
  <mergeCells count="26">
    <mergeCell ref="C6:D6"/>
    <mergeCell ref="K9:L9"/>
    <mergeCell ref="A15:C15"/>
    <mergeCell ref="D15:E15"/>
    <mergeCell ref="H11:I11"/>
    <mergeCell ref="A13:B13"/>
    <mergeCell ref="C13:E13"/>
    <mergeCell ref="A14:B14"/>
    <mergeCell ref="C14:E14"/>
    <mergeCell ref="C9:D9"/>
    <mergeCell ref="A2:L4"/>
    <mergeCell ref="K7:L7"/>
    <mergeCell ref="K8:L8"/>
    <mergeCell ref="C7:D7"/>
    <mergeCell ref="C8:D8"/>
    <mergeCell ref="A5:B5"/>
    <mergeCell ref="A6:B6"/>
    <mergeCell ref="G5:H5"/>
    <mergeCell ref="G6:H6"/>
    <mergeCell ref="I5:J5"/>
    <mergeCell ref="I6:J6"/>
    <mergeCell ref="C5:D5"/>
    <mergeCell ref="E5:F5"/>
    <mergeCell ref="K5:L5"/>
    <mergeCell ref="E6:F6"/>
    <mergeCell ref="K6:L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3" ma:contentTypeDescription="Crear nuevo documento." ma:contentTypeScope="" ma:versionID="9b0e5553133b2f4142f2e5705dd684d8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e41be3e45561d4e4b0e258d977097ec9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4CCB4-2A93-4DDD-BA19-DB9FE68D6DAB}"/>
</file>

<file path=customXml/itemProps2.xml><?xml version="1.0" encoding="utf-8"?>
<ds:datastoreItem xmlns:ds="http://schemas.openxmlformats.org/officeDocument/2006/customXml" ds:itemID="{715B08CE-8BF3-410B-8977-0EEDD9BFFF07}"/>
</file>

<file path=customXml/itemProps3.xml><?xml version="1.0" encoding="utf-8"?>
<ds:datastoreItem xmlns:ds="http://schemas.openxmlformats.org/officeDocument/2006/customXml" ds:itemID="{8AF042EC-EC1A-4386-9752-BDF1AE057F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GENERAL</vt:lpstr>
      <vt:lpstr>MARIO OROZCO</vt:lpstr>
      <vt:lpstr>JOSE HENAO</vt:lpstr>
      <vt:lpstr>JUSTIN ORTIZ</vt:lpstr>
      <vt:lpstr>'JOSE HENAO'!Área_de_impresión</vt:lpstr>
      <vt:lpstr>'MARIO OROZCO'!Área_de_impresión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HUMANA</dc:creator>
  <cp:lastModifiedBy>Emaline Romero</cp:lastModifiedBy>
  <cp:lastPrinted>2025-02-26T14:41:28Z</cp:lastPrinted>
  <dcterms:created xsi:type="dcterms:W3CDTF">2025-02-26T13:50:56Z</dcterms:created>
  <dcterms:modified xsi:type="dcterms:W3CDTF">2026-03-20T20:38:42Z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