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50.91\almacen biosteel\ALMACEN\"/>
    </mc:Choice>
  </mc:AlternateContent>
  <bookViews>
    <workbookView xWindow="0" yWindow="0" windowWidth="28800" windowHeight="12330" activeTab="1"/>
  </bookViews>
  <sheets>
    <sheet name="GENERAL" sheetId="2" r:id="rId1"/>
    <sheet name="MARIO OROZCO" sheetId="1" r:id="rId2"/>
    <sheet name="SILIA DIAZ" sheetId="3" r:id="rId3"/>
    <sheet name="JUSTIN ORTIZ" sheetId="4" r:id="rId4"/>
    <sheet name="DAVID TORDECILLA" sheetId="6" r:id="rId5"/>
    <sheet name="MOISÉS RINCÓN" sheetId="11" r:id="rId6"/>
    <sheet name="JOSE HENAO" sheetId="8" r:id="rId7"/>
    <sheet name="KEISSY ARRIETA" sheetId="12" r:id="rId8"/>
  </sheets>
  <definedNames>
    <definedName name="_xlnm.Print_Area" localSheetId="4">'DAVID TORDECILLA'!$A$1:$M$13</definedName>
    <definedName name="_xlnm.Print_Area" localSheetId="6">'JOSE HENAO'!$M$1:$M$14</definedName>
    <definedName name="_xlnm.Print_Area" localSheetId="3">'JUSTIN ORTIZ'!#REF!</definedName>
    <definedName name="_xlnm.Print_Area" localSheetId="1">'MARIO OROZCO'!$A$1:$O$27</definedName>
    <definedName name="_xlnm.Print_Area" localSheetId="5">'MOISÉS RINCÓN'!$A$1:$M$11</definedName>
    <definedName name="_xlnm.Print_Area" localSheetId="2">'SILIA DIAZ'!$A$1:$M$17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9" i="1" l="1"/>
  <c r="H10" i="1"/>
  <c r="H11" i="1"/>
  <c r="H12" i="1" l="1"/>
  <c r="L8" i="8" l="1"/>
  <c r="D31" i="12"/>
  <c r="J28" i="12"/>
  <c r="H21" i="2" s="1"/>
  <c r="J27" i="12"/>
  <c r="H20" i="2" s="1"/>
  <c r="H10" i="12"/>
  <c r="H9" i="12"/>
  <c r="J9" i="12" s="1"/>
  <c r="H8" i="12"/>
  <c r="J8" i="12" s="1"/>
  <c r="D31" i="8"/>
  <c r="J28" i="8"/>
  <c r="H17" i="2" s="1"/>
  <c r="J27" i="8"/>
  <c r="H16" i="2" s="1"/>
  <c r="H9" i="8"/>
  <c r="J9" i="8" s="1"/>
  <c r="H8" i="8"/>
  <c r="J8" i="8" s="1"/>
  <c r="D31" i="4"/>
  <c r="J28" i="4"/>
  <c r="H13" i="2" s="1"/>
  <c r="J27" i="4"/>
  <c r="H12" i="2" s="1"/>
  <c r="H9" i="4"/>
  <c r="H8" i="4"/>
  <c r="J28" i="1"/>
  <c r="J27" i="1"/>
  <c r="H8" i="2" s="1"/>
  <c r="H9" i="2" l="1"/>
  <c r="J9" i="2" s="1"/>
  <c r="J25" i="2"/>
  <c r="J24" i="2"/>
  <c r="J23" i="2"/>
  <c r="J22" i="2"/>
  <c r="J21" i="2"/>
  <c r="J20" i="2"/>
  <c r="K20" i="2" s="1"/>
  <c r="J19" i="2"/>
  <c r="J18" i="2"/>
  <c r="K18" i="2" s="1"/>
  <c r="J17" i="2"/>
  <c r="J16" i="2"/>
  <c r="J15" i="2"/>
  <c r="J14" i="2"/>
  <c r="K14" i="2" s="1"/>
  <c r="J13" i="2"/>
  <c r="J12" i="2"/>
  <c r="J11" i="2"/>
  <c r="K22" i="2"/>
  <c r="K12" i="2" l="1"/>
  <c r="K24" i="2"/>
  <c r="K16" i="2"/>
  <c r="D30" i="2"/>
  <c r="D31" i="1" l="1"/>
  <c r="H8" i="1" l="1"/>
  <c r="H8" i="11" l="1"/>
  <c r="J11" i="11"/>
  <c r="H9" i="11"/>
  <c r="J13" i="6"/>
  <c r="H11" i="6"/>
  <c r="H8" i="6"/>
  <c r="H9" i="6"/>
  <c r="H10" i="6"/>
  <c r="R13" i="6"/>
  <c r="J17" i="3"/>
  <c r="J10" i="2"/>
  <c r="K10" i="2" s="1"/>
  <c r="J8" i="2"/>
  <c r="K8" i="2" s="1"/>
  <c r="R17" i="3"/>
</calcChain>
</file>

<file path=xl/sharedStrings.xml><?xml version="1.0" encoding="utf-8"?>
<sst xmlns="http://schemas.openxmlformats.org/spreadsheetml/2006/main" count="286" uniqueCount="80">
  <si>
    <t>REPORTE GENERAL DE HORAS EXTRAS</t>
  </si>
  <si>
    <t>RSPONSABLE:</t>
  </si>
  <si>
    <t>SILIA DIAZ</t>
  </si>
  <si>
    <t>CARGO:</t>
  </si>
  <si>
    <t>COORDINADOR LOGISTICO</t>
  </si>
  <si>
    <t>PROCESO:</t>
  </si>
  <si>
    <t>ALMACEN</t>
  </si>
  <si>
    <t>MES:</t>
  </si>
  <si>
    <t xml:space="preserve">PERIODO: </t>
  </si>
  <si>
    <t>N°</t>
  </si>
  <si>
    <t>NOMBRE DE COLABORADOR</t>
  </si>
  <si>
    <t xml:space="preserve">CARGO </t>
  </si>
  <si>
    <t>TOTAL DE HORAS EXTRAS</t>
  </si>
  <si>
    <t xml:space="preserve">VALOR UNITARIO </t>
  </si>
  <si>
    <t>TOTAL EN VALOR</t>
  </si>
  <si>
    <t>FIRMA DEL COLABORADOR</t>
  </si>
  <si>
    <t>MARIO OROZCO</t>
  </si>
  <si>
    <t>AUX. LOGISTICO</t>
  </si>
  <si>
    <t>COOR. LOGISTICO</t>
  </si>
  <si>
    <t>JUSTIN ORTIZ</t>
  </si>
  <si>
    <t>DAVIS TORDECILLA</t>
  </si>
  <si>
    <t>AUXILIAR DE COMPRAS</t>
  </si>
  <si>
    <t>MOISES RINCON</t>
  </si>
  <si>
    <t>MENSAJERO</t>
  </si>
  <si>
    <t xml:space="preserve">ELABORADO POR: </t>
  </si>
  <si>
    <t xml:space="preserve">REVISADO POR: </t>
  </si>
  <si>
    <t>FECHA DE ELABORACION:</t>
  </si>
  <si>
    <t>PLANILLA INDIVIDUAL REGISTRO DE HORAS EXTRAS</t>
  </si>
  <si>
    <t>COLABORADOR:</t>
  </si>
  <si>
    <t>Silia Diaz</t>
  </si>
  <si>
    <t>IDENTIFICACION:</t>
  </si>
  <si>
    <t>Auxiliar Logistico</t>
  </si>
  <si>
    <t>HORA DE ALMUERZO</t>
  </si>
  <si>
    <t xml:space="preserve">MES: </t>
  </si>
  <si>
    <t xml:space="preserve">PERIODO DE: </t>
  </si>
  <si>
    <t xml:space="preserve">A: </t>
  </si>
  <si>
    <t xml:space="preserve">FECHA </t>
  </si>
  <si>
    <t>MOTIVO DE SALIDA TARDE</t>
  </si>
  <si>
    <t>HORA DE INICIO</t>
  </si>
  <si>
    <t>HORA DE FINALIZACIÓN</t>
  </si>
  <si>
    <t>HORARIO LABORADO</t>
  </si>
  <si>
    <t>HORARIO REGULAR</t>
  </si>
  <si>
    <t>HORAS EXTRAS</t>
  </si>
  <si>
    <t xml:space="preserve">AUTORIZADO POR </t>
  </si>
  <si>
    <t xml:space="preserve">Silia Diaz </t>
  </si>
  <si>
    <t>TOTAL DE HORAS:</t>
  </si>
  <si>
    <t>Mario Orozco</t>
  </si>
  <si>
    <t>Coor.Logistico</t>
  </si>
  <si>
    <t>Marzo</t>
  </si>
  <si>
    <t>Justin Ortiz</t>
  </si>
  <si>
    <t>Revisión e ingreso de facturas</t>
  </si>
  <si>
    <t>Moises Rincón</t>
  </si>
  <si>
    <t>72,157,200</t>
  </si>
  <si>
    <t>Mensajero</t>
  </si>
  <si>
    <t>Consignación en Bancolombia y consignacion de caja menor de santa marta, cali  y cartagena</t>
  </si>
  <si>
    <t>Preparación de material (claviculas de imeq) para clinica baru</t>
  </si>
  <si>
    <t>Moisés Rincon</t>
  </si>
  <si>
    <t>OCTUBRE/NOVIEMBRE</t>
  </si>
  <si>
    <t>HR-DIURNA</t>
  </si>
  <si>
    <t>HR-NOCTUR</t>
  </si>
  <si>
    <t>TIPO DE HORAS</t>
  </si>
  <si>
    <t>TOTAL</t>
  </si>
  <si>
    <t>JOSE HENAO</t>
  </si>
  <si>
    <t>KEISSY ARRIETA</t>
  </si>
  <si>
    <t>AUX. ADMINISTRATIVA</t>
  </si>
  <si>
    <t>NAYERLIS MONTES</t>
  </si>
  <si>
    <t>ESTEFANNY DE LA HOZ</t>
  </si>
  <si>
    <t>TOTAL DE HORAS DIURNAS:</t>
  </si>
  <si>
    <t>TOTAL DE HORAS NOCTURNAS:</t>
  </si>
  <si>
    <t>HR-NOCTURNA</t>
  </si>
  <si>
    <t>ESPERAR MATERIALES DEL PROVEEDOR OSTEONORTE Y ENVIAR PARA CLINICA BARU</t>
  </si>
  <si>
    <t>ESPERAR MATERIALES DEL PROVEEDOR TODO ORTOPEDICO Y ENVIAR PARA CLINICA BARU</t>
  </si>
  <si>
    <t>A: 15/11/2025</t>
  </si>
  <si>
    <t xml:space="preserve">CARGO: AUX LOGISTICO </t>
  </si>
  <si>
    <t>ESPERAR MATERIALES DE ABUMAC ENVIAR A BAHIA, ENVIAR REPO DE CALI</t>
  </si>
  <si>
    <t>INVENTARIO BODEGA CLINICA BAHIA VIERNES</t>
  </si>
  <si>
    <t>INVENTARIO BODEGA CLINICA BAHIA SABADO</t>
  </si>
  <si>
    <t>COTIZACION DOC JUAN</t>
  </si>
  <si>
    <t>MAYO</t>
  </si>
  <si>
    <t>A: 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</si>
</sst>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4">
    <xf numFmtId="0" fontId="0" fillId="0" borderId="0" xfId="0"/>
    <xf numFmtId="0" fontId="5" fillId="0" borderId="0" xfId="0" applyFont="1"/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165" fontId="3" fillId="0" borderId="1" xfId="2" applyFont="1" applyBorder="1" applyAlignment="1">
      <alignment horizontal="center" vertical="center"/>
    </xf>
    <xf numFmtId="167" fontId="3" fillId="0" borderId="1" xfId="2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7" fontId="6" fillId="0" borderId="1" xfId="0" applyNumberFormat="1" applyFont="1" applyBorder="1"/>
    <xf numFmtId="20" fontId="3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10" xfId="0" applyFont="1" applyBorder="1"/>
    <xf numFmtId="0" fontId="9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center" vertical="center"/>
    </xf>
    <xf numFmtId="166" fontId="3" fillId="0" borderId="18" xfId="1" applyNumberFormat="1" applyFont="1" applyBorder="1" applyAlignment="1">
      <alignment vertical="center"/>
    </xf>
    <xf numFmtId="0" fontId="9" fillId="3" borderId="25" xfId="0" applyFont="1" applyFill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/>
    </xf>
    <xf numFmtId="166" fontId="3" fillId="0" borderId="26" xfId="1" applyNumberFormat="1" applyFont="1" applyBorder="1" applyAlignment="1">
      <alignment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167" fontId="6" fillId="0" borderId="0" xfId="2" applyNumberFormat="1" applyFont="1" applyBorder="1"/>
    <xf numFmtId="0" fontId="10" fillId="0" borderId="0" xfId="0" applyFont="1" applyAlignment="1">
      <alignment horizontal="left"/>
    </xf>
    <xf numFmtId="0" fontId="3" fillId="0" borderId="1" xfId="2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20" fontId="3" fillId="0" borderId="2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20" fontId="3" fillId="0" borderId="15" xfId="0" applyNumberFormat="1" applyFont="1" applyBorder="1" applyAlignment="1">
      <alignment horizontal="center" vertical="center"/>
    </xf>
    <xf numFmtId="166" fontId="3" fillId="0" borderId="19" xfId="1" applyNumberFormat="1" applyFont="1" applyBorder="1" applyAlignment="1">
      <alignment horizontal="center" vertical="center"/>
    </xf>
    <xf numFmtId="166" fontId="3" fillId="0" borderId="27" xfId="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opLeftCell="A2" workbookViewId="0">
      <selection activeCell="J28" sqref="J28"/>
    </sheetView>
  </sheetViews>
  <sheetFormatPr baseColWidth="10" defaultColWidth="11.42578125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7" width="15" customWidth="1"/>
    <col min="8" max="8" width="14.140625" customWidth="1"/>
    <col min="9" max="9" width="14" customWidth="1"/>
    <col min="10" max="10" width="13.28515625" bestFit="1" customWidth="1"/>
    <col min="11" max="11" width="13.28515625" customWidth="1"/>
  </cols>
  <sheetData>
    <row r="1" spans="1:13" ht="9.75" customHeight="1" x14ac:dyDescent="0.25"/>
    <row r="2" spans="1:13" ht="23.25" customHeight="1" x14ac:dyDescent="0.2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8.7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9.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15.75" x14ac:dyDescent="0.25">
      <c r="A5" s="42" t="s">
        <v>1</v>
      </c>
      <c r="B5" s="42"/>
      <c r="C5" s="43" t="s">
        <v>2</v>
      </c>
      <c r="D5" s="43"/>
      <c r="E5" s="43"/>
      <c r="F5" s="13" t="s">
        <v>3</v>
      </c>
      <c r="G5" s="39" t="s">
        <v>4</v>
      </c>
      <c r="H5" s="46"/>
      <c r="I5" s="40"/>
      <c r="J5" s="47" t="s">
        <v>5</v>
      </c>
      <c r="K5" s="48"/>
      <c r="L5" s="39" t="s">
        <v>6</v>
      </c>
      <c r="M5" s="40"/>
    </row>
    <row r="6" spans="1:13" ht="15.75" x14ac:dyDescent="0.25">
      <c r="A6" s="42" t="s">
        <v>7</v>
      </c>
      <c r="B6" s="42"/>
      <c r="C6" s="44" t="s">
        <v>57</v>
      </c>
      <c r="D6" s="45"/>
      <c r="E6" s="45"/>
      <c r="F6" s="14" t="s">
        <v>8</v>
      </c>
      <c r="G6" s="51">
        <v>45946</v>
      </c>
      <c r="H6" s="49"/>
      <c r="I6" s="49"/>
      <c r="J6" s="49">
        <v>45976</v>
      </c>
      <c r="K6" s="49"/>
      <c r="L6" s="49"/>
      <c r="M6" s="50"/>
    </row>
    <row r="7" spans="1:13" ht="48" thickBot="1" x14ac:dyDescent="0.3">
      <c r="A7" s="16" t="s">
        <v>9</v>
      </c>
      <c r="B7" s="62" t="s">
        <v>10</v>
      </c>
      <c r="C7" s="63"/>
      <c r="D7" s="64"/>
      <c r="E7" s="52" t="s">
        <v>11</v>
      </c>
      <c r="F7" s="53"/>
      <c r="G7" s="15" t="s">
        <v>60</v>
      </c>
      <c r="H7" s="17" t="s">
        <v>12</v>
      </c>
      <c r="I7" s="18" t="s">
        <v>13</v>
      </c>
      <c r="J7" s="18" t="s">
        <v>14</v>
      </c>
      <c r="K7" s="19" t="s">
        <v>61</v>
      </c>
      <c r="L7" s="52" t="s">
        <v>15</v>
      </c>
      <c r="M7" s="54"/>
    </row>
    <row r="8" spans="1:13" ht="15.75" x14ac:dyDescent="0.25">
      <c r="A8" s="37">
        <v>1</v>
      </c>
      <c r="B8" s="65" t="s">
        <v>16</v>
      </c>
      <c r="C8" s="66"/>
      <c r="D8" s="67"/>
      <c r="E8" s="33" t="s">
        <v>17</v>
      </c>
      <c r="F8" s="55"/>
      <c r="G8" s="20" t="s">
        <v>58</v>
      </c>
      <c r="H8" s="21">
        <f>'MARIO OROZCO'!J27</f>
        <v>0</v>
      </c>
      <c r="I8" s="22">
        <v>8762</v>
      </c>
      <c r="J8" s="22">
        <f t="shared" ref="J8:J25" si="0">I8*H8</f>
        <v>0</v>
      </c>
      <c r="K8" s="56">
        <f>J8+J9</f>
        <v>0</v>
      </c>
      <c r="L8" s="58"/>
      <c r="M8" s="59"/>
    </row>
    <row r="9" spans="1:13" ht="16.5" thickBot="1" x14ac:dyDescent="0.3">
      <c r="A9" s="38"/>
      <c r="B9" s="68"/>
      <c r="C9" s="69"/>
      <c r="D9" s="70"/>
      <c r="E9" s="35"/>
      <c r="F9" s="36"/>
      <c r="G9" s="23" t="s">
        <v>59</v>
      </c>
      <c r="H9" s="24">
        <f>'MARIO OROZCO'!J28</f>
        <v>0</v>
      </c>
      <c r="I9" s="25">
        <v>12267</v>
      </c>
      <c r="J9" s="25">
        <f t="shared" si="0"/>
        <v>0</v>
      </c>
      <c r="K9" s="57"/>
      <c r="L9" s="60"/>
      <c r="M9" s="61"/>
    </row>
    <row r="10" spans="1:13" ht="15.75" x14ac:dyDescent="0.25">
      <c r="A10" s="37">
        <v>2</v>
      </c>
      <c r="B10" s="65" t="s">
        <v>2</v>
      </c>
      <c r="C10" s="66"/>
      <c r="D10" s="67"/>
      <c r="E10" s="33" t="s">
        <v>18</v>
      </c>
      <c r="F10" s="34"/>
      <c r="G10" s="20" t="s">
        <v>58</v>
      </c>
      <c r="H10" s="26"/>
      <c r="I10" s="22">
        <v>8762</v>
      </c>
      <c r="J10" s="22">
        <f t="shared" si="0"/>
        <v>0</v>
      </c>
      <c r="K10" s="56">
        <f t="shared" ref="K10" si="1">J10+J11</f>
        <v>0</v>
      </c>
      <c r="L10" s="58"/>
      <c r="M10" s="59"/>
    </row>
    <row r="11" spans="1:13" ht="16.5" thickBot="1" x14ac:dyDescent="0.3">
      <c r="A11" s="38"/>
      <c r="B11" s="68"/>
      <c r="C11" s="69"/>
      <c r="D11" s="70"/>
      <c r="E11" s="35"/>
      <c r="F11" s="36"/>
      <c r="G11" s="23" t="s">
        <v>59</v>
      </c>
      <c r="H11" s="24"/>
      <c r="I11" s="25">
        <v>12267</v>
      </c>
      <c r="J11" s="25">
        <f t="shared" si="0"/>
        <v>0</v>
      </c>
      <c r="K11" s="57"/>
      <c r="L11" s="60"/>
      <c r="M11" s="61"/>
    </row>
    <row r="12" spans="1:13" ht="16.5" thickBot="1" x14ac:dyDescent="0.3">
      <c r="A12" s="37">
        <v>3</v>
      </c>
      <c r="B12" s="65" t="s">
        <v>19</v>
      </c>
      <c r="C12" s="66"/>
      <c r="D12" s="67"/>
      <c r="E12" s="33" t="s">
        <v>17</v>
      </c>
      <c r="F12" s="34"/>
      <c r="G12" s="20" t="s">
        <v>58</v>
      </c>
      <c r="H12" s="26">
        <f>'JUSTIN ORTIZ'!J27</f>
        <v>6</v>
      </c>
      <c r="I12" s="22">
        <v>8762</v>
      </c>
      <c r="J12" s="22">
        <f t="shared" si="0"/>
        <v>52572</v>
      </c>
      <c r="K12" s="56">
        <f t="shared" ref="K12" si="2">J12+J13</f>
        <v>52572</v>
      </c>
      <c r="L12" s="58"/>
      <c r="M12" s="59"/>
    </row>
    <row r="13" spans="1:13" ht="16.5" thickBot="1" x14ac:dyDescent="0.3">
      <c r="A13" s="38"/>
      <c r="B13" s="68"/>
      <c r="C13" s="69"/>
      <c r="D13" s="70"/>
      <c r="E13" s="35"/>
      <c r="F13" s="36"/>
      <c r="G13" s="23" t="s">
        <v>59</v>
      </c>
      <c r="H13" s="26">
        <f>'JUSTIN ORTIZ'!J28</f>
        <v>0</v>
      </c>
      <c r="I13" s="25">
        <v>12267</v>
      </c>
      <c r="J13" s="25">
        <f t="shared" si="0"/>
        <v>0</v>
      </c>
      <c r="K13" s="57"/>
      <c r="L13" s="60"/>
      <c r="M13" s="61"/>
    </row>
    <row r="14" spans="1:13" ht="15.75" x14ac:dyDescent="0.25">
      <c r="A14" s="37">
        <v>4</v>
      </c>
      <c r="B14" s="65" t="s">
        <v>20</v>
      </c>
      <c r="C14" s="66"/>
      <c r="D14" s="67"/>
      <c r="E14" s="33" t="s">
        <v>21</v>
      </c>
      <c r="F14" s="34"/>
      <c r="G14" s="20" t="s">
        <v>58</v>
      </c>
      <c r="H14" s="26"/>
      <c r="I14" s="22">
        <v>8762</v>
      </c>
      <c r="J14" s="22">
        <f t="shared" si="0"/>
        <v>0</v>
      </c>
      <c r="K14" s="56">
        <f t="shared" ref="K14" si="3">J14+J15</f>
        <v>0</v>
      </c>
      <c r="L14" s="58"/>
      <c r="M14" s="59"/>
    </row>
    <row r="15" spans="1:13" ht="16.5" thickBot="1" x14ac:dyDescent="0.3">
      <c r="A15" s="38"/>
      <c r="B15" s="68"/>
      <c r="C15" s="69"/>
      <c r="D15" s="70"/>
      <c r="E15" s="35"/>
      <c r="F15" s="36"/>
      <c r="G15" s="23" t="s">
        <v>59</v>
      </c>
      <c r="H15" s="24"/>
      <c r="I15" s="25">
        <v>12267</v>
      </c>
      <c r="J15" s="25">
        <f t="shared" si="0"/>
        <v>0</v>
      </c>
      <c r="K15" s="57"/>
      <c r="L15" s="60"/>
      <c r="M15" s="61"/>
    </row>
    <row r="16" spans="1:13" ht="16.5" thickBot="1" x14ac:dyDescent="0.3">
      <c r="A16" s="37">
        <v>5</v>
      </c>
      <c r="B16" s="65" t="s">
        <v>62</v>
      </c>
      <c r="C16" s="66"/>
      <c r="D16" s="67"/>
      <c r="E16" s="33" t="s">
        <v>17</v>
      </c>
      <c r="F16" s="34"/>
      <c r="G16" s="20" t="s">
        <v>58</v>
      </c>
      <c r="H16" s="26">
        <f>'JOSE HENAO'!J27</f>
        <v>3</v>
      </c>
      <c r="I16" s="22">
        <v>8762</v>
      </c>
      <c r="J16" s="22">
        <f t="shared" si="0"/>
        <v>26286</v>
      </c>
      <c r="K16" s="56">
        <f t="shared" ref="K16" si="4">J16+J17</f>
        <v>38553</v>
      </c>
      <c r="L16" s="58"/>
      <c r="M16" s="59"/>
    </row>
    <row r="17" spans="1:13" ht="16.5" thickBot="1" x14ac:dyDescent="0.3">
      <c r="A17" s="38"/>
      <c r="B17" s="68"/>
      <c r="C17" s="69"/>
      <c r="D17" s="70"/>
      <c r="E17" s="35"/>
      <c r="F17" s="36"/>
      <c r="G17" s="23" t="s">
        <v>59</v>
      </c>
      <c r="H17" s="26">
        <f>'JOSE HENAO'!J28</f>
        <v>1</v>
      </c>
      <c r="I17" s="25">
        <v>12267</v>
      </c>
      <c r="J17" s="25">
        <f t="shared" si="0"/>
        <v>12267</v>
      </c>
      <c r="K17" s="57"/>
      <c r="L17" s="60"/>
      <c r="M17" s="61"/>
    </row>
    <row r="18" spans="1:13" ht="15.75" x14ac:dyDescent="0.25">
      <c r="A18" s="37">
        <v>6</v>
      </c>
      <c r="B18" s="65" t="s">
        <v>22</v>
      </c>
      <c r="C18" s="66"/>
      <c r="D18" s="67"/>
      <c r="E18" s="33" t="s">
        <v>23</v>
      </c>
      <c r="F18" s="34"/>
      <c r="G18" s="20" t="s">
        <v>58</v>
      </c>
      <c r="H18" s="26"/>
      <c r="I18" s="22">
        <v>8762</v>
      </c>
      <c r="J18" s="22">
        <f t="shared" si="0"/>
        <v>0</v>
      </c>
      <c r="K18" s="56">
        <f t="shared" ref="K18" si="5">J18+J19</f>
        <v>0</v>
      </c>
      <c r="L18" s="58"/>
      <c r="M18" s="59"/>
    </row>
    <row r="19" spans="1:13" ht="16.5" thickBot="1" x14ac:dyDescent="0.3">
      <c r="A19" s="38"/>
      <c r="B19" s="68"/>
      <c r="C19" s="69"/>
      <c r="D19" s="70"/>
      <c r="E19" s="35"/>
      <c r="F19" s="36"/>
      <c r="G19" s="23" t="s">
        <v>59</v>
      </c>
      <c r="H19" s="24"/>
      <c r="I19" s="25">
        <v>12267</v>
      </c>
      <c r="J19" s="25">
        <f t="shared" si="0"/>
        <v>0</v>
      </c>
      <c r="K19" s="57"/>
      <c r="L19" s="60"/>
      <c r="M19" s="61"/>
    </row>
    <row r="20" spans="1:13" ht="16.5" thickBot="1" x14ac:dyDescent="0.3">
      <c r="A20" s="37">
        <v>7</v>
      </c>
      <c r="B20" s="65" t="s">
        <v>63</v>
      </c>
      <c r="C20" s="66"/>
      <c r="D20" s="67"/>
      <c r="E20" s="33" t="s">
        <v>64</v>
      </c>
      <c r="F20" s="34"/>
      <c r="G20" s="20" t="s">
        <v>58</v>
      </c>
      <c r="H20" s="26">
        <f>'KEISSY ARRIETA'!J27</f>
        <v>9</v>
      </c>
      <c r="I20" s="22">
        <v>8762</v>
      </c>
      <c r="J20" s="22">
        <f t="shared" si="0"/>
        <v>78858</v>
      </c>
      <c r="K20" s="56">
        <f t="shared" ref="K20" si="6">J20+J21</f>
        <v>127926</v>
      </c>
      <c r="L20" s="58"/>
      <c r="M20" s="59"/>
    </row>
    <row r="21" spans="1:13" ht="16.5" thickBot="1" x14ac:dyDescent="0.3">
      <c r="A21" s="38"/>
      <c r="B21" s="68"/>
      <c r="C21" s="69"/>
      <c r="D21" s="70"/>
      <c r="E21" s="35"/>
      <c r="F21" s="36"/>
      <c r="G21" s="23" t="s">
        <v>59</v>
      </c>
      <c r="H21" s="26">
        <f>'KEISSY ARRIETA'!J28</f>
        <v>4</v>
      </c>
      <c r="I21" s="25">
        <v>12267</v>
      </c>
      <c r="J21" s="25">
        <f t="shared" si="0"/>
        <v>49068</v>
      </c>
      <c r="K21" s="57"/>
      <c r="L21" s="60"/>
      <c r="M21" s="61"/>
    </row>
    <row r="22" spans="1:13" ht="15.75" x14ac:dyDescent="0.25">
      <c r="A22" s="37">
        <v>8</v>
      </c>
      <c r="B22" s="65" t="s">
        <v>65</v>
      </c>
      <c r="C22" s="66"/>
      <c r="D22" s="67"/>
      <c r="E22" s="33" t="s">
        <v>17</v>
      </c>
      <c r="F22" s="34"/>
      <c r="G22" s="20" t="s">
        <v>58</v>
      </c>
      <c r="H22" s="26"/>
      <c r="I22" s="22">
        <v>8762</v>
      </c>
      <c r="J22" s="22">
        <f t="shared" si="0"/>
        <v>0</v>
      </c>
      <c r="K22" s="56">
        <f t="shared" ref="K22" si="7">J22+J23</f>
        <v>0</v>
      </c>
      <c r="L22" s="58"/>
      <c r="M22" s="59"/>
    </row>
    <row r="23" spans="1:13" ht="16.5" thickBot="1" x14ac:dyDescent="0.3">
      <c r="A23" s="38"/>
      <c r="B23" s="68"/>
      <c r="C23" s="69"/>
      <c r="D23" s="70"/>
      <c r="E23" s="35"/>
      <c r="F23" s="36"/>
      <c r="G23" s="23" t="s">
        <v>59</v>
      </c>
      <c r="H23" s="24"/>
      <c r="I23" s="25">
        <v>12267</v>
      </c>
      <c r="J23" s="25">
        <f t="shared" si="0"/>
        <v>0</v>
      </c>
      <c r="K23" s="57"/>
      <c r="L23" s="60"/>
      <c r="M23" s="61"/>
    </row>
    <row r="24" spans="1:13" ht="15.75" x14ac:dyDescent="0.25">
      <c r="A24" s="37">
        <v>9</v>
      </c>
      <c r="B24" s="65" t="s">
        <v>66</v>
      </c>
      <c r="C24" s="66"/>
      <c r="D24" s="67"/>
      <c r="E24" s="33" t="s">
        <v>21</v>
      </c>
      <c r="F24" s="34"/>
      <c r="G24" s="20" t="s">
        <v>58</v>
      </c>
      <c r="H24" s="26"/>
      <c r="I24" s="22">
        <v>8762</v>
      </c>
      <c r="J24" s="22">
        <f t="shared" si="0"/>
        <v>0</v>
      </c>
      <c r="K24" s="56">
        <f t="shared" ref="K24" si="8">J24+J25</f>
        <v>0</v>
      </c>
      <c r="L24" s="58"/>
      <c r="M24" s="59"/>
    </row>
    <row r="25" spans="1:13" ht="16.5" thickBot="1" x14ac:dyDescent="0.3">
      <c r="A25" s="38"/>
      <c r="B25" s="68"/>
      <c r="C25" s="69"/>
      <c r="D25" s="70"/>
      <c r="E25" s="35"/>
      <c r="F25" s="36"/>
      <c r="G25" s="23" t="s">
        <v>59</v>
      </c>
      <c r="H25" s="24"/>
      <c r="I25" s="25">
        <v>12267</v>
      </c>
      <c r="J25" s="25">
        <f t="shared" si="0"/>
        <v>0</v>
      </c>
      <c r="K25" s="57"/>
      <c r="L25" s="60"/>
      <c r="M25" s="6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.100000000000001" customHeight="1" x14ac:dyDescent="0.25">
      <c r="A28" s="74" t="s">
        <v>24</v>
      </c>
      <c r="B28" s="74"/>
      <c r="C28" s="73" t="s">
        <v>2</v>
      </c>
      <c r="D28" s="73"/>
      <c r="E28" s="73"/>
      <c r="F28" s="73"/>
      <c r="G28" s="73"/>
      <c r="H28" s="73"/>
      <c r="I28" s="1"/>
      <c r="J28" s="1"/>
      <c r="K28" s="1"/>
      <c r="L28" s="1"/>
      <c r="M28" s="1"/>
    </row>
    <row r="29" spans="1:13" ht="20.100000000000001" customHeight="1" x14ac:dyDescent="0.25">
      <c r="A29" s="74" t="s">
        <v>25</v>
      </c>
      <c r="B29" s="74"/>
      <c r="C29" s="72"/>
      <c r="D29" s="72"/>
      <c r="E29" s="72"/>
      <c r="F29" s="72"/>
      <c r="G29" s="72"/>
      <c r="H29" s="72"/>
      <c r="I29" s="1"/>
      <c r="J29" s="1"/>
      <c r="K29" s="1"/>
      <c r="L29" s="1"/>
      <c r="M29" s="1"/>
    </row>
    <row r="30" spans="1:13" ht="20.100000000000001" customHeight="1" x14ac:dyDescent="0.25">
      <c r="A30" s="74" t="s">
        <v>26</v>
      </c>
      <c r="B30" s="74"/>
      <c r="C30" s="74"/>
      <c r="D30" s="71">
        <f ca="1">TODAY()</f>
        <v>46183</v>
      </c>
      <c r="E30" s="72"/>
      <c r="F30" s="72"/>
      <c r="G30" s="72"/>
      <c r="H30" s="72"/>
      <c r="I30" s="1"/>
      <c r="J30" s="1"/>
      <c r="K30" s="1"/>
      <c r="L30" s="1"/>
      <c r="M30" s="1"/>
    </row>
    <row r="31" spans="1:13" ht="20.100000000000001" customHeight="1" x14ac:dyDescent="0.25"/>
  </sheetData>
  <mergeCells count="64">
    <mergeCell ref="D30:H30"/>
    <mergeCell ref="C28:H28"/>
    <mergeCell ref="A30:C30"/>
    <mergeCell ref="A8:A9"/>
    <mergeCell ref="B8:D9"/>
    <mergeCell ref="A28:B28"/>
    <mergeCell ref="A29:B29"/>
    <mergeCell ref="C29:H29"/>
    <mergeCell ref="B10:D11"/>
    <mergeCell ref="B12:D13"/>
    <mergeCell ref="B14:D15"/>
    <mergeCell ref="B16:D17"/>
    <mergeCell ref="B18:D19"/>
    <mergeCell ref="A20:A21"/>
    <mergeCell ref="A22:A23"/>
    <mergeCell ref="A24:A25"/>
    <mergeCell ref="B7:D7"/>
    <mergeCell ref="A6:B6"/>
    <mergeCell ref="B22:D23"/>
    <mergeCell ref="B24:D25"/>
    <mergeCell ref="L22:M23"/>
    <mergeCell ref="L24:M25"/>
    <mergeCell ref="K22:K23"/>
    <mergeCell ref="K24:K25"/>
    <mergeCell ref="B20:D21"/>
    <mergeCell ref="L18:M19"/>
    <mergeCell ref="L20:M21"/>
    <mergeCell ref="K18:K19"/>
    <mergeCell ref="K20:K21"/>
    <mergeCell ref="L10:M11"/>
    <mergeCell ref="K10:K11"/>
    <mergeCell ref="L12:M13"/>
    <mergeCell ref="L14:M15"/>
    <mergeCell ref="L16:M17"/>
    <mergeCell ref="K12:K13"/>
    <mergeCell ref="K14:K15"/>
    <mergeCell ref="K16:K17"/>
    <mergeCell ref="E7:F7"/>
    <mergeCell ref="L7:M7"/>
    <mergeCell ref="E8:F9"/>
    <mergeCell ref="K8:K9"/>
    <mergeCell ref="L8:M9"/>
    <mergeCell ref="L5:M5"/>
    <mergeCell ref="A2:M4"/>
    <mergeCell ref="A5:B5"/>
    <mergeCell ref="C5:E5"/>
    <mergeCell ref="C6:E6"/>
    <mergeCell ref="G5:I5"/>
    <mergeCell ref="J5:K5"/>
    <mergeCell ref="J6:M6"/>
    <mergeCell ref="G6:I6"/>
    <mergeCell ref="E20:F21"/>
    <mergeCell ref="E22:F23"/>
    <mergeCell ref="E24:F25"/>
    <mergeCell ref="A10:A11"/>
    <mergeCell ref="A12:A13"/>
    <mergeCell ref="A14:A15"/>
    <mergeCell ref="A16:A17"/>
    <mergeCell ref="A18:A19"/>
    <mergeCell ref="E10:F11"/>
    <mergeCell ref="E12:F13"/>
    <mergeCell ref="E14:F15"/>
    <mergeCell ref="E16:F17"/>
    <mergeCell ref="E18:F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"/>
  <sheetViews>
    <sheetView showGridLines="0" tabSelected="1" showRuler="0" showWhiteSpace="0" zoomScaleNormal="100" workbookViewId="0">
      <selection activeCell="J12" sqref="J12:J15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6.42578125" style="1" customWidth="1"/>
    <col min="9" max="9" width="13" style="1" customWidth="1"/>
    <col min="10" max="10" width="15.85546875" style="1" bestFit="1" customWidth="1"/>
    <col min="11" max="12" width="15.85546875" style="1" customWidth="1"/>
    <col min="13" max="13" width="12.42578125" style="1" customWidth="1"/>
    <col min="14" max="14" width="11.42578125" style="1"/>
    <col min="15" max="15" width="3.5703125" style="1" customWidth="1"/>
    <col min="16" max="16" width="11.42578125" style="1" hidden="1" customWidth="1"/>
    <col min="17" max="16384" width="11.42578125" style="1"/>
  </cols>
  <sheetData>
    <row r="1" spans="1:16" ht="7.5" customHeight="1" x14ac:dyDescent="0.25"/>
    <row r="2" spans="1:16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6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6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6" ht="17.100000000000001" customHeight="1" x14ac:dyDescent="0.25">
      <c r="A5" s="42" t="s">
        <v>28</v>
      </c>
      <c r="B5" s="42"/>
      <c r="C5" s="80" t="s">
        <v>16</v>
      </c>
      <c r="D5" s="81"/>
      <c r="E5" s="82" t="s">
        <v>30</v>
      </c>
      <c r="F5" s="83"/>
      <c r="G5" s="89">
        <v>1143121183</v>
      </c>
      <c r="H5" s="84"/>
      <c r="I5" s="82" t="s">
        <v>3</v>
      </c>
      <c r="J5" s="83"/>
      <c r="K5" s="28"/>
      <c r="L5" s="28"/>
      <c r="M5" s="84" t="s">
        <v>31</v>
      </c>
      <c r="N5" s="85"/>
      <c r="P5" s="4" t="s">
        <v>32</v>
      </c>
    </row>
    <row r="6" spans="1:16" ht="17.100000000000001" customHeight="1" x14ac:dyDescent="0.25">
      <c r="A6" s="42" t="s">
        <v>33</v>
      </c>
      <c r="B6" s="42"/>
      <c r="C6" s="44" t="s">
        <v>78</v>
      </c>
      <c r="D6" s="86"/>
      <c r="E6" s="82" t="s">
        <v>34</v>
      </c>
      <c r="F6" s="83"/>
      <c r="G6" s="87">
        <v>46143</v>
      </c>
      <c r="H6" s="90"/>
      <c r="I6" s="91" t="s">
        <v>79</v>
      </c>
      <c r="J6" s="92"/>
      <c r="K6" s="29"/>
      <c r="L6" s="29"/>
      <c r="M6" s="87"/>
      <c r="N6" s="81"/>
    </row>
    <row r="7" spans="1:16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11" t="s">
        <v>58</v>
      </c>
      <c r="L7" s="11" t="s">
        <v>69</v>
      </c>
      <c r="M7" s="78" t="s">
        <v>43</v>
      </c>
      <c r="N7" s="78"/>
    </row>
    <row r="8" spans="1:16" ht="48" customHeight="1" x14ac:dyDescent="0.25">
      <c r="A8" s="10">
        <v>1</v>
      </c>
      <c r="B8" s="2"/>
      <c r="C8" s="76"/>
      <c r="D8" s="76"/>
      <c r="E8" s="3">
        <v>0.33333333333333331</v>
      </c>
      <c r="F8" s="3">
        <v>0.75</v>
      </c>
      <c r="G8" s="3">
        <v>4.1666666666666664E-2</v>
      </c>
      <c r="H8" s="3">
        <f>(F8-E8)</f>
        <v>0.41666666666666669</v>
      </c>
      <c r="I8" s="3">
        <v>0.33333333333333331</v>
      </c>
      <c r="J8" s="27"/>
      <c r="K8" s="27"/>
      <c r="L8" s="27"/>
      <c r="M8" s="77" t="s">
        <v>44</v>
      </c>
      <c r="N8" s="77"/>
    </row>
    <row r="9" spans="1:16" ht="33" customHeight="1" x14ac:dyDescent="0.25">
      <c r="A9" s="10">
        <v>2</v>
      </c>
      <c r="B9" s="2"/>
      <c r="C9" s="76"/>
      <c r="D9" s="76"/>
      <c r="E9" s="3">
        <v>0.33333333333333331</v>
      </c>
      <c r="F9" s="3">
        <v>0.75</v>
      </c>
      <c r="G9" s="3">
        <v>4.1666666666666664E-2</v>
      </c>
      <c r="H9" s="3">
        <f t="shared" ref="H9:H11" si="0">(F9-E9)</f>
        <v>0.41666666666666669</v>
      </c>
      <c r="I9" s="3">
        <v>0.33333333333333331</v>
      </c>
      <c r="J9" s="27"/>
      <c r="K9" s="27"/>
      <c r="L9" s="27"/>
      <c r="M9" s="77" t="s">
        <v>44</v>
      </c>
      <c r="N9" s="77"/>
    </row>
    <row r="10" spans="1:16" ht="49.5" customHeight="1" x14ac:dyDescent="0.25">
      <c r="A10" s="10">
        <v>3</v>
      </c>
      <c r="B10" s="2"/>
      <c r="C10" s="76"/>
      <c r="D10" s="76"/>
      <c r="E10" s="3">
        <v>0.33333333333333331</v>
      </c>
      <c r="F10" s="3">
        <v>0.75</v>
      </c>
      <c r="G10" s="3">
        <v>4.1666666666666664E-2</v>
      </c>
      <c r="H10" s="3">
        <f t="shared" si="0"/>
        <v>0.41666666666666669</v>
      </c>
      <c r="I10" s="3">
        <v>0.33333333333333331</v>
      </c>
      <c r="J10" s="27"/>
      <c r="K10" s="27"/>
      <c r="L10" s="27"/>
      <c r="M10" s="77" t="s">
        <v>44</v>
      </c>
      <c r="N10" s="77"/>
    </row>
    <row r="11" spans="1:16" ht="40.5" customHeight="1" x14ac:dyDescent="0.25">
      <c r="A11" s="10">
        <v>4</v>
      </c>
      <c r="B11" s="2"/>
      <c r="C11" s="76"/>
      <c r="D11" s="76"/>
      <c r="E11" s="3">
        <v>0.33333333333333331</v>
      </c>
      <c r="F11" s="3">
        <v>0.75</v>
      </c>
      <c r="G11" s="3">
        <v>4.1666666666666664E-2</v>
      </c>
      <c r="H11" s="3">
        <f t="shared" si="0"/>
        <v>0.41666666666666669</v>
      </c>
      <c r="I11" s="3">
        <v>0.33333333333333331</v>
      </c>
      <c r="J11" s="27"/>
      <c r="K11" s="27"/>
      <c r="L11" s="27"/>
      <c r="M11" s="77" t="s">
        <v>44</v>
      </c>
      <c r="N11" s="77"/>
    </row>
    <row r="12" spans="1:16" ht="40.5" customHeight="1" x14ac:dyDescent="0.25">
      <c r="A12" s="10">
        <v>5</v>
      </c>
      <c r="B12" s="2"/>
      <c r="C12" s="76"/>
      <c r="D12" s="76"/>
      <c r="E12" s="3">
        <v>0.33333333333333331</v>
      </c>
      <c r="F12" s="3">
        <v>0.83333333333333337</v>
      </c>
      <c r="G12" s="3">
        <v>4.1666666666666664E-2</v>
      </c>
      <c r="H12" s="3">
        <f t="shared" ref="H12" si="1">(F12-E12)</f>
        <v>0.5</v>
      </c>
      <c r="I12" s="3">
        <v>0.375</v>
      </c>
      <c r="J12" s="32"/>
      <c r="K12" s="32"/>
      <c r="L12" s="9"/>
      <c r="M12" s="77" t="s">
        <v>44</v>
      </c>
      <c r="N12" s="77"/>
    </row>
    <row r="13" spans="1:16" ht="30" customHeight="1" x14ac:dyDescent="0.25">
      <c r="A13" s="10">
        <v>6</v>
      </c>
      <c r="B13" s="2"/>
      <c r="C13" s="76"/>
      <c r="D13" s="76"/>
      <c r="E13" s="3">
        <v>0.33333333333333331</v>
      </c>
      <c r="F13" s="3">
        <v>0.83333333333333337</v>
      </c>
      <c r="G13" s="3">
        <v>4.1666666666666664E-2</v>
      </c>
      <c r="H13" s="3">
        <f t="shared" ref="H13" si="2">(F13-E13)</f>
        <v>0.5</v>
      </c>
      <c r="I13" s="3">
        <v>0.375</v>
      </c>
      <c r="J13" s="32"/>
      <c r="K13" s="32"/>
      <c r="L13" s="9"/>
      <c r="M13" s="77" t="s">
        <v>44</v>
      </c>
      <c r="N13" s="77"/>
    </row>
    <row r="14" spans="1:16" ht="30.75" customHeight="1" x14ac:dyDescent="0.25">
      <c r="A14" s="10">
        <v>7</v>
      </c>
      <c r="B14" s="2"/>
      <c r="C14" s="76"/>
      <c r="D14" s="76"/>
      <c r="E14" s="3">
        <v>0.33333333333333331</v>
      </c>
      <c r="F14" s="3">
        <v>0.75</v>
      </c>
      <c r="G14" s="3">
        <v>4.1666666666666664E-2</v>
      </c>
      <c r="H14" s="3">
        <f>(F14-E14)</f>
        <v>0.41666666666666669</v>
      </c>
      <c r="I14" s="3">
        <v>0.33333333333333331</v>
      </c>
      <c r="J14" s="9"/>
      <c r="K14" s="9"/>
      <c r="L14" s="9"/>
      <c r="M14" s="77" t="s">
        <v>44</v>
      </c>
      <c r="N14" s="77"/>
    </row>
    <row r="15" spans="1:16" ht="38.25" customHeight="1" x14ac:dyDescent="0.25">
      <c r="A15" s="10">
        <v>8</v>
      </c>
      <c r="B15" s="2"/>
      <c r="C15" s="76"/>
      <c r="D15" s="76"/>
      <c r="E15" s="3">
        <v>0.33333333333333331</v>
      </c>
      <c r="F15" s="3">
        <v>0.83333333333333337</v>
      </c>
      <c r="G15" s="3">
        <v>4.1666666666666664E-2</v>
      </c>
      <c r="H15" s="3">
        <f t="shared" ref="H15" si="3">(F15-E15)</f>
        <v>0.5</v>
      </c>
      <c r="I15" s="3">
        <v>0.375</v>
      </c>
      <c r="J15" s="32"/>
      <c r="K15" s="9"/>
      <c r="L15" s="9"/>
      <c r="M15" s="77" t="s">
        <v>44</v>
      </c>
      <c r="N15" s="77"/>
    </row>
    <row r="16" spans="1:16" ht="33" customHeight="1" x14ac:dyDescent="0.25">
      <c r="A16" s="10">
        <v>9</v>
      </c>
      <c r="B16" s="2"/>
      <c r="C16" s="76"/>
      <c r="D16" s="76"/>
      <c r="E16" s="3"/>
      <c r="F16" s="3"/>
      <c r="G16" s="3"/>
      <c r="H16" s="3"/>
      <c r="I16" s="3"/>
      <c r="J16" s="9"/>
      <c r="K16" s="9"/>
      <c r="L16" s="9"/>
      <c r="M16" s="77"/>
      <c r="N16" s="77"/>
    </row>
    <row r="17" spans="1:14" ht="28.5" customHeight="1" x14ac:dyDescent="0.25">
      <c r="A17" s="10">
        <v>10</v>
      </c>
      <c r="B17" s="2"/>
      <c r="C17" s="76"/>
      <c r="D17" s="76"/>
      <c r="E17" s="3"/>
      <c r="F17" s="3"/>
      <c r="G17" s="3"/>
      <c r="H17" s="3"/>
      <c r="I17" s="3"/>
      <c r="J17" s="9"/>
      <c r="K17" s="9"/>
      <c r="L17" s="9"/>
      <c r="M17" s="77"/>
      <c r="N17" s="77"/>
    </row>
    <row r="18" spans="1:14" ht="31.5" customHeight="1" x14ac:dyDescent="0.25">
      <c r="A18" s="10">
        <v>11</v>
      </c>
      <c r="B18" s="2"/>
      <c r="C18" s="76"/>
      <c r="D18" s="76"/>
      <c r="E18" s="3"/>
      <c r="F18" s="3"/>
      <c r="G18" s="3"/>
      <c r="H18" s="3"/>
      <c r="I18" s="3"/>
      <c r="J18" s="9"/>
      <c r="K18" s="9"/>
      <c r="L18" s="9"/>
      <c r="M18" s="77"/>
      <c r="N18" s="77"/>
    </row>
    <row r="19" spans="1:14" ht="31.5" customHeight="1" x14ac:dyDescent="0.25">
      <c r="A19" s="10">
        <v>12</v>
      </c>
      <c r="B19" s="2"/>
      <c r="C19" s="76"/>
      <c r="D19" s="76"/>
      <c r="E19" s="3"/>
      <c r="F19" s="3"/>
      <c r="G19" s="3"/>
      <c r="H19" s="3"/>
      <c r="I19" s="3"/>
      <c r="J19" s="9"/>
      <c r="K19" s="9"/>
      <c r="L19" s="9"/>
      <c r="M19" s="77"/>
      <c r="N19" s="77"/>
    </row>
    <row r="20" spans="1:14" ht="30" customHeight="1" x14ac:dyDescent="0.25">
      <c r="A20" s="10">
        <v>13</v>
      </c>
      <c r="B20" s="2"/>
      <c r="C20" s="76"/>
      <c r="D20" s="76"/>
      <c r="E20" s="3"/>
      <c r="F20" s="3"/>
      <c r="G20" s="3"/>
      <c r="H20" s="3"/>
      <c r="I20" s="3"/>
      <c r="J20" s="9"/>
      <c r="K20" s="9"/>
      <c r="L20" s="9"/>
      <c r="M20" s="77"/>
      <c r="N20" s="77"/>
    </row>
    <row r="21" spans="1:14" ht="30.75" customHeight="1" x14ac:dyDescent="0.25">
      <c r="A21" s="10">
        <v>14</v>
      </c>
      <c r="B21" s="2"/>
      <c r="C21" s="76"/>
      <c r="D21" s="76"/>
      <c r="E21" s="3"/>
      <c r="F21" s="3"/>
      <c r="G21" s="3"/>
      <c r="H21" s="3"/>
      <c r="I21" s="3"/>
      <c r="J21" s="9"/>
      <c r="K21" s="9"/>
      <c r="L21" s="9"/>
      <c r="M21" s="77"/>
      <c r="N21" s="77"/>
    </row>
    <row r="22" spans="1:14" ht="15.75" x14ac:dyDescent="0.25">
      <c r="A22" s="10">
        <v>15</v>
      </c>
      <c r="B22" s="2"/>
      <c r="C22" s="76"/>
      <c r="D22" s="76"/>
      <c r="E22" s="3"/>
      <c r="F22" s="3"/>
      <c r="G22" s="3"/>
      <c r="H22" s="3"/>
      <c r="I22" s="3"/>
      <c r="J22" s="9"/>
      <c r="K22" s="9"/>
      <c r="L22" s="9"/>
      <c r="M22" s="77"/>
      <c r="N22" s="77"/>
    </row>
    <row r="23" spans="1:14" ht="15.75" x14ac:dyDescent="0.25">
      <c r="A23" s="10">
        <v>16</v>
      </c>
      <c r="B23" s="2"/>
      <c r="C23" s="76"/>
      <c r="D23" s="76"/>
      <c r="E23" s="3"/>
      <c r="F23" s="3"/>
      <c r="G23" s="3"/>
      <c r="H23" s="3"/>
      <c r="I23" s="3"/>
      <c r="J23" s="9"/>
      <c r="K23" s="9"/>
      <c r="L23" s="9"/>
      <c r="M23" s="77"/>
      <c r="N23" s="77"/>
    </row>
    <row r="24" spans="1:14" ht="15.75" x14ac:dyDescent="0.25">
      <c r="A24" s="10">
        <v>17</v>
      </c>
      <c r="B24" s="2"/>
      <c r="C24" s="76"/>
      <c r="D24" s="76"/>
      <c r="E24" s="3"/>
      <c r="F24" s="3"/>
      <c r="G24" s="3"/>
      <c r="H24" s="3"/>
      <c r="I24" s="3"/>
      <c r="J24" s="9"/>
      <c r="K24" s="9"/>
      <c r="L24" s="9"/>
      <c r="M24" s="77"/>
      <c r="N24" s="77"/>
    </row>
    <row r="25" spans="1:14" ht="15.75" x14ac:dyDescent="0.25">
      <c r="A25" s="10">
        <v>18</v>
      </c>
      <c r="B25" s="2"/>
      <c r="C25" s="76"/>
      <c r="D25" s="76"/>
      <c r="E25" s="3"/>
      <c r="F25" s="3"/>
      <c r="G25" s="3"/>
      <c r="H25" s="3"/>
      <c r="I25" s="3"/>
      <c r="J25" s="5"/>
      <c r="K25" s="5"/>
      <c r="L25" s="5"/>
      <c r="M25" s="77"/>
      <c r="N25" s="77"/>
    </row>
    <row r="27" spans="1:14" x14ac:dyDescent="0.25">
      <c r="H27" s="88" t="s">
        <v>67</v>
      </c>
      <c r="I27" s="88"/>
      <c r="J27" s="7">
        <f>SUM(K8:K25)</f>
        <v>0</v>
      </c>
      <c r="K27" s="30"/>
      <c r="L27" s="30"/>
    </row>
    <row r="28" spans="1:14" x14ac:dyDescent="0.25">
      <c r="H28" s="88" t="s">
        <v>68</v>
      </c>
      <c r="I28" s="88"/>
      <c r="J28" s="7">
        <f>SUM(L8:L25)</f>
        <v>0</v>
      </c>
      <c r="K28" s="30"/>
      <c r="L28" s="30"/>
    </row>
    <row r="29" spans="1:14" ht="20.100000000000001" customHeight="1" x14ac:dyDescent="0.25">
      <c r="A29" s="74" t="s">
        <v>24</v>
      </c>
      <c r="B29" s="74"/>
      <c r="C29" s="73" t="s">
        <v>16</v>
      </c>
      <c r="D29" s="73"/>
      <c r="E29" s="73"/>
    </row>
    <row r="30" spans="1:14" ht="20.100000000000001" customHeight="1" x14ac:dyDescent="0.25">
      <c r="A30" s="74" t="s">
        <v>25</v>
      </c>
      <c r="B30" s="74"/>
      <c r="C30" s="72"/>
      <c r="D30" s="72"/>
      <c r="E30" s="72"/>
    </row>
    <row r="31" spans="1:14" ht="20.100000000000001" customHeight="1" x14ac:dyDescent="0.25">
      <c r="A31" s="74" t="s">
        <v>26</v>
      </c>
      <c r="B31" s="74"/>
      <c r="C31" s="74"/>
      <c r="D31" s="71">
        <f ca="1">TODAY()</f>
        <v>46183</v>
      </c>
      <c r="E31" s="72"/>
    </row>
  </sheetData>
  <mergeCells count="59">
    <mergeCell ref="M22:N22"/>
    <mergeCell ref="C23:D23"/>
    <mergeCell ref="M23:N23"/>
    <mergeCell ref="C24:D24"/>
    <mergeCell ref="M24:N24"/>
    <mergeCell ref="C25:D25"/>
    <mergeCell ref="M25:N25"/>
    <mergeCell ref="C10:D10"/>
    <mergeCell ref="C16:D16"/>
    <mergeCell ref="M16:N16"/>
    <mergeCell ref="C17:D17"/>
    <mergeCell ref="M17:N17"/>
    <mergeCell ref="C18:D18"/>
    <mergeCell ref="M18:N18"/>
    <mergeCell ref="C19:D19"/>
    <mergeCell ref="M19:N19"/>
    <mergeCell ref="C20:D20"/>
    <mergeCell ref="M20:N20"/>
    <mergeCell ref="C21:D21"/>
    <mergeCell ref="M21:N21"/>
    <mergeCell ref="C22:D22"/>
    <mergeCell ref="A5:B5"/>
    <mergeCell ref="A6:B6"/>
    <mergeCell ref="G5:H5"/>
    <mergeCell ref="G6:H6"/>
    <mergeCell ref="I5:J5"/>
    <mergeCell ref="I6:J6"/>
    <mergeCell ref="A31:C31"/>
    <mergeCell ref="D31:E31"/>
    <mergeCell ref="H27:I27"/>
    <mergeCell ref="A29:B29"/>
    <mergeCell ref="C29:E29"/>
    <mergeCell ref="A30:B30"/>
    <mergeCell ref="C30:E30"/>
    <mergeCell ref="H28:I28"/>
    <mergeCell ref="C12:D12"/>
    <mergeCell ref="C5:D5"/>
    <mergeCell ref="E5:F5"/>
    <mergeCell ref="M5:N5"/>
    <mergeCell ref="E6:F6"/>
    <mergeCell ref="C6:D6"/>
    <mergeCell ref="M6:N6"/>
    <mergeCell ref="C9:D9"/>
    <mergeCell ref="A2:N4"/>
    <mergeCell ref="C14:D14"/>
    <mergeCell ref="M14:N14"/>
    <mergeCell ref="C15:D15"/>
    <mergeCell ref="M15:N15"/>
    <mergeCell ref="C13:D13"/>
    <mergeCell ref="M7:N7"/>
    <mergeCell ref="M8:N8"/>
    <mergeCell ref="M9:N9"/>
    <mergeCell ref="M10:N10"/>
    <mergeCell ref="M11:N11"/>
    <mergeCell ref="M12:N12"/>
    <mergeCell ref="M13:N13"/>
    <mergeCell ref="C7:D7"/>
    <mergeCell ref="C8:D8"/>
    <mergeCell ref="C11:D11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showGridLines="0" showRuler="0" showWhiteSpace="0" zoomScaleNormal="100" workbookViewId="0">
      <selection activeCell="S16" sqref="S16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4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4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4" ht="17.100000000000001" customHeight="1" x14ac:dyDescent="0.25">
      <c r="A5" s="42" t="s">
        <v>28</v>
      </c>
      <c r="B5" s="42"/>
      <c r="C5" s="80" t="s">
        <v>46</v>
      </c>
      <c r="D5" s="81"/>
      <c r="E5" s="82" t="s">
        <v>30</v>
      </c>
      <c r="F5" s="83"/>
      <c r="G5" s="89">
        <v>1085227379</v>
      </c>
      <c r="H5" s="84"/>
      <c r="I5" s="82" t="s">
        <v>3</v>
      </c>
      <c r="J5" s="83"/>
      <c r="K5" s="84" t="s">
        <v>47</v>
      </c>
      <c r="L5" s="85"/>
      <c r="N5" s="4" t="s">
        <v>32</v>
      </c>
    </row>
    <row r="6" spans="1:14" ht="17.100000000000001" customHeight="1" x14ac:dyDescent="0.25">
      <c r="A6" s="42" t="s">
        <v>33</v>
      </c>
      <c r="B6" s="42"/>
      <c r="C6" s="44" t="s">
        <v>48</v>
      </c>
      <c r="D6" s="86"/>
      <c r="E6" s="82" t="s">
        <v>34</v>
      </c>
      <c r="F6" s="83"/>
      <c r="G6" s="87">
        <v>45717</v>
      </c>
      <c r="H6" s="90"/>
      <c r="I6" s="91" t="s">
        <v>35</v>
      </c>
      <c r="J6" s="92"/>
      <c r="K6" s="87">
        <v>45731</v>
      </c>
      <c r="L6" s="81"/>
    </row>
    <row r="7" spans="1:14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78" t="s">
        <v>43</v>
      </c>
      <c r="L7" s="78"/>
    </row>
    <row r="8" spans="1:14" ht="60.75" customHeight="1" x14ac:dyDescent="0.25">
      <c r="A8" s="10">
        <v>2</v>
      </c>
      <c r="B8" s="2"/>
      <c r="C8" s="76"/>
      <c r="D8" s="76"/>
      <c r="E8" s="3"/>
      <c r="F8" s="3"/>
      <c r="G8" s="3"/>
      <c r="H8" s="3"/>
      <c r="I8" s="3"/>
      <c r="J8" s="6"/>
      <c r="K8" s="77"/>
      <c r="L8" s="77"/>
    </row>
    <row r="9" spans="1:14" ht="66" customHeight="1" x14ac:dyDescent="0.25">
      <c r="A9" s="10">
        <v>3</v>
      </c>
      <c r="B9" s="2"/>
      <c r="C9" s="76"/>
      <c r="D9" s="76"/>
      <c r="E9" s="3"/>
      <c r="F9" s="3"/>
      <c r="G9" s="3"/>
      <c r="H9" s="3"/>
      <c r="I9" s="3"/>
      <c r="J9" s="6"/>
      <c r="K9" s="77"/>
      <c r="L9" s="77"/>
    </row>
    <row r="10" spans="1:14" ht="15.95" customHeight="1" x14ac:dyDescent="0.25">
      <c r="A10" s="10">
        <v>4</v>
      </c>
      <c r="B10" s="2"/>
      <c r="C10" s="77"/>
      <c r="D10" s="77"/>
      <c r="E10" s="3"/>
      <c r="F10" s="3"/>
      <c r="G10" s="3"/>
      <c r="H10" s="3"/>
      <c r="I10" s="3"/>
      <c r="J10" s="6"/>
      <c r="K10" s="77"/>
      <c r="L10" s="77"/>
    </row>
    <row r="11" spans="1:14" ht="15.95" customHeight="1" x14ac:dyDescent="0.25">
      <c r="A11" s="10">
        <v>5</v>
      </c>
      <c r="B11" s="2"/>
      <c r="C11" s="77"/>
      <c r="D11" s="77"/>
      <c r="E11" s="3"/>
      <c r="F11" s="3"/>
      <c r="G11" s="3"/>
      <c r="H11" s="3"/>
      <c r="I11" s="3"/>
      <c r="J11" s="6"/>
      <c r="K11" s="77"/>
      <c r="L11" s="77"/>
    </row>
    <row r="12" spans="1:14" ht="15.95" customHeight="1" x14ac:dyDescent="0.25">
      <c r="A12" s="10">
        <v>6</v>
      </c>
      <c r="B12" s="2"/>
      <c r="C12" s="77"/>
      <c r="D12" s="77"/>
      <c r="E12" s="3"/>
      <c r="F12" s="3"/>
      <c r="G12" s="3"/>
      <c r="H12" s="3"/>
      <c r="I12" s="3"/>
      <c r="J12" s="6"/>
      <c r="K12" s="77"/>
      <c r="L12" s="77"/>
    </row>
    <row r="13" spans="1:14" ht="15.75" x14ac:dyDescent="0.25">
      <c r="A13" s="10">
        <v>7</v>
      </c>
      <c r="B13" s="2"/>
      <c r="C13" s="77"/>
      <c r="D13" s="77"/>
      <c r="E13" s="3"/>
      <c r="F13" s="3"/>
      <c r="G13" s="3"/>
      <c r="H13" s="3"/>
      <c r="I13" s="3"/>
      <c r="J13" s="6"/>
      <c r="K13" s="77"/>
      <c r="L13" s="77"/>
    </row>
    <row r="14" spans="1:14" ht="15.75" x14ac:dyDescent="0.25">
      <c r="A14" s="10">
        <v>8</v>
      </c>
      <c r="B14" s="2"/>
      <c r="C14" s="77"/>
      <c r="D14" s="77"/>
      <c r="E14" s="3"/>
      <c r="F14" s="3"/>
      <c r="G14" s="3"/>
      <c r="H14" s="3"/>
      <c r="I14" s="3"/>
      <c r="J14" s="6"/>
      <c r="K14" s="77"/>
      <c r="L14" s="77"/>
    </row>
    <row r="15" spans="1:14" ht="15.75" x14ac:dyDescent="0.25">
      <c r="A15" s="10">
        <v>9</v>
      </c>
      <c r="B15" s="2"/>
      <c r="C15" s="77"/>
      <c r="D15" s="77"/>
      <c r="E15" s="3"/>
      <c r="F15" s="3"/>
      <c r="G15" s="3"/>
      <c r="H15" s="3"/>
      <c r="I15" s="3"/>
      <c r="J15" s="6"/>
      <c r="K15" s="77"/>
      <c r="L15" s="77"/>
    </row>
    <row r="17" spans="1:18" x14ac:dyDescent="0.25">
      <c r="H17" s="88" t="s">
        <v>45</v>
      </c>
      <c r="I17" s="88"/>
      <c r="J17" s="8">
        <f>SUM(J8:J15)</f>
        <v>0</v>
      </c>
      <c r="R17" s="1">
        <f>97*2</f>
        <v>194</v>
      </c>
    </row>
    <row r="19" spans="1:18" ht="20.100000000000001" customHeight="1" x14ac:dyDescent="0.25">
      <c r="A19" s="74" t="s">
        <v>24</v>
      </c>
      <c r="B19" s="74"/>
      <c r="C19" s="73" t="s">
        <v>2</v>
      </c>
      <c r="D19" s="73"/>
      <c r="E19" s="73"/>
    </row>
    <row r="20" spans="1:18" ht="20.100000000000001" customHeight="1" x14ac:dyDescent="0.25">
      <c r="A20" s="74" t="s">
        <v>25</v>
      </c>
      <c r="B20" s="74"/>
      <c r="C20" s="72"/>
      <c r="D20" s="72"/>
      <c r="E20" s="72"/>
    </row>
    <row r="21" spans="1:18" ht="20.100000000000001" customHeight="1" x14ac:dyDescent="0.25">
      <c r="A21" s="74" t="s">
        <v>26</v>
      </c>
      <c r="B21" s="74"/>
      <c r="C21" s="74"/>
      <c r="D21" s="71">
        <v>45734</v>
      </c>
      <c r="E21" s="72"/>
    </row>
  </sheetData>
  <mergeCells count="38">
    <mergeCell ref="A2:L4"/>
    <mergeCell ref="A5:B5"/>
    <mergeCell ref="C5:D5"/>
    <mergeCell ref="E5:F5"/>
    <mergeCell ref="G5:H5"/>
    <mergeCell ref="I5:J5"/>
    <mergeCell ref="K5:L5"/>
    <mergeCell ref="C7:D7"/>
    <mergeCell ref="K7:L7"/>
    <mergeCell ref="C8:D8"/>
    <mergeCell ref="K8:L8"/>
    <mergeCell ref="A6:B6"/>
    <mergeCell ref="C6:D6"/>
    <mergeCell ref="E6:F6"/>
    <mergeCell ref="G6:H6"/>
    <mergeCell ref="I6:J6"/>
    <mergeCell ref="K6:L6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A21:C21"/>
    <mergeCell ref="D21:E21"/>
    <mergeCell ref="C15:D15"/>
    <mergeCell ref="K15:L15"/>
    <mergeCell ref="H17:I17"/>
    <mergeCell ref="A19:B19"/>
    <mergeCell ref="C19:E19"/>
    <mergeCell ref="A20:B20"/>
    <mergeCell ref="C20:E20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"/>
  <sheetViews>
    <sheetView showGridLines="0" showRuler="0" showWhiteSpace="0" topLeftCell="A17" zoomScaleNormal="100" workbookViewId="0">
      <selection activeCell="C29" sqref="C29:E29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3" style="1" customWidth="1"/>
    <col min="13" max="13" width="20.85546875" style="1" customWidth="1"/>
    <col min="14" max="14" width="17.28515625" style="1" customWidth="1"/>
    <col min="15" max="15" width="11.42578125" style="1"/>
    <col min="16" max="16" width="17.85546875" style="1" customWidth="1"/>
    <col min="17" max="16384" width="11.42578125" style="1"/>
  </cols>
  <sheetData>
    <row r="1" spans="1:16" ht="7.5" customHeight="1" x14ac:dyDescent="0.25"/>
    <row r="2" spans="1:16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6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6" ht="15" customHeight="1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6" ht="17.100000000000001" customHeight="1" x14ac:dyDescent="0.25">
      <c r="A5" s="42" t="s">
        <v>28</v>
      </c>
      <c r="B5" s="42"/>
      <c r="C5" s="80" t="s">
        <v>29</v>
      </c>
      <c r="D5" s="81"/>
      <c r="E5" s="82" t="s">
        <v>30</v>
      </c>
      <c r="F5" s="83"/>
      <c r="G5" s="89">
        <v>1002035293</v>
      </c>
      <c r="H5" s="84"/>
      <c r="I5" s="82" t="s">
        <v>73</v>
      </c>
      <c r="J5" s="83"/>
      <c r="K5" s="28"/>
      <c r="L5" s="28"/>
      <c r="M5" s="84" t="s">
        <v>31</v>
      </c>
      <c r="N5" s="85"/>
      <c r="P5" s="31"/>
    </row>
    <row r="6" spans="1:16" ht="17.100000000000001" customHeight="1" x14ac:dyDescent="0.25">
      <c r="A6" s="42" t="s">
        <v>33</v>
      </c>
      <c r="B6" s="42"/>
      <c r="C6" s="44" t="s">
        <v>57</v>
      </c>
      <c r="D6" s="86"/>
      <c r="E6" s="82" t="s">
        <v>34</v>
      </c>
      <c r="F6" s="83"/>
      <c r="G6" s="87">
        <v>45946</v>
      </c>
      <c r="H6" s="90"/>
      <c r="I6" s="93">
        <v>45976</v>
      </c>
      <c r="J6" s="92"/>
      <c r="K6" s="29"/>
      <c r="L6" s="29"/>
      <c r="M6" s="87"/>
      <c r="N6" s="81"/>
    </row>
    <row r="7" spans="1:16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11" t="s">
        <v>58</v>
      </c>
      <c r="L7" s="11" t="s">
        <v>69</v>
      </c>
      <c r="M7" s="78" t="s">
        <v>43</v>
      </c>
      <c r="N7" s="78"/>
    </row>
    <row r="8" spans="1:16" ht="40.5" customHeight="1" x14ac:dyDescent="0.25">
      <c r="A8" s="10">
        <v>1</v>
      </c>
      <c r="B8" s="2">
        <v>45969</v>
      </c>
      <c r="C8" s="76" t="s">
        <v>74</v>
      </c>
      <c r="D8" s="76"/>
      <c r="E8" s="3">
        <v>0.33333333333333331</v>
      </c>
      <c r="F8" s="3">
        <v>0.5</v>
      </c>
      <c r="G8" s="3">
        <v>0</v>
      </c>
      <c r="H8" s="3">
        <f>(F8-E8)</f>
        <v>0.16666666666666669</v>
      </c>
      <c r="I8" s="3">
        <v>0.16666666666666666</v>
      </c>
      <c r="J8" s="27">
        <v>4</v>
      </c>
      <c r="K8" s="27">
        <v>4</v>
      </c>
      <c r="L8" s="27"/>
      <c r="M8" s="77" t="s">
        <v>44</v>
      </c>
      <c r="N8" s="77"/>
    </row>
    <row r="9" spans="1:16" ht="66" customHeight="1" x14ac:dyDescent="0.25">
      <c r="A9" s="10">
        <v>2</v>
      </c>
      <c r="B9" s="2">
        <v>45975</v>
      </c>
      <c r="C9" s="76" t="s">
        <v>71</v>
      </c>
      <c r="D9" s="76"/>
      <c r="E9" s="3">
        <v>0.70833333333333337</v>
      </c>
      <c r="F9" s="3">
        <v>0.79166666666666663</v>
      </c>
      <c r="G9" s="3">
        <v>0</v>
      </c>
      <c r="H9" s="3">
        <f t="shared" ref="H9" si="0">(F9-E9)</f>
        <v>8.3333333333333259E-2</v>
      </c>
      <c r="I9" s="3">
        <v>0.33333333333333331</v>
      </c>
      <c r="J9" s="27">
        <v>2</v>
      </c>
      <c r="K9" s="27">
        <v>2</v>
      </c>
      <c r="L9" s="27"/>
      <c r="M9" s="77" t="s">
        <v>44</v>
      </c>
      <c r="N9" s="77"/>
    </row>
    <row r="10" spans="1:16" ht="15.95" customHeight="1" x14ac:dyDescent="0.25">
      <c r="A10" s="10">
        <v>3</v>
      </c>
      <c r="B10" s="2"/>
      <c r="C10" s="76"/>
      <c r="D10" s="76"/>
      <c r="E10" s="3"/>
      <c r="F10" s="3"/>
      <c r="G10" s="3"/>
      <c r="H10" s="3"/>
      <c r="I10" s="3"/>
      <c r="J10" s="27"/>
      <c r="K10" s="27"/>
      <c r="L10" s="27"/>
      <c r="M10" s="77"/>
      <c r="N10" s="77"/>
    </row>
    <row r="11" spans="1:16" ht="33" customHeight="1" x14ac:dyDescent="0.25">
      <c r="A11" s="10">
        <v>4</v>
      </c>
      <c r="B11" s="2"/>
      <c r="C11" s="76"/>
      <c r="D11" s="76"/>
      <c r="E11" s="3"/>
      <c r="F11" s="3"/>
      <c r="G11" s="3"/>
      <c r="H11" s="3"/>
      <c r="I11" s="3"/>
      <c r="J11" s="9"/>
      <c r="K11" s="9"/>
      <c r="L11" s="9"/>
      <c r="M11" s="77"/>
      <c r="N11" s="77"/>
    </row>
    <row r="12" spans="1:16" ht="15.75" x14ac:dyDescent="0.25">
      <c r="A12" s="10">
        <v>5</v>
      </c>
      <c r="B12" s="2"/>
      <c r="C12" s="76"/>
      <c r="D12" s="76"/>
      <c r="E12" s="3"/>
      <c r="F12" s="3"/>
      <c r="G12" s="3"/>
      <c r="H12" s="3"/>
      <c r="I12" s="3"/>
      <c r="J12" s="9"/>
      <c r="K12" s="9"/>
      <c r="L12" s="9"/>
      <c r="M12" s="77"/>
      <c r="N12" s="77"/>
    </row>
    <row r="13" spans="1:16" ht="15.75" x14ac:dyDescent="0.25">
      <c r="A13" s="10">
        <v>6</v>
      </c>
      <c r="B13" s="2"/>
      <c r="C13" s="76"/>
      <c r="D13" s="76"/>
      <c r="E13" s="3"/>
      <c r="F13" s="3"/>
      <c r="G13" s="3"/>
      <c r="H13" s="3"/>
      <c r="I13" s="3"/>
      <c r="J13" s="9"/>
      <c r="K13" s="9"/>
      <c r="L13" s="9"/>
      <c r="M13" s="77"/>
      <c r="N13" s="77"/>
    </row>
    <row r="14" spans="1:16" ht="15.75" x14ac:dyDescent="0.25">
      <c r="A14" s="10">
        <v>7</v>
      </c>
      <c r="B14" s="2"/>
      <c r="C14" s="76"/>
      <c r="D14" s="76"/>
      <c r="E14" s="3"/>
      <c r="F14" s="3"/>
      <c r="G14" s="3"/>
      <c r="H14" s="3"/>
      <c r="I14" s="3"/>
      <c r="J14" s="9"/>
      <c r="K14" s="9"/>
      <c r="L14" s="9"/>
      <c r="M14" s="77"/>
      <c r="N14" s="77"/>
    </row>
    <row r="15" spans="1:16" ht="20.100000000000001" customHeight="1" x14ac:dyDescent="0.25">
      <c r="A15" s="10">
        <v>8</v>
      </c>
      <c r="B15" s="2"/>
      <c r="C15" s="76"/>
      <c r="D15" s="76"/>
      <c r="E15" s="3"/>
      <c r="F15" s="3"/>
      <c r="G15" s="3"/>
      <c r="H15" s="3"/>
      <c r="I15" s="3"/>
      <c r="J15" s="9"/>
      <c r="K15" s="9"/>
      <c r="L15" s="9"/>
      <c r="M15" s="77"/>
      <c r="N15" s="77"/>
    </row>
    <row r="16" spans="1:16" ht="20.100000000000001" customHeight="1" x14ac:dyDescent="0.25">
      <c r="A16" s="10">
        <v>9</v>
      </c>
      <c r="B16" s="2"/>
      <c r="C16" s="76"/>
      <c r="D16" s="76"/>
      <c r="E16" s="3"/>
      <c r="F16" s="3"/>
      <c r="G16" s="3"/>
      <c r="H16" s="3"/>
      <c r="I16" s="3"/>
      <c r="J16" s="9"/>
      <c r="K16" s="9"/>
      <c r="L16" s="9"/>
      <c r="M16" s="77"/>
      <c r="N16" s="77"/>
    </row>
    <row r="17" spans="1:14" ht="20.100000000000001" customHeight="1" x14ac:dyDescent="0.25">
      <c r="A17" s="10">
        <v>10</v>
      </c>
      <c r="B17" s="2"/>
      <c r="C17" s="76"/>
      <c r="D17" s="76"/>
      <c r="E17" s="3"/>
      <c r="F17" s="3"/>
      <c r="G17" s="3"/>
      <c r="H17" s="3"/>
      <c r="I17" s="3"/>
      <c r="J17" s="9"/>
      <c r="K17" s="9"/>
      <c r="L17" s="9"/>
      <c r="M17" s="77"/>
      <c r="N17" s="77"/>
    </row>
    <row r="18" spans="1:14" ht="15.75" x14ac:dyDescent="0.25">
      <c r="A18" s="10">
        <v>11</v>
      </c>
      <c r="B18" s="2"/>
      <c r="C18" s="76"/>
      <c r="D18" s="76"/>
      <c r="E18" s="3"/>
      <c r="F18" s="3"/>
      <c r="G18" s="3"/>
      <c r="H18" s="3"/>
      <c r="I18" s="3"/>
      <c r="J18" s="9"/>
      <c r="K18" s="9"/>
      <c r="L18" s="9"/>
      <c r="M18" s="77"/>
      <c r="N18" s="77"/>
    </row>
    <row r="19" spans="1:14" ht="15.75" x14ac:dyDescent="0.25">
      <c r="A19" s="10">
        <v>12</v>
      </c>
      <c r="B19" s="2"/>
      <c r="C19" s="76"/>
      <c r="D19" s="76"/>
      <c r="E19" s="3"/>
      <c r="F19" s="3"/>
      <c r="G19" s="3"/>
      <c r="H19" s="3"/>
      <c r="I19" s="3"/>
      <c r="J19" s="9"/>
      <c r="K19" s="9"/>
      <c r="L19" s="9"/>
      <c r="M19" s="77"/>
      <c r="N19" s="77"/>
    </row>
    <row r="20" spans="1:14" ht="15.75" x14ac:dyDescent="0.25">
      <c r="A20" s="10">
        <v>13</v>
      </c>
      <c r="B20" s="2"/>
      <c r="C20" s="76"/>
      <c r="D20" s="76"/>
      <c r="E20" s="3"/>
      <c r="F20" s="3"/>
      <c r="G20" s="3"/>
      <c r="H20" s="3"/>
      <c r="I20" s="3"/>
      <c r="J20" s="9"/>
      <c r="K20" s="9"/>
      <c r="L20" s="9"/>
      <c r="M20" s="77"/>
      <c r="N20" s="77"/>
    </row>
    <row r="21" spans="1:14" ht="15.75" x14ac:dyDescent="0.25">
      <c r="A21" s="10">
        <v>14</v>
      </c>
      <c r="B21" s="2"/>
      <c r="C21" s="76"/>
      <c r="D21" s="76"/>
      <c r="E21" s="3"/>
      <c r="F21" s="3"/>
      <c r="G21" s="3"/>
      <c r="H21" s="3"/>
      <c r="I21" s="3"/>
      <c r="J21" s="9"/>
      <c r="K21" s="9"/>
      <c r="L21" s="9"/>
      <c r="M21" s="77"/>
      <c r="N21" s="77"/>
    </row>
    <row r="22" spans="1:14" ht="15.75" x14ac:dyDescent="0.25">
      <c r="A22" s="10">
        <v>15</v>
      </c>
      <c r="B22" s="2"/>
      <c r="C22" s="76"/>
      <c r="D22" s="76"/>
      <c r="E22" s="3"/>
      <c r="F22" s="3"/>
      <c r="G22" s="3"/>
      <c r="H22" s="3"/>
      <c r="I22" s="3"/>
      <c r="J22" s="9"/>
      <c r="K22" s="9"/>
      <c r="L22" s="9"/>
      <c r="M22" s="77"/>
      <c r="N22" s="77"/>
    </row>
    <row r="23" spans="1:14" ht="15.75" x14ac:dyDescent="0.25">
      <c r="A23" s="10">
        <v>16</v>
      </c>
      <c r="B23" s="2"/>
      <c r="C23" s="76"/>
      <c r="D23" s="76"/>
      <c r="E23" s="3"/>
      <c r="F23" s="3"/>
      <c r="G23" s="3"/>
      <c r="H23" s="3"/>
      <c r="I23" s="3"/>
      <c r="J23" s="9"/>
      <c r="K23" s="9"/>
      <c r="L23" s="9"/>
      <c r="M23" s="77"/>
      <c r="N23" s="77"/>
    </row>
    <row r="24" spans="1:14" ht="15.75" x14ac:dyDescent="0.25">
      <c r="A24" s="10">
        <v>17</v>
      </c>
      <c r="B24" s="2"/>
      <c r="C24" s="76"/>
      <c r="D24" s="76"/>
      <c r="E24" s="3"/>
      <c r="F24" s="3"/>
      <c r="G24" s="3"/>
      <c r="H24" s="3"/>
      <c r="I24" s="3"/>
      <c r="J24" s="9"/>
      <c r="K24" s="9"/>
      <c r="L24" s="9"/>
      <c r="M24" s="77"/>
      <c r="N24" s="77"/>
    </row>
    <row r="25" spans="1:14" ht="15.75" x14ac:dyDescent="0.25">
      <c r="A25" s="10">
        <v>18</v>
      </c>
      <c r="B25" s="2"/>
      <c r="C25" s="76"/>
      <c r="D25" s="76"/>
      <c r="E25" s="3"/>
      <c r="F25" s="3"/>
      <c r="G25" s="3"/>
      <c r="H25" s="3"/>
      <c r="I25" s="3"/>
      <c r="J25" s="5"/>
      <c r="K25" s="5"/>
      <c r="L25" s="5"/>
      <c r="M25" s="77"/>
      <c r="N25" s="77"/>
    </row>
    <row r="27" spans="1:14" x14ac:dyDescent="0.25">
      <c r="H27" s="88" t="s">
        <v>67</v>
      </c>
      <c r="I27" s="88"/>
      <c r="J27" s="7">
        <f>SUM(K8:K25)</f>
        <v>6</v>
      </c>
      <c r="K27" s="30"/>
      <c r="L27" s="30"/>
    </row>
    <row r="28" spans="1:14" x14ac:dyDescent="0.25">
      <c r="H28" s="88" t="s">
        <v>68</v>
      </c>
      <c r="I28" s="88"/>
      <c r="J28" s="7">
        <f>SUM(L8:L25)</f>
        <v>0</v>
      </c>
      <c r="K28" s="30"/>
      <c r="L28" s="30"/>
    </row>
    <row r="29" spans="1:14" x14ac:dyDescent="0.25">
      <c r="A29" s="74" t="s">
        <v>24</v>
      </c>
      <c r="B29" s="74"/>
      <c r="C29" s="73" t="s">
        <v>19</v>
      </c>
      <c r="D29" s="73"/>
      <c r="E29" s="73"/>
    </row>
    <row r="30" spans="1:14" x14ac:dyDescent="0.25">
      <c r="A30" s="74" t="s">
        <v>25</v>
      </c>
      <c r="B30" s="74"/>
      <c r="C30" s="72"/>
      <c r="D30" s="72"/>
      <c r="E30" s="72"/>
    </row>
    <row r="31" spans="1:14" x14ac:dyDescent="0.25">
      <c r="A31" s="74" t="s">
        <v>26</v>
      </c>
      <c r="B31" s="74"/>
      <c r="C31" s="74"/>
      <c r="D31" s="71">
        <f ca="1">TODAY()</f>
        <v>46183</v>
      </c>
      <c r="E31" s="72"/>
    </row>
  </sheetData>
  <mergeCells count="59">
    <mergeCell ref="H27:I27"/>
    <mergeCell ref="A31:C31"/>
    <mergeCell ref="D31:E31"/>
    <mergeCell ref="H28:I28"/>
    <mergeCell ref="A29:B29"/>
    <mergeCell ref="C29:E29"/>
    <mergeCell ref="A30:B30"/>
    <mergeCell ref="C30:E30"/>
    <mergeCell ref="C23:D23"/>
    <mergeCell ref="M23:N23"/>
    <mergeCell ref="C24:D24"/>
    <mergeCell ref="M24:N24"/>
    <mergeCell ref="C25:D25"/>
    <mergeCell ref="M25:N25"/>
    <mergeCell ref="C20:D20"/>
    <mergeCell ref="M20:N20"/>
    <mergeCell ref="C21:D21"/>
    <mergeCell ref="M21:N21"/>
    <mergeCell ref="C22:D22"/>
    <mergeCell ref="M22:N22"/>
    <mergeCell ref="C17:D17"/>
    <mergeCell ref="M17:N17"/>
    <mergeCell ref="C18:D18"/>
    <mergeCell ref="M18:N18"/>
    <mergeCell ref="C19:D19"/>
    <mergeCell ref="M19:N19"/>
    <mergeCell ref="M13:N13"/>
    <mergeCell ref="C14:D14"/>
    <mergeCell ref="M14:N14"/>
    <mergeCell ref="M15:N15"/>
    <mergeCell ref="C16:D16"/>
    <mergeCell ref="M16:N16"/>
    <mergeCell ref="M8:N8"/>
    <mergeCell ref="M9:N9"/>
    <mergeCell ref="M10:N10"/>
    <mergeCell ref="M11:N11"/>
    <mergeCell ref="M12:N12"/>
    <mergeCell ref="A2:N4"/>
    <mergeCell ref="M5:N5"/>
    <mergeCell ref="M6:N6"/>
    <mergeCell ref="C7:D7"/>
    <mergeCell ref="C8:D8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M7:N7"/>
    <mergeCell ref="C9:D9"/>
    <mergeCell ref="C10:D10"/>
    <mergeCell ref="C11:D11"/>
    <mergeCell ref="C12:D12"/>
    <mergeCell ref="C15:D15"/>
    <mergeCell ref="C13:D13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"/>
  <sheetViews>
    <sheetView showGridLines="0" showRuler="0" showWhiteSpace="0" zoomScaleNormal="100" workbookViewId="0">
      <selection activeCell="J9" sqref="J9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8" ht="7.5" customHeight="1" x14ac:dyDescent="0.25"/>
    <row r="2" spans="1:18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8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8" ht="17.100000000000001" customHeight="1" x14ac:dyDescent="0.25">
      <c r="A5" s="42" t="s">
        <v>28</v>
      </c>
      <c r="B5" s="42"/>
      <c r="C5" s="80" t="s">
        <v>49</v>
      </c>
      <c r="D5" s="81"/>
      <c r="E5" s="82" t="s">
        <v>30</v>
      </c>
      <c r="F5" s="83"/>
      <c r="G5" s="89">
        <v>1042451951</v>
      </c>
      <c r="H5" s="84"/>
      <c r="I5" s="82" t="s">
        <v>3</v>
      </c>
      <c r="J5" s="83"/>
      <c r="K5" s="84" t="s">
        <v>31</v>
      </c>
      <c r="L5" s="85"/>
      <c r="N5" s="4" t="s">
        <v>32</v>
      </c>
    </row>
    <row r="6" spans="1:18" ht="17.100000000000001" customHeight="1" x14ac:dyDescent="0.25">
      <c r="A6" s="42" t="s">
        <v>33</v>
      </c>
      <c r="B6" s="42"/>
      <c r="C6" s="44" t="s">
        <v>48</v>
      </c>
      <c r="D6" s="86"/>
      <c r="E6" s="82" t="s">
        <v>34</v>
      </c>
      <c r="F6" s="83"/>
      <c r="G6" s="87">
        <v>45717</v>
      </c>
      <c r="H6" s="90"/>
      <c r="I6" s="91" t="s">
        <v>35</v>
      </c>
      <c r="J6" s="92"/>
      <c r="K6" s="87">
        <v>45731</v>
      </c>
      <c r="L6" s="81"/>
    </row>
    <row r="7" spans="1:18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78" t="s">
        <v>43</v>
      </c>
      <c r="L7" s="78"/>
    </row>
    <row r="8" spans="1:18" ht="40.5" customHeight="1" x14ac:dyDescent="0.25">
      <c r="A8" s="10">
        <v>2</v>
      </c>
      <c r="B8" s="2">
        <v>45713</v>
      </c>
      <c r="C8" s="76" t="s">
        <v>50</v>
      </c>
      <c r="D8" s="76"/>
      <c r="E8" s="3">
        <v>0.33333333333333331</v>
      </c>
      <c r="F8" s="3">
        <v>0.83333333333333337</v>
      </c>
      <c r="G8" s="3">
        <v>4.1666666666666664E-2</v>
      </c>
      <c r="H8" s="3">
        <f>(F8-E8-G8)</f>
        <v>0.45833333333333331</v>
      </c>
      <c r="I8" s="3">
        <v>0.33333333333333331</v>
      </c>
      <c r="J8" s="6">
        <v>3</v>
      </c>
      <c r="K8" s="77" t="s">
        <v>44</v>
      </c>
      <c r="L8" s="77"/>
    </row>
    <row r="9" spans="1:18" ht="66" customHeight="1" x14ac:dyDescent="0.25">
      <c r="A9" s="10">
        <v>3</v>
      </c>
      <c r="B9" s="2">
        <v>45714</v>
      </c>
      <c r="C9" s="76" t="s">
        <v>50</v>
      </c>
      <c r="D9" s="76"/>
      <c r="E9" s="3">
        <v>0.33333333333333331</v>
      </c>
      <c r="F9" s="3">
        <v>0.79166666666666663</v>
      </c>
      <c r="G9" s="3">
        <v>4.1666666666666664E-2</v>
      </c>
      <c r="H9" s="3">
        <f>(F9-E9-G9)</f>
        <v>0.41666666666666663</v>
      </c>
      <c r="I9" s="3">
        <v>0.33333333333333331</v>
      </c>
      <c r="J9" s="6">
        <v>2</v>
      </c>
      <c r="K9" s="77" t="s">
        <v>44</v>
      </c>
      <c r="L9" s="77"/>
    </row>
    <row r="10" spans="1:18" ht="15.95" customHeight="1" x14ac:dyDescent="0.25">
      <c r="A10" s="10">
        <v>4</v>
      </c>
      <c r="B10" s="2">
        <v>45723</v>
      </c>
      <c r="C10" s="76" t="s">
        <v>50</v>
      </c>
      <c r="D10" s="76"/>
      <c r="E10" s="3">
        <v>0.33333333333333331</v>
      </c>
      <c r="F10" s="3">
        <v>0.83333333333333337</v>
      </c>
      <c r="G10" s="3">
        <v>4.1666666666666664E-2</v>
      </c>
      <c r="H10" s="3">
        <f>(F10-E10-G10)</f>
        <v>0.45833333333333331</v>
      </c>
      <c r="I10" s="3">
        <v>0.33333333333333331</v>
      </c>
      <c r="J10" s="6">
        <v>3</v>
      </c>
      <c r="K10" s="77" t="s">
        <v>44</v>
      </c>
      <c r="L10" s="77"/>
    </row>
    <row r="11" spans="1:18" ht="33" customHeight="1" x14ac:dyDescent="0.25">
      <c r="A11" s="10">
        <v>5</v>
      </c>
      <c r="B11" s="2">
        <v>45726</v>
      </c>
      <c r="C11" s="76" t="s">
        <v>50</v>
      </c>
      <c r="D11" s="76"/>
      <c r="E11" s="3">
        <v>0.33333333333333331</v>
      </c>
      <c r="F11" s="3">
        <v>0.75</v>
      </c>
      <c r="G11" s="3">
        <v>4.1666666666666664E-2</v>
      </c>
      <c r="H11" s="3">
        <f>(F11-E11-G11)</f>
        <v>0.375</v>
      </c>
      <c r="I11" s="3">
        <v>0.33333333333333331</v>
      </c>
      <c r="J11" s="6">
        <v>1</v>
      </c>
      <c r="K11" s="77" t="s">
        <v>44</v>
      </c>
      <c r="L11" s="77"/>
    </row>
    <row r="13" spans="1:18" x14ac:dyDescent="0.25">
      <c r="H13" s="88" t="s">
        <v>45</v>
      </c>
      <c r="I13" s="88"/>
      <c r="J13" s="8">
        <f>SUM(J8:J11)</f>
        <v>9</v>
      </c>
      <c r="R13" s="1">
        <f>97*2</f>
        <v>194</v>
      </c>
    </row>
    <row r="15" spans="1:18" ht="20.100000000000001" customHeight="1" x14ac:dyDescent="0.25">
      <c r="A15" s="74" t="s">
        <v>24</v>
      </c>
      <c r="B15" s="74"/>
      <c r="C15" s="73" t="s">
        <v>49</v>
      </c>
      <c r="D15" s="73"/>
      <c r="E15" s="73"/>
    </row>
    <row r="16" spans="1:18" ht="20.100000000000001" customHeight="1" x14ac:dyDescent="0.25">
      <c r="A16" s="74" t="s">
        <v>25</v>
      </c>
      <c r="B16" s="74"/>
      <c r="C16" s="72" t="s">
        <v>29</v>
      </c>
      <c r="D16" s="72"/>
      <c r="E16" s="72"/>
    </row>
    <row r="17" spans="1:5" ht="20.100000000000001" customHeight="1" x14ac:dyDescent="0.25">
      <c r="A17" s="74" t="s">
        <v>26</v>
      </c>
      <c r="B17" s="74"/>
      <c r="C17" s="74"/>
      <c r="D17" s="71">
        <v>45734</v>
      </c>
      <c r="E17" s="72"/>
    </row>
  </sheetData>
  <mergeCells count="30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C8:D8"/>
    <mergeCell ref="K8:L8"/>
    <mergeCell ref="C9:D9"/>
    <mergeCell ref="K9:L9"/>
    <mergeCell ref="K10:L10"/>
    <mergeCell ref="C11:D11"/>
    <mergeCell ref="K11:L11"/>
    <mergeCell ref="H13:I13"/>
    <mergeCell ref="A15:B15"/>
    <mergeCell ref="C15:E15"/>
    <mergeCell ref="A16:B16"/>
    <mergeCell ref="C16:E16"/>
    <mergeCell ref="A17:C17"/>
    <mergeCell ref="D17:E17"/>
    <mergeCell ref="C10:D10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showGridLines="0" showRuler="0" showWhiteSpace="0" zoomScaleNormal="100" workbookViewId="0">
      <selection activeCell="H19" sqref="H19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4" style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4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4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4" ht="17.100000000000001" customHeight="1" x14ac:dyDescent="0.25">
      <c r="A5" s="42" t="s">
        <v>28</v>
      </c>
      <c r="B5" s="42"/>
      <c r="C5" s="80" t="s">
        <v>51</v>
      </c>
      <c r="D5" s="81"/>
      <c r="E5" s="82" t="s">
        <v>30</v>
      </c>
      <c r="F5" s="83"/>
      <c r="G5" s="89" t="s">
        <v>52</v>
      </c>
      <c r="H5" s="84"/>
      <c r="I5" s="82" t="s">
        <v>3</v>
      </c>
      <c r="J5" s="83"/>
      <c r="K5" s="84" t="s">
        <v>53</v>
      </c>
      <c r="L5" s="85"/>
      <c r="N5" s="4" t="s">
        <v>32</v>
      </c>
    </row>
    <row r="6" spans="1:14" ht="17.100000000000001" customHeight="1" x14ac:dyDescent="0.25">
      <c r="A6" s="42" t="s">
        <v>33</v>
      </c>
      <c r="B6" s="42"/>
      <c r="C6" s="44" t="s">
        <v>48</v>
      </c>
      <c r="D6" s="86"/>
      <c r="E6" s="82" t="s">
        <v>34</v>
      </c>
      <c r="F6" s="83"/>
      <c r="G6" s="87">
        <v>45717</v>
      </c>
      <c r="H6" s="90"/>
      <c r="I6" s="91" t="s">
        <v>35</v>
      </c>
      <c r="J6" s="92"/>
      <c r="K6" s="87">
        <v>45731</v>
      </c>
      <c r="L6" s="81"/>
    </row>
    <row r="7" spans="1:14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78" t="s">
        <v>43</v>
      </c>
      <c r="L7" s="78"/>
    </row>
    <row r="8" spans="1:14" ht="40.5" customHeight="1" x14ac:dyDescent="0.25">
      <c r="A8" s="10">
        <v>2</v>
      </c>
      <c r="B8" s="2">
        <v>45724</v>
      </c>
      <c r="C8" s="76" t="s">
        <v>54</v>
      </c>
      <c r="D8" s="76"/>
      <c r="E8" s="3">
        <v>0.33333333333333331</v>
      </c>
      <c r="F8" s="3">
        <v>0.58333333333333337</v>
      </c>
      <c r="G8" s="3">
        <v>0</v>
      </c>
      <c r="H8" s="3">
        <f>(F8-E8-G8)</f>
        <v>0.25000000000000006</v>
      </c>
      <c r="I8" s="3">
        <v>0.16666666666666666</v>
      </c>
      <c r="J8" s="6">
        <v>2</v>
      </c>
      <c r="K8" s="77" t="s">
        <v>44</v>
      </c>
      <c r="L8" s="77"/>
    </row>
    <row r="9" spans="1:14" ht="66" customHeight="1" x14ac:dyDescent="0.25">
      <c r="A9" s="10">
        <v>3</v>
      </c>
      <c r="B9" s="2">
        <v>45721</v>
      </c>
      <c r="C9" s="76" t="s">
        <v>55</v>
      </c>
      <c r="D9" s="76"/>
      <c r="E9" s="3">
        <v>0.33333333333333331</v>
      </c>
      <c r="F9" s="3">
        <v>0.75</v>
      </c>
      <c r="G9" s="3">
        <v>4.1666666666666664E-2</v>
      </c>
      <c r="H9" s="3">
        <f>(F9-E9-G9)</f>
        <v>0.375</v>
      </c>
      <c r="I9" s="3">
        <v>0.33333333333333331</v>
      </c>
      <c r="J9" s="6">
        <v>1</v>
      </c>
      <c r="K9" s="77" t="s">
        <v>44</v>
      </c>
      <c r="L9" s="77"/>
    </row>
    <row r="11" spans="1:14" x14ac:dyDescent="0.25">
      <c r="H11" s="88" t="s">
        <v>45</v>
      </c>
      <c r="I11" s="88"/>
      <c r="J11" s="8">
        <f>SUM(J8:J9)</f>
        <v>3</v>
      </c>
    </row>
    <row r="13" spans="1:14" ht="20.100000000000001" customHeight="1" x14ac:dyDescent="0.25">
      <c r="A13" s="74" t="s">
        <v>24</v>
      </c>
      <c r="B13" s="74"/>
      <c r="C13" s="73" t="s">
        <v>56</v>
      </c>
      <c r="D13" s="73"/>
      <c r="E13" s="73"/>
    </row>
    <row r="14" spans="1:14" ht="20.100000000000001" customHeight="1" x14ac:dyDescent="0.25">
      <c r="A14" s="74" t="s">
        <v>25</v>
      </c>
      <c r="B14" s="74"/>
      <c r="C14" s="72" t="s">
        <v>29</v>
      </c>
      <c r="D14" s="72"/>
      <c r="E14" s="72"/>
    </row>
    <row r="15" spans="1:14" ht="20.100000000000001" customHeight="1" x14ac:dyDescent="0.25">
      <c r="A15" s="74" t="s">
        <v>26</v>
      </c>
      <c r="B15" s="74"/>
      <c r="C15" s="74"/>
      <c r="D15" s="71">
        <v>45734</v>
      </c>
      <c r="E15" s="72"/>
    </row>
  </sheetData>
  <mergeCells count="26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A15:C15"/>
    <mergeCell ref="D15:E15"/>
    <mergeCell ref="C7:D7"/>
    <mergeCell ref="K7:L7"/>
    <mergeCell ref="C8:D8"/>
    <mergeCell ref="K8:L8"/>
    <mergeCell ref="C9:D9"/>
    <mergeCell ref="K9:L9"/>
    <mergeCell ref="H11:I11"/>
    <mergeCell ref="A13:B13"/>
    <mergeCell ref="C13:E13"/>
    <mergeCell ref="A14:B14"/>
    <mergeCell ref="C14:E14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showGridLines="0" showRuler="0" showWhiteSpace="0" zoomScaleNormal="100" workbookViewId="0">
      <selection activeCell="C30" sqref="C30:E30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3.42578125" style="1" customWidth="1"/>
    <col min="13" max="13" width="8" style="1" customWidth="1"/>
    <col min="14" max="14" width="18.28515625" style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4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4" ht="15" customHeight="1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4" ht="17.100000000000001" customHeight="1" x14ac:dyDescent="0.25">
      <c r="A5" s="42" t="s">
        <v>28</v>
      </c>
      <c r="B5" s="42"/>
      <c r="C5" s="80" t="s">
        <v>62</v>
      </c>
      <c r="D5" s="81"/>
      <c r="E5" s="82" t="s">
        <v>30</v>
      </c>
      <c r="F5" s="83"/>
      <c r="G5" s="89">
        <v>1051831886</v>
      </c>
      <c r="H5" s="84"/>
      <c r="I5" s="82" t="s">
        <v>3</v>
      </c>
      <c r="J5" s="83"/>
      <c r="K5" s="28"/>
      <c r="L5" s="28"/>
      <c r="M5" s="84" t="s">
        <v>31</v>
      </c>
      <c r="N5" s="85"/>
    </row>
    <row r="6" spans="1:14" ht="17.100000000000001" customHeight="1" x14ac:dyDescent="0.25">
      <c r="A6" s="42" t="s">
        <v>33</v>
      </c>
      <c r="B6" s="42"/>
      <c r="C6" s="44" t="s">
        <v>57</v>
      </c>
      <c r="D6" s="86"/>
      <c r="E6" s="82" t="s">
        <v>34</v>
      </c>
      <c r="F6" s="83"/>
      <c r="G6" s="87">
        <v>45946</v>
      </c>
      <c r="H6" s="90"/>
      <c r="I6" s="80" t="s">
        <v>72</v>
      </c>
      <c r="J6" s="81"/>
      <c r="K6" s="29"/>
      <c r="L6" s="29"/>
      <c r="M6" s="87">
        <v>45976</v>
      </c>
      <c r="N6" s="81"/>
    </row>
    <row r="7" spans="1:14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11" t="s">
        <v>58</v>
      </c>
      <c r="L7" s="11" t="s">
        <v>69</v>
      </c>
      <c r="M7" s="78" t="s">
        <v>43</v>
      </c>
      <c r="N7" s="78"/>
    </row>
    <row r="8" spans="1:14" ht="40.5" customHeight="1" x14ac:dyDescent="0.25">
      <c r="A8" s="10">
        <v>1</v>
      </c>
      <c r="B8" s="2">
        <v>45972</v>
      </c>
      <c r="C8" s="76" t="s">
        <v>70</v>
      </c>
      <c r="D8" s="76"/>
      <c r="E8" s="3">
        <v>0.75</v>
      </c>
      <c r="F8" s="3">
        <v>0.83333333333333337</v>
      </c>
      <c r="G8" s="3">
        <v>0</v>
      </c>
      <c r="H8" s="3">
        <f>(F8-E8)</f>
        <v>8.333333333333337E-2</v>
      </c>
      <c r="I8" s="3">
        <v>0.33333333333333331</v>
      </c>
      <c r="J8" s="27">
        <f>INT(H8*24)</f>
        <v>2</v>
      </c>
      <c r="K8" s="27">
        <v>1</v>
      </c>
      <c r="L8" s="27">
        <f>+J8-K8</f>
        <v>1</v>
      </c>
      <c r="M8" s="77" t="s">
        <v>44</v>
      </c>
      <c r="N8" s="77"/>
    </row>
    <row r="9" spans="1:14" ht="66" customHeight="1" x14ac:dyDescent="0.25">
      <c r="A9" s="10">
        <v>2</v>
      </c>
      <c r="B9" s="2">
        <v>45975</v>
      </c>
      <c r="C9" s="76" t="s">
        <v>71</v>
      </c>
      <c r="D9" s="76"/>
      <c r="E9" s="3">
        <v>0.70833333333333337</v>
      </c>
      <c r="F9" s="3">
        <v>0.79166666666666663</v>
      </c>
      <c r="G9" s="3">
        <v>0</v>
      </c>
      <c r="H9" s="3">
        <f t="shared" ref="H9" si="0">(F9-E9)</f>
        <v>8.3333333333333259E-2</v>
      </c>
      <c r="I9" s="3">
        <v>0.33333333333333331</v>
      </c>
      <c r="J9" s="27">
        <f>INT(H9*24)</f>
        <v>2</v>
      </c>
      <c r="K9" s="27">
        <v>2</v>
      </c>
      <c r="L9" s="27">
        <v>0</v>
      </c>
      <c r="M9" s="77" t="s">
        <v>44</v>
      </c>
      <c r="N9" s="77"/>
    </row>
    <row r="10" spans="1:14" ht="30" customHeight="1" x14ac:dyDescent="0.25">
      <c r="A10" s="10">
        <v>3</v>
      </c>
      <c r="B10" s="2"/>
      <c r="C10" s="76"/>
      <c r="D10" s="76"/>
      <c r="E10" s="3"/>
      <c r="F10" s="3"/>
      <c r="G10" s="3"/>
      <c r="H10" s="3"/>
      <c r="I10" s="3"/>
      <c r="J10" s="27"/>
      <c r="K10" s="27"/>
      <c r="L10" s="27"/>
      <c r="M10" s="77"/>
      <c r="N10" s="77"/>
    </row>
    <row r="11" spans="1:14" ht="33" customHeight="1" x14ac:dyDescent="0.25">
      <c r="A11" s="10">
        <v>4</v>
      </c>
      <c r="B11" s="2"/>
      <c r="C11" s="76"/>
      <c r="D11" s="76"/>
      <c r="E11" s="3"/>
      <c r="F11" s="3"/>
      <c r="G11" s="3"/>
      <c r="H11" s="3"/>
      <c r="I11" s="3"/>
      <c r="J11" s="9"/>
      <c r="K11" s="9"/>
      <c r="L11" s="9"/>
      <c r="M11" s="77"/>
      <c r="N11" s="77"/>
    </row>
    <row r="12" spans="1:14" ht="33" customHeight="1" x14ac:dyDescent="0.25">
      <c r="A12" s="10">
        <v>5</v>
      </c>
      <c r="B12" s="2"/>
      <c r="C12" s="76"/>
      <c r="D12" s="76"/>
      <c r="E12" s="3"/>
      <c r="F12" s="3"/>
      <c r="G12" s="3"/>
      <c r="H12" s="3"/>
      <c r="I12" s="3"/>
      <c r="J12" s="9"/>
      <c r="K12" s="9"/>
      <c r="L12" s="9"/>
      <c r="M12" s="77"/>
      <c r="N12" s="77"/>
    </row>
    <row r="13" spans="1:14" ht="15.75" x14ac:dyDescent="0.25">
      <c r="A13" s="10">
        <v>6</v>
      </c>
      <c r="B13" s="2"/>
      <c r="C13" s="76"/>
      <c r="D13" s="76"/>
      <c r="E13" s="3"/>
      <c r="F13" s="3"/>
      <c r="G13" s="3"/>
      <c r="H13" s="3"/>
      <c r="I13" s="3"/>
      <c r="J13" s="9"/>
      <c r="K13" s="9"/>
      <c r="L13" s="9"/>
      <c r="M13" s="77"/>
      <c r="N13" s="77"/>
    </row>
    <row r="14" spans="1:14" ht="15.75" x14ac:dyDescent="0.25">
      <c r="A14" s="10">
        <v>7</v>
      </c>
      <c r="B14" s="2"/>
      <c r="C14" s="76"/>
      <c r="D14" s="76"/>
      <c r="E14" s="3"/>
      <c r="F14" s="3"/>
      <c r="G14" s="3"/>
      <c r="H14" s="3"/>
      <c r="I14" s="3"/>
      <c r="J14" s="9"/>
      <c r="K14" s="9"/>
      <c r="L14" s="9"/>
      <c r="M14" s="77"/>
      <c r="N14" s="77"/>
    </row>
    <row r="15" spans="1:14" ht="15.75" x14ac:dyDescent="0.25">
      <c r="A15" s="10">
        <v>8</v>
      </c>
      <c r="B15" s="2"/>
      <c r="C15" s="76"/>
      <c r="D15" s="76"/>
      <c r="E15" s="3"/>
      <c r="F15" s="3"/>
      <c r="G15" s="3"/>
      <c r="H15" s="3"/>
      <c r="I15" s="3"/>
      <c r="J15" s="9"/>
      <c r="K15" s="9"/>
      <c r="L15" s="9"/>
      <c r="M15" s="77"/>
      <c r="N15" s="77"/>
    </row>
    <row r="16" spans="1:14" ht="20.100000000000001" customHeight="1" x14ac:dyDescent="0.25">
      <c r="A16" s="10">
        <v>9</v>
      </c>
      <c r="B16" s="2"/>
      <c r="C16" s="76"/>
      <c r="D16" s="76"/>
      <c r="E16" s="3"/>
      <c r="F16" s="3"/>
      <c r="G16" s="3"/>
      <c r="H16" s="3"/>
      <c r="I16" s="3"/>
      <c r="J16" s="9"/>
      <c r="K16" s="9"/>
      <c r="L16" s="9"/>
      <c r="M16" s="77"/>
      <c r="N16" s="77"/>
    </row>
    <row r="17" spans="1:14" ht="20.100000000000001" customHeight="1" x14ac:dyDescent="0.25">
      <c r="A17" s="10">
        <v>10</v>
      </c>
      <c r="B17" s="2"/>
      <c r="C17" s="76"/>
      <c r="D17" s="76"/>
      <c r="E17" s="3"/>
      <c r="F17" s="3"/>
      <c r="G17" s="3"/>
      <c r="H17" s="3"/>
      <c r="I17" s="3"/>
      <c r="J17" s="9"/>
      <c r="K17" s="9"/>
      <c r="L17" s="9"/>
      <c r="M17" s="77"/>
      <c r="N17" s="77"/>
    </row>
    <row r="18" spans="1:14" ht="20.100000000000001" customHeight="1" x14ac:dyDescent="0.25">
      <c r="A18" s="10">
        <v>11</v>
      </c>
      <c r="B18" s="2"/>
      <c r="C18" s="76"/>
      <c r="D18" s="76"/>
      <c r="E18" s="3"/>
      <c r="F18" s="3"/>
      <c r="G18" s="3"/>
      <c r="H18" s="3"/>
      <c r="I18" s="3"/>
      <c r="J18" s="9"/>
      <c r="K18" s="9"/>
      <c r="L18" s="9"/>
      <c r="M18" s="77"/>
      <c r="N18" s="77"/>
    </row>
    <row r="19" spans="1:14" ht="15.75" x14ac:dyDescent="0.25">
      <c r="A19" s="10">
        <v>12</v>
      </c>
      <c r="B19" s="2"/>
      <c r="C19" s="76"/>
      <c r="D19" s="76"/>
      <c r="E19" s="3"/>
      <c r="F19" s="3"/>
      <c r="G19" s="3"/>
      <c r="H19" s="3"/>
      <c r="I19" s="3"/>
      <c r="J19" s="9"/>
      <c r="K19" s="9"/>
      <c r="L19" s="9"/>
      <c r="M19" s="77"/>
      <c r="N19" s="77"/>
    </row>
    <row r="20" spans="1:14" ht="15.75" x14ac:dyDescent="0.25">
      <c r="A20" s="10">
        <v>13</v>
      </c>
      <c r="B20" s="2"/>
      <c r="C20" s="76"/>
      <c r="D20" s="76"/>
      <c r="E20" s="3"/>
      <c r="F20" s="3"/>
      <c r="G20" s="3"/>
      <c r="H20" s="3"/>
      <c r="I20" s="3"/>
      <c r="J20" s="9"/>
      <c r="K20" s="9"/>
      <c r="L20" s="9"/>
      <c r="M20" s="77"/>
      <c r="N20" s="77"/>
    </row>
    <row r="21" spans="1:14" ht="15.75" x14ac:dyDescent="0.25">
      <c r="A21" s="10">
        <v>14</v>
      </c>
      <c r="B21" s="2"/>
      <c r="C21" s="76"/>
      <c r="D21" s="76"/>
      <c r="E21" s="3"/>
      <c r="F21" s="3"/>
      <c r="G21" s="3"/>
      <c r="H21" s="3"/>
      <c r="I21" s="3"/>
      <c r="J21" s="9"/>
      <c r="K21" s="9"/>
      <c r="L21" s="9"/>
      <c r="M21" s="77"/>
      <c r="N21" s="77"/>
    </row>
    <row r="22" spans="1:14" ht="15.75" x14ac:dyDescent="0.25">
      <c r="A22" s="10">
        <v>15</v>
      </c>
      <c r="B22" s="2"/>
      <c r="C22" s="76"/>
      <c r="D22" s="76"/>
      <c r="E22" s="3"/>
      <c r="F22" s="3"/>
      <c r="G22" s="3"/>
      <c r="H22" s="3"/>
      <c r="I22" s="3"/>
      <c r="J22" s="9"/>
      <c r="K22" s="9"/>
      <c r="L22" s="9"/>
      <c r="M22" s="77"/>
      <c r="N22" s="77"/>
    </row>
    <row r="23" spans="1:14" ht="15.75" x14ac:dyDescent="0.25">
      <c r="A23" s="10">
        <v>16</v>
      </c>
      <c r="B23" s="2"/>
      <c r="C23" s="76"/>
      <c r="D23" s="76"/>
      <c r="E23" s="3"/>
      <c r="F23" s="3"/>
      <c r="G23" s="3"/>
      <c r="H23" s="3"/>
      <c r="I23" s="3"/>
      <c r="J23" s="9"/>
      <c r="K23" s="9"/>
      <c r="L23" s="9"/>
      <c r="M23" s="77"/>
      <c r="N23" s="77"/>
    </row>
    <row r="24" spans="1:14" ht="15.75" x14ac:dyDescent="0.25">
      <c r="A24" s="10">
        <v>17</v>
      </c>
      <c r="B24" s="2"/>
      <c r="C24" s="76"/>
      <c r="D24" s="76"/>
      <c r="E24" s="3"/>
      <c r="F24" s="3"/>
      <c r="G24" s="3"/>
      <c r="H24" s="3"/>
      <c r="I24" s="3"/>
      <c r="J24" s="9"/>
      <c r="K24" s="9"/>
      <c r="L24" s="9"/>
      <c r="M24" s="77"/>
      <c r="N24" s="77"/>
    </row>
    <row r="25" spans="1:14" ht="15.75" x14ac:dyDescent="0.25">
      <c r="A25" s="10">
        <v>18</v>
      </c>
      <c r="B25" s="2"/>
      <c r="C25" s="76"/>
      <c r="D25" s="76"/>
      <c r="E25" s="3"/>
      <c r="F25" s="3"/>
      <c r="G25" s="3"/>
      <c r="H25" s="3"/>
      <c r="I25" s="3"/>
      <c r="J25" s="5"/>
      <c r="K25" s="5"/>
      <c r="L25" s="5"/>
      <c r="M25" s="77"/>
      <c r="N25" s="77"/>
    </row>
    <row r="27" spans="1:14" x14ac:dyDescent="0.25">
      <c r="H27" s="88" t="s">
        <v>67</v>
      </c>
      <c r="I27" s="88"/>
      <c r="J27" s="7">
        <f>SUM(K8:K25)</f>
        <v>3</v>
      </c>
      <c r="K27" s="30"/>
      <c r="L27" s="30"/>
    </row>
    <row r="28" spans="1:14" x14ac:dyDescent="0.25">
      <c r="H28" s="88" t="s">
        <v>68</v>
      </c>
      <c r="I28" s="88"/>
      <c r="J28" s="7">
        <f>SUM(L8:L25)</f>
        <v>1</v>
      </c>
      <c r="K28" s="30"/>
      <c r="L28" s="30"/>
    </row>
    <row r="29" spans="1:14" x14ac:dyDescent="0.25">
      <c r="A29" s="74" t="s">
        <v>24</v>
      </c>
      <c r="B29" s="74"/>
      <c r="C29" s="73" t="s">
        <v>62</v>
      </c>
      <c r="D29" s="73"/>
      <c r="E29" s="73"/>
    </row>
    <row r="30" spans="1:14" x14ac:dyDescent="0.25">
      <c r="A30" s="74" t="s">
        <v>25</v>
      </c>
      <c r="B30" s="74"/>
      <c r="C30" s="72"/>
      <c r="D30" s="72"/>
      <c r="E30" s="72"/>
    </row>
    <row r="31" spans="1:14" x14ac:dyDescent="0.25">
      <c r="A31" s="74" t="s">
        <v>26</v>
      </c>
      <c r="B31" s="74"/>
      <c r="C31" s="74"/>
      <c r="D31" s="71">
        <f ca="1">TODAY()</f>
        <v>46183</v>
      </c>
      <c r="E31" s="72"/>
    </row>
  </sheetData>
  <mergeCells count="59">
    <mergeCell ref="C25:D25"/>
    <mergeCell ref="M25:N25"/>
    <mergeCell ref="H27:I27"/>
    <mergeCell ref="A31:C31"/>
    <mergeCell ref="D31:E31"/>
    <mergeCell ref="H28:I28"/>
    <mergeCell ref="A29:B29"/>
    <mergeCell ref="C29:E29"/>
    <mergeCell ref="A30:B30"/>
    <mergeCell ref="C30:E30"/>
    <mergeCell ref="C22:D22"/>
    <mergeCell ref="M22:N22"/>
    <mergeCell ref="C23:D23"/>
    <mergeCell ref="M23:N23"/>
    <mergeCell ref="C24:D24"/>
    <mergeCell ref="M24:N24"/>
    <mergeCell ref="C20:D20"/>
    <mergeCell ref="M20:N20"/>
    <mergeCell ref="C18:D18"/>
    <mergeCell ref="C21:D21"/>
    <mergeCell ref="M21:N21"/>
    <mergeCell ref="C17:D17"/>
    <mergeCell ref="M17:N17"/>
    <mergeCell ref="M18:N18"/>
    <mergeCell ref="C19:D19"/>
    <mergeCell ref="M19:N19"/>
    <mergeCell ref="M13:N13"/>
    <mergeCell ref="C14:D14"/>
    <mergeCell ref="M14:N14"/>
    <mergeCell ref="M15:N15"/>
    <mergeCell ref="C16:D16"/>
    <mergeCell ref="M16:N16"/>
    <mergeCell ref="M8:N8"/>
    <mergeCell ref="M9:N9"/>
    <mergeCell ref="M10:N10"/>
    <mergeCell ref="M11:N11"/>
    <mergeCell ref="M12:N12"/>
    <mergeCell ref="A2:N4"/>
    <mergeCell ref="M5:N5"/>
    <mergeCell ref="M6:N6"/>
    <mergeCell ref="C7:D7"/>
    <mergeCell ref="C8:D8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M7:N7"/>
    <mergeCell ref="C9:D9"/>
    <mergeCell ref="C10:D10"/>
    <mergeCell ref="C12:D12"/>
    <mergeCell ref="C15:D15"/>
    <mergeCell ref="C11:D11"/>
    <mergeCell ref="C13:D13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E1" workbookViewId="0">
      <selection activeCell="L21" sqref="L21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5.5703125" style="1" customWidth="1"/>
    <col min="13" max="13" width="18.7109375" style="1" customWidth="1"/>
    <col min="14" max="14" width="15.7109375" style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4" ht="17.2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4" ht="15" customHeight="1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4" ht="17.100000000000001" customHeight="1" x14ac:dyDescent="0.25">
      <c r="A5" s="42" t="s">
        <v>28</v>
      </c>
      <c r="B5" s="42"/>
      <c r="C5" s="80" t="s">
        <v>29</v>
      </c>
      <c r="D5" s="81"/>
      <c r="E5" s="82" t="s">
        <v>30</v>
      </c>
      <c r="F5" s="83"/>
      <c r="G5" s="89">
        <v>1143121183</v>
      </c>
      <c r="H5" s="84"/>
      <c r="I5" s="82" t="s">
        <v>3</v>
      </c>
      <c r="J5" s="83"/>
      <c r="K5" s="28"/>
      <c r="L5" s="28"/>
      <c r="M5" s="84" t="s">
        <v>31</v>
      </c>
      <c r="N5" s="85"/>
    </row>
    <row r="6" spans="1:14" ht="17.100000000000001" customHeight="1" x14ac:dyDescent="0.25">
      <c r="A6" s="42" t="s">
        <v>33</v>
      </c>
      <c r="B6" s="42"/>
      <c r="C6" s="44" t="s">
        <v>57</v>
      </c>
      <c r="D6" s="86"/>
      <c r="E6" s="82" t="s">
        <v>34</v>
      </c>
      <c r="F6" s="83"/>
      <c r="G6" s="87">
        <v>45946</v>
      </c>
      <c r="H6" s="90"/>
      <c r="I6" s="91" t="s">
        <v>35</v>
      </c>
      <c r="J6" s="92"/>
      <c r="K6" s="29"/>
      <c r="L6" s="29"/>
      <c r="M6" s="87">
        <v>45976</v>
      </c>
      <c r="N6" s="81"/>
    </row>
    <row r="7" spans="1:14" ht="36" customHeight="1" x14ac:dyDescent="0.25">
      <c r="A7" s="12" t="s">
        <v>9</v>
      </c>
      <c r="B7" s="12" t="s">
        <v>36</v>
      </c>
      <c r="C7" s="79" t="s">
        <v>37</v>
      </c>
      <c r="D7" s="79"/>
      <c r="E7" s="11" t="s">
        <v>38</v>
      </c>
      <c r="F7" s="11" t="s">
        <v>39</v>
      </c>
      <c r="G7" s="11" t="s">
        <v>32</v>
      </c>
      <c r="H7" s="11" t="s">
        <v>40</v>
      </c>
      <c r="I7" s="11" t="s">
        <v>41</v>
      </c>
      <c r="J7" s="11" t="s">
        <v>42</v>
      </c>
      <c r="K7" s="11" t="s">
        <v>58</v>
      </c>
      <c r="L7" s="11" t="s">
        <v>69</v>
      </c>
      <c r="M7" s="78" t="s">
        <v>43</v>
      </c>
      <c r="N7" s="78"/>
    </row>
    <row r="8" spans="1:14" ht="40.5" customHeight="1" x14ac:dyDescent="0.25">
      <c r="A8" s="10">
        <v>1</v>
      </c>
      <c r="B8" s="2">
        <v>45947</v>
      </c>
      <c r="C8" s="76" t="s">
        <v>75</v>
      </c>
      <c r="D8" s="76"/>
      <c r="E8" s="3">
        <v>0.75</v>
      </c>
      <c r="F8" s="3">
        <v>0.95833333333333337</v>
      </c>
      <c r="G8" s="3">
        <v>4.1666666666666664E-2</v>
      </c>
      <c r="H8" s="3">
        <f>(F8-E8)</f>
        <v>0.20833333333333337</v>
      </c>
      <c r="I8" s="3">
        <v>0.33333333333333331</v>
      </c>
      <c r="J8" s="27">
        <f>INT(H8*24)</f>
        <v>5</v>
      </c>
      <c r="K8" s="27">
        <v>1</v>
      </c>
      <c r="L8" s="27">
        <v>4</v>
      </c>
      <c r="M8" s="77" t="s">
        <v>44</v>
      </c>
      <c r="N8" s="77"/>
    </row>
    <row r="9" spans="1:14" ht="15.75" customHeight="1" x14ac:dyDescent="0.25">
      <c r="A9" s="10">
        <v>2</v>
      </c>
      <c r="B9" s="2">
        <v>45948</v>
      </c>
      <c r="C9" s="76" t="s">
        <v>76</v>
      </c>
      <c r="D9" s="76"/>
      <c r="E9" s="3">
        <v>0.33333333333333331</v>
      </c>
      <c r="F9" s="3">
        <v>0.625</v>
      </c>
      <c r="G9" s="3">
        <v>4.1666666666666664E-2</v>
      </c>
      <c r="H9" s="3">
        <f t="shared" ref="H9:H10" si="0">(F9-E9)</f>
        <v>0.29166666666666669</v>
      </c>
      <c r="I9" s="3">
        <v>0.33333333333333331</v>
      </c>
      <c r="J9" s="27">
        <f>INT(H9*24)</f>
        <v>7</v>
      </c>
      <c r="K9" s="27">
        <v>7</v>
      </c>
      <c r="L9" s="27"/>
      <c r="M9" s="77" t="s">
        <v>44</v>
      </c>
      <c r="N9" s="77"/>
    </row>
    <row r="10" spans="1:14" ht="15.75" customHeight="1" x14ac:dyDescent="0.25">
      <c r="A10" s="10">
        <v>3</v>
      </c>
      <c r="B10" s="2">
        <v>45952</v>
      </c>
      <c r="C10" s="76" t="s">
        <v>77</v>
      </c>
      <c r="D10" s="76"/>
      <c r="E10" s="3">
        <v>0.75</v>
      </c>
      <c r="F10" s="3">
        <v>0.79166666666666663</v>
      </c>
      <c r="G10" s="3">
        <v>4.1666666666666664E-2</v>
      </c>
      <c r="H10" s="3">
        <f t="shared" si="0"/>
        <v>4.166666666666663E-2</v>
      </c>
      <c r="I10" s="3">
        <v>0.33333333333333331</v>
      </c>
      <c r="J10" s="27">
        <v>1</v>
      </c>
      <c r="K10" s="27">
        <v>1</v>
      </c>
      <c r="L10" s="27"/>
      <c r="M10" s="77" t="s">
        <v>44</v>
      </c>
      <c r="N10" s="77"/>
    </row>
    <row r="11" spans="1:14" ht="15.75" x14ac:dyDescent="0.25">
      <c r="A11" s="10">
        <v>4</v>
      </c>
      <c r="B11" s="2"/>
      <c r="C11" s="76"/>
      <c r="D11" s="76"/>
      <c r="E11" s="3"/>
      <c r="F11" s="3"/>
      <c r="G11" s="3"/>
      <c r="H11" s="3"/>
      <c r="I11" s="3"/>
      <c r="J11" s="9"/>
      <c r="K11" s="9"/>
      <c r="L11" s="9"/>
      <c r="M11" s="77"/>
      <c r="N11" s="77"/>
    </row>
    <row r="12" spans="1:14" ht="20.100000000000001" customHeight="1" x14ac:dyDescent="0.25">
      <c r="A12" s="10">
        <v>5</v>
      </c>
      <c r="B12" s="2"/>
      <c r="C12" s="76"/>
      <c r="D12" s="76"/>
      <c r="E12" s="3"/>
      <c r="F12" s="3"/>
      <c r="G12" s="3"/>
      <c r="H12" s="3"/>
      <c r="I12" s="3"/>
      <c r="J12" s="9"/>
      <c r="K12" s="9"/>
      <c r="L12" s="9"/>
      <c r="M12" s="77"/>
      <c r="N12" s="77"/>
    </row>
    <row r="13" spans="1:14" ht="20.100000000000001" customHeight="1" x14ac:dyDescent="0.25">
      <c r="A13" s="10">
        <v>6</v>
      </c>
      <c r="B13" s="2"/>
      <c r="C13" s="76"/>
      <c r="D13" s="76"/>
      <c r="E13" s="3"/>
      <c r="F13" s="3"/>
      <c r="G13" s="3"/>
      <c r="H13" s="3"/>
      <c r="I13" s="3"/>
      <c r="J13" s="9"/>
      <c r="K13" s="9"/>
      <c r="L13" s="9"/>
      <c r="M13" s="77"/>
      <c r="N13" s="77"/>
    </row>
    <row r="14" spans="1:14" ht="20.100000000000001" customHeight="1" x14ac:dyDescent="0.25">
      <c r="A14" s="10">
        <v>7</v>
      </c>
      <c r="B14" s="2"/>
      <c r="C14" s="76"/>
      <c r="D14" s="76"/>
      <c r="E14" s="3"/>
      <c r="F14" s="3"/>
      <c r="G14" s="3"/>
      <c r="H14" s="3"/>
      <c r="I14" s="3"/>
      <c r="J14" s="9"/>
      <c r="K14" s="9"/>
      <c r="L14" s="9"/>
      <c r="M14" s="77"/>
      <c r="N14" s="77"/>
    </row>
    <row r="15" spans="1:14" ht="15.75" x14ac:dyDescent="0.25">
      <c r="A15" s="10">
        <v>8</v>
      </c>
      <c r="B15" s="2"/>
      <c r="C15" s="76"/>
      <c r="D15" s="76"/>
      <c r="E15" s="3"/>
      <c r="F15" s="3"/>
      <c r="G15" s="3"/>
      <c r="H15" s="3"/>
      <c r="I15" s="3"/>
      <c r="J15" s="9"/>
      <c r="K15" s="9"/>
      <c r="L15" s="9"/>
      <c r="M15" s="77"/>
      <c r="N15" s="77"/>
    </row>
    <row r="16" spans="1:14" ht="15.75" x14ac:dyDescent="0.25">
      <c r="A16" s="10">
        <v>9</v>
      </c>
      <c r="B16" s="2"/>
      <c r="C16" s="76"/>
      <c r="D16" s="76"/>
      <c r="E16" s="3"/>
      <c r="F16" s="3"/>
      <c r="G16" s="3"/>
      <c r="H16" s="3"/>
      <c r="I16" s="3"/>
      <c r="J16" s="9"/>
      <c r="K16" s="9"/>
      <c r="L16" s="9"/>
      <c r="M16" s="77"/>
      <c r="N16" s="77"/>
    </row>
    <row r="17" spans="1:14" ht="15.75" x14ac:dyDescent="0.25">
      <c r="A17" s="10">
        <v>10</v>
      </c>
      <c r="B17" s="2"/>
      <c r="C17" s="76"/>
      <c r="D17" s="76"/>
      <c r="E17" s="3"/>
      <c r="F17" s="3"/>
      <c r="G17" s="3"/>
      <c r="H17" s="3"/>
      <c r="I17" s="3"/>
      <c r="J17" s="9"/>
      <c r="K17" s="9"/>
      <c r="L17" s="9"/>
      <c r="M17" s="77"/>
      <c r="N17" s="77"/>
    </row>
    <row r="18" spans="1:14" ht="15.75" x14ac:dyDescent="0.25">
      <c r="A18" s="10">
        <v>11</v>
      </c>
      <c r="B18" s="2"/>
      <c r="C18" s="76"/>
      <c r="D18" s="76"/>
      <c r="E18" s="3"/>
      <c r="F18" s="3"/>
      <c r="G18" s="3"/>
      <c r="H18" s="3"/>
      <c r="I18" s="3"/>
      <c r="J18" s="9"/>
      <c r="K18" s="9"/>
      <c r="L18" s="9"/>
      <c r="M18" s="77"/>
      <c r="N18" s="77"/>
    </row>
    <row r="19" spans="1:14" ht="15.75" x14ac:dyDescent="0.25">
      <c r="A19" s="10">
        <v>12</v>
      </c>
      <c r="B19" s="2"/>
      <c r="C19" s="76"/>
      <c r="D19" s="76"/>
      <c r="E19" s="3"/>
      <c r="F19" s="3"/>
      <c r="G19" s="3"/>
      <c r="H19" s="3"/>
      <c r="I19" s="3"/>
      <c r="J19" s="9"/>
      <c r="K19" s="9"/>
      <c r="L19" s="9"/>
      <c r="M19" s="77"/>
      <c r="N19" s="77"/>
    </row>
    <row r="20" spans="1:14" ht="15.75" x14ac:dyDescent="0.25">
      <c r="A20" s="10">
        <v>13</v>
      </c>
      <c r="B20" s="2"/>
      <c r="C20" s="76"/>
      <c r="D20" s="76"/>
      <c r="E20" s="3"/>
      <c r="F20" s="3"/>
      <c r="G20" s="3"/>
      <c r="H20" s="3"/>
      <c r="I20" s="3"/>
      <c r="J20" s="9"/>
      <c r="K20" s="9"/>
      <c r="L20" s="9"/>
      <c r="M20" s="77"/>
      <c r="N20" s="77"/>
    </row>
    <row r="21" spans="1:14" ht="15.75" x14ac:dyDescent="0.25">
      <c r="A21" s="10">
        <v>14</v>
      </c>
      <c r="B21" s="2"/>
      <c r="C21" s="76"/>
      <c r="D21" s="76"/>
      <c r="E21" s="3"/>
      <c r="F21" s="3"/>
      <c r="G21" s="3"/>
      <c r="H21" s="3"/>
      <c r="I21" s="3"/>
      <c r="J21" s="9"/>
      <c r="K21" s="9"/>
      <c r="L21" s="9"/>
      <c r="M21" s="77"/>
      <c r="N21" s="77"/>
    </row>
    <row r="22" spans="1:14" ht="15.75" x14ac:dyDescent="0.25">
      <c r="A22" s="10">
        <v>15</v>
      </c>
      <c r="B22" s="2"/>
      <c r="C22" s="76"/>
      <c r="D22" s="76"/>
      <c r="E22" s="3"/>
      <c r="F22" s="3"/>
      <c r="G22" s="3"/>
      <c r="H22" s="3"/>
      <c r="I22" s="3"/>
      <c r="J22" s="9"/>
      <c r="K22" s="9"/>
      <c r="L22" s="9"/>
      <c r="M22" s="77"/>
      <c r="N22" s="77"/>
    </row>
    <row r="23" spans="1:14" ht="15.75" x14ac:dyDescent="0.25">
      <c r="A23" s="10">
        <v>16</v>
      </c>
      <c r="B23" s="2"/>
      <c r="C23" s="76"/>
      <c r="D23" s="76"/>
      <c r="E23" s="3"/>
      <c r="F23" s="3"/>
      <c r="G23" s="3"/>
      <c r="H23" s="3"/>
      <c r="I23" s="3"/>
      <c r="J23" s="9"/>
      <c r="K23" s="9"/>
      <c r="L23" s="9"/>
      <c r="M23" s="77"/>
      <c r="N23" s="77"/>
    </row>
    <row r="24" spans="1:14" ht="15.75" x14ac:dyDescent="0.25">
      <c r="A24" s="10">
        <v>17</v>
      </c>
      <c r="B24" s="2"/>
      <c r="C24" s="76"/>
      <c r="D24" s="76"/>
      <c r="E24" s="3"/>
      <c r="F24" s="3"/>
      <c r="G24" s="3"/>
      <c r="H24" s="3"/>
      <c r="I24" s="3"/>
      <c r="J24" s="9"/>
      <c r="K24" s="9"/>
      <c r="L24" s="9"/>
      <c r="M24" s="77"/>
      <c r="N24" s="77"/>
    </row>
    <row r="25" spans="1:14" ht="15.75" x14ac:dyDescent="0.25">
      <c r="A25" s="10">
        <v>18</v>
      </c>
      <c r="B25" s="2"/>
      <c r="C25" s="76"/>
      <c r="D25" s="76"/>
      <c r="E25" s="3"/>
      <c r="F25" s="3"/>
      <c r="G25" s="3"/>
      <c r="H25" s="3"/>
      <c r="I25" s="3"/>
      <c r="J25" s="5"/>
      <c r="K25" s="5"/>
      <c r="L25" s="5"/>
      <c r="M25" s="77"/>
      <c r="N25" s="77"/>
    </row>
    <row r="27" spans="1:14" x14ac:dyDescent="0.25">
      <c r="H27" s="88" t="s">
        <v>67</v>
      </c>
      <c r="I27" s="88"/>
      <c r="J27" s="7">
        <f>SUM(K8:K25)</f>
        <v>9</v>
      </c>
      <c r="K27" s="30"/>
      <c r="L27" s="30"/>
    </row>
    <row r="28" spans="1:14" x14ac:dyDescent="0.25">
      <c r="H28" s="88" t="s">
        <v>68</v>
      </c>
      <c r="I28" s="88"/>
      <c r="J28" s="7">
        <f>SUM(L8:L25)</f>
        <v>4</v>
      </c>
      <c r="K28" s="30"/>
      <c r="L28" s="30"/>
    </row>
    <row r="29" spans="1:14" x14ac:dyDescent="0.25">
      <c r="A29" s="74" t="s">
        <v>24</v>
      </c>
      <c r="B29" s="74"/>
      <c r="C29" s="73" t="s">
        <v>2</v>
      </c>
      <c r="D29" s="73"/>
      <c r="E29" s="73"/>
    </row>
    <row r="30" spans="1:14" x14ac:dyDescent="0.25">
      <c r="A30" s="74" t="s">
        <v>25</v>
      </c>
      <c r="B30" s="74"/>
      <c r="C30" s="72"/>
      <c r="D30" s="72"/>
      <c r="E30" s="72"/>
    </row>
    <row r="31" spans="1:14" x14ac:dyDescent="0.25">
      <c r="A31" s="74" t="s">
        <v>26</v>
      </c>
      <c r="B31" s="74"/>
      <c r="C31" s="74"/>
      <c r="D31" s="71">
        <f ca="1">TODAY()</f>
        <v>46183</v>
      </c>
      <c r="E31" s="72"/>
    </row>
  </sheetData>
  <mergeCells count="59">
    <mergeCell ref="A31:C31"/>
    <mergeCell ref="D31:E31"/>
    <mergeCell ref="H27:I27"/>
    <mergeCell ref="H28:I28"/>
    <mergeCell ref="A29:B29"/>
    <mergeCell ref="C29:E29"/>
    <mergeCell ref="A30:B30"/>
    <mergeCell ref="C30:E30"/>
    <mergeCell ref="C23:D23"/>
    <mergeCell ref="M23:N23"/>
    <mergeCell ref="C24:D24"/>
    <mergeCell ref="M24:N24"/>
    <mergeCell ref="C25:D25"/>
    <mergeCell ref="M25:N25"/>
    <mergeCell ref="C20:D20"/>
    <mergeCell ref="M20:N20"/>
    <mergeCell ref="C21:D21"/>
    <mergeCell ref="M21:N21"/>
    <mergeCell ref="C22:D22"/>
    <mergeCell ref="M22:N22"/>
    <mergeCell ref="C17:D17"/>
    <mergeCell ref="M17:N17"/>
    <mergeCell ref="C18:D18"/>
    <mergeCell ref="M18:N18"/>
    <mergeCell ref="C19:D19"/>
    <mergeCell ref="M19:N19"/>
    <mergeCell ref="M14:N14"/>
    <mergeCell ref="C15:D15"/>
    <mergeCell ref="M15:N15"/>
    <mergeCell ref="C16:D16"/>
    <mergeCell ref="M16:N16"/>
    <mergeCell ref="C14:D14"/>
    <mergeCell ref="M11:N11"/>
    <mergeCell ref="C12:D12"/>
    <mergeCell ref="M12:N12"/>
    <mergeCell ref="C13:D13"/>
    <mergeCell ref="M13:N13"/>
    <mergeCell ref="C11:D11"/>
    <mergeCell ref="M8:N8"/>
    <mergeCell ref="C9:D9"/>
    <mergeCell ref="M9:N9"/>
    <mergeCell ref="C10:D10"/>
    <mergeCell ref="M10:N10"/>
    <mergeCell ref="A2:N4"/>
    <mergeCell ref="M5:N5"/>
    <mergeCell ref="M6:N6"/>
    <mergeCell ref="C7:D7"/>
    <mergeCell ref="C8:D8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M7:N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D2E427-CA7B-4592-91AB-88F2A2C07C32}"/>
</file>

<file path=customXml/itemProps2.xml><?xml version="1.0" encoding="utf-8"?>
<ds:datastoreItem xmlns:ds="http://schemas.openxmlformats.org/officeDocument/2006/customXml" ds:itemID="{C25AE4B5-F5A8-4871-81F7-4E51FBD3EE6F}"/>
</file>

<file path=customXml/itemProps3.xml><?xml version="1.0" encoding="utf-8"?>
<ds:datastoreItem xmlns:ds="http://schemas.openxmlformats.org/officeDocument/2006/customXml" ds:itemID="{C7D45F79-9914-4AAA-8062-2D8910C01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GENERAL</vt:lpstr>
      <vt:lpstr>MARIO OROZCO</vt:lpstr>
      <vt:lpstr>SILIA DIAZ</vt:lpstr>
      <vt:lpstr>JUSTIN ORTIZ</vt:lpstr>
      <vt:lpstr>DAVID TORDECILLA</vt:lpstr>
      <vt:lpstr>MOISÉS RINCÓN</vt:lpstr>
      <vt:lpstr>JOSE HENAO</vt:lpstr>
      <vt:lpstr>KEISSY ARRIETA</vt:lpstr>
      <vt:lpstr>'DAVID TORDECILLA'!Área_de_impresión</vt:lpstr>
      <vt:lpstr>'JOSE HENAO'!Área_de_impresión</vt:lpstr>
      <vt:lpstr>'MARIO OROZCO'!Área_de_impresión</vt:lpstr>
      <vt:lpstr>'MOISÉS RINCÓN'!Área_de_impresión</vt:lpstr>
      <vt:lpstr>'SILIA DIAZ'!Área_de_impresión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GESTION HUMANA</dc:creator>
  <cp:keywords/>
  <dc:description/>
  <cp:lastModifiedBy>Usuario</cp:lastModifiedBy>
  <cp:revision/>
  <dcterms:created xsi:type="dcterms:W3CDTF">2025-02-26T13:50:56Z</dcterms:created>
  <dcterms:modified xsi:type="dcterms:W3CDTF">2026-06-10T20:08:49Z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