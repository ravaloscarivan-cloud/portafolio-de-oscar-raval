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BIOSTEEL ALMACEN\Desktop\HORAS EXTRAS\"/>
    </mc:Choice>
  </mc:AlternateContent>
  <xr:revisionPtr revIDLastSave="0" documentId="13_ncr:1_{382A740D-6A80-4A45-A55F-13B8E28F15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2" r:id="rId1"/>
    <sheet name="MOISES RINCON" sheetId="16" r:id="rId2"/>
    <sheet name="MARIO OROZCO" sheetId="1" r:id="rId3"/>
    <sheet name="KEISSY ARRIETA" sheetId="14" r:id="rId4"/>
    <sheet name="JUSTIN ORTIZ" sheetId="15" r:id="rId5"/>
    <sheet name="RONAD GRAJALES" sheetId="13" r:id="rId6"/>
  </sheets>
  <definedNames>
    <definedName name="_xlnm.Print_Area" localSheetId="2">'MARIO OROZCO'!$A$1:$M$27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6" l="1"/>
  <c r="H10" i="16"/>
  <c r="H11" i="16"/>
  <c r="H12" i="16"/>
  <c r="H13" i="16"/>
  <c r="H14" i="16"/>
  <c r="H15" i="16"/>
  <c r="H8" i="16"/>
  <c r="J17" i="16"/>
  <c r="G19" i="2"/>
  <c r="J18" i="15"/>
  <c r="H16" i="15"/>
  <c r="H15" i="15"/>
  <c r="H14" i="15"/>
  <c r="H13" i="15"/>
  <c r="H12" i="15"/>
  <c r="H11" i="15"/>
  <c r="H10" i="15"/>
  <c r="H9" i="15"/>
  <c r="H8" i="15"/>
  <c r="J17" i="14" l="1"/>
  <c r="H10" i="14"/>
  <c r="H9" i="14"/>
  <c r="H8" i="14"/>
  <c r="J18" i="13"/>
  <c r="H9" i="13"/>
  <c r="H10" i="13"/>
  <c r="H11" i="13"/>
  <c r="H12" i="13"/>
  <c r="H13" i="13"/>
  <c r="H14" i="13"/>
  <c r="H15" i="13"/>
  <c r="H16" i="13"/>
  <c r="H8" i="13"/>
  <c r="J27" i="1" l="1"/>
  <c r="H10" i="1"/>
  <c r="H11" i="1"/>
  <c r="H12" i="1"/>
  <c r="H13" i="1"/>
  <c r="H14" i="1"/>
  <c r="H9" i="1"/>
  <c r="H8" i="1"/>
  <c r="D24" i="2" l="1"/>
  <c r="D31" i="1" l="1"/>
  <c r="I9" i="2" l="1"/>
  <c r="I10" i="2" l="1"/>
  <c r="I11" i="2"/>
  <c r="I12" i="2"/>
  <c r="I13" i="2"/>
  <c r="I14" i="2"/>
  <c r="I15" i="2"/>
  <c r="I16" i="2"/>
  <c r="I17" i="2"/>
  <c r="I18" i="2"/>
  <c r="I19" i="2"/>
</calcChain>
</file>

<file path=xl/sharedStrings.xml><?xml version="1.0" encoding="utf-8"?>
<sst xmlns="http://schemas.openxmlformats.org/spreadsheetml/2006/main" count="238" uniqueCount="87">
  <si>
    <t>N°</t>
  </si>
  <si>
    <t>HORA DE INICIO</t>
  </si>
  <si>
    <t>HORA DE FINALIZACIÓN</t>
  </si>
  <si>
    <t>HORARIO REGULAR</t>
  </si>
  <si>
    <t>HORAS EXTRAS</t>
  </si>
  <si>
    <t xml:space="preserve">FECHA </t>
  </si>
  <si>
    <t>MOTIVO DE SALIDA TARDE</t>
  </si>
  <si>
    <t xml:space="preserve">AUTORIZADO POR </t>
  </si>
  <si>
    <t>PLANILLA INDIVIDUAL REGISTRO DE HORAS EXTRAS</t>
  </si>
  <si>
    <t>CARGO:</t>
  </si>
  <si>
    <t>Auxiliar Logistico</t>
  </si>
  <si>
    <t>IDENTIFICACION:</t>
  </si>
  <si>
    <t>COLABORADOR:</t>
  </si>
  <si>
    <t>HORA DE ALMUERZO</t>
  </si>
  <si>
    <t>HORARIO LABORADO</t>
  </si>
  <si>
    <t>TOTAL DE HORAS:</t>
  </si>
  <si>
    <t xml:space="preserve">ELABORADO POR: </t>
  </si>
  <si>
    <t xml:space="preserve">REVISADO POR: </t>
  </si>
  <si>
    <t>FECHA DE ELABORACION:</t>
  </si>
  <si>
    <t xml:space="preserve">CARGO </t>
  </si>
  <si>
    <t>COORDINADOR LOGISTICO</t>
  </si>
  <si>
    <t>SILIA DIAZ</t>
  </si>
  <si>
    <t xml:space="preserve">PERIODO: </t>
  </si>
  <si>
    <t>NOMBRE DE COLABORADOR</t>
  </si>
  <si>
    <t>JUSTIN ORTIZ</t>
  </si>
  <si>
    <t>MARIO OROZCO</t>
  </si>
  <si>
    <t>AUX. LOGISTICO</t>
  </si>
  <si>
    <t>TOTAL DE HORAS EXTRAS</t>
  </si>
  <si>
    <t>REPORTE GENERAL DE HORAS EXTRAS</t>
  </si>
  <si>
    <t xml:space="preserve">VALOR UNITARIO </t>
  </si>
  <si>
    <t>TOTAL EN VALOR</t>
  </si>
  <si>
    <t>MES:</t>
  </si>
  <si>
    <t>PROCESO:</t>
  </si>
  <si>
    <t>ALMACEN</t>
  </si>
  <si>
    <t>FIRMA DEL COLABORADOR</t>
  </si>
  <si>
    <t xml:space="preserve">MES: </t>
  </si>
  <si>
    <t xml:space="preserve">PERIODO DE: </t>
  </si>
  <si>
    <t xml:space="preserve">A: </t>
  </si>
  <si>
    <t>Silia Diaz</t>
  </si>
  <si>
    <t xml:space="preserve">Silia Diaz </t>
  </si>
  <si>
    <t>RONALD GRAJALES</t>
  </si>
  <si>
    <t>ESPERAR MATERIALES DE PROVEEDOR Y ENTREGAR</t>
  </si>
  <si>
    <t>JULIO</t>
  </si>
  <si>
    <t>RECIBIDO DE SATISFACCION</t>
  </si>
  <si>
    <t>AGOSTO/SEPTIEMBRE</t>
  </si>
  <si>
    <t>Aux  Logistico</t>
  </si>
  <si>
    <t>SEPTIEMBRE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</si>
  <si>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</t>
    </r>
  </si>
  <si>
    <t>ESPERAR Y ENTREGAR MATERIAL DE TODORTOPEDICO A CAMPBELL</t>
  </si>
  <si>
    <t>RECIBIENDO COLUMNA PARA CAMPBELL-ENVIANDO CANULADOS A BARU</t>
  </si>
  <si>
    <t>ENVIANDO TIBIA PROXIMAL 4.5 A BARU</t>
  </si>
  <si>
    <t>RECOGIENDO EL RETROGRADO DE CAMPBELL-ENVIANDO REPO DE TIBIA DE ABUMAC A BARU</t>
  </si>
  <si>
    <t>ESPERANDO REPO DE TIBIA PROXIMAL DE ABUMAC</t>
  </si>
  <si>
    <t>RECIBIDO A SATISFACCION</t>
  </si>
  <si>
    <t>ENVIANDO CLAVO CEFALO Y CLAVICULA DISTAL A BARU</t>
  </si>
  <si>
    <t>ESPERANDO Y ENVIANDO REPO DE CLAVICULA DE ABUMAC A BARU Y MATERIAL DE SAMPEDRO</t>
  </si>
  <si>
    <t>KEISY ARRIETA</t>
  </si>
  <si>
    <t>AUXILIAR ADMINISTRATIVO</t>
  </si>
  <si>
    <t>AGOSTO</t>
  </si>
  <si>
    <t>RECIBO DE SATISFACCION</t>
  </si>
  <si>
    <t xml:space="preserve">JUSTIN ORTIZ RUIZ </t>
  </si>
  <si>
    <t>AGOSTO-SEPTIEMPRE</t>
  </si>
  <si>
    <r>
      <t xml:space="preserve">A: </t>
    </r>
    <r>
      <rPr>
        <sz val="12"/>
        <color theme="1"/>
        <rFont val="Calibri"/>
        <family val="2"/>
        <scheme val="minor"/>
      </rPr>
      <t>15/09/2025</t>
    </r>
  </si>
  <si>
    <t>ESPERAR Y ENVIAR JORNADA SRTROSCOPIA DE ABUMAC A BAHIA</t>
  </si>
  <si>
    <t xml:space="preserve">RECIBIDO DE SATISFACION </t>
  </si>
  <si>
    <t>ENVIAR MATERIALES A BAHIA</t>
  </si>
  <si>
    <t>ESPERAR MATERIALES Y ENVIAR A BAHIA</t>
  </si>
  <si>
    <t xml:space="preserve">ESPERANDO MATERIALES Y ENVIAR A BAHIA </t>
  </si>
  <si>
    <t xml:space="preserve">ESPERAR MATERIALES Y ENVIAR A BAHIA </t>
  </si>
  <si>
    <t xml:space="preserve">ESPARAR MATERIAL ABUMAC Y ENVIAR A BAHI </t>
  </si>
  <si>
    <t xml:space="preserve">ESPRAR MATERIALES DE ABUMAC Y TODO ORTOPEDICO Y ENVIAR A BAHIA </t>
  </si>
  <si>
    <t>KEISSY ARRIETA</t>
  </si>
  <si>
    <t>AUXILIAR ADMONISTRATIVO</t>
  </si>
  <si>
    <t>RESPONSABLE:</t>
  </si>
  <si>
    <t xml:space="preserve">MOISES RINCON </t>
  </si>
  <si>
    <t>Mensajero</t>
  </si>
  <si>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: SEPTIEMBRE</t>
    </r>
  </si>
  <si>
    <t>llevar material a rp dental</t>
  </si>
  <si>
    <t>recogiendo material a rp dental - imeq</t>
  </si>
  <si>
    <t xml:space="preserve">recogiendo encomienda natalia tovar - centro </t>
  </si>
  <si>
    <t>recogirndo material rp dental</t>
  </si>
  <si>
    <t>recogiendo material abumac</t>
  </si>
  <si>
    <t>recogiendo material todo ortopedico</t>
  </si>
  <si>
    <t>recogiendo material rp dental</t>
  </si>
  <si>
    <t>llevando material movid</t>
  </si>
  <si>
    <t>MOISES RINCON</t>
  </si>
  <si>
    <t>MENSAJERO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</si>
</sst>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0" fontId="5" fillId="0" borderId="0" xfId="0" applyFont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left"/>
    </xf>
    <xf numFmtId="0" fontId="8" fillId="0" borderId="1" xfId="0" applyFont="1" applyBorder="1"/>
    <xf numFmtId="43" fontId="3" fillId="0" borderId="1" xfId="2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166" fontId="6" fillId="0" borderId="1" xfId="2" applyNumberFormat="1" applyFont="1" applyBorder="1"/>
    <xf numFmtId="166" fontId="6" fillId="0" borderId="1" xfId="0" applyNumberFormat="1" applyFont="1" applyBorder="1"/>
    <xf numFmtId="20" fontId="3" fillId="0" borderId="1" xfId="2" applyNumberFormat="1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166" fontId="0" fillId="0" borderId="0" xfId="0" applyNumberFormat="1"/>
    <xf numFmtId="20" fontId="5" fillId="0" borderId="0" xfId="0" applyNumberFormat="1" applyFont="1"/>
    <xf numFmtId="0" fontId="9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49" fontId="5" fillId="0" borderId="0" xfId="0" applyNumberFormat="1" applyFont="1"/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0" fontId="3" fillId="0" borderId="2" xfId="0" applyNumberFormat="1" applyFont="1" applyBorder="1" applyAlignment="1">
      <alignment horizontal="left" vertical="center"/>
    </xf>
    <xf numFmtId="20" fontId="3" fillId="0" borderId="3" xfId="0" applyNumberFormat="1" applyFont="1" applyBorder="1" applyAlignment="1">
      <alignment horizontal="left" vertical="center"/>
    </xf>
    <xf numFmtId="20" fontId="3" fillId="0" borderId="2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/>
    </xf>
    <xf numFmtId="14" fontId="3" fillId="0" borderId="4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166" fontId="3" fillId="0" borderId="10" xfId="2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0" fontId="3" fillId="0" borderId="11" xfId="0" applyNumberFormat="1" applyFont="1" applyBorder="1" applyAlignment="1">
      <alignment horizontal="center" vertical="center"/>
    </xf>
    <xf numFmtId="166" fontId="3" fillId="0" borderId="11" xfId="2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0" fontId="3" fillId="0" borderId="9" xfId="0" applyNumberFormat="1" applyFont="1" applyBorder="1" applyAlignment="1">
      <alignment horizontal="center" vertical="center"/>
    </xf>
    <xf numFmtId="166" fontId="3" fillId="0" borderId="9" xfId="2" applyNumberFormat="1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20" fontId="3" fillId="0" borderId="18" xfId="0" applyNumberFormat="1" applyFont="1" applyBorder="1" applyAlignment="1">
      <alignment horizontal="center" vertic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90923</xdr:rowOff>
    </xdr:from>
    <xdr:to>
      <xdr:col>2</xdr:col>
      <xdr:colOff>24193</xdr:colOff>
      <xdr:row>3</xdr:row>
      <xdr:rowOff>161928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1186"/>
          <a:ext cx="604405" cy="1189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63294</xdr:colOff>
      <xdr:row>1</xdr:row>
      <xdr:rowOff>14723</xdr:rowOff>
    </xdr:from>
    <xdr:to>
      <xdr:col>1</xdr:col>
      <xdr:colOff>490917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F1F1A0-DBB1-4313-9687-CFDA183E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8767" y="-130250"/>
          <a:ext cx="518677" cy="11896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133353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27329" y="-144536"/>
          <a:ext cx="604405" cy="11896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52823</xdr:rowOff>
    </xdr:from>
    <xdr:to>
      <xdr:col>1</xdr:col>
      <xdr:colOff>967168</xdr:colOff>
      <xdr:row>3</xdr:row>
      <xdr:rowOff>76203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0CB66B-3005-416E-AB6A-D9D19600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7342" y="-149299"/>
          <a:ext cx="404380" cy="11896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25197</xdr:colOff>
      <xdr:row>1</xdr:row>
      <xdr:rowOff>95251</xdr:rowOff>
    </xdr:from>
    <xdr:to>
      <xdr:col>1</xdr:col>
      <xdr:colOff>957645</xdr:colOff>
      <xdr:row>3</xdr:row>
      <xdr:rowOff>104778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1BACF6-7F4D-48A1-A9DE-0CF23B02D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53308" y="-137610"/>
          <a:ext cx="533402" cy="11896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34720</xdr:colOff>
      <xdr:row>1</xdr:row>
      <xdr:rowOff>5199</xdr:rowOff>
    </xdr:from>
    <xdr:to>
      <xdr:col>1</xdr:col>
      <xdr:colOff>485775</xdr:colOff>
      <xdr:row>3</xdr:row>
      <xdr:rowOff>171453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4DBE80-11A6-4537-B98C-EBA80CA9C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39046" y="-108627"/>
          <a:ext cx="547254" cy="1155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showGridLines="0" tabSelected="1" workbookViewId="0">
      <selection activeCell="G13" sqref="G13"/>
    </sheetView>
  </sheetViews>
  <sheetFormatPr baseColWidth="10" defaultRowHeight="15" x14ac:dyDescent="0.25"/>
  <cols>
    <col min="1" max="1" width="6" customWidth="1"/>
    <col min="2" max="2" width="12" customWidth="1"/>
    <col min="3" max="3" width="11.140625" customWidth="1"/>
    <col min="4" max="4" width="6.140625" customWidth="1"/>
    <col min="5" max="5" width="11.42578125" customWidth="1"/>
    <col min="6" max="6" width="15" customWidth="1"/>
    <col min="7" max="7" width="14.140625" customWidth="1"/>
    <col min="8" max="8" width="14" customWidth="1"/>
    <col min="9" max="9" width="13.28515625" bestFit="1" customWidth="1"/>
  </cols>
  <sheetData>
    <row r="1" spans="1:11" ht="9.75" customHeight="1" x14ac:dyDescent="0.25"/>
    <row r="2" spans="1:11" ht="23.25" customHeight="1" x14ac:dyDescent="0.25">
      <c r="A2" s="46" t="s">
        <v>28</v>
      </c>
      <c r="B2" s="46"/>
      <c r="C2" s="46"/>
      <c r="D2" s="46"/>
      <c r="E2" s="46"/>
      <c r="F2" s="46"/>
      <c r="G2" s="46"/>
      <c r="H2" s="46"/>
      <c r="I2" s="46"/>
      <c r="J2" s="46"/>
      <c r="K2" s="46"/>
    </row>
    <row r="3" spans="1:11" ht="18.75" customHeight="1" x14ac:dyDescent="0.2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ht="19.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ht="15.75" x14ac:dyDescent="0.25">
      <c r="A5" s="29" t="s">
        <v>73</v>
      </c>
      <c r="B5" s="29"/>
      <c r="C5" s="47" t="s">
        <v>21</v>
      </c>
      <c r="D5" s="47"/>
      <c r="E5" s="47"/>
      <c r="F5" s="11" t="s">
        <v>9</v>
      </c>
      <c r="G5" s="43" t="s">
        <v>20</v>
      </c>
      <c r="H5" s="44"/>
      <c r="I5" s="11" t="s">
        <v>32</v>
      </c>
      <c r="J5" s="43" t="s">
        <v>33</v>
      </c>
      <c r="K5" s="45"/>
    </row>
    <row r="6" spans="1:11" ht="15.75" x14ac:dyDescent="0.25">
      <c r="A6" s="29" t="s">
        <v>31</v>
      </c>
      <c r="B6" s="29"/>
      <c r="C6" s="48" t="s">
        <v>44</v>
      </c>
      <c r="D6" s="49"/>
      <c r="E6" s="50"/>
      <c r="F6" s="51" t="s">
        <v>22</v>
      </c>
      <c r="G6" s="52"/>
      <c r="H6" s="41">
        <v>45885</v>
      </c>
      <c r="I6" s="42"/>
      <c r="J6" s="41">
        <v>45915</v>
      </c>
      <c r="K6" s="42"/>
    </row>
    <row r="7" spans="1:11" ht="47.25" x14ac:dyDescent="0.25">
      <c r="A7" s="2" t="s">
        <v>0</v>
      </c>
      <c r="B7" s="23" t="s">
        <v>23</v>
      </c>
      <c r="C7" s="24"/>
      <c r="D7" s="25"/>
      <c r="E7" s="39" t="s">
        <v>19</v>
      </c>
      <c r="F7" s="40"/>
      <c r="G7" s="3" t="s">
        <v>27</v>
      </c>
      <c r="H7" s="8" t="s">
        <v>29</v>
      </c>
      <c r="I7" s="8" t="s">
        <v>30</v>
      </c>
      <c r="J7" s="39" t="s">
        <v>34</v>
      </c>
      <c r="K7" s="40"/>
    </row>
    <row r="8" spans="1:11" ht="15.75" x14ac:dyDescent="0.25">
      <c r="A8" s="4">
        <v>1</v>
      </c>
      <c r="B8" s="26" t="s">
        <v>25</v>
      </c>
      <c r="C8" s="27"/>
      <c r="D8" s="28"/>
      <c r="E8" s="33" t="s">
        <v>26</v>
      </c>
      <c r="F8" s="34"/>
      <c r="G8" s="7">
        <v>15</v>
      </c>
      <c r="H8" s="9"/>
      <c r="I8" s="9"/>
      <c r="J8" s="38"/>
      <c r="K8" s="38"/>
    </row>
    <row r="9" spans="1:11" ht="15.75" x14ac:dyDescent="0.25">
      <c r="A9" s="4">
        <v>2</v>
      </c>
      <c r="B9" s="26" t="s">
        <v>71</v>
      </c>
      <c r="C9" s="27"/>
      <c r="D9" s="28"/>
      <c r="E9" s="33" t="s">
        <v>72</v>
      </c>
      <c r="F9" s="34"/>
      <c r="G9" s="7">
        <v>12</v>
      </c>
      <c r="H9" s="9"/>
      <c r="I9" s="9">
        <f>H9*G9</f>
        <v>0</v>
      </c>
      <c r="J9" s="38"/>
      <c r="K9" s="38"/>
    </row>
    <row r="10" spans="1:11" ht="15.75" x14ac:dyDescent="0.25">
      <c r="A10" s="4">
        <v>3</v>
      </c>
      <c r="B10" s="26" t="s">
        <v>24</v>
      </c>
      <c r="C10" s="27"/>
      <c r="D10" s="28"/>
      <c r="E10" s="33" t="s">
        <v>26</v>
      </c>
      <c r="F10" s="34"/>
      <c r="G10" s="7">
        <v>19</v>
      </c>
      <c r="H10" s="9"/>
      <c r="I10" s="9">
        <f t="shared" ref="I10:I19" si="0">H10*G10</f>
        <v>0</v>
      </c>
      <c r="J10" s="38"/>
      <c r="K10" s="38"/>
    </row>
    <row r="11" spans="1:11" ht="15.75" x14ac:dyDescent="0.25">
      <c r="A11" s="4">
        <v>4</v>
      </c>
      <c r="B11" s="26" t="s">
        <v>40</v>
      </c>
      <c r="C11" s="27"/>
      <c r="D11" s="28"/>
      <c r="E11" s="33" t="s">
        <v>26</v>
      </c>
      <c r="F11" s="34"/>
      <c r="G11" s="7">
        <v>20</v>
      </c>
      <c r="H11" s="9"/>
      <c r="I11" s="9">
        <f t="shared" si="0"/>
        <v>0</v>
      </c>
      <c r="J11" s="38"/>
      <c r="K11" s="38"/>
    </row>
    <row r="12" spans="1:11" ht="15.75" x14ac:dyDescent="0.25">
      <c r="A12" s="4">
        <v>5</v>
      </c>
      <c r="B12" s="26" t="s">
        <v>85</v>
      </c>
      <c r="C12" s="27"/>
      <c r="D12" s="28"/>
      <c r="E12" s="33" t="s">
        <v>86</v>
      </c>
      <c r="F12" s="34"/>
      <c r="G12" s="7">
        <v>13</v>
      </c>
      <c r="H12" s="9"/>
      <c r="I12" s="9">
        <f t="shared" si="0"/>
        <v>0</v>
      </c>
      <c r="J12" s="38"/>
      <c r="K12" s="38"/>
    </row>
    <row r="13" spans="1:11" ht="15.75" x14ac:dyDescent="0.25">
      <c r="A13" s="4">
        <v>6</v>
      </c>
      <c r="B13" s="26"/>
      <c r="C13" s="27"/>
      <c r="D13" s="28"/>
      <c r="E13" s="33"/>
      <c r="F13" s="34"/>
      <c r="G13" s="7"/>
      <c r="H13" s="9"/>
      <c r="I13" s="9">
        <f t="shared" si="0"/>
        <v>0</v>
      </c>
      <c r="J13" s="38"/>
      <c r="K13" s="38"/>
    </row>
    <row r="14" spans="1:11" ht="15.75" x14ac:dyDescent="0.25">
      <c r="A14" s="4">
        <v>7</v>
      </c>
      <c r="B14" s="26"/>
      <c r="C14" s="27"/>
      <c r="D14" s="28"/>
      <c r="E14" s="33"/>
      <c r="F14" s="34"/>
      <c r="G14" s="7"/>
      <c r="H14" s="9"/>
      <c r="I14" s="9">
        <f t="shared" si="0"/>
        <v>0</v>
      </c>
      <c r="J14" s="38"/>
      <c r="K14" s="38"/>
    </row>
    <row r="15" spans="1:11" ht="15.75" x14ac:dyDescent="0.25">
      <c r="A15" s="4">
        <v>8</v>
      </c>
      <c r="B15" s="26"/>
      <c r="C15" s="27"/>
      <c r="D15" s="28"/>
      <c r="E15" s="35"/>
      <c r="F15" s="36"/>
      <c r="G15" s="7"/>
      <c r="H15" s="9"/>
      <c r="I15" s="9">
        <f t="shared" si="0"/>
        <v>0</v>
      </c>
      <c r="J15" s="38"/>
      <c r="K15" s="38"/>
    </row>
    <row r="16" spans="1:11" ht="15.75" x14ac:dyDescent="0.25">
      <c r="A16" s="4">
        <v>9</v>
      </c>
      <c r="B16" s="26"/>
      <c r="C16" s="27"/>
      <c r="D16" s="28"/>
      <c r="E16" s="35"/>
      <c r="F16" s="36"/>
      <c r="G16" s="7"/>
      <c r="H16" s="9"/>
      <c r="I16" s="9">
        <f t="shared" si="0"/>
        <v>0</v>
      </c>
      <c r="J16" s="38"/>
      <c r="K16" s="38"/>
    </row>
    <row r="17" spans="1:11" ht="15.75" x14ac:dyDescent="0.25">
      <c r="A17" s="4">
        <v>10</v>
      </c>
      <c r="B17" s="26"/>
      <c r="C17" s="27"/>
      <c r="D17" s="28"/>
      <c r="E17" s="35"/>
      <c r="F17" s="36"/>
      <c r="G17" s="7"/>
      <c r="H17" s="9"/>
      <c r="I17" s="9">
        <f t="shared" si="0"/>
        <v>0</v>
      </c>
      <c r="J17" s="38"/>
      <c r="K17" s="38"/>
    </row>
    <row r="18" spans="1:11" ht="15.75" x14ac:dyDescent="0.25">
      <c r="A18" s="4">
        <v>11</v>
      </c>
      <c r="B18" s="26"/>
      <c r="C18" s="27"/>
      <c r="D18" s="28"/>
      <c r="E18" s="35"/>
      <c r="F18" s="36"/>
      <c r="G18" s="7"/>
      <c r="H18" s="9"/>
      <c r="I18" s="9">
        <f t="shared" si="0"/>
        <v>0</v>
      </c>
      <c r="J18" s="38"/>
      <c r="K18" s="38"/>
    </row>
    <row r="19" spans="1:11" ht="15.75" x14ac:dyDescent="0.25">
      <c r="A19" s="4">
        <v>12</v>
      </c>
      <c r="B19" s="26"/>
      <c r="C19" s="27"/>
      <c r="D19" s="28"/>
      <c r="E19" s="35"/>
      <c r="F19" s="36"/>
      <c r="G19" s="7">
        <f>SUM(G9:G18)</f>
        <v>64</v>
      </c>
      <c r="H19" s="9"/>
      <c r="I19" s="9">
        <f t="shared" si="0"/>
        <v>0</v>
      </c>
      <c r="J19" s="38"/>
      <c r="K19" s="38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0.100000000000001" customHeight="1" x14ac:dyDescent="0.25">
      <c r="A22" s="37" t="s">
        <v>16</v>
      </c>
      <c r="B22" s="37"/>
      <c r="C22" s="32" t="s">
        <v>21</v>
      </c>
      <c r="D22" s="32"/>
      <c r="E22" s="32"/>
      <c r="F22" s="32"/>
      <c r="G22" s="32"/>
      <c r="H22" s="1"/>
      <c r="I22" s="1"/>
      <c r="J22" s="1"/>
      <c r="K22" s="1"/>
    </row>
    <row r="23" spans="1:11" ht="20.100000000000001" customHeight="1" x14ac:dyDescent="0.25">
      <c r="A23" s="37" t="s">
        <v>17</v>
      </c>
      <c r="B23" s="37"/>
      <c r="C23" s="31"/>
      <c r="D23" s="31"/>
      <c r="E23" s="31"/>
      <c r="F23" s="31"/>
      <c r="G23" s="31"/>
      <c r="H23" s="1"/>
      <c r="I23" s="1"/>
      <c r="J23" s="1"/>
      <c r="K23" s="1"/>
    </row>
    <row r="24" spans="1:11" ht="20.100000000000001" customHeight="1" x14ac:dyDescent="0.25">
      <c r="A24" s="37" t="s">
        <v>18</v>
      </c>
      <c r="B24" s="37"/>
      <c r="C24" s="37"/>
      <c r="D24" s="30">
        <f ca="1">TODAY()</f>
        <v>45923</v>
      </c>
      <c r="E24" s="31"/>
      <c r="F24" s="31"/>
      <c r="G24" s="31"/>
      <c r="H24" s="1"/>
      <c r="I24" s="1"/>
      <c r="J24" s="1"/>
      <c r="K24" s="1"/>
    </row>
    <row r="25" spans="1:11" ht="20.100000000000001" customHeight="1" x14ac:dyDescent="0.25"/>
  </sheetData>
  <mergeCells count="55">
    <mergeCell ref="J6:K6"/>
    <mergeCell ref="G5:H5"/>
    <mergeCell ref="J5:K5"/>
    <mergeCell ref="A2:K4"/>
    <mergeCell ref="A5:B5"/>
    <mergeCell ref="C5:E5"/>
    <mergeCell ref="C6:E6"/>
    <mergeCell ref="F6:G6"/>
    <mergeCell ref="H6:I6"/>
    <mergeCell ref="J8:K8"/>
    <mergeCell ref="J9:K9"/>
    <mergeCell ref="E7:F7"/>
    <mergeCell ref="E8:F8"/>
    <mergeCell ref="E9:F9"/>
    <mergeCell ref="J7:K7"/>
    <mergeCell ref="J10:K10"/>
    <mergeCell ref="J11:K11"/>
    <mergeCell ref="J12:K12"/>
    <mergeCell ref="B11:D11"/>
    <mergeCell ref="B12:D12"/>
    <mergeCell ref="E10:F10"/>
    <mergeCell ref="E11:F11"/>
    <mergeCell ref="J13:K13"/>
    <mergeCell ref="J14:K14"/>
    <mergeCell ref="J15:K15"/>
    <mergeCell ref="B13:D13"/>
    <mergeCell ref="B14:D14"/>
    <mergeCell ref="B15:D15"/>
    <mergeCell ref="J16:K16"/>
    <mergeCell ref="J17:K17"/>
    <mergeCell ref="J18:K18"/>
    <mergeCell ref="B16:D16"/>
    <mergeCell ref="B17:D17"/>
    <mergeCell ref="B18:D18"/>
    <mergeCell ref="E18:F18"/>
    <mergeCell ref="J19:K19"/>
    <mergeCell ref="A22:B22"/>
    <mergeCell ref="A23:B23"/>
    <mergeCell ref="B19:D19"/>
    <mergeCell ref="E19:F19"/>
    <mergeCell ref="C23:G23"/>
    <mergeCell ref="B7:D7"/>
    <mergeCell ref="B8:D8"/>
    <mergeCell ref="A6:B6"/>
    <mergeCell ref="D24:G24"/>
    <mergeCell ref="C22:G22"/>
    <mergeCell ref="E12:F12"/>
    <mergeCell ref="E13:F13"/>
    <mergeCell ref="E14:F14"/>
    <mergeCell ref="E15:F15"/>
    <mergeCell ref="E16:F16"/>
    <mergeCell ref="E17:F17"/>
    <mergeCell ref="A24:C24"/>
    <mergeCell ref="B9:D9"/>
    <mergeCell ref="B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F313-B596-44D9-8A7F-7AA533F99A2F}">
  <dimension ref="A2:L21"/>
  <sheetViews>
    <sheetView workbookViewId="0">
      <selection activeCell="I24" sqref="I24"/>
    </sheetView>
  </sheetViews>
  <sheetFormatPr baseColWidth="10" defaultRowHeight="15" x14ac:dyDescent="0.25"/>
  <cols>
    <col min="2" max="2" width="16.28515625" customWidth="1"/>
    <col min="4" max="4" width="45.4257812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63" t="s">
        <v>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x14ac:dyDescent="0.2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2" ht="28.5" customHeight="1" x14ac:dyDescent="0.25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2" ht="15.75" x14ac:dyDescent="0.25">
      <c r="A5" s="29" t="s">
        <v>12</v>
      </c>
      <c r="B5" s="29"/>
      <c r="C5" s="60" t="s">
        <v>74</v>
      </c>
      <c r="D5" s="61"/>
      <c r="E5" s="51" t="s">
        <v>11</v>
      </c>
      <c r="F5" s="52"/>
      <c r="G5" s="54">
        <v>72157200</v>
      </c>
      <c r="H5" s="55"/>
      <c r="I5" s="51" t="s">
        <v>9</v>
      </c>
      <c r="J5" s="52"/>
      <c r="K5" s="55" t="s">
        <v>75</v>
      </c>
      <c r="L5" s="62"/>
    </row>
    <row r="6" spans="1:12" ht="15.75" x14ac:dyDescent="0.25">
      <c r="A6" s="29" t="s">
        <v>35</v>
      </c>
      <c r="B6" s="29"/>
      <c r="C6" s="48" t="s">
        <v>58</v>
      </c>
      <c r="D6" s="50"/>
      <c r="E6" s="51" t="s">
        <v>36</v>
      </c>
      <c r="F6" s="52"/>
      <c r="G6" s="26">
        <v>45865</v>
      </c>
      <c r="H6" s="56"/>
      <c r="I6" s="48" t="s">
        <v>76</v>
      </c>
      <c r="J6" s="50"/>
      <c r="K6" s="26">
        <v>45915</v>
      </c>
      <c r="L6" s="61"/>
    </row>
    <row r="7" spans="1:12" ht="31.5" x14ac:dyDescent="0.25">
      <c r="A7" s="74" t="s">
        <v>0</v>
      </c>
      <c r="B7" s="74" t="s">
        <v>5</v>
      </c>
      <c r="C7" s="75" t="s">
        <v>6</v>
      </c>
      <c r="D7" s="75"/>
      <c r="E7" s="20" t="s">
        <v>1</v>
      </c>
      <c r="F7" s="20" t="s">
        <v>2</v>
      </c>
      <c r="G7" s="20" t="s">
        <v>13</v>
      </c>
      <c r="H7" s="20" t="s">
        <v>14</v>
      </c>
      <c r="I7" s="20" t="s">
        <v>3</v>
      </c>
      <c r="J7" s="20" t="s">
        <v>4</v>
      </c>
      <c r="K7" s="76" t="s">
        <v>7</v>
      </c>
      <c r="L7" s="76"/>
    </row>
    <row r="8" spans="1:12" ht="15.75" x14ac:dyDescent="0.25">
      <c r="A8" s="77">
        <v>1</v>
      </c>
      <c r="B8" s="78">
        <v>45866</v>
      </c>
      <c r="C8" s="79" t="s">
        <v>77</v>
      </c>
      <c r="D8" s="80"/>
      <c r="E8" s="81">
        <v>0.33333333333333331</v>
      </c>
      <c r="F8" s="81">
        <v>0.75</v>
      </c>
      <c r="G8" s="82">
        <v>4.1666666666666664E-2</v>
      </c>
      <c r="H8" s="81">
        <f>(F8-E8-G8)</f>
        <v>0.375</v>
      </c>
      <c r="I8" s="82">
        <v>0.33333333333333331</v>
      </c>
      <c r="J8" s="83">
        <v>1</v>
      </c>
      <c r="K8" s="84" t="s">
        <v>39</v>
      </c>
      <c r="L8" s="79"/>
    </row>
    <row r="9" spans="1:12" ht="15.75" x14ac:dyDescent="0.25">
      <c r="A9" s="77">
        <v>2</v>
      </c>
      <c r="B9" s="85">
        <v>45877</v>
      </c>
      <c r="C9" s="86" t="s">
        <v>78</v>
      </c>
      <c r="D9" s="87"/>
      <c r="E9" s="81">
        <v>0.33333333333333331</v>
      </c>
      <c r="F9" s="81">
        <v>0.79166666666666663</v>
      </c>
      <c r="G9" s="82">
        <v>4.1666666666666664E-2</v>
      </c>
      <c r="H9" s="81">
        <f t="shared" ref="H9:H15" si="0">(F9-E9-G9)</f>
        <v>0.41666666666666663</v>
      </c>
      <c r="I9" s="82">
        <v>0.33333333333333331</v>
      </c>
      <c r="J9" s="83">
        <v>2</v>
      </c>
      <c r="K9" s="86" t="s">
        <v>39</v>
      </c>
      <c r="L9" s="86"/>
    </row>
    <row r="10" spans="1:12" ht="15.75" x14ac:dyDescent="0.25">
      <c r="A10" s="77">
        <v>3</v>
      </c>
      <c r="B10" s="5">
        <v>45878</v>
      </c>
      <c r="C10" s="88" t="s">
        <v>79</v>
      </c>
      <c r="D10" s="89"/>
      <c r="E10" s="81">
        <v>0.33333333333333298</v>
      </c>
      <c r="F10" s="81">
        <v>0.58333333333333337</v>
      </c>
      <c r="G10" s="82">
        <v>0</v>
      </c>
      <c r="H10" s="81">
        <f t="shared" si="0"/>
        <v>0.25000000000000039</v>
      </c>
      <c r="I10" s="90">
        <v>0.16666666666666666</v>
      </c>
      <c r="J10" s="83">
        <v>2</v>
      </c>
      <c r="K10" s="91" t="s">
        <v>39</v>
      </c>
      <c r="L10" s="92"/>
    </row>
    <row r="11" spans="1:12" ht="15.75" x14ac:dyDescent="0.25">
      <c r="A11" s="77">
        <v>4</v>
      </c>
      <c r="B11" s="5">
        <v>45884</v>
      </c>
      <c r="C11" s="38" t="s">
        <v>80</v>
      </c>
      <c r="D11" s="38"/>
      <c r="E11" s="93">
        <v>0.33333333333333331</v>
      </c>
      <c r="F11" s="93">
        <v>0.79166666666666663</v>
      </c>
      <c r="G11" s="6">
        <v>4.1666666666666664E-2</v>
      </c>
      <c r="H11" s="81">
        <f t="shared" si="0"/>
        <v>0.41666666666666663</v>
      </c>
      <c r="I11" s="6">
        <v>0.33333333333333331</v>
      </c>
      <c r="J11" s="94">
        <v>2</v>
      </c>
      <c r="K11" s="38" t="s">
        <v>39</v>
      </c>
      <c r="L11" s="38"/>
    </row>
    <row r="12" spans="1:12" ht="15.75" x14ac:dyDescent="0.25">
      <c r="A12" s="77">
        <v>5</v>
      </c>
      <c r="B12" s="5">
        <v>45897</v>
      </c>
      <c r="C12" s="38" t="s">
        <v>81</v>
      </c>
      <c r="D12" s="38"/>
      <c r="E12" s="6">
        <v>0.33333333333333331</v>
      </c>
      <c r="F12" s="6">
        <v>0.75</v>
      </c>
      <c r="G12" s="6">
        <v>4.1666666666666664E-2</v>
      </c>
      <c r="H12" s="81">
        <f t="shared" si="0"/>
        <v>0.375</v>
      </c>
      <c r="I12" s="6">
        <v>0.33333333333333331</v>
      </c>
      <c r="J12" s="13">
        <v>1</v>
      </c>
      <c r="K12" s="38" t="s">
        <v>39</v>
      </c>
      <c r="L12" s="38"/>
    </row>
    <row r="13" spans="1:12" ht="15.75" x14ac:dyDescent="0.25">
      <c r="A13" s="77">
        <v>6</v>
      </c>
      <c r="B13" s="5">
        <v>45898</v>
      </c>
      <c r="C13" s="38" t="s">
        <v>82</v>
      </c>
      <c r="D13" s="38"/>
      <c r="E13" s="6">
        <v>0.33333333333333331</v>
      </c>
      <c r="F13" s="6">
        <v>0.8125</v>
      </c>
      <c r="G13" s="6">
        <v>4.1666666666666664E-2</v>
      </c>
      <c r="H13" s="81">
        <f t="shared" si="0"/>
        <v>0.4375</v>
      </c>
      <c r="I13" s="6">
        <v>0.33333333333333298</v>
      </c>
      <c r="J13" s="13">
        <v>2</v>
      </c>
      <c r="K13" s="38" t="s">
        <v>39</v>
      </c>
      <c r="L13" s="38"/>
    </row>
    <row r="14" spans="1:12" ht="15.75" x14ac:dyDescent="0.25">
      <c r="A14" s="77">
        <v>7</v>
      </c>
      <c r="B14" s="95">
        <v>45909</v>
      </c>
      <c r="C14" s="96" t="s">
        <v>83</v>
      </c>
      <c r="D14" s="96"/>
      <c r="E14" s="97">
        <v>0.33333333333333331</v>
      </c>
      <c r="F14" s="97">
        <v>0.75</v>
      </c>
      <c r="G14" s="97">
        <v>4.1666666666666664E-2</v>
      </c>
      <c r="H14" s="81">
        <f t="shared" si="0"/>
        <v>0.375</v>
      </c>
      <c r="I14" s="97">
        <v>0.33333333333333331</v>
      </c>
      <c r="J14" s="98">
        <v>1</v>
      </c>
      <c r="K14" s="96" t="s">
        <v>39</v>
      </c>
      <c r="L14" s="96"/>
    </row>
    <row r="15" spans="1:12" ht="15.75" x14ac:dyDescent="0.25">
      <c r="A15" s="77">
        <v>8</v>
      </c>
      <c r="B15" s="99">
        <v>45915</v>
      </c>
      <c r="C15" s="100" t="s">
        <v>84</v>
      </c>
      <c r="D15" s="100"/>
      <c r="E15" s="6">
        <v>0.33333333333333298</v>
      </c>
      <c r="F15" s="97">
        <v>0.82361111111111107</v>
      </c>
      <c r="G15" s="6">
        <v>4.1666666666666699E-2</v>
      </c>
      <c r="H15" s="81">
        <f t="shared" si="0"/>
        <v>0.4486111111111114</v>
      </c>
      <c r="I15" s="17">
        <v>0.33333333333333398</v>
      </c>
      <c r="J15" s="13">
        <v>2</v>
      </c>
      <c r="K15" s="100" t="s">
        <v>39</v>
      </c>
      <c r="L15" s="100"/>
    </row>
    <row r="16" spans="1:12" ht="15.75" x14ac:dyDescent="0.25">
      <c r="A16" s="1"/>
      <c r="B16" s="1"/>
      <c r="C16" s="1"/>
      <c r="D16" s="1"/>
      <c r="E16" s="1"/>
      <c r="F16" s="10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59" t="s">
        <v>15</v>
      </c>
      <c r="I17" s="59"/>
      <c r="J17" s="15">
        <f>SUM(J8:J16)</f>
        <v>13</v>
      </c>
      <c r="K17" s="1"/>
      <c r="L17" s="1"/>
    </row>
    <row r="18" spans="1:12" x14ac:dyDescent="0.25">
      <c r="A18" s="37" t="s">
        <v>16</v>
      </c>
      <c r="B18" s="37"/>
      <c r="C18" s="32" t="s">
        <v>74</v>
      </c>
      <c r="D18" s="32"/>
      <c r="E18" s="32"/>
    </row>
    <row r="19" spans="1:12" x14ac:dyDescent="0.25">
      <c r="A19" s="37" t="s">
        <v>17</v>
      </c>
      <c r="B19" s="37"/>
      <c r="C19" s="31" t="s">
        <v>38</v>
      </c>
      <c r="D19" s="31"/>
      <c r="E19" s="31"/>
    </row>
    <row r="20" spans="1:12" x14ac:dyDescent="0.25">
      <c r="A20" s="37" t="s">
        <v>18</v>
      </c>
      <c r="B20" s="37"/>
      <c r="C20" s="37"/>
      <c r="D20" s="30">
        <v>45800</v>
      </c>
      <c r="E20" s="31"/>
    </row>
    <row r="21" spans="1:12" x14ac:dyDescent="0.25">
      <c r="J21" s="18"/>
    </row>
  </sheetData>
  <mergeCells count="38">
    <mergeCell ref="H17:I17"/>
    <mergeCell ref="A18:B18"/>
    <mergeCell ref="C18:E18"/>
    <mergeCell ref="A19:B19"/>
    <mergeCell ref="C19:E19"/>
    <mergeCell ref="A20:C20"/>
    <mergeCell ref="D20:E20"/>
    <mergeCell ref="C13:D13"/>
    <mergeCell ref="K13:L13"/>
    <mergeCell ref="C14:D14"/>
    <mergeCell ref="K14:L14"/>
    <mergeCell ref="C15:D15"/>
    <mergeCell ref="K15:L15"/>
    <mergeCell ref="C10:D10"/>
    <mergeCell ref="K10:L10"/>
    <mergeCell ref="C11:D11"/>
    <mergeCell ref="K11:L11"/>
    <mergeCell ref="C12:D12"/>
    <mergeCell ref="K12:L12"/>
    <mergeCell ref="C7:D7"/>
    <mergeCell ref="K7:L7"/>
    <mergeCell ref="C8:D8"/>
    <mergeCell ref="K8:L8"/>
    <mergeCell ref="C9:D9"/>
    <mergeCell ref="K9:L9"/>
    <mergeCell ref="A6:B6"/>
    <mergeCell ref="C6:D6"/>
    <mergeCell ref="E6:F6"/>
    <mergeCell ref="G6:H6"/>
    <mergeCell ref="I6:J6"/>
    <mergeCell ref="K6:L6"/>
    <mergeCell ref="A2:L4"/>
    <mergeCell ref="A5:B5"/>
    <mergeCell ref="C5:D5"/>
    <mergeCell ref="E5:F5"/>
    <mergeCell ref="G5:H5"/>
    <mergeCell ref="I5:J5"/>
    <mergeCell ref="K5:L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1"/>
  <sheetViews>
    <sheetView showGridLines="0" showRuler="0" showWhiteSpace="0" topLeftCell="A11" zoomScaleNormal="100" workbookViewId="0">
      <selection activeCell="F22" sqref="F22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6.42578125" style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63" t="s">
        <v>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4" ht="17.25" customHeight="1" x14ac:dyDescent="0.2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4" x14ac:dyDescent="0.25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4" ht="17.100000000000001" customHeight="1" x14ac:dyDescent="0.25">
      <c r="A5" s="29" t="s">
        <v>12</v>
      </c>
      <c r="B5" s="29"/>
      <c r="C5" s="60" t="s">
        <v>38</v>
      </c>
      <c r="D5" s="61"/>
      <c r="E5" s="51" t="s">
        <v>11</v>
      </c>
      <c r="F5" s="52"/>
      <c r="G5" s="54">
        <v>1143121183</v>
      </c>
      <c r="H5" s="55"/>
      <c r="I5" s="51" t="s">
        <v>9</v>
      </c>
      <c r="J5" s="52"/>
      <c r="K5" s="55" t="s">
        <v>10</v>
      </c>
      <c r="L5" s="62"/>
      <c r="N5" s="10" t="s">
        <v>13</v>
      </c>
    </row>
    <row r="6" spans="1:14" ht="17.100000000000001" customHeight="1" x14ac:dyDescent="0.25">
      <c r="A6" s="29" t="s">
        <v>35</v>
      </c>
      <c r="B6" s="29"/>
      <c r="C6" s="48" t="s">
        <v>42</v>
      </c>
      <c r="D6" s="50"/>
      <c r="E6" s="51" t="s">
        <v>36</v>
      </c>
      <c r="F6" s="52"/>
      <c r="G6" s="26">
        <v>45885</v>
      </c>
      <c r="H6" s="56"/>
      <c r="I6" s="57" t="s">
        <v>37</v>
      </c>
      <c r="J6" s="58"/>
      <c r="K6" s="26">
        <v>45915</v>
      </c>
      <c r="L6" s="61"/>
    </row>
    <row r="7" spans="1:14" ht="36" customHeight="1" x14ac:dyDescent="0.25">
      <c r="A7" s="2" t="s">
        <v>0</v>
      </c>
      <c r="B7" s="2" t="s">
        <v>5</v>
      </c>
      <c r="C7" s="65" t="s">
        <v>6</v>
      </c>
      <c r="D7" s="65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64" t="s">
        <v>7</v>
      </c>
      <c r="L7" s="64"/>
    </row>
    <row r="8" spans="1:14" ht="48" customHeight="1" x14ac:dyDescent="0.25">
      <c r="A8" s="4">
        <v>1</v>
      </c>
      <c r="B8" s="5">
        <v>45889</v>
      </c>
      <c r="C8" s="53" t="s">
        <v>43</v>
      </c>
      <c r="D8" s="53"/>
      <c r="E8" s="6">
        <v>0.33333333333333331</v>
      </c>
      <c r="F8" s="6">
        <v>0.91666666666666663</v>
      </c>
      <c r="G8" s="6">
        <v>4.1666666666666664E-2</v>
      </c>
      <c r="H8" s="6">
        <f>(F8-E8-G8)</f>
        <v>0.54166666666666663</v>
      </c>
      <c r="I8" s="6">
        <v>0.33333333333333331</v>
      </c>
      <c r="J8" s="13">
        <v>5</v>
      </c>
      <c r="K8" s="38" t="s">
        <v>39</v>
      </c>
      <c r="L8" s="38"/>
    </row>
    <row r="9" spans="1:14" ht="33" customHeight="1" x14ac:dyDescent="0.25">
      <c r="A9" s="4">
        <v>2</v>
      </c>
      <c r="B9" s="5">
        <v>45890</v>
      </c>
      <c r="C9" s="53" t="s">
        <v>43</v>
      </c>
      <c r="D9" s="53"/>
      <c r="E9" s="6">
        <v>0.33333333333333331</v>
      </c>
      <c r="F9" s="6">
        <v>0.875</v>
      </c>
      <c r="G9" s="6">
        <v>4.1666666666666664E-2</v>
      </c>
      <c r="H9" s="6">
        <f>(F9-E9-G9)</f>
        <v>0.50000000000000011</v>
      </c>
      <c r="I9" s="6">
        <v>0.33333333333333331</v>
      </c>
      <c r="J9" s="13">
        <v>3</v>
      </c>
      <c r="K9" s="38" t="s">
        <v>39</v>
      </c>
      <c r="L9" s="38"/>
    </row>
    <row r="10" spans="1:14" ht="49.5" customHeight="1" x14ac:dyDescent="0.25">
      <c r="A10" s="4">
        <v>3</v>
      </c>
      <c r="B10" s="5">
        <v>45896</v>
      </c>
      <c r="C10" s="53" t="s">
        <v>41</v>
      </c>
      <c r="D10" s="53"/>
      <c r="E10" s="6">
        <v>0.33333333333333331</v>
      </c>
      <c r="F10" s="6">
        <v>0.75902777777777775</v>
      </c>
      <c r="G10" s="6">
        <v>4.1666666666666664E-2</v>
      </c>
      <c r="H10" s="6">
        <f t="shared" ref="H10:H14" si="0">(F10-E10-G10)</f>
        <v>0.38402777777777775</v>
      </c>
      <c r="I10" s="6">
        <v>0.33333333333333331</v>
      </c>
      <c r="J10" s="13">
        <v>1</v>
      </c>
      <c r="K10" s="38" t="s">
        <v>39</v>
      </c>
      <c r="L10" s="38"/>
    </row>
    <row r="11" spans="1:14" ht="40.5" customHeight="1" x14ac:dyDescent="0.25">
      <c r="A11" s="4">
        <v>4</v>
      </c>
      <c r="B11" s="5">
        <v>45897</v>
      </c>
      <c r="C11" s="53" t="s">
        <v>41</v>
      </c>
      <c r="D11" s="53"/>
      <c r="E11" s="6">
        <v>0.33333333333333331</v>
      </c>
      <c r="F11" s="6">
        <v>0.75347222222222221</v>
      </c>
      <c r="G11" s="6">
        <v>4.1666666666666664E-2</v>
      </c>
      <c r="H11" s="6">
        <f t="shared" si="0"/>
        <v>0.37847222222222221</v>
      </c>
      <c r="I11" s="6">
        <v>0.33333333333333331</v>
      </c>
      <c r="J11" s="13">
        <v>1</v>
      </c>
      <c r="K11" s="38" t="s">
        <v>39</v>
      </c>
      <c r="L11" s="38"/>
    </row>
    <row r="12" spans="1:14" ht="40.5" customHeight="1" x14ac:dyDescent="0.25">
      <c r="A12" s="4">
        <v>5</v>
      </c>
      <c r="B12" s="5">
        <v>45904</v>
      </c>
      <c r="C12" s="53" t="s">
        <v>41</v>
      </c>
      <c r="D12" s="53"/>
      <c r="E12" s="6">
        <v>0.33333333333333331</v>
      </c>
      <c r="F12" s="6">
        <v>0.75</v>
      </c>
      <c r="G12" s="6">
        <v>4.1666666666666664E-2</v>
      </c>
      <c r="H12" s="6">
        <f t="shared" si="0"/>
        <v>0.375</v>
      </c>
      <c r="I12" s="6">
        <v>0.33333333333333331</v>
      </c>
      <c r="J12" s="13">
        <v>1</v>
      </c>
      <c r="K12" s="38" t="s">
        <v>39</v>
      </c>
      <c r="L12" s="38"/>
    </row>
    <row r="13" spans="1:14" ht="30" customHeight="1" x14ac:dyDescent="0.25">
      <c r="A13" s="4">
        <v>6</v>
      </c>
      <c r="B13" s="5">
        <v>45909</v>
      </c>
      <c r="C13" s="53" t="s">
        <v>41</v>
      </c>
      <c r="D13" s="53"/>
      <c r="E13" s="6">
        <v>0.33333333333333331</v>
      </c>
      <c r="F13" s="6">
        <v>0.79861111111111116</v>
      </c>
      <c r="G13" s="6">
        <v>4.1666666666666664E-2</v>
      </c>
      <c r="H13" s="6">
        <f t="shared" si="0"/>
        <v>0.42361111111111116</v>
      </c>
      <c r="I13" s="6">
        <v>0.33333333333333331</v>
      </c>
      <c r="J13" s="13">
        <v>2</v>
      </c>
      <c r="K13" s="38" t="s">
        <v>39</v>
      </c>
      <c r="L13" s="38"/>
    </row>
    <row r="14" spans="1:14" ht="30.75" customHeight="1" x14ac:dyDescent="0.25">
      <c r="A14" s="4">
        <v>7</v>
      </c>
      <c r="B14" s="5">
        <v>45915</v>
      </c>
      <c r="C14" s="53" t="s">
        <v>41</v>
      </c>
      <c r="D14" s="53"/>
      <c r="E14" s="6">
        <v>0.33333333333333331</v>
      </c>
      <c r="F14" s="6">
        <v>0.79305555555555562</v>
      </c>
      <c r="G14" s="6">
        <v>4.1666666666666664E-2</v>
      </c>
      <c r="H14" s="6">
        <f t="shared" si="0"/>
        <v>0.41805555555555562</v>
      </c>
      <c r="I14" s="6">
        <v>0.33333333333333331</v>
      </c>
      <c r="J14" s="13">
        <v>2</v>
      </c>
      <c r="K14" s="38" t="s">
        <v>39</v>
      </c>
      <c r="L14" s="38"/>
    </row>
    <row r="15" spans="1:14" ht="38.25" customHeight="1" x14ac:dyDescent="0.25">
      <c r="A15" s="4">
        <v>8</v>
      </c>
      <c r="B15" s="5"/>
      <c r="C15" s="53"/>
      <c r="D15" s="53"/>
      <c r="E15" s="6"/>
      <c r="F15" s="6"/>
      <c r="G15" s="6"/>
      <c r="H15" s="6"/>
      <c r="I15" s="6"/>
      <c r="J15" s="16"/>
      <c r="K15" s="38"/>
      <c r="L15" s="38"/>
    </row>
    <row r="16" spans="1:14" ht="33" customHeight="1" x14ac:dyDescent="0.25">
      <c r="A16" s="4">
        <v>9</v>
      </c>
      <c r="B16" s="5"/>
      <c r="C16" s="53"/>
      <c r="D16" s="53"/>
      <c r="E16" s="6"/>
      <c r="F16" s="6"/>
      <c r="G16" s="6"/>
      <c r="H16" s="6"/>
      <c r="I16" s="6"/>
      <c r="J16" s="16"/>
      <c r="K16" s="38"/>
      <c r="L16" s="38"/>
    </row>
    <row r="17" spans="1:12" ht="28.5" customHeight="1" x14ac:dyDescent="0.25">
      <c r="A17" s="4">
        <v>10</v>
      </c>
      <c r="B17" s="5"/>
      <c r="C17" s="53"/>
      <c r="D17" s="53"/>
      <c r="E17" s="6"/>
      <c r="F17" s="6"/>
      <c r="G17" s="6"/>
      <c r="H17" s="6"/>
      <c r="I17" s="6"/>
      <c r="J17" s="16"/>
      <c r="K17" s="38"/>
      <c r="L17" s="38"/>
    </row>
    <row r="18" spans="1:12" ht="31.5" customHeight="1" x14ac:dyDescent="0.25">
      <c r="A18" s="4">
        <v>11</v>
      </c>
      <c r="B18" s="5"/>
      <c r="C18" s="53"/>
      <c r="D18" s="53"/>
      <c r="E18" s="6"/>
      <c r="F18" s="6"/>
      <c r="G18" s="6"/>
      <c r="H18" s="6"/>
      <c r="I18" s="6"/>
      <c r="J18" s="16"/>
      <c r="K18" s="38"/>
      <c r="L18" s="38"/>
    </row>
    <row r="19" spans="1:12" ht="31.5" customHeight="1" x14ac:dyDescent="0.25">
      <c r="A19" s="4">
        <v>12</v>
      </c>
      <c r="B19" s="5"/>
      <c r="C19" s="53"/>
      <c r="D19" s="53"/>
      <c r="E19" s="6"/>
      <c r="F19" s="6"/>
      <c r="G19" s="6"/>
      <c r="H19" s="6"/>
      <c r="I19" s="6"/>
      <c r="J19" s="16"/>
      <c r="K19" s="38"/>
      <c r="L19" s="38"/>
    </row>
    <row r="20" spans="1:12" ht="30" customHeight="1" x14ac:dyDescent="0.25">
      <c r="A20" s="4">
        <v>13</v>
      </c>
      <c r="B20" s="5"/>
      <c r="C20" s="53"/>
      <c r="D20" s="53"/>
      <c r="E20" s="6"/>
      <c r="F20" s="6"/>
      <c r="G20" s="6"/>
      <c r="H20" s="6"/>
      <c r="I20" s="6"/>
      <c r="J20" s="16"/>
      <c r="K20" s="38"/>
      <c r="L20" s="38"/>
    </row>
    <row r="21" spans="1:12" ht="30.75" customHeight="1" x14ac:dyDescent="0.25">
      <c r="A21" s="4">
        <v>14</v>
      </c>
      <c r="B21" s="5"/>
      <c r="C21" s="53"/>
      <c r="D21" s="53"/>
      <c r="E21" s="6"/>
      <c r="F21" s="6"/>
      <c r="G21" s="6"/>
      <c r="H21" s="6"/>
      <c r="I21" s="6"/>
      <c r="J21" s="16"/>
      <c r="K21" s="38"/>
      <c r="L21" s="38"/>
    </row>
    <row r="22" spans="1:12" ht="15.75" x14ac:dyDescent="0.25">
      <c r="A22" s="4">
        <v>15</v>
      </c>
      <c r="B22" s="5"/>
      <c r="C22" s="53"/>
      <c r="D22" s="53"/>
      <c r="E22" s="6"/>
      <c r="F22" s="6"/>
      <c r="G22" s="6"/>
      <c r="H22" s="6"/>
      <c r="I22" s="6"/>
      <c r="J22" s="16"/>
      <c r="K22" s="38"/>
      <c r="L22" s="38"/>
    </row>
    <row r="23" spans="1:12" ht="15.75" x14ac:dyDescent="0.25">
      <c r="A23" s="4">
        <v>16</v>
      </c>
      <c r="B23" s="5"/>
      <c r="C23" s="53"/>
      <c r="D23" s="53"/>
      <c r="E23" s="6"/>
      <c r="F23" s="6"/>
      <c r="G23" s="6"/>
      <c r="H23" s="6"/>
      <c r="I23" s="6"/>
      <c r="J23" s="16"/>
      <c r="K23" s="38"/>
      <c r="L23" s="38"/>
    </row>
    <row r="24" spans="1:12" ht="15.75" x14ac:dyDescent="0.25">
      <c r="A24" s="4">
        <v>17</v>
      </c>
      <c r="B24" s="5"/>
      <c r="C24" s="53"/>
      <c r="D24" s="53"/>
      <c r="E24" s="6"/>
      <c r="F24" s="6"/>
      <c r="G24" s="6"/>
      <c r="H24" s="6"/>
      <c r="I24" s="6"/>
      <c r="J24" s="16"/>
      <c r="K24" s="38"/>
      <c r="L24" s="38"/>
    </row>
    <row r="25" spans="1:12" ht="15.75" x14ac:dyDescent="0.25">
      <c r="A25" s="4">
        <v>18</v>
      </c>
      <c r="B25" s="5"/>
      <c r="C25" s="53"/>
      <c r="D25" s="53"/>
      <c r="E25" s="6"/>
      <c r="F25" s="6"/>
      <c r="G25" s="6"/>
      <c r="H25" s="6"/>
      <c r="I25" s="6"/>
      <c r="J25" s="12"/>
      <c r="K25" s="38" t="s">
        <v>39</v>
      </c>
      <c r="L25" s="38"/>
    </row>
    <row r="27" spans="1:12" x14ac:dyDescent="0.25">
      <c r="H27" s="59" t="s">
        <v>15</v>
      </c>
      <c r="I27" s="59"/>
      <c r="J27" s="14">
        <f>SUM(J8:J26)</f>
        <v>15</v>
      </c>
    </row>
    <row r="29" spans="1:12" ht="20.100000000000001" customHeight="1" x14ac:dyDescent="0.25">
      <c r="A29" s="37" t="s">
        <v>16</v>
      </c>
      <c r="B29" s="37"/>
      <c r="C29" s="32" t="s">
        <v>25</v>
      </c>
      <c r="D29" s="32"/>
      <c r="E29" s="32"/>
    </row>
    <row r="30" spans="1:12" ht="20.100000000000001" customHeight="1" x14ac:dyDescent="0.25">
      <c r="A30" s="37" t="s">
        <v>17</v>
      </c>
      <c r="B30" s="37"/>
      <c r="C30" s="31" t="s">
        <v>21</v>
      </c>
      <c r="D30" s="31"/>
      <c r="E30" s="31"/>
    </row>
    <row r="31" spans="1:12" ht="20.100000000000001" customHeight="1" x14ac:dyDescent="0.25">
      <c r="A31" s="37" t="s">
        <v>18</v>
      </c>
      <c r="B31" s="37"/>
      <c r="C31" s="37"/>
      <c r="D31" s="30">
        <f ca="1">TODAY()</f>
        <v>45923</v>
      </c>
      <c r="E31" s="31"/>
    </row>
  </sheetData>
  <mergeCells count="58">
    <mergeCell ref="A2:L4"/>
    <mergeCell ref="C14:D14"/>
    <mergeCell ref="K14:L14"/>
    <mergeCell ref="C15:D15"/>
    <mergeCell ref="K15:L15"/>
    <mergeCell ref="C13:D13"/>
    <mergeCell ref="K7:L7"/>
    <mergeCell ref="K8:L8"/>
    <mergeCell ref="K9:L9"/>
    <mergeCell ref="K10:L10"/>
    <mergeCell ref="K11:L11"/>
    <mergeCell ref="K12:L12"/>
    <mergeCell ref="K13:L13"/>
    <mergeCell ref="C7:D7"/>
    <mergeCell ref="C8:D8"/>
    <mergeCell ref="C11:D11"/>
    <mergeCell ref="C12:D12"/>
    <mergeCell ref="C5:D5"/>
    <mergeCell ref="E5:F5"/>
    <mergeCell ref="K5:L5"/>
    <mergeCell ref="E6:F6"/>
    <mergeCell ref="C6:D6"/>
    <mergeCell ref="K6:L6"/>
    <mergeCell ref="C9:D9"/>
    <mergeCell ref="A31:C31"/>
    <mergeCell ref="D31:E31"/>
    <mergeCell ref="H27:I27"/>
    <mergeCell ref="A29:B29"/>
    <mergeCell ref="C29:E29"/>
    <mergeCell ref="A30:B30"/>
    <mergeCell ref="C30:E30"/>
    <mergeCell ref="A5:B5"/>
    <mergeCell ref="A6:B6"/>
    <mergeCell ref="G5:H5"/>
    <mergeCell ref="G6:H6"/>
    <mergeCell ref="I5:J5"/>
    <mergeCell ref="I6:J6"/>
    <mergeCell ref="C25:D25"/>
    <mergeCell ref="K25:L25"/>
    <mergeCell ref="C10:D10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</mergeCells>
  <pageMargins left="0.70866141732283472" right="0.70866141732283472" top="0.74803149606299213" bottom="0.74803149606299213" header="0.31496062992125984" footer="0.31496062992125984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2AD6-AE76-41AA-B2C9-A1B30E9FD939}">
  <dimension ref="A2:N21"/>
  <sheetViews>
    <sheetView workbookViewId="0">
      <selection activeCell="K23" sqref="K23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43.8554687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4.5703125" style="1" customWidth="1"/>
    <col min="9" max="9" width="13" style="1" customWidth="1"/>
    <col min="10" max="10" width="15.85546875" style="1" bestFit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2" spans="1:14" x14ac:dyDescent="0.25">
      <c r="A2" s="63" t="s">
        <v>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4" x14ac:dyDescent="0.2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4" x14ac:dyDescent="0.25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4" ht="15.75" x14ac:dyDescent="0.25">
      <c r="A5" s="29" t="s">
        <v>12</v>
      </c>
      <c r="B5" s="29"/>
      <c r="C5" s="60" t="s">
        <v>56</v>
      </c>
      <c r="D5" s="61"/>
      <c r="E5" s="51" t="s">
        <v>11</v>
      </c>
      <c r="F5" s="52"/>
      <c r="G5" s="54">
        <v>1143269882</v>
      </c>
      <c r="H5" s="55"/>
      <c r="I5" s="51" t="s">
        <v>9</v>
      </c>
      <c r="J5" s="52"/>
      <c r="K5" s="55" t="s">
        <v>57</v>
      </c>
      <c r="L5" s="62"/>
      <c r="N5" s="10" t="s">
        <v>13</v>
      </c>
    </row>
    <row r="6" spans="1:14" ht="15.75" x14ac:dyDescent="0.25">
      <c r="A6" s="29" t="s">
        <v>35</v>
      </c>
      <c r="B6" s="29"/>
      <c r="C6" s="48" t="s">
        <v>58</v>
      </c>
      <c r="D6" s="50"/>
      <c r="E6" s="51" t="s">
        <v>36</v>
      </c>
      <c r="F6" s="52"/>
      <c r="G6" s="26">
        <v>45885</v>
      </c>
      <c r="H6" s="61"/>
      <c r="I6" s="60" t="s">
        <v>46</v>
      </c>
      <c r="J6" s="61"/>
      <c r="K6" s="26">
        <v>45915</v>
      </c>
      <c r="L6" s="61"/>
    </row>
    <row r="7" spans="1:14" ht="31.5" x14ac:dyDescent="0.25">
      <c r="A7" s="2" t="s">
        <v>0</v>
      </c>
      <c r="B7" s="2" t="s">
        <v>5</v>
      </c>
      <c r="C7" s="65" t="s">
        <v>6</v>
      </c>
      <c r="D7" s="65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64" t="s">
        <v>7</v>
      </c>
      <c r="L7" s="64"/>
    </row>
    <row r="8" spans="1:14" ht="15.75" x14ac:dyDescent="0.25">
      <c r="A8" s="4">
        <v>1</v>
      </c>
      <c r="B8" s="5">
        <v>45896</v>
      </c>
      <c r="C8" s="66" t="s">
        <v>59</v>
      </c>
      <c r="D8" s="67"/>
      <c r="E8" s="6">
        <v>0.33333333333333331</v>
      </c>
      <c r="F8" s="6">
        <v>0.83333333333333337</v>
      </c>
      <c r="G8" s="6">
        <v>4.1666666666666664E-2</v>
      </c>
      <c r="H8" s="6">
        <f>(F8-E8-$G$8)</f>
        <v>0.45833333333333331</v>
      </c>
      <c r="I8" s="6">
        <v>0.33333333333333331</v>
      </c>
      <c r="J8" s="12">
        <v>3</v>
      </c>
      <c r="K8" s="68" t="s">
        <v>39</v>
      </c>
      <c r="L8" s="42"/>
    </row>
    <row r="9" spans="1:14" ht="15.75" x14ac:dyDescent="0.25">
      <c r="A9" s="4">
        <v>3</v>
      </c>
      <c r="B9" s="5">
        <v>45890</v>
      </c>
      <c r="C9" s="66" t="s">
        <v>59</v>
      </c>
      <c r="D9" s="67"/>
      <c r="E9" s="6">
        <v>0.33333333333333331</v>
      </c>
      <c r="F9" s="6">
        <v>0.875</v>
      </c>
      <c r="G9" s="6">
        <v>4.1666666666666664E-2</v>
      </c>
      <c r="H9" s="6">
        <f>(F9-E9-G9)</f>
        <v>0.50000000000000011</v>
      </c>
      <c r="I9" s="6">
        <v>0.33333333333333331</v>
      </c>
      <c r="J9" s="12">
        <v>4</v>
      </c>
      <c r="K9" s="68" t="s">
        <v>39</v>
      </c>
      <c r="L9" s="42"/>
    </row>
    <row r="10" spans="1:14" ht="15.75" x14ac:dyDescent="0.25">
      <c r="A10" s="4">
        <v>4</v>
      </c>
      <c r="B10" s="5">
        <v>45889</v>
      </c>
      <c r="C10" s="66" t="s">
        <v>59</v>
      </c>
      <c r="D10" s="67"/>
      <c r="E10" s="6">
        <v>0.33333333333333298</v>
      </c>
      <c r="F10" s="6">
        <v>0.91666666666666663</v>
      </c>
      <c r="G10" s="6">
        <v>4.1666666666666699E-2</v>
      </c>
      <c r="H10" s="6">
        <f>(F10-E10-$G$10)</f>
        <v>0.54166666666666696</v>
      </c>
      <c r="I10" s="6">
        <v>0.33333333333333298</v>
      </c>
      <c r="J10" s="12">
        <v>5</v>
      </c>
      <c r="K10" s="68" t="s">
        <v>39</v>
      </c>
      <c r="L10" s="42"/>
    </row>
    <row r="11" spans="1:14" ht="15.75" x14ac:dyDescent="0.25">
      <c r="A11" s="4">
        <v>5</v>
      </c>
      <c r="B11" s="5"/>
      <c r="C11" s="66"/>
      <c r="D11" s="67"/>
      <c r="E11" s="6"/>
      <c r="F11" s="6"/>
      <c r="G11" s="6"/>
      <c r="H11" s="6"/>
      <c r="I11" s="6"/>
      <c r="J11" s="12"/>
      <c r="K11" s="68"/>
      <c r="L11" s="42"/>
    </row>
    <row r="12" spans="1:14" ht="15.75" x14ac:dyDescent="0.25">
      <c r="A12" s="4">
        <v>6</v>
      </c>
      <c r="B12" s="5"/>
      <c r="C12" s="66"/>
      <c r="D12" s="67"/>
      <c r="E12" s="6"/>
      <c r="F12" s="6"/>
      <c r="G12" s="6"/>
      <c r="H12" s="6"/>
      <c r="I12" s="6"/>
      <c r="J12" s="12"/>
      <c r="K12" s="68"/>
      <c r="L12" s="42"/>
    </row>
    <row r="13" spans="1:14" ht="15.75" x14ac:dyDescent="0.25">
      <c r="A13" s="4">
        <v>7</v>
      </c>
      <c r="B13" s="5"/>
      <c r="C13" s="66"/>
      <c r="D13" s="67"/>
      <c r="E13" s="6"/>
      <c r="F13" s="6"/>
      <c r="G13" s="6"/>
      <c r="H13" s="6"/>
      <c r="I13" s="6"/>
      <c r="J13" s="12"/>
      <c r="K13" s="38"/>
      <c r="L13" s="38"/>
    </row>
    <row r="14" spans="1:14" ht="15.75" x14ac:dyDescent="0.25">
      <c r="A14" s="4">
        <v>8</v>
      </c>
      <c r="B14" s="5"/>
      <c r="C14" s="66"/>
      <c r="D14" s="67"/>
      <c r="E14" s="6"/>
      <c r="F14" s="6"/>
      <c r="G14" s="6"/>
      <c r="H14" s="6"/>
      <c r="I14" s="6"/>
      <c r="J14" s="12"/>
      <c r="K14" s="38"/>
      <c r="L14" s="38"/>
    </row>
    <row r="15" spans="1:14" ht="15.75" x14ac:dyDescent="0.25">
      <c r="A15" s="4">
        <v>9</v>
      </c>
      <c r="B15" s="5"/>
      <c r="C15" s="66"/>
      <c r="D15" s="67"/>
      <c r="E15" s="6"/>
      <c r="F15" s="6"/>
      <c r="G15" s="6"/>
      <c r="H15" s="6"/>
      <c r="I15" s="6"/>
      <c r="J15" s="12"/>
      <c r="K15" s="38"/>
      <c r="L15" s="38"/>
    </row>
    <row r="17" spans="1:10" x14ac:dyDescent="0.25">
      <c r="H17" s="59" t="s">
        <v>15</v>
      </c>
      <c r="I17" s="59"/>
      <c r="J17" s="14">
        <f>SUM(J8:J16)</f>
        <v>12</v>
      </c>
    </row>
    <row r="19" spans="1:10" x14ac:dyDescent="0.25">
      <c r="A19" s="37" t="s">
        <v>16</v>
      </c>
      <c r="B19" s="37"/>
      <c r="C19" s="32" t="s">
        <v>56</v>
      </c>
      <c r="D19" s="32"/>
      <c r="E19" s="32"/>
    </row>
    <row r="20" spans="1:10" x14ac:dyDescent="0.25">
      <c r="A20" s="37" t="s">
        <v>17</v>
      </c>
      <c r="B20" s="37"/>
      <c r="C20" s="31" t="s">
        <v>21</v>
      </c>
      <c r="D20" s="31"/>
      <c r="E20" s="31"/>
    </row>
    <row r="21" spans="1:10" x14ac:dyDescent="0.25">
      <c r="A21" s="37" t="s">
        <v>18</v>
      </c>
      <c r="B21" s="37"/>
      <c r="C21" s="37"/>
      <c r="D21" s="30">
        <v>45917</v>
      </c>
      <c r="E21" s="31"/>
      <c r="J21" s="19"/>
    </row>
  </sheetData>
  <mergeCells count="38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A21:C21"/>
    <mergeCell ref="D21:E21"/>
    <mergeCell ref="C13:D13"/>
    <mergeCell ref="K13:L13"/>
    <mergeCell ref="C14:D14"/>
    <mergeCell ref="K14:L14"/>
    <mergeCell ref="C15:D15"/>
    <mergeCell ref="K15:L15"/>
    <mergeCell ref="H17:I17"/>
    <mergeCell ref="A19:B19"/>
    <mergeCell ref="C19:E19"/>
    <mergeCell ref="A20:B20"/>
    <mergeCell ref="C20:E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0E5F-F8E9-4BCF-8F52-D6D47A2F45C0}">
  <dimension ref="A1:N22"/>
  <sheetViews>
    <sheetView workbookViewId="0">
      <selection activeCell="H24" sqref="H24"/>
    </sheetView>
  </sheetViews>
  <sheetFormatPr baseColWidth="10" defaultRowHeight="15" x14ac:dyDescent="0.25"/>
  <cols>
    <col min="1" max="1" width="3.85546875" style="1" customWidth="1"/>
    <col min="2" max="2" width="14.85546875" style="1" customWidth="1"/>
    <col min="3" max="3" width="14.5703125" style="1" customWidth="1"/>
    <col min="4" max="4" width="32.42578125" style="1" customWidth="1"/>
    <col min="5" max="5" width="13.5703125" style="1" customWidth="1"/>
    <col min="6" max="6" width="16.28515625" style="1" customWidth="1"/>
    <col min="7" max="7" width="13.5703125" style="1" customWidth="1"/>
    <col min="8" max="8" width="16.42578125" style="1" customWidth="1"/>
    <col min="9" max="9" width="13" style="1" customWidth="1"/>
    <col min="10" max="10" width="21.5703125" style="1" customWidth="1"/>
    <col min="11" max="11" width="12.42578125" style="1" customWidth="1"/>
    <col min="12" max="12" width="11.42578125" style="1"/>
    <col min="13" max="13" width="3.5703125" style="1" customWidth="1"/>
    <col min="14" max="14" width="11.42578125" style="1" hidden="1" customWidth="1"/>
    <col min="15" max="16384" width="11.42578125" style="1"/>
  </cols>
  <sheetData>
    <row r="1" spans="1:14" ht="7.5" customHeight="1" x14ac:dyDescent="0.25"/>
    <row r="2" spans="1:14" ht="24" customHeight="1" x14ac:dyDescent="0.25">
      <c r="A2" s="63" t="s">
        <v>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4" ht="17.25" customHeight="1" x14ac:dyDescent="0.2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4" x14ac:dyDescent="0.25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4" ht="15.75" x14ac:dyDescent="0.25">
      <c r="A5" s="29" t="s">
        <v>12</v>
      </c>
      <c r="B5" s="29"/>
      <c r="C5" s="60" t="s">
        <v>60</v>
      </c>
      <c r="D5" s="61"/>
      <c r="E5" s="51" t="s">
        <v>11</v>
      </c>
      <c r="F5" s="52"/>
      <c r="G5" s="54">
        <v>1002035293</v>
      </c>
      <c r="H5" s="55"/>
      <c r="I5" s="51" t="s">
        <v>9</v>
      </c>
      <c r="J5" s="52"/>
      <c r="K5" s="55" t="s">
        <v>10</v>
      </c>
      <c r="L5" s="62"/>
      <c r="N5" s="10" t="s">
        <v>13</v>
      </c>
    </row>
    <row r="6" spans="1:14" ht="15.75" x14ac:dyDescent="0.25">
      <c r="A6" s="29" t="s">
        <v>35</v>
      </c>
      <c r="B6" s="29"/>
      <c r="C6" s="48" t="s">
        <v>61</v>
      </c>
      <c r="D6" s="50"/>
      <c r="E6" s="51" t="s">
        <v>36</v>
      </c>
      <c r="F6" s="52"/>
      <c r="G6" s="26">
        <v>45885</v>
      </c>
      <c r="H6" s="56"/>
      <c r="I6" s="57" t="s">
        <v>62</v>
      </c>
      <c r="J6" s="58"/>
      <c r="K6" s="26"/>
      <c r="L6" s="61"/>
    </row>
    <row r="7" spans="1:14" ht="31.5" x14ac:dyDescent="0.25">
      <c r="A7" s="2" t="s">
        <v>0</v>
      </c>
      <c r="B7" s="2" t="s">
        <v>5</v>
      </c>
      <c r="C7" s="65" t="s">
        <v>6</v>
      </c>
      <c r="D7" s="65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20" t="s">
        <v>4</v>
      </c>
      <c r="K7" s="64" t="s">
        <v>7</v>
      </c>
      <c r="L7" s="64"/>
    </row>
    <row r="8" spans="1:14" ht="15.75" x14ac:dyDescent="0.25">
      <c r="A8" s="4">
        <v>1</v>
      </c>
      <c r="B8" s="5">
        <v>45888</v>
      </c>
      <c r="C8" s="53" t="s">
        <v>63</v>
      </c>
      <c r="D8" s="53"/>
      <c r="E8" s="6">
        <v>0.33333333333333331</v>
      </c>
      <c r="F8" s="6">
        <v>0.80694444444444446</v>
      </c>
      <c r="G8" s="6">
        <v>4.1666666666666664E-2</v>
      </c>
      <c r="H8" s="6">
        <f>(F8-E8-G8)</f>
        <v>0.43194444444444446</v>
      </c>
      <c r="I8" s="17">
        <v>0.33333333333333331</v>
      </c>
      <c r="J8" s="21">
        <v>2</v>
      </c>
      <c r="K8" s="42" t="s">
        <v>39</v>
      </c>
      <c r="L8" s="38"/>
    </row>
    <row r="9" spans="1:14" ht="15.75" x14ac:dyDescent="0.25">
      <c r="A9" s="4">
        <v>2</v>
      </c>
      <c r="B9" s="5">
        <v>45889</v>
      </c>
      <c r="C9" s="53" t="s">
        <v>64</v>
      </c>
      <c r="D9" s="53"/>
      <c r="E9" s="6">
        <v>0.33333333333333331</v>
      </c>
      <c r="F9" s="6">
        <v>0.84444444444444444</v>
      </c>
      <c r="G9" s="6">
        <v>4.1666666666666664E-2</v>
      </c>
      <c r="H9" s="6">
        <f t="shared" ref="H9:H16" si="0">(F9-E9-G9)</f>
        <v>0.46944444444444439</v>
      </c>
      <c r="I9" s="17">
        <v>0.33333333333333331</v>
      </c>
      <c r="J9" s="21">
        <v>3</v>
      </c>
      <c r="K9" s="42" t="s">
        <v>39</v>
      </c>
      <c r="L9" s="38"/>
    </row>
    <row r="10" spans="1:14" ht="15.75" x14ac:dyDescent="0.25">
      <c r="A10" s="4">
        <v>3</v>
      </c>
      <c r="B10" s="5">
        <v>45890</v>
      </c>
      <c r="C10" s="53" t="s">
        <v>64</v>
      </c>
      <c r="D10" s="53"/>
      <c r="E10" s="6">
        <v>0.33333333333333298</v>
      </c>
      <c r="F10" s="6">
        <v>0.87152777777777779</v>
      </c>
      <c r="G10" s="6">
        <v>4.1666666666666664E-2</v>
      </c>
      <c r="H10" s="6">
        <f t="shared" si="0"/>
        <v>0.49652777777777818</v>
      </c>
      <c r="I10" s="17">
        <v>0.33333333333333331</v>
      </c>
      <c r="J10" s="21">
        <v>4</v>
      </c>
      <c r="K10" s="42" t="s">
        <v>39</v>
      </c>
      <c r="L10" s="38"/>
    </row>
    <row r="11" spans="1:14" ht="15.75" x14ac:dyDescent="0.25">
      <c r="A11" s="4">
        <v>4</v>
      </c>
      <c r="B11" s="5">
        <v>45896</v>
      </c>
      <c r="C11" s="53" t="s">
        <v>65</v>
      </c>
      <c r="D11" s="53"/>
      <c r="E11" s="6">
        <v>0.33333333333333298</v>
      </c>
      <c r="F11" s="6">
        <v>0.85138888888888886</v>
      </c>
      <c r="G11" s="6">
        <v>4.1666666666666664E-2</v>
      </c>
      <c r="H11" s="6">
        <f t="shared" si="0"/>
        <v>0.47638888888888925</v>
      </c>
      <c r="I11" s="17">
        <v>0.33333333333333331</v>
      </c>
      <c r="J11" s="21">
        <v>1</v>
      </c>
      <c r="K11" s="42" t="s">
        <v>39</v>
      </c>
      <c r="L11" s="38"/>
    </row>
    <row r="12" spans="1:14" ht="15.75" x14ac:dyDescent="0.25">
      <c r="A12" s="4">
        <v>5</v>
      </c>
      <c r="B12" s="5">
        <v>45899</v>
      </c>
      <c r="C12" s="53" t="s">
        <v>66</v>
      </c>
      <c r="D12" s="53"/>
      <c r="E12" s="6">
        <v>0.33333333333333298</v>
      </c>
      <c r="F12" s="6">
        <v>0.56736111111111109</v>
      </c>
      <c r="G12" s="6">
        <v>0</v>
      </c>
      <c r="H12" s="6">
        <f t="shared" si="0"/>
        <v>0.23402777777777811</v>
      </c>
      <c r="I12" s="17">
        <v>0.16666666666666666</v>
      </c>
      <c r="J12" s="21">
        <v>1</v>
      </c>
      <c r="K12" s="42" t="s">
        <v>39</v>
      </c>
      <c r="L12" s="38"/>
    </row>
    <row r="13" spans="1:14" ht="15.75" x14ac:dyDescent="0.25">
      <c r="A13" s="4">
        <v>6</v>
      </c>
      <c r="B13" s="5">
        <v>45902</v>
      </c>
      <c r="C13" s="53" t="s">
        <v>67</v>
      </c>
      <c r="D13" s="53"/>
      <c r="E13" s="6">
        <v>0.33333333333333298</v>
      </c>
      <c r="F13" s="6">
        <v>0.79583333333333328</v>
      </c>
      <c r="G13" s="6">
        <v>4.1666666666666664E-2</v>
      </c>
      <c r="H13" s="6">
        <f t="shared" si="0"/>
        <v>0.42083333333333361</v>
      </c>
      <c r="I13" s="17">
        <v>0.33333333333333331</v>
      </c>
      <c r="J13" s="21">
        <v>2</v>
      </c>
      <c r="K13" s="42" t="s">
        <v>39</v>
      </c>
      <c r="L13" s="38"/>
    </row>
    <row r="14" spans="1:14" ht="15.75" x14ac:dyDescent="0.25">
      <c r="A14" s="4">
        <v>7</v>
      </c>
      <c r="B14" s="5">
        <v>45903</v>
      </c>
      <c r="C14" s="53" t="s">
        <v>68</v>
      </c>
      <c r="D14" s="53"/>
      <c r="E14" s="6">
        <v>0.33333333333333298</v>
      </c>
      <c r="F14" s="6">
        <v>0.78125</v>
      </c>
      <c r="G14" s="6">
        <v>4.1666666666666664E-2</v>
      </c>
      <c r="H14" s="6">
        <f t="shared" si="0"/>
        <v>0.40625000000000033</v>
      </c>
      <c r="I14" s="17">
        <v>0.33333333333333331</v>
      </c>
      <c r="J14" s="21">
        <v>2</v>
      </c>
      <c r="K14" s="42" t="s">
        <v>39</v>
      </c>
      <c r="L14" s="38"/>
    </row>
    <row r="15" spans="1:14" ht="15.75" x14ac:dyDescent="0.25">
      <c r="A15" s="4">
        <v>8</v>
      </c>
      <c r="B15" s="5">
        <v>45911</v>
      </c>
      <c r="C15" s="53" t="s">
        <v>69</v>
      </c>
      <c r="D15" s="53"/>
      <c r="E15" s="6">
        <v>0.33333333333333298</v>
      </c>
      <c r="F15" s="6">
        <v>0.79236111111111107</v>
      </c>
      <c r="G15" s="6">
        <v>4.1666666666666664E-2</v>
      </c>
      <c r="H15" s="6">
        <f t="shared" si="0"/>
        <v>0.4173611111111114</v>
      </c>
      <c r="I15" s="17">
        <v>0.33333333333333331</v>
      </c>
      <c r="J15" s="21">
        <v>2</v>
      </c>
      <c r="K15" s="42" t="s">
        <v>39</v>
      </c>
      <c r="L15" s="38"/>
    </row>
    <row r="16" spans="1:14" ht="15.75" x14ac:dyDescent="0.25">
      <c r="A16" s="4">
        <v>8</v>
      </c>
      <c r="B16" s="5">
        <v>45916</v>
      </c>
      <c r="C16" s="53" t="s">
        <v>70</v>
      </c>
      <c r="D16" s="53"/>
      <c r="E16" s="6">
        <v>0.33333333333333298</v>
      </c>
      <c r="F16" s="6">
        <v>0.81111111111111112</v>
      </c>
      <c r="G16" s="6">
        <v>4.1666666666666664E-2</v>
      </c>
      <c r="H16" s="6">
        <f t="shared" si="0"/>
        <v>0.43611111111111145</v>
      </c>
      <c r="I16" s="17">
        <v>0.33333333333333331</v>
      </c>
      <c r="J16" s="21">
        <v>2</v>
      </c>
      <c r="K16" s="42" t="s">
        <v>39</v>
      </c>
      <c r="L16" s="38"/>
    </row>
    <row r="18" spans="1:11" x14ac:dyDescent="0.25">
      <c r="H18" s="59" t="s">
        <v>15</v>
      </c>
      <c r="I18" s="59"/>
      <c r="J18" s="14">
        <f>SUM(J8:J17)</f>
        <v>19</v>
      </c>
      <c r="K18" s="22"/>
    </row>
    <row r="20" spans="1:11" ht="20.100000000000001" customHeight="1" x14ac:dyDescent="0.25">
      <c r="A20" s="37" t="s">
        <v>16</v>
      </c>
      <c r="B20" s="37"/>
      <c r="C20" s="32" t="s">
        <v>24</v>
      </c>
      <c r="D20" s="32" t="s">
        <v>24</v>
      </c>
      <c r="E20" s="32"/>
    </row>
    <row r="21" spans="1:11" ht="20.100000000000001" customHeight="1" x14ac:dyDescent="0.25">
      <c r="A21" s="37" t="s">
        <v>17</v>
      </c>
      <c r="B21" s="37"/>
      <c r="C21" s="32" t="s">
        <v>21</v>
      </c>
      <c r="D21" s="32"/>
      <c r="E21" s="32"/>
    </row>
    <row r="22" spans="1:11" ht="20.100000000000001" customHeight="1" x14ac:dyDescent="0.25">
      <c r="A22" s="37" t="s">
        <v>18</v>
      </c>
      <c r="B22" s="37"/>
      <c r="C22" s="37"/>
      <c r="D22" s="30">
        <v>45923</v>
      </c>
      <c r="E22" s="31"/>
    </row>
  </sheetData>
  <mergeCells count="40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A22:C22"/>
    <mergeCell ref="D22:E22"/>
    <mergeCell ref="C20:E20"/>
    <mergeCell ref="C16:D16"/>
    <mergeCell ref="K16:L16"/>
    <mergeCell ref="H18:I18"/>
    <mergeCell ref="A20:B20"/>
    <mergeCell ref="C21:E21"/>
    <mergeCell ref="A21:B2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EA66B-AD32-47B6-949C-6F405B4FB220}">
  <dimension ref="A2:L22"/>
  <sheetViews>
    <sheetView workbookViewId="0">
      <selection activeCell="K18" sqref="K18"/>
    </sheetView>
  </sheetViews>
  <sheetFormatPr baseColWidth="10" defaultRowHeight="15" x14ac:dyDescent="0.25"/>
  <cols>
    <col min="1" max="1" width="10.5703125" customWidth="1"/>
    <col min="2" max="2" width="11.85546875" bestFit="1" customWidth="1"/>
    <col min="3" max="3" width="13.140625" customWidth="1"/>
    <col min="4" max="4" width="54.7109375" customWidth="1"/>
    <col min="6" max="6" width="15.5703125" customWidth="1"/>
    <col min="7" max="7" width="13" customWidth="1"/>
    <col min="8" max="8" width="12" bestFit="1" customWidth="1"/>
  </cols>
  <sheetData>
    <row r="2" spans="1:12" x14ac:dyDescent="0.25">
      <c r="A2" s="63" t="s">
        <v>8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x14ac:dyDescent="0.2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2" x14ac:dyDescent="0.25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2" ht="15.75" x14ac:dyDescent="0.25">
      <c r="A5" s="29" t="s">
        <v>12</v>
      </c>
      <c r="B5" s="29"/>
      <c r="C5" s="60" t="s">
        <v>40</v>
      </c>
      <c r="D5" s="61"/>
      <c r="E5" s="51" t="s">
        <v>11</v>
      </c>
      <c r="F5" s="52"/>
      <c r="G5" s="54">
        <v>1140861417</v>
      </c>
      <c r="H5" s="55"/>
      <c r="I5" s="51" t="s">
        <v>9</v>
      </c>
      <c r="J5" s="52"/>
      <c r="K5" s="55" t="s">
        <v>45</v>
      </c>
      <c r="L5" s="62"/>
    </row>
    <row r="6" spans="1:12" ht="15.75" x14ac:dyDescent="0.25">
      <c r="A6" s="29" t="s">
        <v>35</v>
      </c>
      <c r="B6" s="29"/>
      <c r="C6" s="48" t="s">
        <v>46</v>
      </c>
      <c r="D6" s="50"/>
      <c r="E6" s="51" t="s">
        <v>36</v>
      </c>
      <c r="F6" s="52"/>
      <c r="G6" s="26">
        <v>45885</v>
      </c>
      <c r="H6" s="56"/>
      <c r="I6" s="48" t="s">
        <v>47</v>
      </c>
      <c r="J6" s="50"/>
      <c r="K6" s="26">
        <v>45915</v>
      </c>
      <c r="L6" s="61"/>
    </row>
    <row r="7" spans="1:12" ht="31.5" x14ac:dyDescent="0.25">
      <c r="A7" s="2" t="s">
        <v>0</v>
      </c>
      <c r="B7" s="2" t="s">
        <v>5</v>
      </c>
      <c r="C7" s="65" t="s">
        <v>6</v>
      </c>
      <c r="D7" s="65"/>
      <c r="E7" s="3" t="s">
        <v>1</v>
      </c>
      <c r="F7" s="3" t="s">
        <v>2</v>
      </c>
      <c r="G7" s="3" t="s">
        <v>13</v>
      </c>
      <c r="H7" s="3" t="s">
        <v>14</v>
      </c>
      <c r="I7" s="3" t="s">
        <v>3</v>
      </c>
      <c r="J7" s="3" t="s">
        <v>4</v>
      </c>
      <c r="K7" s="64" t="s">
        <v>7</v>
      </c>
      <c r="L7" s="64"/>
    </row>
    <row r="8" spans="1:12" ht="15.75" x14ac:dyDescent="0.25">
      <c r="A8" s="4">
        <v>1</v>
      </c>
      <c r="B8" s="5">
        <v>45916</v>
      </c>
      <c r="C8" s="73" t="s">
        <v>48</v>
      </c>
      <c r="D8" s="73"/>
      <c r="E8" s="6">
        <v>0.33333333333333331</v>
      </c>
      <c r="F8" s="6">
        <v>0.81111111111111101</v>
      </c>
      <c r="G8" s="6">
        <v>4.1666666666666664E-2</v>
      </c>
      <c r="H8" s="6">
        <f>(F8-E8-G8)</f>
        <v>0.43611111111111101</v>
      </c>
      <c r="I8" s="6">
        <v>0.33333333333333331</v>
      </c>
      <c r="J8" s="13">
        <v>2</v>
      </c>
      <c r="K8" s="38" t="s">
        <v>39</v>
      </c>
      <c r="L8" s="38"/>
    </row>
    <row r="9" spans="1:12" ht="15.75" x14ac:dyDescent="0.25">
      <c r="A9" s="4">
        <v>2</v>
      </c>
      <c r="B9" s="5">
        <v>45911</v>
      </c>
      <c r="C9" s="73" t="s">
        <v>49</v>
      </c>
      <c r="D9" s="73"/>
      <c r="E9" s="6">
        <v>0.33333333333333331</v>
      </c>
      <c r="F9" s="6">
        <v>0.78055555555555556</v>
      </c>
      <c r="G9" s="6">
        <v>4.1666666666666664E-2</v>
      </c>
      <c r="H9" s="6">
        <f t="shared" ref="H9:H16" si="0">(F9-E9-G9)</f>
        <v>0.40555555555555556</v>
      </c>
      <c r="I9" s="6">
        <v>0.33333333333333331</v>
      </c>
      <c r="J9" s="13">
        <v>2</v>
      </c>
      <c r="K9" s="38" t="s">
        <v>39</v>
      </c>
      <c r="L9" s="38"/>
    </row>
    <row r="10" spans="1:12" ht="15.75" x14ac:dyDescent="0.25">
      <c r="A10" s="4">
        <v>3</v>
      </c>
      <c r="B10" s="5">
        <v>45902</v>
      </c>
      <c r="C10" s="69" t="s">
        <v>50</v>
      </c>
      <c r="D10" s="69"/>
      <c r="E10" s="6">
        <v>0.33333333333333331</v>
      </c>
      <c r="F10" s="6">
        <v>0.79583333333333339</v>
      </c>
      <c r="G10" s="6">
        <v>4.1666666666666664E-2</v>
      </c>
      <c r="H10" s="6">
        <f t="shared" si="0"/>
        <v>0.42083333333333339</v>
      </c>
      <c r="I10" s="6">
        <v>0.33333333333333331</v>
      </c>
      <c r="J10" s="13">
        <v>2</v>
      </c>
      <c r="K10" s="38" t="s">
        <v>39</v>
      </c>
      <c r="L10" s="38"/>
    </row>
    <row r="11" spans="1:12" ht="15.75" x14ac:dyDescent="0.25">
      <c r="A11" s="4">
        <v>4</v>
      </c>
      <c r="B11" s="5">
        <v>45899</v>
      </c>
      <c r="C11" s="69" t="s">
        <v>51</v>
      </c>
      <c r="D11" s="69"/>
      <c r="E11" s="6">
        <v>0.33333333333333331</v>
      </c>
      <c r="F11" s="6">
        <v>0.56736111111111109</v>
      </c>
      <c r="G11" s="6">
        <v>0</v>
      </c>
      <c r="H11" s="6">
        <f t="shared" si="0"/>
        <v>0.23402777777777778</v>
      </c>
      <c r="I11" s="6">
        <v>0.16666666666666666</v>
      </c>
      <c r="J11" s="13">
        <v>1</v>
      </c>
      <c r="K11" s="38" t="s">
        <v>39</v>
      </c>
      <c r="L11" s="38"/>
    </row>
    <row r="12" spans="1:12" ht="15.75" x14ac:dyDescent="0.25">
      <c r="A12" s="4">
        <v>5</v>
      </c>
      <c r="B12" s="5">
        <v>45896</v>
      </c>
      <c r="C12" s="71" t="s">
        <v>52</v>
      </c>
      <c r="D12" s="72"/>
      <c r="E12" s="6">
        <v>0.33333333333333331</v>
      </c>
      <c r="F12" s="6">
        <v>0.81041666666666667</v>
      </c>
      <c r="G12" s="6">
        <v>4.1666666666666664E-2</v>
      </c>
      <c r="H12" s="6">
        <f t="shared" si="0"/>
        <v>0.43541666666666667</v>
      </c>
      <c r="I12" s="6">
        <v>0.33333333333333331</v>
      </c>
      <c r="J12" s="13">
        <v>2</v>
      </c>
      <c r="K12" s="38" t="s">
        <v>39</v>
      </c>
      <c r="L12" s="38"/>
    </row>
    <row r="13" spans="1:12" ht="15.75" x14ac:dyDescent="0.25">
      <c r="A13" s="4">
        <v>6</v>
      </c>
      <c r="B13" s="5">
        <v>45890</v>
      </c>
      <c r="C13" s="71" t="s">
        <v>53</v>
      </c>
      <c r="D13" s="72"/>
      <c r="E13" s="6">
        <v>0.33333333333333331</v>
      </c>
      <c r="F13" s="6">
        <v>0.87152777777777779</v>
      </c>
      <c r="G13" s="6">
        <v>4.1666666666666664E-2</v>
      </c>
      <c r="H13" s="6">
        <f t="shared" si="0"/>
        <v>0.49652777777777773</v>
      </c>
      <c r="I13" s="6">
        <v>0.33333333333333331</v>
      </c>
      <c r="J13" s="13">
        <v>4</v>
      </c>
      <c r="K13" s="38" t="s">
        <v>39</v>
      </c>
      <c r="L13" s="38"/>
    </row>
    <row r="14" spans="1:12" ht="15.75" x14ac:dyDescent="0.25">
      <c r="A14" s="4">
        <v>7</v>
      </c>
      <c r="B14" s="5">
        <v>45889</v>
      </c>
      <c r="C14" s="71" t="s">
        <v>53</v>
      </c>
      <c r="D14" s="72"/>
      <c r="E14" s="6">
        <v>0.33333333333333331</v>
      </c>
      <c r="F14" s="6">
        <v>0.90555555555555556</v>
      </c>
      <c r="G14" s="6">
        <v>4.1666666666666664E-2</v>
      </c>
      <c r="H14" s="6">
        <f t="shared" si="0"/>
        <v>0.53055555555555556</v>
      </c>
      <c r="I14" s="6">
        <v>0.33333333333333331</v>
      </c>
      <c r="J14" s="13">
        <v>5</v>
      </c>
      <c r="K14" s="38" t="s">
        <v>39</v>
      </c>
      <c r="L14" s="38"/>
    </row>
    <row r="15" spans="1:12" ht="15.75" x14ac:dyDescent="0.25">
      <c r="A15" s="4">
        <v>8</v>
      </c>
      <c r="B15" s="5">
        <v>45888</v>
      </c>
      <c r="C15" s="71" t="s">
        <v>54</v>
      </c>
      <c r="D15" s="72"/>
      <c r="E15" s="6">
        <v>0.33333333333333331</v>
      </c>
      <c r="F15" s="6">
        <v>0.74791666666666667</v>
      </c>
      <c r="G15" s="6">
        <v>4.1666666666666664E-2</v>
      </c>
      <c r="H15" s="6">
        <f t="shared" si="0"/>
        <v>0.37291666666666667</v>
      </c>
      <c r="I15" s="6">
        <v>0.33333333333333331</v>
      </c>
      <c r="J15" s="13">
        <v>1</v>
      </c>
      <c r="K15" s="38" t="s">
        <v>39</v>
      </c>
      <c r="L15" s="38"/>
    </row>
    <row r="16" spans="1:12" ht="15.75" x14ac:dyDescent="0.25">
      <c r="A16" s="4">
        <v>9</v>
      </c>
      <c r="B16" s="5">
        <v>45885</v>
      </c>
      <c r="C16" s="69" t="s">
        <v>55</v>
      </c>
      <c r="D16" s="69"/>
      <c r="E16" s="6">
        <v>0.33333333333333331</v>
      </c>
      <c r="F16" s="6">
        <v>0.56180555555555556</v>
      </c>
      <c r="G16" s="6">
        <v>0</v>
      </c>
      <c r="H16" s="6">
        <f t="shared" si="0"/>
        <v>0.22847222222222224</v>
      </c>
      <c r="I16" s="6">
        <v>0.16666666666666666</v>
      </c>
      <c r="J16" s="13">
        <v>1</v>
      </c>
      <c r="K16" s="38" t="s">
        <v>39</v>
      </c>
      <c r="L16" s="38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59" t="s">
        <v>15</v>
      </c>
      <c r="I18" s="59"/>
      <c r="J18" s="15">
        <f>SUM(J8:J16)</f>
        <v>20</v>
      </c>
      <c r="K18" s="1"/>
      <c r="L18" s="1"/>
    </row>
    <row r="19" spans="1:12" x14ac:dyDescent="0.25">
      <c r="A19" s="37" t="s">
        <v>16</v>
      </c>
      <c r="B19" s="37"/>
      <c r="C19" s="32" t="s">
        <v>40</v>
      </c>
      <c r="D19" s="32"/>
      <c r="E19" s="32"/>
    </row>
    <row r="20" spans="1:12" ht="15.75" x14ac:dyDescent="0.25">
      <c r="A20" s="37" t="s">
        <v>17</v>
      </c>
      <c r="B20" s="37"/>
      <c r="C20" s="70" t="s">
        <v>38</v>
      </c>
      <c r="D20" s="70"/>
      <c r="E20" s="70"/>
    </row>
    <row r="21" spans="1:12" x14ac:dyDescent="0.25">
      <c r="A21" s="37" t="s">
        <v>18</v>
      </c>
      <c r="B21" s="37"/>
      <c r="C21" s="37"/>
      <c r="D21" s="30">
        <v>45923</v>
      </c>
      <c r="E21" s="31"/>
    </row>
    <row r="22" spans="1:12" x14ac:dyDescent="0.25">
      <c r="J22" s="18"/>
    </row>
  </sheetData>
  <mergeCells count="40">
    <mergeCell ref="K6:L6"/>
    <mergeCell ref="A2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A21:C21"/>
    <mergeCell ref="D21:E21"/>
    <mergeCell ref="C16:D16"/>
    <mergeCell ref="K16:L16"/>
    <mergeCell ref="H18:I18"/>
    <mergeCell ref="A19:B19"/>
    <mergeCell ref="C19:E19"/>
    <mergeCell ref="A20:B20"/>
    <mergeCell ref="C20:E2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3" ma:contentTypeDescription="Crear nuevo documento." ma:contentTypeScope="" ma:versionID="9b0e5553133b2f4142f2e5705dd684d8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e41be3e45561d4e4b0e258d977097ec9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A2F3DD-F0D6-4985-A60A-D5A5CE0D20BE}"/>
</file>

<file path=customXml/itemProps2.xml><?xml version="1.0" encoding="utf-8"?>
<ds:datastoreItem xmlns:ds="http://schemas.openxmlformats.org/officeDocument/2006/customXml" ds:itemID="{030A5D65-2958-459B-9A4C-67937A350B19}"/>
</file>

<file path=customXml/itemProps3.xml><?xml version="1.0" encoding="utf-8"?>
<ds:datastoreItem xmlns:ds="http://schemas.openxmlformats.org/officeDocument/2006/customXml" ds:itemID="{7626B010-1548-448F-9A5D-B0509F5AD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GENERAL</vt:lpstr>
      <vt:lpstr>MOISES RINCON</vt:lpstr>
      <vt:lpstr>MARIO OROZCO</vt:lpstr>
      <vt:lpstr>KEISSY ARRIETA</vt:lpstr>
      <vt:lpstr>JUSTIN ORTIZ</vt:lpstr>
      <vt:lpstr>RONAD GRAJALES</vt:lpstr>
      <vt:lpstr>'MARIO OROZCO'!Área_de_impresión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 HUMANA</dc:creator>
  <cp:lastModifiedBy>Silia Diaz</cp:lastModifiedBy>
  <cp:lastPrinted>2025-02-26T14:41:28Z</cp:lastPrinted>
  <dcterms:created xsi:type="dcterms:W3CDTF">2025-02-26T13:50:56Z</dcterms:created>
  <dcterms:modified xsi:type="dcterms:W3CDTF">2025-09-23T21:08:03Z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</Properties>
</file>