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mc:AlternateContent xmlns:mc="http://schemas.openxmlformats.org/markup-compatibility/2006">
    <mc:Choice Requires="x15">
      <x15ac:absPath xmlns:x15ac="http://schemas.microsoft.com/office/spreadsheetml/2010/11/ac" url="C:\Users\BIOSTEEL\Desktop\"/>
    </mc:Choice>
  </mc:AlternateContent>
  <xr:revisionPtr revIDLastSave="42" documentId="13_ncr:1_{E0AB2309-3B6E-48F0-9316-62BC34EF32EB}" xr6:coauthVersionLast="47" xr6:coauthVersionMax="47" xr10:uidLastSave="{335D5B5B-11DA-466E-A8BE-8DDD21F7CDA2}"/>
  <bookViews>
    <workbookView xWindow="-120" yWindow="-120" windowWidth="20730" windowHeight="11160" tabRatio="592" firstSheet="3" activeTab="3" xr2:uid="{99E0CF26-E38E-4657-9A97-46547C42A493}"/>
  </bookViews>
  <sheets>
    <sheet name="PROVEEDORES ACTIVOS" sheetId="1" r:id="rId1"/>
    <sheet name="MARZO" sheetId="2" r:id="rId2"/>
    <sheet name="ABRIL" sheetId="3" r:id="rId3"/>
    <sheet name="MAYO" sheetId="4" r:id="rId4"/>
  </sheets>
  <definedNames>
    <definedName name="_xlnm._FilterDatabase" localSheetId="0" hidden="1">'PROVEEDORES ACTIVOS'!$A$1:$A$37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" i="4" l="1"/>
  <c r="F9" i="4"/>
  <c r="AH9" i="3"/>
  <c r="F9" i="3"/>
  <c r="F9" i="2"/>
</calcChain>
</file>

<file path=xl/sharedStrings.xml><?xml version="1.0" encoding="utf-8"?>
<sst xmlns="http://schemas.openxmlformats.org/spreadsheetml/2006/main" count="163" uniqueCount="57">
  <si>
    <t>RAZON SOCILA DEL PROVEEDOR</t>
  </si>
  <si>
    <t>FICHA TECNICA</t>
  </si>
  <si>
    <t>EVALUACION INICIAL</t>
  </si>
  <si>
    <t>SEGUIMIENTO  A PROVEEDORES</t>
  </si>
  <si>
    <t>ALLOGRAFT S.A.S.</t>
  </si>
  <si>
    <t>ARTHREX COLOMBIA S.A.S.</t>
  </si>
  <si>
    <t>BIOART S.A.</t>
  </si>
  <si>
    <t>CKC SUMINISTROS SAS</t>
  </si>
  <si>
    <t>COMERCIALIZADORA COE S.A.S.</t>
  </si>
  <si>
    <t>CONALMEDICA</t>
  </si>
  <si>
    <t>*</t>
  </si>
  <si>
    <t>CORPOMEDICA S.A.S</t>
  </si>
  <si>
    <t>DINAMISMO MEDICO S.A.S.</t>
  </si>
  <si>
    <t>DISORTO</t>
  </si>
  <si>
    <t>DISTRIBUCIONES GYNAT S.A.S.</t>
  </si>
  <si>
    <t>GENEFIX SAS</t>
  </si>
  <si>
    <t>GRUPO GALENO INSTITUTO PRESTADOR DE SALUD (IPS) S.A.S.</t>
  </si>
  <si>
    <t>IMPLANTES MEDICO QUIRURGICOS S A  IMEQ S A</t>
  </si>
  <si>
    <t>INDUSTRIAS MEDICAS SAMPEDRO S A S</t>
  </si>
  <si>
    <t>JC DISTRIBUCIONES MEDICAS LTDA</t>
  </si>
  <si>
    <t>MERAKY</t>
  </si>
  <si>
    <t>MACLO ORTOPEDICOS LIMITADA</t>
  </si>
  <si>
    <t>ORTOMED SAS</t>
  </si>
  <si>
    <t>ORTOPEDICA INTEGRAL SAS</t>
  </si>
  <si>
    <t>OSTEOBIOMED S.A.S</t>
  </si>
  <si>
    <t>OSTEOMEDICAL S A S</t>
  </si>
  <si>
    <t>OSTEONORTE S.A.S</t>
  </si>
  <si>
    <t>QNA MEDICAL S.A.S</t>
  </si>
  <si>
    <t>RP DENTAL SA</t>
  </si>
  <si>
    <t>SANCHEZ CASTAÑEDA LUZ ENITH</t>
  </si>
  <si>
    <t>SERMEQS S.A.S.</t>
  </si>
  <si>
    <t>SERVILOGISTICA MAG S.A.S.</t>
  </si>
  <si>
    <t>SIFUENTES COLOMBIA S.A.S</t>
  </si>
  <si>
    <t>SOLUCIONES MEDICAS Y QUIRURGICAS SAS</t>
  </si>
  <si>
    <t>SPECIAL PRODUCTS SURGERY S.A.S</t>
  </si>
  <si>
    <t>STRYKER COLOMBIA S.A.S</t>
  </si>
  <si>
    <t>TECNITRAUMA S A</t>
  </si>
  <si>
    <t>TOCAMEDIC COLOMBIA S.A.S.</t>
  </si>
  <si>
    <t>TODO ORTOPEDICO S.A.S.</t>
  </si>
  <si>
    <t>TRAUMA STORE S.A.S.</t>
  </si>
  <si>
    <t>VIVAS LOPEZ ROBERT FRANCENY</t>
  </si>
  <si>
    <t>PROVEEDOR:</t>
  </si>
  <si>
    <t xml:space="preserve">GRUPO GALENO </t>
  </si>
  <si>
    <t xml:space="preserve">  IMEQ S A</t>
  </si>
  <si>
    <t xml:space="preserve"> SAMPEDRO </t>
  </si>
  <si>
    <t xml:space="preserve">JC DISTRIBUCIONES </t>
  </si>
  <si>
    <t>MACLO OROTPEDICO</t>
  </si>
  <si>
    <r>
      <rPr>
        <b/>
        <sz val="11"/>
        <rFont val="Arial"/>
        <family val="2"/>
      </rPr>
      <t xml:space="preserve">Calidad del Producto: </t>
    </r>
    <r>
      <rPr>
        <sz val="11"/>
        <rFont val="Arial"/>
        <family val="2"/>
      </rPr>
      <t>Cumplimiento con las especificaciones técnicas y de funcionalidad requeridas y mantenimiento de equipos.</t>
    </r>
  </si>
  <si>
    <r>
      <rPr>
        <b/>
        <sz val="11"/>
        <rFont val="Arial"/>
        <family val="2"/>
      </rPr>
      <t>Tiempos de entrega:</t>
    </r>
    <r>
      <rPr>
        <sz val="11"/>
        <rFont val="Arial"/>
        <family val="2"/>
      </rPr>
      <t xml:space="preserve"> La entrega se realizó en los tiempos pactados en la orden de compra</t>
    </r>
  </si>
  <si>
    <r>
      <rPr>
        <b/>
        <sz val="11"/>
        <rFont val="Arial"/>
        <family val="2"/>
      </rPr>
      <t>Cumplimiento en cantidad</t>
    </r>
    <r>
      <rPr>
        <sz val="11"/>
        <rFont val="Arial"/>
        <family val="2"/>
      </rPr>
      <t>: Entregó total de las cantidades solicitadas</t>
    </r>
  </si>
  <si>
    <r>
      <rPr>
        <b/>
        <sz val="11"/>
        <rFont val="Arial"/>
        <family val="2"/>
      </rPr>
      <t xml:space="preserve">Precio: </t>
    </r>
    <r>
      <rPr>
        <sz val="11"/>
        <rFont val="Arial"/>
        <family val="2"/>
      </rPr>
      <t>Los precios fueron competitivos durante el período de evaluación</t>
    </r>
  </si>
  <si>
    <r>
      <t>Atención post-venta:</t>
    </r>
    <r>
      <rPr>
        <sz val="11"/>
        <rFont val="Arial"/>
        <family val="2"/>
      </rPr>
      <t xml:space="preserve"> Respuesta oportuna a los requerimientos o quejas realizados. Las garantías fueron atendidas satisfactoriamente. </t>
    </r>
  </si>
  <si>
    <r>
      <t xml:space="preserve">Seguimiento : </t>
    </r>
    <r>
      <rPr>
        <sz val="11"/>
        <rFont val="Arial"/>
        <family val="2"/>
      </rPr>
      <t>Valoracion total de evaluaciones de seguimiento por 6 meses o periodos que correspondan.</t>
    </r>
  </si>
  <si>
    <t>TOTAL</t>
  </si>
  <si>
    <t xml:space="preserve"> %  DE CALIFICACIÓN OBTENIDO:</t>
  </si>
  <si>
    <t>ALEX BARRAZA S.A.S.</t>
  </si>
  <si>
    <t>CIMEX COLOMBIA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</si>
</sst>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0" fillId="0" borderId="10" xfId="0" applyBorder="1"/>
    <xf numFmtId="4" fontId="22" fillId="0" borderId="10" xfId="43" applyNumberFormat="1" applyFont="1" applyBorder="1" applyAlignment="1" applyProtection="1">
      <alignment horizontal="center" vertical="center" wrapText="1"/>
      <protection locked="0"/>
    </xf>
    <xf numFmtId="9" fontId="23" fillId="33" borderId="13" xfId="43" applyFont="1" applyFill="1" applyBorder="1" applyAlignment="1" applyProtection="1">
      <alignment horizontal="center" vertical="center" wrapText="1"/>
      <protection locked="0"/>
    </xf>
    <xf numFmtId="9" fontId="23" fillId="33" borderId="10" xfId="43" applyFont="1" applyFill="1" applyBorder="1" applyAlignment="1" applyProtection="1">
      <alignment horizontal="center" vertical="center" wrapText="1"/>
      <protection locked="0"/>
    </xf>
    <xf numFmtId="0" fontId="24" fillId="0" borderId="10" xfId="42" applyFont="1" applyBorder="1" applyAlignment="1">
      <alignment horizontal="center" vertical="center" wrapText="1"/>
    </xf>
    <xf numFmtId="0" fontId="16" fillId="0" borderId="10" xfId="0" applyFont="1" applyBorder="1"/>
    <xf numFmtId="0" fontId="20" fillId="0" borderId="11" xfId="42" applyFont="1" applyBorder="1" applyAlignment="1">
      <alignment vertical="center" wrapText="1"/>
    </xf>
    <xf numFmtId="0" fontId="18" fillId="0" borderId="12" xfId="42" applyBorder="1" applyAlignment="1">
      <alignment vertical="center" wrapText="1"/>
    </xf>
    <xf numFmtId="0" fontId="18" fillId="0" borderId="13" xfId="42" applyBorder="1" applyAlignment="1">
      <alignment vertical="center" wrapText="1"/>
    </xf>
    <xf numFmtId="0" fontId="23" fillId="0" borderId="10" xfId="42" applyFont="1" applyBorder="1" applyAlignment="1">
      <alignment horizontal="center" vertical="center" wrapText="1"/>
    </xf>
    <xf numFmtId="4" fontId="23" fillId="0" borderId="10" xfId="42" applyNumberFormat="1" applyFont="1" applyBorder="1" applyAlignment="1">
      <alignment horizontal="center" vertical="center" wrapText="1"/>
    </xf>
    <xf numFmtId="0" fontId="23" fillId="0" borderId="14" xfId="42" applyFont="1" applyBorder="1" applyAlignment="1">
      <alignment horizontal="center" vertical="center" wrapText="1"/>
    </xf>
    <xf numFmtId="0" fontId="23" fillId="0" borderId="15" xfId="42" applyFont="1" applyBorder="1" applyAlignment="1">
      <alignment horizontal="center" vertical="center" wrapText="1"/>
    </xf>
    <xf numFmtId="0" fontId="23" fillId="0" borderId="16" xfId="42" applyFont="1" applyBorder="1" applyAlignment="1">
      <alignment horizontal="center" vertical="center" wrapText="1"/>
    </xf>
    <xf numFmtId="0" fontId="21" fillId="0" borderId="10" xfId="42" applyFont="1" applyBorder="1" applyAlignment="1">
      <alignment vertical="center" wrapText="1"/>
    </xf>
    <xf numFmtId="0" fontId="20" fillId="0" borderId="10" xfId="42" applyFont="1" applyBorder="1" applyAlignment="1">
      <alignment vertical="center" wrapText="1"/>
    </xf>
    <xf numFmtId="0" fontId="23" fillId="34" borderId="14" xfId="42" applyFont="1" applyFill="1" applyBorder="1" applyAlignment="1">
      <alignment horizontal="center" vertical="center" wrapText="1"/>
    </xf>
    <xf numFmtId="0" fontId="23" fillId="34" borderId="15" xfId="42" applyFont="1" applyFill="1" applyBorder="1" applyAlignment="1">
      <alignment horizontal="center" vertical="center" wrapText="1"/>
    </xf>
    <xf numFmtId="0" fontId="23" fillId="34" borderId="16" xfId="42" applyFont="1" applyFill="1" applyBorder="1" applyAlignment="1">
      <alignment horizontal="center" vertical="center" wrapText="1"/>
    </xf>
    <xf numFmtId="0" fontId="24" fillId="34" borderId="10" xfId="42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 xr:uid="{1E7DFE3E-C607-467F-9605-5E74D3225D52}"/>
    <cellStyle name="Normal 3" xfId="42" xr:uid="{A579BFAD-26C9-4E60-BB2C-748735B04165}"/>
    <cellStyle name="Notas" xfId="15" builtinId="10" customBuiltin="1"/>
    <cellStyle name="Porcentaje 2" xfId="43" xr:uid="{4D8AE9BF-9A77-474D-AA86-B21C54C8E17B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0D20-BE6B-4CE9-9345-AA8B919249D9}">
  <dimension ref="A1:D37"/>
  <sheetViews>
    <sheetView topLeftCell="A26" workbookViewId="0">
      <selection activeCell="B28" sqref="B28"/>
    </sheetView>
  </sheetViews>
  <sheetFormatPr defaultColWidth="11.42578125" defaultRowHeight="15"/>
  <cols>
    <col min="1" max="1" width="58.7109375" customWidth="1"/>
    <col min="2" max="2" width="16.85546875" customWidth="1"/>
    <col min="3" max="3" width="19.42578125" customWidth="1"/>
    <col min="4" max="4" width="28.42578125" customWidth="1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1" t="s">
        <v>4</v>
      </c>
      <c r="B2" s="1"/>
      <c r="C2" s="1"/>
      <c r="D2" s="1"/>
    </row>
    <row r="3" spans="1:4">
      <c r="A3" s="1" t="s">
        <v>5</v>
      </c>
      <c r="B3" s="1"/>
      <c r="C3" s="1"/>
      <c r="D3" s="1"/>
    </row>
    <row r="4" spans="1:4">
      <c r="A4" s="1" t="s">
        <v>6</v>
      </c>
      <c r="B4" s="1"/>
      <c r="C4" s="1"/>
      <c r="D4" s="1"/>
    </row>
    <row r="5" spans="1:4">
      <c r="A5" s="1" t="s">
        <v>7</v>
      </c>
      <c r="B5" s="1"/>
      <c r="C5" s="1"/>
      <c r="D5" s="1"/>
    </row>
    <row r="6" spans="1:4">
      <c r="A6" s="1" t="s">
        <v>8</v>
      </c>
      <c r="B6" s="1"/>
      <c r="C6" s="1"/>
      <c r="D6" s="1"/>
    </row>
    <row r="7" spans="1:4">
      <c r="A7" s="1" t="s">
        <v>9</v>
      </c>
      <c r="B7" s="1" t="s">
        <v>10</v>
      </c>
      <c r="C7" s="1"/>
      <c r="D7" s="1"/>
    </row>
    <row r="8" spans="1:4">
      <c r="A8" s="1" t="s">
        <v>11</v>
      </c>
      <c r="B8" s="1"/>
      <c r="C8" s="1"/>
      <c r="D8" s="1"/>
    </row>
    <row r="9" spans="1:4">
      <c r="A9" s="1" t="s">
        <v>12</v>
      </c>
      <c r="B9" s="1"/>
      <c r="C9" s="1"/>
      <c r="D9" s="1"/>
    </row>
    <row r="10" spans="1:4">
      <c r="A10" s="1" t="s">
        <v>13</v>
      </c>
      <c r="B10" s="1"/>
      <c r="C10" s="1"/>
      <c r="D10" s="1"/>
    </row>
    <row r="11" spans="1:4">
      <c r="A11" s="1" t="s">
        <v>14</v>
      </c>
      <c r="B11" s="1"/>
      <c r="C11" s="1"/>
      <c r="D11" s="1"/>
    </row>
    <row r="12" spans="1:4">
      <c r="A12" s="1" t="s">
        <v>15</v>
      </c>
      <c r="B12" s="1" t="s">
        <v>10</v>
      </c>
      <c r="C12" s="1"/>
      <c r="D12" s="1"/>
    </row>
    <row r="13" spans="1:4">
      <c r="A13" s="1" t="s">
        <v>16</v>
      </c>
      <c r="B13" s="1"/>
      <c r="C13" s="1"/>
      <c r="D13" s="1"/>
    </row>
    <row r="14" spans="1:4">
      <c r="A14" s="1" t="s">
        <v>17</v>
      </c>
      <c r="B14" s="1"/>
      <c r="C14" s="1"/>
      <c r="D14" s="1"/>
    </row>
    <row r="15" spans="1:4">
      <c r="A15" s="1" t="s">
        <v>18</v>
      </c>
      <c r="B15" s="1"/>
      <c r="C15" s="1"/>
      <c r="D15" s="1"/>
    </row>
    <row r="16" spans="1:4">
      <c r="A16" s="1" t="s">
        <v>19</v>
      </c>
      <c r="B16" s="1"/>
      <c r="C16" s="1"/>
      <c r="D16" s="1"/>
    </row>
    <row r="17" spans="1:4">
      <c r="A17" s="1" t="s">
        <v>20</v>
      </c>
      <c r="B17" s="1" t="s">
        <v>10</v>
      </c>
      <c r="C17" s="1"/>
      <c r="D17" s="1"/>
    </row>
    <row r="18" spans="1:4">
      <c r="A18" s="1" t="s">
        <v>21</v>
      </c>
      <c r="B18" s="1"/>
      <c r="C18" s="1"/>
      <c r="D18" s="1"/>
    </row>
    <row r="19" spans="1:4">
      <c r="A19" s="1" t="s">
        <v>22</v>
      </c>
      <c r="B19" s="1" t="s">
        <v>10</v>
      </c>
      <c r="C19" s="1"/>
      <c r="D19" s="1"/>
    </row>
    <row r="20" spans="1:4">
      <c r="A20" s="1" t="s">
        <v>23</v>
      </c>
      <c r="B20" s="1"/>
      <c r="C20" s="1"/>
      <c r="D20" s="1"/>
    </row>
    <row r="21" spans="1:4">
      <c r="A21" s="1" t="s">
        <v>24</v>
      </c>
      <c r="B21" s="1"/>
      <c r="C21" s="1"/>
      <c r="D21" s="1"/>
    </row>
    <row r="22" spans="1:4">
      <c r="A22" s="1" t="s">
        <v>25</v>
      </c>
      <c r="B22" s="1"/>
      <c r="C22" s="1"/>
      <c r="D22" s="1"/>
    </row>
    <row r="23" spans="1:4">
      <c r="A23" s="1" t="s">
        <v>26</v>
      </c>
      <c r="B23" s="1"/>
      <c r="C23" s="1"/>
      <c r="D23" s="1"/>
    </row>
    <row r="24" spans="1:4">
      <c r="A24" s="1" t="s">
        <v>27</v>
      </c>
      <c r="B24" s="1"/>
      <c r="C24" s="1"/>
      <c r="D24" s="1"/>
    </row>
    <row r="25" spans="1:4">
      <c r="A25" s="1" t="s">
        <v>28</v>
      </c>
      <c r="B25" s="1" t="s">
        <v>10</v>
      </c>
      <c r="C25" s="1"/>
      <c r="D25" s="1"/>
    </row>
    <row r="26" spans="1:4">
      <c r="A26" s="1" t="s">
        <v>29</v>
      </c>
      <c r="B26" s="1" t="s">
        <v>10</v>
      </c>
      <c r="C26" s="1"/>
      <c r="D26" s="1"/>
    </row>
    <row r="27" spans="1:4">
      <c r="A27" s="1" t="s">
        <v>30</v>
      </c>
      <c r="B27" s="1"/>
      <c r="C27" s="1"/>
      <c r="D27" s="1"/>
    </row>
    <row r="28" spans="1:4">
      <c r="A28" s="1" t="s">
        <v>31</v>
      </c>
      <c r="B28" s="1"/>
      <c r="C28" s="1"/>
      <c r="D28" s="1"/>
    </row>
    <row r="29" spans="1:4">
      <c r="A29" s="1" t="s">
        <v>32</v>
      </c>
      <c r="B29" s="1" t="s">
        <v>10</v>
      </c>
      <c r="C29" s="1"/>
      <c r="D29" s="1"/>
    </row>
    <row r="30" spans="1:4">
      <c r="A30" s="1" t="s">
        <v>33</v>
      </c>
      <c r="B30" s="1"/>
      <c r="C30" s="1"/>
      <c r="D30" s="1"/>
    </row>
    <row r="31" spans="1:4">
      <c r="A31" s="1" t="s">
        <v>34</v>
      </c>
      <c r="B31" s="1" t="s">
        <v>10</v>
      </c>
      <c r="C31" s="1"/>
      <c r="D31" s="1"/>
    </row>
    <row r="32" spans="1:4">
      <c r="A32" s="1" t="s">
        <v>35</v>
      </c>
      <c r="B32" s="1"/>
      <c r="C32" s="1"/>
      <c r="D32" s="1"/>
    </row>
    <row r="33" spans="1:4">
      <c r="A33" s="1" t="s">
        <v>36</v>
      </c>
      <c r="B33" s="1"/>
      <c r="C33" s="1"/>
      <c r="D33" s="1"/>
    </row>
    <row r="34" spans="1:4">
      <c r="A34" s="1" t="s">
        <v>37</v>
      </c>
      <c r="B34" s="1" t="s">
        <v>10</v>
      </c>
      <c r="C34" s="1"/>
      <c r="D34" s="1"/>
    </row>
    <row r="35" spans="1:4">
      <c r="A35" s="1" t="s">
        <v>38</v>
      </c>
      <c r="B35" s="1"/>
      <c r="C35" s="1"/>
      <c r="D35" s="1"/>
    </row>
    <row r="36" spans="1:4">
      <c r="A36" s="1" t="s">
        <v>39</v>
      </c>
      <c r="B36" s="1" t="s">
        <v>10</v>
      </c>
      <c r="C36" s="1"/>
      <c r="D36" s="1"/>
    </row>
    <row r="37" spans="1:4">
      <c r="A37" s="1" t="s">
        <v>40</v>
      </c>
      <c r="B37" s="1" t="s">
        <v>10</v>
      </c>
      <c r="C37" s="1"/>
      <c r="D37" s="1"/>
    </row>
  </sheetData>
  <autoFilter ref="A1:A37" xr:uid="{1AD80D20-BE6B-4CE9-9345-AA8B919249D9}"/>
  <sortState xmlns:xlrd2="http://schemas.microsoft.com/office/spreadsheetml/2017/richdata2" ref="A2:V37">
    <sortCondition ref="A2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6EA4-A719-4845-9695-154508126359}">
  <dimension ref="A1:AD9"/>
  <sheetViews>
    <sheetView topLeftCell="C1" workbookViewId="0">
      <selection activeCell="I6" sqref="I6"/>
    </sheetView>
  </sheetViews>
  <sheetFormatPr defaultColWidth="11.42578125" defaultRowHeight="15"/>
  <cols>
    <col min="5" max="5" width="30.7109375" customWidth="1"/>
    <col min="7" max="7" width="13.5703125" customWidth="1"/>
    <col min="9" max="9" width="19.85546875" customWidth="1"/>
    <col min="11" max="11" width="16.5703125" customWidth="1"/>
    <col min="16" max="17" width="15.5703125" customWidth="1"/>
    <col min="19" max="19" width="12.42578125" customWidth="1"/>
    <col min="20" max="20" width="17.140625" customWidth="1"/>
    <col min="26" max="26" width="17.42578125" customWidth="1"/>
    <col min="28" max="28" width="15.42578125" customWidth="1"/>
    <col min="29" max="30" width="15" customWidth="1"/>
  </cols>
  <sheetData>
    <row r="1" spans="1:30" ht="43.5" customHeight="1">
      <c r="A1" s="12" t="s">
        <v>41</v>
      </c>
      <c r="B1" s="13"/>
      <c r="C1" s="13"/>
      <c r="D1" s="13"/>
      <c r="E1" s="14"/>
      <c r="F1" s="5" t="s">
        <v>4</v>
      </c>
      <c r="G1" s="5" t="s">
        <v>5</v>
      </c>
      <c r="H1" s="5" t="s">
        <v>6</v>
      </c>
      <c r="I1" s="5" t="s">
        <v>8</v>
      </c>
      <c r="J1" s="5" t="s">
        <v>12</v>
      </c>
      <c r="K1" s="5" t="s">
        <v>14</v>
      </c>
      <c r="L1" s="5" t="s">
        <v>15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46</v>
      </c>
      <c r="R1" s="5" t="s">
        <v>22</v>
      </c>
      <c r="S1" s="5" t="s">
        <v>23</v>
      </c>
      <c r="T1" s="5" t="s">
        <v>26</v>
      </c>
      <c r="U1" s="5" t="s">
        <v>27</v>
      </c>
      <c r="V1" s="5" t="s">
        <v>28</v>
      </c>
      <c r="W1" s="5" t="s">
        <v>29</v>
      </c>
      <c r="X1" s="5" t="s">
        <v>30</v>
      </c>
      <c r="Y1" s="5" t="s">
        <v>31</v>
      </c>
      <c r="Z1" s="5" t="s">
        <v>33</v>
      </c>
      <c r="AA1" s="5" t="s">
        <v>35</v>
      </c>
      <c r="AB1" s="5" t="s">
        <v>37</v>
      </c>
      <c r="AC1" s="5" t="s">
        <v>38</v>
      </c>
      <c r="AD1" s="5" t="s">
        <v>40</v>
      </c>
    </row>
    <row r="2" spans="1:30" ht="38.25" customHeight="1">
      <c r="A2" s="15" t="s">
        <v>47</v>
      </c>
      <c r="B2" s="15"/>
      <c r="C2" s="15"/>
      <c r="D2" s="15"/>
      <c r="E2" s="15">
        <v>0.2</v>
      </c>
      <c r="F2" s="2">
        <v>1.5</v>
      </c>
      <c r="G2" s="2">
        <v>1.25</v>
      </c>
      <c r="H2" s="2">
        <v>1.25</v>
      </c>
      <c r="I2" s="2">
        <v>1.25</v>
      </c>
      <c r="J2" s="2">
        <v>1.25</v>
      </c>
      <c r="K2" s="2">
        <v>1.25</v>
      </c>
      <c r="L2" s="2">
        <v>1.25</v>
      </c>
      <c r="M2" s="2">
        <v>1.25</v>
      </c>
      <c r="N2" s="2">
        <v>1.25</v>
      </c>
      <c r="O2" s="2">
        <v>1.5</v>
      </c>
      <c r="P2" s="2">
        <v>1.25</v>
      </c>
      <c r="Q2" s="2">
        <v>1.25</v>
      </c>
      <c r="R2" s="2">
        <v>1.25</v>
      </c>
      <c r="S2" s="2">
        <v>1.25</v>
      </c>
      <c r="T2" s="2">
        <v>1.25</v>
      </c>
      <c r="U2" s="2">
        <v>1.25</v>
      </c>
      <c r="V2" s="2">
        <v>1.5</v>
      </c>
      <c r="W2" s="2">
        <v>1.25</v>
      </c>
      <c r="X2" s="2">
        <v>1.25</v>
      </c>
      <c r="Y2" s="2">
        <v>1.5</v>
      </c>
      <c r="Z2" s="2">
        <v>1.25</v>
      </c>
      <c r="AA2" s="2">
        <v>1.25</v>
      </c>
      <c r="AB2" s="2">
        <v>1.5</v>
      </c>
      <c r="AC2" s="2">
        <v>1.25</v>
      </c>
      <c r="AD2" s="2">
        <v>1.25</v>
      </c>
    </row>
    <row r="3" spans="1:30" ht="26.25" customHeight="1">
      <c r="A3" s="15" t="s">
        <v>48</v>
      </c>
      <c r="B3" s="15"/>
      <c r="C3" s="15"/>
      <c r="D3" s="15"/>
      <c r="E3" s="15">
        <v>0.2</v>
      </c>
      <c r="F3" s="2">
        <v>1.25</v>
      </c>
      <c r="G3" s="2">
        <v>1.25</v>
      </c>
      <c r="H3" s="2">
        <v>1</v>
      </c>
      <c r="I3" s="2">
        <v>1.25</v>
      </c>
      <c r="J3" s="2">
        <v>1</v>
      </c>
      <c r="K3" s="2">
        <v>1</v>
      </c>
      <c r="L3" s="2">
        <v>1.25</v>
      </c>
      <c r="M3" s="2">
        <v>1.25</v>
      </c>
      <c r="N3" s="2">
        <v>1</v>
      </c>
      <c r="O3" s="2">
        <v>1</v>
      </c>
      <c r="P3" s="2">
        <v>1.1499999999999999</v>
      </c>
      <c r="Q3" s="2">
        <v>1</v>
      </c>
      <c r="R3" s="2">
        <v>1</v>
      </c>
      <c r="S3" s="2">
        <v>1.25</v>
      </c>
      <c r="T3" s="2">
        <v>1.25</v>
      </c>
      <c r="U3" s="2">
        <v>1.1499999999999999</v>
      </c>
      <c r="V3" s="2">
        <v>1</v>
      </c>
      <c r="W3" s="2">
        <v>1</v>
      </c>
      <c r="X3" s="2">
        <v>1.1499999999999999</v>
      </c>
      <c r="Y3" s="2">
        <v>1</v>
      </c>
      <c r="Z3" s="2">
        <v>1</v>
      </c>
      <c r="AA3" s="2">
        <v>1.25</v>
      </c>
      <c r="AB3" s="2">
        <v>1</v>
      </c>
      <c r="AC3" s="2">
        <v>1</v>
      </c>
      <c r="AD3" s="2">
        <v>1.25</v>
      </c>
    </row>
    <row r="4" spans="1:30">
      <c r="A4" s="15" t="s">
        <v>49</v>
      </c>
      <c r="B4" s="15"/>
      <c r="C4" s="15"/>
      <c r="D4" s="15"/>
      <c r="E4" s="15"/>
      <c r="F4" s="2">
        <v>0.75</v>
      </c>
      <c r="G4" s="2">
        <v>0.5</v>
      </c>
      <c r="H4" s="2">
        <v>0.5</v>
      </c>
      <c r="I4" s="2">
        <v>0.75</v>
      </c>
      <c r="J4" s="2">
        <v>0.75</v>
      </c>
      <c r="K4" s="2">
        <v>0.75</v>
      </c>
      <c r="L4" s="2">
        <v>0.75</v>
      </c>
      <c r="M4" s="2">
        <v>0.75</v>
      </c>
      <c r="N4" s="2">
        <v>0.75</v>
      </c>
      <c r="O4" s="2">
        <v>0.75</v>
      </c>
      <c r="P4" s="2">
        <v>0.75</v>
      </c>
      <c r="Q4" s="2">
        <v>0.75</v>
      </c>
      <c r="R4" s="2">
        <v>0.65</v>
      </c>
      <c r="S4" s="2">
        <v>0.75</v>
      </c>
      <c r="T4" s="2">
        <v>0.75</v>
      </c>
      <c r="U4" s="2">
        <v>0.75</v>
      </c>
      <c r="V4" s="2">
        <v>0.75</v>
      </c>
      <c r="W4" s="2">
        <v>1</v>
      </c>
      <c r="X4" s="2">
        <v>0.75</v>
      </c>
      <c r="Y4" s="2">
        <v>0.75</v>
      </c>
      <c r="Z4" s="2">
        <v>0.75</v>
      </c>
      <c r="AA4" s="2">
        <v>0.5</v>
      </c>
      <c r="AB4" s="2">
        <v>0.75</v>
      </c>
      <c r="AC4" s="2">
        <v>0.75</v>
      </c>
      <c r="AD4" s="2">
        <v>0.75</v>
      </c>
    </row>
    <row r="5" spans="1:30">
      <c r="A5" s="15" t="s">
        <v>50</v>
      </c>
      <c r="B5" s="15"/>
      <c r="C5" s="15"/>
      <c r="D5" s="15"/>
      <c r="E5" s="15"/>
      <c r="F5" s="2">
        <v>0.5</v>
      </c>
      <c r="G5" s="2">
        <v>0.75</v>
      </c>
      <c r="H5" s="2">
        <v>0.75</v>
      </c>
      <c r="I5" s="2">
        <v>0.75</v>
      </c>
      <c r="J5" s="2">
        <v>0.75</v>
      </c>
      <c r="K5" s="2">
        <v>0.75</v>
      </c>
      <c r="L5" s="2">
        <v>0.75</v>
      </c>
      <c r="M5" s="2">
        <v>0.75</v>
      </c>
      <c r="N5" s="2">
        <v>0.75</v>
      </c>
      <c r="O5" s="2">
        <v>0.75</v>
      </c>
      <c r="P5" s="2">
        <v>0.75</v>
      </c>
      <c r="Q5" s="2">
        <v>0.75</v>
      </c>
      <c r="R5" s="2">
        <v>0.75</v>
      </c>
      <c r="S5" s="2">
        <v>0.75</v>
      </c>
      <c r="T5" s="2">
        <v>0.75</v>
      </c>
      <c r="U5" s="2">
        <v>0.75</v>
      </c>
      <c r="V5" s="2">
        <v>0.75</v>
      </c>
      <c r="W5" s="2">
        <v>0.5</v>
      </c>
      <c r="X5" s="2">
        <v>0.75</v>
      </c>
      <c r="Y5" s="2">
        <v>0.75</v>
      </c>
      <c r="Z5" s="2">
        <v>0.75</v>
      </c>
      <c r="AA5" s="2">
        <v>0.75</v>
      </c>
      <c r="AB5" s="2">
        <v>0.5</v>
      </c>
      <c r="AC5" s="2">
        <v>0.75</v>
      </c>
      <c r="AD5" s="2">
        <v>0.75</v>
      </c>
    </row>
    <row r="6" spans="1:30" ht="32.25" customHeight="1">
      <c r="A6" s="16" t="s">
        <v>51</v>
      </c>
      <c r="B6" s="15"/>
      <c r="C6" s="15"/>
      <c r="D6" s="15"/>
      <c r="E6" s="15">
        <v>0.1</v>
      </c>
      <c r="F6" s="2">
        <v>0.5</v>
      </c>
      <c r="G6" s="2">
        <v>0.5</v>
      </c>
      <c r="H6" s="2">
        <v>0.5</v>
      </c>
      <c r="I6" s="2">
        <v>0.5</v>
      </c>
      <c r="J6" s="2">
        <v>0.5</v>
      </c>
      <c r="K6" s="2">
        <v>0.6</v>
      </c>
      <c r="L6" s="2">
        <v>0.5</v>
      </c>
      <c r="M6" s="2">
        <v>0.5</v>
      </c>
      <c r="N6" s="2">
        <v>0.5</v>
      </c>
      <c r="O6" s="2">
        <v>0.5</v>
      </c>
      <c r="P6" s="2">
        <v>0.5</v>
      </c>
      <c r="Q6" s="2">
        <v>0.5</v>
      </c>
      <c r="R6" s="2">
        <v>0.5</v>
      </c>
      <c r="S6" s="2">
        <v>0.5</v>
      </c>
      <c r="T6" s="2">
        <v>0.5</v>
      </c>
      <c r="U6" s="2">
        <v>0.5</v>
      </c>
      <c r="V6" s="2">
        <v>0.5</v>
      </c>
      <c r="W6" s="2">
        <v>0.5</v>
      </c>
      <c r="X6" s="2">
        <v>0.5</v>
      </c>
      <c r="Y6" s="2">
        <v>0.5</v>
      </c>
      <c r="Z6" s="2">
        <v>0.5</v>
      </c>
      <c r="AA6" s="2">
        <v>0.5</v>
      </c>
      <c r="AB6" s="2">
        <v>0.5</v>
      </c>
      <c r="AC6" s="2">
        <v>0.5</v>
      </c>
      <c r="AD6" s="2">
        <v>0.5</v>
      </c>
    </row>
    <row r="7" spans="1:30" ht="30.75" customHeight="1">
      <c r="A7" s="7" t="s">
        <v>52</v>
      </c>
      <c r="B7" s="8"/>
      <c r="C7" s="8"/>
      <c r="D7" s="8"/>
      <c r="E7" s="9"/>
      <c r="F7" s="2">
        <v>0.5</v>
      </c>
      <c r="G7" s="2">
        <v>0.5</v>
      </c>
      <c r="H7" s="2">
        <v>0.5</v>
      </c>
      <c r="I7" s="2">
        <v>0.5</v>
      </c>
      <c r="J7" s="2">
        <v>0.5</v>
      </c>
      <c r="K7" s="2">
        <v>0.5</v>
      </c>
      <c r="L7" s="2">
        <v>0.5</v>
      </c>
      <c r="M7" s="2">
        <v>0.5</v>
      </c>
      <c r="N7" s="2">
        <v>0.5</v>
      </c>
      <c r="O7" s="2">
        <v>0.5</v>
      </c>
      <c r="P7" s="2">
        <v>0.5</v>
      </c>
      <c r="Q7" s="2">
        <v>0.5</v>
      </c>
      <c r="R7" s="2">
        <v>0.5</v>
      </c>
      <c r="S7" s="2">
        <v>0.5</v>
      </c>
      <c r="T7" s="2">
        <v>0.5</v>
      </c>
      <c r="U7" s="2">
        <v>0.5</v>
      </c>
      <c r="V7" s="2">
        <v>0.5</v>
      </c>
      <c r="W7" s="2">
        <v>0.5</v>
      </c>
      <c r="X7" s="2">
        <v>0.5</v>
      </c>
      <c r="Y7" s="2">
        <v>0.5</v>
      </c>
      <c r="Z7" s="2">
        <v>0.5</v>
      </c>
      <c r="AA7" s="2">
        <v>0.5</v>
      </c>
      <c r="AB7" s="2">
        <v>0.5</v>
      </c>
      <c r="AC7" s="2">
        <v>0.5</v>
      </c>
      <c r="AD7" s="2">
        <v>0.5</v>
      </c>
    </row>
    <row r="8" spans="1:30">
      <c r="A8" s="10" t="s">
        <v>53</v>
      </c>
      <c r="B8" s="10"/>
      <c r="C8" s="10"/>
      <c r="D8" s="10"/>
      <c r="E8" s="10"/>
      <c r="F8" s="2">
        <v>5</v>
      </c>
      <c r="G8" s="2">
        <v>4.75</v>
      </c>
      <c r="H8" s="2">
        <v>4.5</v>
      </c>
      <c r="I8" s="2">
        <v>5</v>
      </c>
      <c r="J8" s="2">
        <v>4.75</v>
      </c>
      <c r="K8" s="2">
        <v>4.8499999999999996</v>
      </c>
      <c r="L8" s="2">
        <v>5</v>
      </c>
      <c r="M8" s="2">
        <v>5</v>
      </c>
      <c r="N8" s="2">
        <v>4.75</v>
      </c>
      <c r="O8" s="2">
        <v>5</v>
      </c>
      <c r="P8" s="2">
        <v>4.9000000000000004</v>
      </c>
      <c r="Q8" s="2">
        <v>4.75</v>
      </c>
      <c r="R8" s="2">
        <v>4.6500000000000004</v>
      </c>
      <c r="S8" s="2">
        <v>5</v>
      </c>
      <c r="T8" s="2">
        <v>5</v>
      </c>
      <c r="U8" s="2">
        <v>4.9000000000000004</v>
      </c>
      <c r="V8" s="2">
        <v>5</v>
      </c>
      <c r="W8" s="2">
        <v>4.75</v>
      </c>
      <c r="X8" s="2">
        <v>4.9000000000000004</v>
      </c>
      <c r="Y8" s="2">
        <v>5</v>
      </c>
      <c r="Z8" s="2">
        <v>4.75</v>
      </c>
      <c r="AA8" s="2">
        <v>4.75</v>
      </c>
      <c r="AB8" s="2">
        <v>4.75</v>
      </c>
      <c r="AC8" s="2">
        <v>4.75</v>
      </c>
      <c r="AD8" s="2">
        <v>5</v>
      </c>
    </row>
    <row r="9" spans="1:30">
      <c r="A9" s="11" t="s">
        <v>54</v>
      </c>
      <c r="B9" s="11"/>
      <c r="C9" s="11"/>
      <c r="D9" s="11"/>
      <c r="E9" s="11"/>
      <c r="F9" s="4">
        <f>SUM(F2:F8)</f>
        <v>10</v>
      </c>
      <c r="G9" s="4">
        <v>0.95</v>
      </c>
      <c r="H9" s="4">
        <v>0.9</v>
      </c>
      <c r="I9" s="4">
        <v>1</v>
      </c>
      <c r="J9" s="4">
        <v>0.95</v>
      </c>
      <c r="K9" s="4">
        <v>0.97</v>
      </c>
      <c r="L9" s="4">
        <v>1</v>
      </c>
      <c r="M9" s="4">
        <v>1</v>
      </c>
      <c r="N9" s="4">
        <v>0.95</v>
      </c>
      <c r="O9" s="4">
        <v>1</v>
      </c>
      <c r="P9" s="4">
        <v>0.98</v>
      </c>
      <c r="Q9" s="4">
        <v>0.95</v>
      </c>
      <c r="R9" s="4">
        <v>0.93</v>
      </c>
      <c r="S9" s="4">
        <v>1</v>
      </c>
      <c r="T9" s="4">
        <v>1</v>
      </c>
      <c r="U9" s="4">
        <v>0.98</v>
      </c>
      <c r="V9" s="4">
        <v>1</v>
      </c>
      <c r="W9" s="4">
        <v>0.95</v>
      </c>
      <c r="X9" s="4">
        <v>0.98</v>
      </c>
      <c r="Y9" s="4">
        <v>1</v>
      </c>
      <c r="Z9" s="4">
        <v>0.95</v>
      </c>
      <c r="AA9" s="4">
        <v>0.95</v>
      </c>
      <c r="AB9" s="3">
        <v>0.95</v>
      </c>
      <c r="AC9" s="3">
        <v>0.95</v>
      </c>
      <c r="AD9" s="4">
        <v>1</v>
      </c>
    </row>
  </sheetData>
  <mergeCells count="9">
    <mergeCell ref="A9:E9"/>
    <mergeCell ref="A1:E1"/>
    <mergeCell ref="A6:E6"/>
    <mergeCell ref="A7:E7"/>
    <mergeCell ref="A8:E8"/>
    <mergeCell ref="A2:E2"/>
    <mergeCell ref="A3:E3"/>
    <mergeCell ref="A4:E4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D896-9110-4FE8-97DE-B5DF803086FA}">
  <dimension ref="A1:AI9"/>
  <sheetViews>
    <sheetView workbookViewId="0"/>
  </sheetViews>
  <sheetFormatPr defaultColWidth="11.42578125" defaultRowHeight="15"/>
  <sheetData>
    <row r="1" spans="1:35" ht="56.25">
      <c r="A1" s="12" t="s">
        <v>41</v>
      </c>
      <c r="B1" s="13"/>
      <c r="C1" s="13"/>
      <c r="D1" s="13"/>
      <c r="E1" s="14"/>
      <c r="F1" s="5" t="s">
        <v>4</v>
      </c>
      <c r="G1" s="5" t="s">
        <v>5</v>
      </c>
      <c r="H1" s="5" t="s">
        <v>6</v>
      </c>
      <c r="I1" s="5" t="s">
        <v>55</v>
      </c>
      <c r="J1" s="5" t="s">
        <v>56</v>
      </c>
      <c r="K1" s="5" t="s">
        <v>7</v>
      </c>
      <c r="L1" s="5" t="s">
        <v>8</v>
      </c>
      <c r="M1" s="5" t="s">
        <v>11</v>
      </c>
      <c r="N1" s="5" t="s">
        <v>12</v>
      </c>
      <c r="O1" s="5" t="s">
        <v>14</v>
      </c>
      <c r="P1" s="5" t="s">
        <v>15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</row>
    <row r="2" spans="1:35" ht="36" customHeight="1">
      <c r="A2" s="15" t="s">
        <v>47</v>
      </c>
      <c r="B2" s="15"/>
      <c r="C2" s="15"/>
      <c r="D2" s="15"/>
      <c r="E2" s="15">
        <v>0.2</v>
      </c>
      <c r="F2" s="2">
        <v>1.5</v>
      </c>
      <c r="G2" s="2">
        <v>1.25</v>
      </c>
      <c r="H2" s="2">
        <v>1.25</v>
      </c>
      <c r="I2" s="2">
        <v>1.5</v>
      </c>
      <c r="J2" s="2">
        <v>1.25</v>
      </c>
      <c r="K2" s="2">
        <v>1.5</v>
      </c>
      <c r="L2" s="2">
        <v>1.25</v>
      </c>
      <c r="M2" s="2">
        <v>1.25</v>
      </c>
      <c r="N2" s="2">
        <v>1.25</v>
      </c>
      <c r="O2" s="2">
        <v>1.25</v>
      </c>
      <c r="P2" s="2">
        <v>1.25</v>
      </c>
      <c r="Q2" s="2">
        <v>1.25</v>
      </c>
      <c r="R2" s="2">
        <v>1.25</v>
      </c>
      <c r="S2" s="2">
        <v>1.5</v>
      </c>
      <c r="T2" s="2">
        <v>1.25</v>
      </c>
      <c r="U2" s="2">
        <v>1.25</v>
      </c>
      <c r="V2" s="2">
        <v>1.25</v>
      </c>
      <c r="W2" s="2">
        <v>1.25</v>
      </c>
      <c r="X2" s="2">
        <v>1.25</v>
      </c>
      <c r="Y2" s="2">
        <v>1.25</v>
      </c>
      <c r="Z2" s="2">
        <v>1.25</v>
      </c>
      <c r="AA2" s="2">
        <v>1.25</v>
      </c>
      <c r="AB2" s="2">
        <v>1.5</v>
      </c>
      <c r="AC2" s="2">
        <v>1.25</v>
      </c>
      <c r="AD2" s="2">
        <v>1.25</v>
      </c>
      <c r="AE2" s="2">
        <v>1.5</v>
      </c>
      <c r="AF2" s="2">
        <v>1.25</v>
      </c>
      <c r="AG2" s="2">
        <v>1.25</v>
      </c>
      <c r="AH2" s="2">
        <v>1.5</v>
      </c>
      <c r="AI2" s="2">
        <v>1.25</v>
      </c>
    </row>
    <row r="3" spans="1:35" ht="30.75" customHeight="1">
      <c r="A3" s="15" t="s">
        <v>48</v>
      </c>
      <c r="B3" s="15"/>
      <c r="C3" s="15"/>
      <c r="D3" s="15"/>
      <c r="E3" s="15">
        <v>0.2</v>
      </c>
      <c r="F3" s="2">
        <v>1.25</v>
      </c>
      <c r="G3" s="2">
        <v>1.25</v>
      </c>
      <c r="H3" s="2">
        <v>1</v>
      </c>
      <c r="I3" s="2">
        <v>1</v>
      </c>
      <c r="J3" s="2">
        <v>1</v>
      </c>
      <c r="K3" s="2">
        <v>0.75</v>
      </c>
      <c r="L3" s="2">
        <v>1.25</v>
      </c>
      <c r="M3" s="2">
        <v>1</v>
      </c>
      <c r="N3" s="2">
        <v>1</v>
      </c>
      <c r="O3" s="2">
        <v>1</v>
      </c>
      <c r="P3" s="2">
        <v>1.25</v>
      </c>
      <c r="Q3" s="2">
        <v>1.25</v>
      </c>
      <c r="R3" s="2">
        <v>1</v>
      </c>
      <c r="S3" s="2">
        <v>1</v>
      </c>
      <c r="T3" s="2">
        <v>1.1499999999999999</v>
      </c>
      <c r="U3" s="2">
        <v>1</v>
      </c>
      <c r="V3" s="2">
        <v>1</v>
      </c>
      <c r="W3" s="2">
        <v>1.25</v>
      </c>
      <c r="X3" s="2">
        <v>1.25</v>
      </c>
      <c r="Y3" s="2">
        <v>1.1499999999999999</v>
      </c>
      <c r="Z3" s="2">
        <v>1.25</v>
      </c>
      <c r="AA3" s="2">
        <v>1.1499999999999999</v>
      </c>
      <c r="AB3" s="2">
        <v>1</v>
      </c>
      <c r="AC3" s="2">
        <v>1</v>
      </c>
      <c r="AD3" s="2">
        <v>1.1499999999999999</v>
      </c>
      <c r="AE3" s="2">
        <v>1</v>
      </c>
      <c r="AF3" s="2">
        <v>1</v>
      </c>
      <c r="AG3" s="2">
        <v>1</v>
      </c>
      <c r="AH3" s="2">
        <v>1.25</v>
      </c>
      <c r="AI3" s="2">
        <v>1.25</v>
      </c>
    </row>
    <row r="4" spans="1:35" ht="31.5" customHeight="1">
      <c r="A4" s="15" t="s">
        <v>49</v>
      </c>
      <c r="B4" s="15"/>
      <c r="C4" s="15"/>
      <c r="D4" s="15"/>
      <c r="E4" s="15"/>
      <c r="F4" s="2">
        <v>0.75</v>
      </c>
      <c r="G4" s="2">
        <v>0.5</v>
      </c>
      <c r="H4" s="2">
        <v>0.5</v>
      </c>
      <c r="I4" s="2">
        <v>0.75</v>
      </c>
      <c r="J4" s="2">
        <v>0.75</v>
      </c>
      <c r="K4" s="2">
        <v>0.75</v>
      </c>
      <c r="L4" s="2">
        <v>0.75</v>
      </c>
      <c r="M4" s="2">
        <v>0.75</v>
      </c>
      <c r="N4" s="2">
        <v>0.75</v>
      </c>
      <c r="O4" s="2">
        <v>0.75</v>
      </c>
      <c r="P4" s="2">
        <v>0.75</v>
      </c>
      <c r="Q4" s="2">
        <v>0.75</v>
      </c>
      <c r="R4" s="2">
        <v>0.75</v>
      </c>
      <c r="S4" s="2">
        <v>0.75</v>
      </c>
      <c r="T4" s="2">
        <v>0.75</v>
      </c>
      <c r="U4" s="2">
        <v>0.75</v>
      </c>
      <c r="V4" s="2">
        <v>0.65</v>
      </c>
      <c r="W4" s="2">
        <v>0.75</v>
      </c>
      <c r="X4" s="2">
        <v>0.75</v>
      </c>
      <c r="Y4" s="2">
        <v>0.75</v>
      </c>
      <c r="Z4" s="2">
        <v>0.75</v>
      </c>
      <c r="AA4" s="2">
        <v>0.75</v>
      </c>
      <c r="AB4" s="2">
        <v>0.75</v>
      </c>
      <c r="AC4" s="2">
        <v>1</v>
      </c>
      <c r="AD4" s="2">
        <v>0.75</v>
      </c>
      <c r="AE4" s="2">
        <v>0.75</v>
      </c>
      <c r="AF4" s="2">
        <v>0.75</v>
      </c>
      <c r="AG4" s="2">
        <v>0.75</v>
      </c>
      <c r="AH4" s="2">
        <v>0.75</v>
      </c>
      <c r="AI4" s="2">
        <v>0.5</v>
      </c>
    </row>
    <row r="5" spans="1:35" ht="28.5" customHeight="1">
      <c r="A5" s="15" t="s">
        <v>50</v>
      </c>
      <c r="B5" s="15"/>
      <c r="C5" s="15"/>
      <c r="D5" s="15"/>
      <c r="E5" s="15"/>
      <c r="F5" s="2">
        <v>0.5</v>
      </c>
      <c r="G5" s="2">
        <v>0.75</v>
      </c>
      <c r="H5" s="2">
        <v>0.75</v>
      </c>
      <c r="I5" s="2">
        <v>0.5</v>
      </c>
      <c r="J5" s="2">
        <v>0.75</v>
      </c>
      <c r="K5" s="2">
        <v>0.75</v>
      </c>
      <c r="L5" s="2">
        <v>0.75</v>
      </c>
      <c r="M5" s="2">
        <v>0.75</v>
      </c>
      <c r="N5" s="2">
        <v>0.75</v>
      </c>
      <c r="O5" s="2">
        <v>0.75</v>
      </c>
      <c r="P5" s="2">
        <v>0.75</v>
      </c>
      <c r="Q5" s="2">
        <v>0.75</v>
      </c>
      <c r="R5" s="2">
        <v>0.75</v>
      </c>
      <c r="S5" s="2">
        <v>0.75</v>
      </c>
      <c r="T5" s="2">
        <v>0.75</v>
      </c>
      <c r="U5" s="2">
        <v>0.75</v>
      </c>
      <c r="V5" s="2">
        <v>0.75</v>
      </c>
      <c r="W5" s="2">
        <v>0.75</v>
      </c>
      <c r="X5" s="2">
        <v>0.75</v>
      </c>
      <c r="Y5" s="2">
        <v>0.75</v>
      </c>
      <c r="Z5" s="2">
        <v>0.75</v>
      </c>
      <c r="AA5" s="2">
        <v>0.75</v>
      </c>
      <c r="AB5" s="2">
        <v>0.75</v>
      </c>
      <c r="AC5" s="2">
        <v>0.5</v>
      </c>
      <c r="AD5" s="2">
        <v>0.75</v>
      </c>
      <c r="AE5" s="2">
        <v>0.75</v>
      </c>
      <c r="AF5" s="2">
        <v>0.75</v>
      </c>
      <c r="AG5" s="2">
        <v>0.75</v>
      </c>
      <c r="AH5" s="2">
        <v>0.5</v>
      </c>
      <c r="AI5" s="2">
        <v>0.75</v>
      </c>
    </row>
    <row r="6" spans="1:35">
      <c r="A6" s="16" t="s">
        <v>51</v>
      </c>
      <c r="B6" s="15"/>
      <c r="C6" s="15"/>
      <c r="D6" s="15"/>
      <c r="E6" s="15">
        <v>0.1</v>
      </c>
      <c r="F6" s="2">
        <v>0.5</v>
      </c>
      <c r="G6" s="2">
        <v>0.5</v>
      </c>
      <c r="H6" s="2">
        <v>0.5</v>
      </c>
      <c r="I6" s="2">
        <v>0.5</v>
      </c>
      <c r="J6" s="2">
        <v>0.5</v>
      </c>
      <c r="K6" s="2">
        <v>0.5</v>
      </c>
      <c r="L6" s="2">
        <v>0.5</v>
      </c>
      <c r="M6" s="2">
        <v>0.5</v>
      </c>
      <c r="N6" s="2">
        <v>0.5</v>
      </c>
      <c r="O6" s="2">
        <v>0.6</v>
      </c>
      <c r="P6" s="2">
        <v>0.5</v>
      </c>
      <c r="Q6" s="2">
        <v>0.5</v>
      </c>
      <c r="R6" s="2">
        <v>0.5</v>
      </c>
      <c r="S6" s="2">
        <v>0.5</v>
      </c>
      <c r="T6" s="2">
        <v>0.5</v>
      </c>
      <c r="U6" s="2">
        <v>0.5</v>
      </c>
      <c r="V6" s="2">
        <v>0.5</v>
      </c>
      <c r="W6" s="2">
        <v>0.5</v>
      </c>
      <c r="X6" s="2">
        <v>0.5</v>
      </c>
      <c r="Y6" s="2">
        <v>0.5</v>
      </c>
      <c r="Z6" s="2">
        <v>0.5</v>
      </c>
      <c r="AA6" s="2">
        <v>0.5</v>
      </c>
      <c r="AB6" s="2">
        <v>0.5</v>
      </c>
      <c r="AC6" s="2">
        <v>0.5</v>
      </c>
      <c r="AD6" s="2">
        <v>0.5</v>
      </c>
      <c r="AE6" s="2">
        <v>0.5</v>
      </c>
      <c r="AF6" s="2">
        <v>0.5</v>
      </c>
      <c r="AG6" s="2">
        <v>0.5</v>
      </c>
      <c r="AH6" s="2">
        <v>0.5</v>
      </c>
      <c r="AI6" s="2">
        <v>0.5</v>
      </c>
    </row>
    <row r="7" spans="1:35" ht="36" customHeight="1">
      <c r="A7" s="7" t="s">
        <v>52</v>
      </c>
      <c r="B7" s="8"/>
      <c r="C7" s="8"/>
      <c r="D7" s="8"/>
      <c r="E7" s="9"/>
      <c r="F7" s="2">
        <v>0.5</v>
      </c>
      <c r="G7" s="2">
        <v>0.5</v>
      </c>
      <c r="H7" s="2">
        <v>0.5</v>
      </c>
      <c r="I7" s="2">
        <v>0.5</v>
      </c>
      <c r="J7" s="2">
        <v>0.5</v>
      </c>
      <c r="K7" s="2">
        <v>0.5</v>
      </c>
      <c r="L7" s="2">
        <v>0.5</v>
      </c>
      <c r="M7" s="2">
        <v>0.5</v>
      </c>
      <c r="N7" s="2">
        <v>0.5</v>
      </c>
      <c r="O7" s="2">
        <v>0.5</v>
      </c>
      <c r="P7" s="2">
        <v>0.5</v>
      </c>
      <c r="Q7" s="2">
        <v>0.5</v>
      </c>
      <c r="R7" s="2">
        <v>0.5</v>
      </c>
      <c r="S7" s="2">
        <v>0.5</v>
      </c>
      <c r="T7" s="2">
        <v>0.5</v>
      </c>
      <c r="U7" s="2">
        <v>0.5</v>
      </c>
      <c r="V7" s="2">
        <v>0.5</v>
      </c>
      <c r="W7" s="2">
        <v>0.5</v>
      </c>
      <c r="X7" s="2">
        <v>0.5</v>
      </c>
      <c r="Y7" s="2">
        <v>0.5</v>
      </c>
      <c r="Z7" s="2">
        <v>0.5</v>
      </c>
      <c r="AA7" s="2">
        <v>0.5</v>
      </c>
      <c r="AB7" s="2">
        <v>0.5</v>
      </c>
      <c r="AC7" s="2">
        <v>0.5</v>
      </c>
      <c r="AD7" s="2">
        <v>0.5</v>
      </c>
      <c r="AE7" s="2">
        <v>0.5</v>
      </c>
      <c r="AF7" s="2">
        <v>0.5</v>
      </c>
      <c r="AG7" s="2">
        <v>0.5</v>
      </c>
      <c r="AH7" s="2">
        <v>0.5</v>
      </c>
      <c r="AI7" s="2">
        <v>0.5</v>
      </c>
    </row>
    <row r="8" spans="1:35">
      <c r="A8" s="10" t="s">
        <v>53</v>
      </c>
      <c r="B8" s="10"/>
      <c r="C8" s="10"/>
      <c r="D8" s="10"/>
      <c r="E8" s="10"/>
      <c r="F8" s="2">
        <v>5</v>
      </c>
      <c r="G8" s="2">
        <v>4.75</v>
      </c>
      <c r="H8" s="2">
        <v>4.5</v>
      </c>
      <c r="I8" s="2">
        <v>4.75</v>
      </c>
      <c r="J8" s="2">
        <v>4.75</v>
      </c>
      <c r="K8" s="2">
        <v>4.75</v>
      </c>
      <c r="L8" s="2">
        <v>5</v>
      </c>
      <c r="M8" s="2">
        <v>4.75</v>
      </c>
      <c r="N8" s="2">
        <v>4.75</v>
      </c>
      <c r="O8" s="2">
        <v>4.8499999999999996</v>
      </c>
      <c r="P8" s="2">
        <v>5</v>
      </c>
      <c r="Q8" s="2">
        <v>5</v>
      </c>
      <c r="R8" s="2">
        <v>4.75</v>
      </c>
      <c r="S8" s="2">
        <v>5</v>
      </c>
      <c r="T8" s="2">
        <v>4.9000000000000004</v>
      </c>
      <c r="U8" s="2">
        <v>4.75</v>
      </c>
      <c r="V8" s="2">
        <v>4.6500000000000004</v>
      </c>
      <c r="W8" s="2">
        <v>5</v>
      </c>
      <c r="X8" s="2">
        <v>5</v>
      </c>
      <c r="Y8" s="2">
        <v>4.9000000000000004</v>
      </c>
      <c r="Z8" s="2">
        <v>5</v>
      </c>
      <c r="AA8" s="2">
        <v>4.9000000000000004</v>
      </c>
      <c r="AB8" s="2">
        <v>5</v>
      </c>
      <c r="AC8" s="2">
        <v>4.75</v>
      </c>
      <c r="AD8" s="2">
        <v>4.9000000000000004</v>
      </c>
      <c r="AE8" s="2">
        <v>5</v>
      </c>
      <c r="AF8" s="2">
        <v>4.75</v>
      </c>
      <c r="AG8" s="2">
        <v>4.75</v>
      </c>
      <c r="AH8" s="2">
        <v>5</v>
      </c>
      <c r="AI8" s="2">
        <v>4.75</v>
      </c>
    </row>
    <row r="9" spans="1:35">
      <c r="A9" s="11" t="s">
        <v>54</v>
      </c>
      <c r="B9" s="11"/>
      <c r="C9" s="11"/>
      <c r="D9" s="11"/>
      <c r="E9" s="11"/>
      <c r="F9" s="4">
        <f>SUM(F2:F8)</f>
        <v>10</v>
      </c>
      <c r="G9" s="4">
        <v>0.95</v>
      </c>
      <c r="H9" s="4">
        <v>0.9</v>
      </c>
      <c r="I9" s="3">
        <v>0.95</v>
      </c>
      <c r="J9" s="3">
        <v>0.95</v>
      </c>
      <c r="K9" s="3">
        <v>0.95</v>
      </c>
      <c r="L9" s="4">
        <v>1</v>
      </c>
      <c r="M9" s="4">
        <v>0.95</v>
      </c>
      <c r="N9" s="4">
        <v>0.95</v>
      </c>
      <c r="O9" s="4">
        <v>0.97</v>
      </c>
      <c r="P9" s="4">
        <v>1</v>
      </c>
      <c r="Q9" s="4">
        <v>1</v>
      </c>
      <c r="R9" s="4">
        <v>0.95</v>
      </c>
      <c r="S9" s="4">
        <v>1</v>
      </c>
      <c r="T9" s="4">
        <v>0.98</v>
      </c>
      <c r="U9" s="4">
        <v>0.95</v>
      </c>
      <c r="V9" s="4">
        <v>0.93</v>
      </c>
      <c r="W9" s="4">
        <v>1</v>
      </c>
      <c r="X9" s="4">
        <v>1</v>
      </c>
      <c r="Y9" s="4">
        <v>0.98</v>
      </c>
      <c r="Z9" s="4">
        <v>1</v>
      </c>
      <c r="AA9" s="4">
        <v>0.98</v>
      </c>
      <c r="AB9" s="4">
        <v>1</v>
      </c>
      <c r="AC9" s="4">
        <v>0.95</v>
      </c>
      <c r="AD9" s="4">
        <v>0.98</v>
      </c>
      <c r="AE9" s="4">
        <v>1</v>
      </c>
      <c r="AF9" s="4">
        <v>0.95</v>
      </c>
      <c r="AG9" s="4">
        <v>0.95</v>
      </c>
      <c r="AH9" s="4">
        <f>SUM(AH2:AH8)</f>
        <v>10</v>
      </c>
      <c r="AI9" s="4">
        <v>0.95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0A80-F7B6-47EA-992F-BA0E66B5AE38}">
  <dimension ref="A1:AI9"/>
  <sheetViews>
    <sheetView tabSelected="1" workbookViewId="0">
      <selection sqref="A1:I1"/>
    </sheetView>
  </sheetViews>
  <sheetFormatPr defaultColWidth="11.42578125" defaultRowHeight="15"/>
  <sheetData>
    <row r="1" spans="1:35" ht="57.75">
      <c r="A1" s="17" t="s">
        <v>41</v>
      </c>
      <c r="B1" s="18"/>
      <c r="C1" s="18"/>
      <c r="D1" s="18"/>
      <c r="E1" s="19"/>
      <c r="F1" s="20" t="s">
        <v>4</v>
      </c>
      <c r="G1" s="20" t="s">
        <v>5</v>
      </c>
      <c r="H1" s="20" t="s">
        <v>6</v>
      </c>
      <c r="I1" s="20" t="s">
        <v>55</v>
      </c>
      <c r="J1" s="5" t="s">
        <v>56</v>
      </c>
      <c r="K1" s="5" t="s">
        <v>7</v>
      </c>
      <c r="L1" s="5" t="s">
        <v>8</v>
      </c>
      <c r="M1" s="5" t="s">
        <v>11</v>
      </c>
      <c r="N1" s="5" t="s">
        <v>12</v>
      </c>
      <c r="O1" s="5" t="s">
        <v>14</v>
      </c>
      <c r="P1" s="5" t="s">
        <v>15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</row>
    <row r="2" spans="1:35" ht="35.25" customHeight="1">
      <c r="A2" s="15" t="s">
        <v>47</v>
      </c>
      <c r="B2" s="15"/>
      <c r="C2" s="15"/>
      <c r="D2" s="15"/>
      <c r="E2" s="15">
        <v>0.2</v>
      </c>
      <c r="F2" s="2">
        <v>1.5</v>
      </c>
      <c r="G2" s="2">
        <v>1.25</v>
      </c>
      <c r="H2" s="2">
        <v>1.25</v>
      </c>
      <c r="I2" s="2">
        <v>1.5</v>
      </c>
      <c r="J2" s="2">
        <v>1.25</v>
      </c>
      <c r="K2" s="2">
        <v>1.5</v>
      </c>
      <c r="L2" s="2">
        <v>1.25</v>
      </c>
      <c r="M2" s="2">
        <v>1.25</v>
      </c>
      <c r="N2" s="2">
        <v>1.25</v>
      </c>
      <c r="O2" s="2">
        <v>1.25</v>
      </c>
      <c r="P2" s="2">
        <v>1.25</v>
      </c>
      <c r="Q2" s="2">
        <v>1.25</v>
      </c>
      <c r="R2" s="2">
        <v>1.25</v>
      </c>
      <c r="S2" s="2">
        <v>1.5</v>
      </c>
      <c r="T2" s="2">
        <v>1.25</v>
      </c>
      <c r="U2" s="2">
        <v>1.25</v>
      </c>
      <c r="V2" s="2">
        <v>1.25</v>
      </c>
      <c r="W2" s="2">
        <v>1.25</v>
      </c>
      <c r="X2" s="2">
        <v>1.25</v>
      </c>
      <c r="Y2" s="2">
        <v>1.25</v>
      </c>
      <c r="Z2" s="2">
        <v>1.25</v>
      </c>
      <c r="AA2" s="2">
        <v>1.25</v>
      </c>
      <c r="AB2" s="2">
        <v>1.5</v>
      </c>
      <c r="AC2" s="2">
        <v>1.25</v>
      </c>
      <c r="AD2" s="2">
        <v>1.25</v>
      </c>
      <c r="AE2" s="2">
        <v>1.5</v>
      </c>
      <c r="AF2" s="2">
        <v>1.25</v>
      </c>
      <c r="AG2" s="2">
        <v>1.25</v>
      </c>
      <c r="AH2" s="2">
        <v>1.5</v>
      </c>
      <c r="AI2" s="2">
        <v>1.25</v>
      </c>
    </row>
    <row r="3" spans="1:35" ht="42" customHeight="1">
      <c r="A3" s="15" t="s">
        <v>48</v>
      </c>
      <c r="B3" s="15"/>
      <c r="C3" s="15"/>
      <c r="D3" s="15"/>
      <c r="E3" s="15">
        <v>0.2</v>
      </c>
      <c r="F3" s="2">
        <v>1.25</v>
      </c>
      <c r="G3" s="2">
        <v>1.25</v>
      </c>
      <c r="H3" s="2">
        <v>1</v>
      </c>
      <c r="I3" s="2">
        <v>1</v>
      </c>
      <c r="J3" s="2">
        <v>1</v>
      </c>
      <c r="K3" s="2">
        <v>0.75</v>
      </c>
      <c r="L3" s="2">
        <v>1.25</v>
      </c>
      <c r="M3" s="2">
        <v>1</v>
      </c>
      <c r="N3" s="2">
        <v>1</v>
      </c>
      <c r="O3" s="2">
        <v>1</v>
      </c>
      <c r="P3" s="2">
        <v>1.25</v>
      </c>
      <c r="Q3" s="2">
        <v>1.25</v>
      </c>
      <c r="R3" s="2">
        <v>1</v>
      </c>
      <c r="S3" s="2">
        <v>1</v>
      </c>
      <c r="T3" s="2">
        <v>1.1499999999999999</v>
      </c>
      <c r="U3" s="2">
        <v>1</v>
      </c>
      <c r="V3" s="2">
        <v>1</v>
      </c>
      <c r="W3" s="2">
        <v>1.25</v>
      </c>
      <c r="X3" s="2">
        <v>1.25</v>
      </c>
      <c r="Y3" s="2">
        <v>1.1499999999999999</v>
      </c>
      <c r="Z3" s="2">
        <v>1.25</v>
      </c>
      <c r="AA3" s="2">
        <v>1.1499999999999999</v>
      </c>
      <c r="AB3" s="2">
        <v>1</v>
      </c>
      <c r="AC3" s="2">
        <v>1</v>
      </c>
      <c r="AD3" s="2">
        <v>1.1499999999999999</v>
      </c>
      <c r="AE3" s="2">
        <v>1</v>
      </c>
      <c r="AF3" s="2">
        <v>1</v>
      </c>
      <c r="AG3" s="2">
        <v>1</v>
      </c>
      <c r="AH3" s="2">
        <v>1.25</v>
      </c>
      <c r="AI3" s="2">
        <v>1.25</v>
      </c>
    </row>
    <row r="4" spans="1:35" ht="29.25" customHeight="1">
      <c r="A4" s="15" t="s">
        <v>49</v>
      </c>
      <c r="B4" s="15"/>
      <c r="C4" s="15"/>
      <c r="D4" s="15"/>
      <c r="E4" s="15"/>
      <c r="F4" s="2">
        <v>0.75</v>
      </c>
      <c r="G4" s="2">
        <v>0.5</v>
      </c>
      <c r="H4" s="2">
        <v>0.5</v>
      </c>
      <c r="I4" s="2">
        <v>0.75</v>
      </c>
      <c r="J4" s="2">
        <v>0.75</v>
      </c>
      <c r="K4" s="2">
        <v>0.75</v>
      </c>
      <c r="L4" s="2">
        <v>0.75</v>
      </c>
      <c r="M4" s="2">
        <v>0.75</v>
      </c>
      <c r="N4" s="2">
        <v>0.75</v>
      </c>
      <c r="O4" s="2">
        <v>0.75</v>
      </c>
      <c r="P4" s="2">
        <v>0.75</v>
      </c>
      <c r="Q4" s="2">
        <v>0.75</v>
      </c>
      <c r="R4" s="2">
        <v>0.75</v>
      </c>
      <c r="S4" s="2">
        <v>0.75</v>
      </c>
      <c r="T4" s="2">
        <v>0.75</v>
      </c>
      <c r="U4" s="2">
        <v>0.75</v>
      </c>
      <c r="V4" s="2">
        <v>0.65</v>
      </c>
      <c r="W4" s="2">
        <v>0.75</v>
      </c>
      <c r="X4" s="2">
        <v>0.75</v>
      </c>
      <c r="Y4" s="2">
        <v>0.75</v>
      </c>
      <c r="Z4" s="2">
        <v>0.75</v>
      </c>
      <c r="AA4" s="2">
        <v>0.75</v>
      </c>
      <c r="AB4" s="2">
        <v>0.75</v>
      </c>
      <c r="AC4" s="2">
        <v>1</v>
      </c>
      <c r="AD4" s="2">
        <v>0.75</v>
      </c>
      <c r="AE4" s="2">
        <v>0.75</v>
      </c>
      <c r="AF4" s="2">
        <v>0.75</v>
      </c>
      <c r="AG4" s="2">
        <v>0.75</v>
      </c>
      <c r="AH4" s="2">
        <v>0.75</v>
      </c>
      <c r="AI4" s="2">
        <v>0.5</v>
      </c>
    </row>
    <row r="5" spans="1:35" ht="32.25" customHeight="1">
      <c r="A5" s="15" t="s">
        <v>50</v>
      </c>
      <c r="B5" s="15"/>
      <c r="C5" s="15"/>
      <c r="D5" s="15"/>
      <c r="E5" s="15"/>
      <c r="F5" s="2">
        <v>0.5</v>
      </c>
      <c r="G5" s="2">
        <v>0.75</v>
      </c>
      <c r="H5" s="2">
        <v>0.75</v>
      </c>
      <c r="I5" s="2">
        <v>0.5</v>
      </c>
      <c r="J5" s="2">
        <v>0.75</v>
      </c>
      <c r="K5" s="2">
        <v>0.75</v>
      </c>
      <c r="L5" s="2">
        <v>0.75</v>
      </c>
      <c r="M5" s="2">
        <v>0.75</v>
      </c>
      <c r="N5" s="2">
        <v>0.75</v>
      </c>
      <c r="O5" s="2">
        <v>0.75</v>
      </c>
      <c r="P5" s="2">
        <v>0.75</v>
      </c>
      <c r="Q5" s="2">
        <v>0.75</v>
      </c>
      <c r="R5" s="2">
        <v>0.75</v>
      </c>
      <c r="S5" s="2">
        <v>0.75</v>
      </c>
      <c r="T5" s="2">
        <v>0.75</v>
      </c>
      <c r="U5" s="2">
        <v>0.75</v>
      </c>
      <c r="V5" s="2">
        <v>0.75</v>
      </c>
      <c r="W5" s="2">
        <v>0.75</v>
      </c>
      <c r="X5" s="2">
        <v>0.75</v>
      </c>
      <c r="Y5" s="2">
        <v>0.75</v>
      </c>
      <c r="Z5" s="2">
        <v>0.75</v>
      </c>
      <c r="AA5" s="2">
        <v>0.75</v>
      </c>
      <c r="AB5" s="2">
        <v>0.75</v>
      </c>
      <c r="AC5" s="2">
        <v>0.5</v>
      </c>
      <c r="AD5" s="2">
        <v>0.75</v>
      </c>
      <c r="AE5" s="2">
        <v>0.75</v>
      </c>
      <c r="AF5" s="2">
        <v>0.75</v>
      </c>
      <c r="AG5" s="2">
        <v>0.75</v>
      </c>
      <c r="AH5" s="2">
        <v>0.5</v>
      </c>
      <c r="AI5" s="2">
        <v>0.75</v>
      </c>
    </row>
    <row r="6" spans="1:35" ht="36.75" customHeight="1">
      <c r="A6" s="16" t="s">
        <v>51</v>
      </c>
      <c r="B6" s="15"/>
      <c r="C6" s="15"/>
      <c r="D6" s="15"/>
      <c r="E6" s="15">
        <v>0.1</v>
      </c>
      <c r="F6" s="2">
        <v>0.5</v>
      </c>
      <c r="G6" s="2">
        <v>0.5</v>
      </c>
      <c r="H6" s="2">
        <v>0.5</v>
      </c>
      <c r="I6" s="2">
        <v>0.5</v>
      </c>
      <c r="J6" s="2">
        <v>0.5</v>
      </c>
      <c r="K6" s="2">
        <v>0.5</v>
      </c>
      <c r="L6" s="2">
        <v>0.5</v>
      </c>
      <c r="M6" s="2">
        <v>0.5</v>
      </c>
      <c r="N6" s="2">
        <v>0.5</v>
      </c>
      <c r="O6" s="2">
        <v>0.6</v>
      </c>
      <c r="P6" s="2">
        <v>0.5</v>
      </c>
      <c r="Q6" s="2">
        <v>0.5</v>
      </c>
      <c r="R6" s="2">
        <v>0.5</v>
      </c>
      <c r="S6" s="2">
        <v>0.5</v>
      </c>
      <c r="T6" s="2">
        <v>0.5</v>
      </c>
      <c r="U6" s="2">
        <v>0.5</v>
      </c>
      <c r="V6" s="2">
        <v>0.5</v>
      </c>
      <c r="W6" s="2">
        <v>0.5</v>
      </c>
      <c r="X6" s="2">
        <v>0.5</v>
      </c>
      <c r="Y6" s="2">
        <v>0.5</v>
      </c>
      <c r="Z6" s="2">
        <v>0.5</v>
      </c>
      <c r="AA6" s="2">
        <v>0.5</v>
      </c>
      <c r="AB6" s="2">
        <v>0.5</v>
      </c>
      <c r="AC6" s="2">
        <v>0.5</v>
      </c>
      <c r="AD6" s="2">
        <v>0.5</v>
      </c>
      <c r="AE6" s="2">
        <v>0.5</v>
      </c>
      <c r="AF6" s="2">
        <v>0.5</v>
      </c>
      <c r="AG6" s="2">
        <v>0.5</v>
      </c>
      <c r="AH6" s="2">
        <v>0.5</v>
      </c>
      <c r="AI6" s="2">
        <v>0.5</v>
      </c>
    </row>
    <row r="7" spans="1:35" ht="42.75" customHeight="1">
      <c r="A7" s="7" t="s">
        <v>52</v>
      </c>
      <c r="B7" s="8"/>
      <c r="C7" s="8"/>
      <c r="D7" s="8"/>
      <c r="E7" s="9"/>
      <c r="F7" s="2">
        <v>0.5</v>
      </c>
      <c r="G7" s="2">
        <v>0.5</v>
      </c>
      <c r="H7" s="2">
        <v>0.5</v>
      </c>
      <c r="I7" s="2">
        <v>0.5</v>
      </c>
      <c r="J7" s="2">
        <v>0.5</v>
      </c>
      <c r="K7" s="2">
        <v>0.5</v>
      </c>
      <c r="L7" s="2">
        <v>0.5</v>
      </c>
      <c r="M7" s="2">
        <v>0.5</v>
      </c>
      <c r="N7" s="2">
        <v>0.5</v>
      </c>
      <c r="O7" s="2">
        <v>0.5</v>
      </c>
      <c r="P7" s="2">
        <v>0.5</v>
      </c>
      <c r="Q7" s="2">
        <v>0.5</v>
      </c>
      <c r="R7" s="2">
        <v>0.5</v>
      </c>
      <c r="S7" s="2">
        <v>0.5</v>
      </c>
      <c r="T7" s="2">
        <v>0.5</v>
      </c>
      <c r="U7" s="2">
        <v>0.5</v>
      </c>
      <c r="V7" s="2">
        <v>0.5</v>
      </c>
      <c r="W7" s="2">
        <v>0.5</v>
      </c>
      <c r="X7" s="2">
        <v>0.5</v>
      </c>
      <c r="Y7" s="2">
        <v>0.5</v>
      </c>
      <c r="Z7" s="2">
        <v>0.5</v>
      </c>
      <c r="AA7" s="2">
        <v>0.5</v>
      </c>
      <c r="AB7" s="2">
        <v>0.5</v>
      </c>
      <c r="AC7" s="2">
        <v>0.5</v>
      </c>
      <c r="AD7" s="2">
        <v>0.5</v>
      </c>
      <c r="AE7" s="2">
        <v>0.5</v>
      </c>
      <c r="AF7" s="2">
        <v>0.5</v>
      </c>
      <c r="AG7" s="2">
        <v>0.5</v>
      </c>
      <c r="AH7" s="2">
        <v>0.5</v>
      </c>
      <c r="AI7" s="2">
        <v>0.5</v>
      </c>
    </row>
    <row r="8" spans="1:35">
      <c r="A8" s="10" t="s">
        <v>53</v>
      </c>
      <c r="B8" s="10"/>
      <c r="C8" s="10"/>
      <c r="D8" s="10"/>
      <c r="E8" s="10"/>
      <c r="F8" s="2">
        <v>5</v>
      </c>
      <c r="G8" s="2">
        <v>4.75</v>
      </c>
      <c r="H8" s="2">
        <v>4.5</v>
      </c>
      <c r="I8" s="2">
        <v>4.75</v>
      </c>
      <c r="J8" s="2">
        <v>4.75</v>
      </c>
      <c r="K8" s="2">
        <v>4.75</v>
      </c>
      <c r="L8" s="2">
        <v>5</v>
      </c>
      <c r="M8" s="2">
        <v>4.75</v>
      </c>
      <c r="N8" s="2">
        <v>4.75</v>
      </c>
      <c r="O8" s="2">
        <v>4.8499999999999996</v>
      </c>
      <c r="P8" s="2">
        <v>5</v>
      </c>
      <c r="Q8" s="2">
        <v>5</v>
      </c>
      <c r="R8" s="2">
        <v>4.75</v>
      </c>
      <c r="S8" s="2">
        <v>5</v>
      </c>
      <c r="T8" s="2">
        <v>4.9000000000000004</v>
      </c>
      <c r="U8" s="2">
        <v>4.75</v>
      </c>
      <c r="V8" s="2">
        <v>4.6500000000000004</v>
      </c>
      <c r="W8" s="2">
        <v>5</v>
      </c>
      <c r="X8" s="2">
        <v>5</v>
      </c>
      <c r="Y8" s="2">
        <v>4.9000000000000004</v>
      </c>
      <c r="Z8" s="2">
        <v>5</v>
      </c>
      <c r="AA8" s="2">
        <v>4.9000000000000004</v>
      </c>
      <c r="AB8" s="2">
        <v>5</v>
      </c>
      <c r="AC8" s="2">
        <v>4.75</v>
      </c>
      <c r="AD8" s="2">
        <v>4.9000000000000004</v>
      </c>
      <c r="AE8" s="2">
        <v>5</v>
      </c>
      <c r="AF8" s="2">
        <v>4.75</v>
      </c>
      <c r="AG8" s="2">
        <v>4.75</v>
      </c>
      <c r="AH8" s="2">
        <v>5</v>
      </c>
      <c r="AI8" s="2">
        <v>4.75</v>
      </c>
    </row>
    <row r="9" spans="1:35">
      <c r="A9" s="11" t="s">
        <v>54</v>
      </c>
      <c r="B9" s="11"/>
      <c r="C9" s="11"/>
      <c r="D9" s="11"/>
      <c r="E9" s="11"/>
      <c r="F9" s="4">
        <f>SUM(F2:F8)</f>
        <v>10</v>
      </c>
      <c r="G9" s="4">
        <v>0.95</v>
      </c>
      <c r="H9" s="4">
        <v>0.9</v>
      </c>
      <c r="I9" s="3">
        <v>0.95</v>
      </c>
      <c r="J9" s="3">
        <v>0.95</v>
      </c>
      <c r="K9" s="3">
        <v>0.95</v>
      </c>
      <c r="L9" s="4">
        <v>1</v>
      </c>
      <c r="M9" s="4">
        <v>0.95</v>
      </c>
      <c r="N9" s="4">
        <v>0.95</v>
      </c>
      <c r="O9" s="4">
        <v>0.97</v>
      </c>
      <c r="P9" s="4">
        <v>1</v>
      </c>
      <c r="Q9" s="4">
        <v>1</v>
      </c>
      <c r="R9" s="4">
        <v>0.95</v>
      </c>
      <c r="S9" s="4">
        <v>1</v>
      </c>
      <c r="T9" s="4">
        <v>0.98</v>
      </c>
      <c r="U9" s="4">
        <v>0.95</v>
      </c>
      <c r="V9" s="4">
        <v>0.93</v>
      </c>
      <c r="W9" s="4">
        <v>1</v>
      </c>
      <c r="X9" s="4">
        <v>1</v>
      </c>
      <c r="Y9" s="4">
        <v>0.98</v>
      </c>
      <c r="Z9" s="4">
        <v>1</v>
      </c>
      <c r="AA9" s="4">
        <v>0.98</v>
      </c>
      <c r="AB9" s="4">
        <v>1</v>
      </c>
      <c r="AC9" s="4">
        <v>0.95</v>
      </c>
      <c r="AD9" s="4">
        <v>0.98</v>
      </c>
      <c r="AE9" s="4">
        <v>1</v>
      </c>
      <c r="AF9" s="4">
        <v>0.95</v>
      </c>
      <c r="AG9" s="4">
        <v>0.95</v>
      </c>
      <c r="AH9" s="4">
        <f>SUM(AH2:AH8)</f>
        <v>10</v>
      </c>
      <c r="AI9" s="4">
        <v>0.95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85f64-d699-439f-af57-f6705fde18e6" xsi:nil="true"/>
    <lcf76f155ced4ddcb4097134ff3c332f xmlns="6d25fb09-3c3f-4221-b7db-31ec8f4c699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10" ma:contentTypeDescription="Crear nuevo documento." ma:contentTypeScope="" ma:versionID="29b6bc28b634efb95039bef73294e59e">
  <xsd:schema xmlns:xsd="http://www.w3.org/2001/XMLSchema" xmlns:xs="http://www.w3.org/2001/XMLSchema" xmlns:p="http://schemas.microsoft.com/office/2006/metadata/properties" xmlns:ns2="6d25fb09-3c3f-4221-b7db-31ec8f4c6990" xmlns:ns3="a7485f64-d699-439f-af57-f6705fde18e6" targetNamespace="http://schemas.microsoft.com/office/2006/metadata/properties" ma:root="true" ma:fieldsID="f5a938f1d8e134be76bdc803659755ab" ns2:_="" ns3:_="">
    <xsd:import namespace="6d25fb09-3c3f-4221-b7db-31ec8f4c6990"/>
    <xsd:import namespace="a7485f64-d699-439f-af57-f6705fde1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85f64-d699-439f-af57-f6705fde18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068dc5-0173-432d-aae8-3f50884c04ae}" ma:internalName="TaxCatchAll" ma:showField="CatchAllData" ma:web="a7485f64-d699-439f-af57-f6705fde1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344019-214C-4CE5-907A-A5A579D182EC}"/>
</file>

<file path=customXml/itemProps2.xml><?xml version="1.0" encoding="utf-8"?>
<ds:datastoreItem xmlns:ds="http://schemas.openxmlformats.org/officeDocument/2006/customXml" ds:itemID="{8EBFF3A7-620F-49F7-BE1F-9CF7E2961B47}"/>
</file>

<file path=customXml/itemProps3.xml><?xml version="1.0" encoding="utf-8"?>
<ds:datastoreItem xmlns:ds="http://schemas.openxmlformats.org/officeDocument/2006/customXml" ds:itemID="{DE6096E2-B0A2-458C-8CD8-88E721D568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BIOSTEEL</dc:creator>
  <cp:keywords/>
  <dc:description/>
  <cp:lastModifiedBy>Emaline Romero</cp:lastModifiedBy>
  <cp:revision/>
  <dcterms:created xsi:type="dcterms:W3CDTF">2026-04-29T22:52:13Z</dcterms:created>
  <dcterms:modified xsi:type="dcterms:W3CDTF">2026-06-22T15:36:03Z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