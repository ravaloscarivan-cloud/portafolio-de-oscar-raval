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 #1\Desktop\PROVEMEDICS\"/>
    </mc:Choice>
  </mc:AlternateContent>
  <xr:revisionPtr revIDLastSave="0" documentId="8_{0D90DAA5-9E3B-4095-8A70-D6C3182289CA}" xr6:coauthVersionLast="47" xr6:coauthVersionMax="47" xr10:uidLastSave="{00000000-0000-0000-0000-000000000000}"/>
  <bookViews>
    <workbookView xWindow="-120" yWindow="-120" windowWidth="29040" windowHeight="15720" xr2:uid="{891393E6-7B42-4D06-AEA8-C061504936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 s="1"/>
  <c r="J2" i="1"/>
  <c r="I3" i="1"/>
  <c r="I4" i="1"/>
  <c r="I2" i="1"/>
  <c r="I5" i="1" s="1"/>
  <c r="F5" i="1"/>
  <c r="F3" i="1"/>
  <c r="F4" i="1"/>
  <c r="F2" i="1"/>
  <c r="E5" i="1"/>
  <c r="G5" i="1"/>
  <c r="H5" i="1"/>
  <c r="D5" i="1"/>
</calcChain>
</file>

<file path=xl/sharedStrings.xml><?xml version="1.0" encoding="utf-8"?>
<sst xmlns="http://schemas.openxmlformats.org/spreadsheetml/2006/main" count="17" uniqueCount="17">
  <si>
    <t>FINANCIEROS Y OTRAS OBLIGACIONES</t>
  </si>
  <si>
    <t>OBSERVACIONES</t>
  </si>
  <si>
    <t xml:space="preserve">  BANCO DE BOGOTA CREDITO 558128852</t>
  </si>
  <si>
    <t xml:space="preserve">  BANCO DE BOGOTA CREDITO 559009587</t>
  </si>
  <si>
    <t xml:space="preserve">  BANCO DE BOGOTA CREDITO 355779864</t>
  </si>
  <si>
    <t>TOTAL FINANCIEROS Y OTRAS OBLIGACIONES</t>
  </si>
  <si>
    <t>DIAS DE MORA</t>
  </si>
  <si>
    <t>SALDO CAPITAL</t>
  </si>
  <si>
    <t>CUOTA CAPITAL VENCIDO</t>
  </si>
  <si>
    <t>INTERESES EXIGIBLES</t>
  </si>
  <si>
    <t>GASTOS VENCIDOS</t>
  </si>
  <si>
    <t>CUOTA CAPITAL NO VENCIDO</t>
  </si>
  <si>
    <t>PAGO TOTAL A 11/09/2025</t>
  </si>
  <si>
    <t>SUMA TOTAL VENCIDO A 11/09/2025</t>
  </si>
  <si>
    <t>VEHICULO-FURGON</t>
  </si>
  <si>
    <t>CAPITAL DE TRABAJO</t>
  </si>
  <si>
    <t>CAPITAL DE TRABAJO-$229.600.000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</si>
</sst>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164" fontId="0" fillId="0" borderId="0" xfId="0" applyNumberFormat="1"/>
    <xf numFmtId="0" fontId="0" fillId="0" borderId="2" xfId="0" applyBorder="1"/>
    <xf numFmtId="164" fontId="2" fillId="0" borderId="2" xfId="0" applyNumberFormat="1" applyFont="1" applyBorder="1"/>
    <xf numFmtId="164" fontId="0" fillId="0" borderId="2" xfId="1" applyNumberFormat="1" applyFont="1" applyBorder="1"/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2" xfId="1" applyNumberFormat="1" applyFont="1" applyFill="1" applyBorder="1"/>
    <xf numFmtId="164" fontId="2" fillId="2" borderId="2" xfId="0" applyNumberFormat="1" applyFont="1" applyFill="1" applyBorder="1"/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890D-6DAD-4CA1-8BEA-A8C159BC80AB}">
  <dimension ref="A1:L9"/>
  <sheetViews>
    <sheetView tabSelected="1" workbookViewId="0">
      <selection activeCell="E19" sqref="E19"/>
    </sheetView>
  </sheetViews>
  <sheetFormatPr baseColWidth="10" defaultRowHeight="15" x14ac:dyDescent="0.25"/>
  <cols>
    <col min="1" max="1" width="40.5703125" customWidth="1"/>
    <col min="2" max="2" width="32.85546875" customWidth="1"/>
    <col min="3" max="3" width="8.42578125" bestFit="1" customWidth="1"/>
    <col min="4" max="5" width="14.140625" bestFit="1" customWidth="1"/>
    <col min="6" max="6" width="14.140625" customWidth="1"/>
    <col min="7" max="8" width="13.140625" bestFit="1" customWidth="1"/>
    <col min="9" max="10" width="14.140625" bestFit="1" customWidth="1"/>
  </cols>
  <sheetData>
    <row r="1" spans="1:12" ht="38.25" x14ac:dyDescent="0.25">
      <c r="A1" s="1" t="s">
        <v>0</v>
      </c>
      <c r="B1" s="2" t="s">
        <v>1</v>
      </c>
      <c r="C1" s="2" t="s">
        <v>6</v>
      </c>
      <c r="D1" s="2" t="s">
        <v>7</v>
      </c>
      <c r="E1" s="9" t="s">
        <v>8</v>
      </c>
      <c r="F1" s="2" t="s">
        <v>11</v>
      </c>
      <c r="G1" s="9" t="s">
        <v>9</v>
      </c>
      <c r="H1" s="9" t="s">
        <v>10</v>
      </c>
      <c r="I1" s="9" t="s">
        <v>13</v>
      </c>
      <c r="J1" s="2" t="s">
        <v>12</v>
      </c>
    </row>
    <row r="2" spans="1:12" x14ac:dyDescent="0.25">
      <c r="A2" s="3" t="s">
        <v>2</v>
      </c>
      <c r="B2" s="4" t="s">
        <v>14</v>
      </c>
      <c r="C2" s="6">
        <v>181</v>
      </c>
      <c r="D2" s="8">
        <v>17414651</v>
      </c>
      <c r="E2" s="10">
        <v>11961988</v>
      </c>
      <c r="F2" s="8">
        <f>D2-E2</f>
        <v>5452663</v>
      </c>
      <c r="G2" s="10">
        <v>1801156</v>
      </c>
      <c r="H2" s="10">
        <v>0</v>
      </c>
      <c r="I2" s="10">
        <f>+E2+G2+H2</f>
        <v>13763144</v>
      </c>
      <c r="J2" s="8">
        <f>+I2+F2</f>
        <v>19215807</v>
      </c>
      <c r="K2" s="5"/>
      <c r="L2" s="5"/>
    </row>
    <row r="3" spans="1:12" x14ac:dyDescent="0.25">
      <c r="A3" s="3" t="s">
        <v>3</v>
      </c>
      <c r="B3" s="4" t="s">
        <v>16</v>
      </c>
      <c r="C3" s="6">
        <v>179</v>
      </c>
      <c r="D3" s="8">
        <v>45874426</v>
      </c>
      <c r="E3" s="10">
        <v>22960002</v>
      </c>
      <c r="F3" s="8">
        <f t="shared" ref="F3:F4" si="0">D3-E3</f>
        <v>22914424</v>
      </c>
      <c r="G3" s="10">
        <v>3714212</v>
      </c>
      <c r="H3" s="10">
        <v>1486291</v>
      </c>
      <c r="I3" s="10">
        <f t="shared" ref="I3:I4" si="1">+E3+G3+H3</f>
        <v>28160505</v>
      </c>
      <c r="J3" s="8">
        <f t="shared" ref="J3:J4" si="2">+I3+F3</f>
        <v>51074929</v>
      </c>
      <c r="K3" s="5"/>
    </row>
    <row r="4" spans="1:12" x14ac:dyDescent="0.25">
      <c r="A4" s="3" t="s">
        <v>4</v>
      </c>
      <c r="B4" s="4" t="s">
        <v>15</v>
      </c>
      <c r="C4" s="6">
        <v>196</v>
      </c>
      <c r="D4" s="8">
        <v>42991522</v>
      </c>
      <c r="E4" s="10">
        <v>29217057</v>
      </c>
      <c r="F4" s="8">
        <f t="shared" si="0"/>
        <v>13774465</v>
      </c>
      <c r="G4" s="10">
        <v>4538565</v>
      </c>
      <c r="H4" s="10">
        <v>0</v>
      </c>
      <c r="I4" s="10">
        <f t="shared" si="1"/>
        <v>33755622</v>
      </c>
      <c r="J4" s="8">
        <f t="shared" si="2"/>
        <v>47530087</v>
      </c>
      <c r="K4" s="5"/>
    </row>
    <row r="5" spans="1:12" x14ac:dyDescent="0.25">
      <c r="A5" s="12" t="s">
        <v>5</v>
      </c>
      <c r="B5" s="13"/>
      <c r="C5" s="6"/>
      <c r="D5" s="7">
        <f>SUM(D2:D4)</f>
        <v>106280599</v>
      </c>
      <c r="E5" s="11">
        <f t="shared" ref="E5:J5" si="3">SUM(E2:E4)</f>
        <v>64139047</v>
      </c>
      <c r="F5" s="7">
        <f>SUM(F2:F4)</f>
        <v>42141552</v>
      </c>
      <c r="G5" s="11">
        <f t="shared" si="3"/>
        <v>10053933</v>
      </c>
      <c r="H5" s="11">
        <f t="shared" si="3"/>
        <v>1486291</v>
      </c>
      <c r="I5" s="11">
        <f t="shared" si="3"/>
        <v>75679271</v>
      </c>
      <c r="J5" s="7">
        <f t="shared" si="3"/>
        <v>117820823</v>
      </c>
    </row>
    <row r="9" spans="1:12" x14ac:dyDescent="0.25">
      <c r="H9" s="5"/>
    </row>
  </sheetData>
  <mergeCells count="1">
    <mergeCell ref="A5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11" ma:contentTypeDescription="Crear nuevo documento." ma:contentTypeScope="" ma:versionID="1ad77b91f9fc54733baff06a6acb9670">
  <xsd:schema xmlns:xsd="http://www.w3.org/2001/XMLSchema" xmlns:xs="http://www.w3.org/2001/XMLSchema" xmlns:p="http://schemas.microsoft.com/office/2006/metadata/properties" xmlns:ns2="6d25fb09-3c3f-4221-b7db-31ec8f4c6990" xmlns:ns3="a7485f64-d699-439f-af57-f6705fde18e6" targetNamespace="http://schemas.microsoft.com/office/2006/metadata/properties" ma:root="true" ma:fieldsID="8a15921f76d6bd7ee5dbe01c6c683ca7" ns2:_="" ns3:_="">
    <xsd:import namespace="6d25fb09-3c3f-4221-b7db-31ec8f4c6990"/>
    <xsd:import namespace="a7485f64-d699-439f-af57-f6705fde18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1f78836-e750-4407-aab4-c14bf3fcde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85f64-d699-439f-af57-f6705fde18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da8286-27db-4743-9f2a-b919d30d25d4}" ma:internalName="TaxCatchAll" ma:showField="CatchAllData" ma:web="a7485f64-d699-439f-af57-f6705fde18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485f64-d699-439f-af57-f6705fde18e6" xsi:nil="true"/>
    <lcf76f155ced4ddcb4097134ff3c332f xmlns="6d25fb09-3c3f-4221-b7db-31ec8f4c69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86886C-C4EC-4269-8E2E-E0E1B93662E8}"/>
</file>

<file path=customXml/itemProps2.xml><?xml version="1.0" encoding="utf-8"?>
<ds:datastoreItem xmlns:ds="http://schemas.openxmlformats.org/officeDocument/2006/customXml" ds:itemID="{2A96A57F-705C-4E01-B771-7B2E087419BC}"/>
</file>

<file path=customXml/itemProps3.xml><?xml version="1.0" encoding="utf-8"?>
<ds:datastoreItem xmlns:ds="http://schemas.openxmlformats.org/officeDocument/2006/customXml" ds:itemID="{13B8FB4B-6D61-4883-A1C0-FCF0506BB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OROZCO</dc:creator>
  <cp:lastModifiedBy>MARTHA OROZCO</cp:lastModifiedBy>
  <dcterms:created xsi:type="dcterms:W3CDTF">2025-09-11T20:24:56Z</dcterms:created>
  <dcterms:modified xsi:type="dcterms:W3CDTF">2026-04-09T23:04:05Z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